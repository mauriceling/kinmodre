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MyProjects\kinmodre\"/>
    </mc:Choice>
  </mc:AlternateContent>
  <xr:revisionPtr revIDLastSave="0" documentId="13_ncr:1_{4CF689A9-50D7-4DA3-BDEC-B0A0D38963E2}" xr6:coauthVersionLast="47" xr6:coauthVersionMax="47" xr10:uidLastSave="{00000000-0000-0000-0000-000000000000}"/>
  <bookViews>
    <workbookView xWindow="-110" yWindow="-110" windowWidth="19420" windowHeight="11500" xr2:uid="{B4C7D942-9A2E-4284-ADB5-B7C4CF7DD1B1}"/>
  </bookViews>
  <sheets>
    <sheet name="Models" sheetId="1" r:id="rId1"/>
    <sheet name="Referen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1" l="1"/>
  <c r="K26" i="1"/>
  <c r="K23" i="1"/>
  <c r="K20" i="1"/>
  <c r="K21" i="1"/>
  <c r="K22" i="1"/>
  <c r="K24" i="1"/>
  <c r="K25" i="1"/>
  <c r="K27" i="1"/>
  <c r="K28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19" i="1"/>
  <c r="H19" i="1"/>
  <c r="G103" i="1"/>
  <c r="G101" i="1"/>
  <c r="H109" i="1"/>
  <c r="H107" i="1"/>
  <c r="H105" i="1"/>
  <c r="J103" i="1"/>
  <c r="J100" i="1"/>
  <c r="I94" i="1"/>
  <c r="I92" i="1"/>
  <c r="G88" i="1"/>
  <c r="H97" i="1"/>
  <c r="H95" i="1"/>
  <c r="J71" i="1"/>
  <c r="I75" i="1"/>
  <c r="G87" i="1"/>
  <c r="H87" i="1"/>
  <c r="H86" i="1"/>
  <c r="H83" i="1"/>
  <c r="H80" i="1"/>
  <c r="H75" i="1"/>
  <c r="H74" i="1"/>
  <c r="H72" i="1"/>
  <c r="G68" i="1"/>
  <c r="H70" i="1"/>
  <c r="H65" i="1"/>
  <c r="J57" i="1"/>
  <c r="I61" i="1"/>
  <c r="I56" i="1"/>
  <c r="I55" i="1"/>
  <c r="G55" i="1"/>
  <c r="H59" i="1"/>
  <c r="H58" i="1"/>
  <c r="H57" i="1"/>
  <c r="H56" i="1"/>
  <c r="I54" i="1"/>
  <c r="H54" i="1"/>
  <c r="I49" i="1"/>
  <c r="H51" i="1"/>
  <c r="H49" i="1"/>
  <c r="G49" i="1"/>
  <c r="G47" i="1"/>
  <c r="J46" i="1"/>
  <c r="J44" i="1"/>
  <c r="J42" i="1"/>
  <c r="I42" i="1"/>
  <c r="G46" i="1"/>
  <c r="G42" i="1"/>
  <c r="G40" i="1"/>
  <c r="J34" i="1"/>
  <c r="J33" i="1"/>
  <c r="J32" i="1"/>
  <c r="I37" i="1"/>
  <c r="I36" i="1"/>
  <c r="I34" i="1"/>
  <c r="J28" i="1"/>
  <c r="G34" i="1"/>
  <c r="G31" i="1"/>
  <c r="H35" i="1"/>
  <c r="H32" i="1"/>
  <c r="H31" i="1"/>
  <c r="H28" i="1"/>
  <c r="H27" i="1"/>
  <c r="J26" i="1"/>
  <c r="J22" i="1"/>
  <c r="I23" i="1"/>
  <c r="H24" i="1"/>
  <c r="G24" i="1"/>
  <c r="G23" i="1"/>
  <c r="I21" i="1"/>
  <c r="J21" i="1"/>
  <c r="J16" i="1"/>
  <c r="I17" i="1"/>
  <c r="G18" i="1"/>
  <c r="I15" i="1"/>
  <c r="J15" i="1"/>
  <c r="J13" i="1"/>
  <c r="I14" i="1"/>
  <c r="I13" i="1"/>
  <c r="I12" i="1"/>
  <c r="H11" i="1"/>
  <c r="G11" i="1"/>
  <c r="I10" i="1"/>
  <c r="J10" i="1"/>
  <c r="I9" i="1"/>
  <c r="G8" i="1"/>
  <c r="I4" i="1"/>
  <c r="H3" i="1"/>
  <c r="I3" i="1"/>
  <c r="J3" i="1"/>
  <c r="H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J9" i="1"/>
  <c r="H10" i="1"/>
  <c r="I11" i="1"/>
  <c r="J11" i="1"/>
  <c r="H12" i="1"/>
  <c r="J12" i="1"/>
  <c r="H13" i="1"/>
  <c r="H14" i="1"/>
  <c r="J14" i="1"/>
  <c r="H15" i="1"/>
  <c r="H16" i="1"/>
  <c r="I16" i="1"/>
  <c r="H17" i="1"/>
  <c r="J17" i="1"/>
  <c r="H18" i="1"/>
  <c r="I18" i="1"/>
  <c r="J18" i="1"/>
  <c r="I19" i="1"/>
  <c r="J19" i="1"/>
  <c r="H20" i="1"/>
  <c r="I20" i="1"/>
  <c r="J20" i="1"/>
  <c r="H21" i="1"/>
  <c r="H22" i="1"/>
  <c r="I22" i="1"/>
  <c r="H23" i="1"/>
  <c r="J23" i="1"/>
  <c r="I24" i="1"/>
  <c r="J24" i="1"/>
  <c r="H25" i="1"/>
  <c r="I25" i="1"/>
  <c r="J25" i="1"/>
  <c r="H26" i="1"/>
  <c r="I26" i="1"/>
  <c r="I27" i="1"/>
  <c r="J27" i="1"/>
  <c r="I28" i="1"/>
  <c r="H29" i="1"/>
  <c r="I29" i="1"/>
  <c r="J29" i="1"/>
  <c r="H30" i="1"/>
  <c r="I30" i="1"/>
  <c r="J30" i="1"/>
  <c r="I31" i="1"/>
  <c r="J31" i="1"/>
  <c r="I32" i="1"/>
  <c r="H33" i="1"/>
  <c r="I33" i="1"/>
  <c r="H34" i="1"/>
  <c r="I35" i="1"/>
  <c r="J35" i="1"/>
  <c r="H36" i="1"/>
  <c r="J36" i="1"/>
  <c r="H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H43" i="1"/>
  <c r="I43" i="1"/>
  <c r="J43" i="1"/>
  <c r="H44" i="1"/>
  <c r="I44" i="1"/>
  <c r="H45" i="1"/>
  <c r="I45" i="1"/>
  <c r="J45" i="1"/>
  <c r="H46" i="1"/>
  <c r="I46" i="1"/>
  <c r="H47" i="1"/>
  <c r="I47" i="1"/>
  <c r="J47" i="1"/>
  <c r="H48" i="1"/>
  <c r="I48" i="1"/>
  <c r="J48" i="1"/>
  <c r="J49" i="1"/>
  <c r="H50" i="1"/>
  <c r="I50" i="1"/>
  <c r="J50" i="1"/>
  <c r="I51" i="1"/>
  <c r="J51" i="1"/>
  <c r="H52" i="1"/>
  <c r="I52" i="1"/>
  <c r="J52" i="1"/>
  <c r="H53" i="1"/>
  <c r="I53" i="1"/>
  <c r="J53" i="1"/>
  <c r="J54" i="1"/>
  <c r="H55" i="1"/>
  <c r="J55" i="1"/>
  <c r="J56" i="1"/>
  <c r="I57" i="1"/>
  <c r="I58" i="1"/>
  <c r="J58" i="1"/>
  <c r="I59" i="1"/>
  <c r="J59" i="1"/>
  <c r="H60" i="1"/>
  <c r="I60" i="1"/>
  <c r="J60" i="1"/>
  <c r="H61" i="1"/>
  <c r="J61" i="1"/>
  <c r="H62" i="1"/>
  <c r="I62" i="1"/>
  <c r="J62" i="1"/>
  <c r="H63" i="1"/>
  <c r="I63" i="1"/>
  <c r="J63" i="1"/>
  <c r="H64" i="1"/>
  <c r="I64" i="1"/>
  <c r="J64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I70" i="1"/>
  <c r="J70" i="1"/>
  <c r="H71" i="1"/>
  <c r="I71" i="1"/>
  <c r="I72" i="1"/>
  <c r="J72" i="1"/>
  <c r="H73" i="1"/>
  <c r="I73" i="1"/>
  <c r="J73" i="1"/>
  <c r="I74" i="1"/>
  <c r="J74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I80" i="1"/>
  <c r="J80" i="1"/>
  <c r="H81" i="1"/>
  <c r="I81" i="1"/>
  <c r="J81" i="1"/>
  <c r="H82" i="1"/>
  <c r="I82" i="1"/>
  <c r="J82" i="1"/>
  <c r="I83" i="1"/>
  <c r="J83" i="1"/>
  <c r="H84" i="1"/>
  <c r="I84" i="1"/>
  <c r="J84" i="1"/>
  <c r="H85" i="1"/>
  <c r="I85" i="1"/>
  <c r="J85" i="1"/>
  <c r="I86" i="1"/>
  <c r="J86" i="1"/>
  <c r="I87" i="1"/>
  <c r="J87" i="1"/>
  <c r="H88" i="1"/>
  <c r="I88" i="1"/>
  <c r="J88" i="1"/>
  <c r="H89" i="1"/>
  <c r="I89" i="1"/>
  <c r="J89" i="1"/>
  <c r="H90" i="1"/>
  <c r="I90" i="1"/>
  <c r="J90" i="1"/>
  <c r="H91" i="1"/>
  <c r="I91" i="1"/>
  <c r="J91" i="1"/>
  <c r="H92" i="1"/>
  <c r="J92" i="1"/>
  <c r="H93" i="1"/>
  <c r="I93" i="1"/>
  <c r="J93" i="1"/>
  <c r="H94" i="1"/>
  <c r="J94" i="1"/>
  <c r="I95" i="1"/>
  <c r="J95" i="1"/>
  <c r="H96" i="1"/>
  <c r="I96" i="1"/>
  <c r="J96" i="1"/>
  <c r="I97" i="1"/>
  <c r="J97" i="1"/>
  <c r="H98" i="1"/>
  <c r="I98" i="1"/>
  <c r="J98" i="1"/>
  <c r="H99" i="1"/>
  <c r="I99" i="1"/>
  <c r="J99" i="1"/>
  <c r="H100" i="1"/>
  <c r="I100" i="1"/>
  <c r="H101" i="1"/>
  <c r="I101" i="1"/>
  <c r="J101" i="1"/>
  <c r="H102" i="1"/>
  <c r="I102" i="1"/>
  <c r="J102" i="1"/>
  <c r="H103" i="1"/>
  <c r="I103" i="1"/>
  <c r="H104" i="1"/>
  <c r="I104" i="1"/>
  <c r="J104" i="1"/>
  <c r="I105" i="1"/>
  <c r="J105" i="1"/>
  <c r="H106" i="1"/>
  <c r="I106" i="1"/>
  <c r="J106" i="1"/>
  <c r="I107" i="1"/>
  <c r="J107" i="1"/>
  <c r="H108" i="1"/>
  <c r="I108" i="1"/>
  <c r="J108" i="1"/>
  <c r="I109" i="1"/>
  <c r="J109" i="1"/>
  <c r="J2" i="1"/>
  <c r="I2" i="1"/>
  <c r="H2" i="1"/>
  <c r="G2" i="1"/>
  <c r="G3" i="1"/>
  <c r="G4" i="1"/>
  <c r="G5" i="1"/>
  <c r="G6" i="1"/>
  <c r="G7" i="1"/>
  <c r="G9" i="1"/>
  <c r="G10" i="1"/>
  <c r="G12" i="1"/>
  <c r="G13" i="1"/>
  <c r="G14" i="1"/>
  <c r="G15" i="1"/>
  <c r="G16" i="1"/>
  <c r="G17" i="1"/>
  <c r="G19" i="1"/>
  <c r="G20" i="1"/>
  <c r="G21" i="1"/>
  <c r="G22" i="1"/>
  <c r="G25" i="1"/>
  <c r="G26" i="1"/>
  <c r="G27" i="1"/>
  <c r="G28" i="1"/>
  <c r="G29" i="1"/>
  <c r="G30" i="1"/>
  <c r="G32" i="1"/>
  <c r="G33" i="1"/>
  <c r="G35" i="1"/>
  <c r="G36" i="1"/>
  <c r="G37" i="1"/>
  <c r="G38" i="1"/>
  <c r="G39" i="1"/>
  <c r="G41" i="1"/>
  <c r="G43" i="1"/>
  <c r="G44" i="1"/>
  <c r="G45" i="1"/>
  <c r="G48" i="1"/>
  <c r="G50" i="1"/>
  <c r="G51" i="1"/>
  <c r="G52" i="1"/>
  <c r="G53" i="1"/>
  <c r="G54" i="1"/>
  <c r="G56" i="1"/>
  <c r="G57" i="1"/>
  <c r="G58" i="1"/>
  <c r="G59" i="1"/>
  <c r="G60" i="1"/>
  <c r="G61" i="1"/>
  <c r="G62" i="1"/>
  <c r="G63" i="1"/>
  <c r="G64" i="1"/>
  <c r="G65" i="1"/>
  <c r="G66" i="1"/>
  <c r="G67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9" i="1"/>
  <c r="G90" i="1"/>
  <c r="G91" i="1"/>
  <c r="G92" i="1"/>
  <c r="G93" i="1"/>
  <c r="G94" i="1"/>
  <c r="G95" i="1"/>
  <c r="G96" i="1"/>
  <c r="G97" i="1"/>
  <c r="G98" i="1"/>
  <c r="G99" i="1"/>
  <c r="G100" i="1"/>
  <c r="G102" i="1"/>
  <c r="G104" i="1"/>
  <c r="G105" i="1"/>
  <c r="G106" i="1"/>
  <c r="G107" i="1"/>
  <c r="G108" i="1"/>
  <c r="G109" i="1"/>
</calcChain>
</file>

<file path=xl/sharedStrings.xml><?xml version="1.0" encoding="utf-8"?>
<sst xmlns="http://schemas.openxmlformats.org/spreadsheetml/2006/main" count="414" uniqueCount="207">
  <si>
    <t>e_coli_core</t>
  </si>
  <si>
    <t>Escherichia coli str. K-12 substr. MG1655</t>
  </si>
  <si>
    <t>iAB_RBC_283</t>
  </si>
  <si>
    <t>Homo sapiens</t>
  </si>
  <si>
    <t>iAF1260</t>
  </si>
  <si>
    <t>iAF1260b</t>
  </si>
  <si>
    <t>iAF692</t>
  </si>
  <si>
    <t>Methanosarcina barkeri str. Fusaro</t>
  </si>
  <si>
    <t>iAF987</t>
  </si>
  <si>
    <t>Geobacter metallireducens GS-15</t>
  </si>
  <si>
    <t>iAM_Pb448</t>
  </si>
  <si>
    <t>Plasmodium berghei</t>
  </si>
  <si>
    <t>iAM_Pc455</t>
  </si>
  <si>
    <t>Plasmodium cynomolgi strain B</t>
  </si>
  <si>
    <t>iAM_Pf480</t>
  </si>
  <si>
    <t>Plasmodium falciparum 3D7</t>
  </si>
  <si>
    <t>iAM_Pk459</t>
  </si>
  <si>
    <t>Plasmodium knowlesi strain H</t>
  </si>
  <si>
    <t>iAM_Pv461</t>
  </si>
  <si>
    <t>Plasmodium vivax Sal-1</t>
  </si>
  <si>
    <t>iAPECO1_1312</t>
  </si>
  <si>
    <t>Escherichia coli APEC O1</t>
  </si>
  <si>
    <t>iAT_PLT_636</t>
  </si>
  <si>
    <t>iB21_1397</t>
  </si>
  <si>
    <t>Escherichia coli BL21(DE3)</t>
  </si>
  <si>
    <t>iBWG_1329</t>
  </si>
  <si>
    <t>Escherichia coli BW2952</t>
  </si>
  <si>
    <t>ic_1306</t>
  </si>
  <si>
    <t>Escherichia coli CFT073</t>
  </si>
  <si>
    <t>iCHOv1</t>
  </si>
  <si>
    <t>Cricetulus griseus</t>
  </si>
  <si>
    <t>iCHOv1_DG44</t>
  </si>
  <si>
    <t>iCN718</t>
  </si>
  <si>
    <t>Acinetobacter baumannii AYE</t>
  </si>
  <si>
    <t>iCN900</t>
  </si>
  <si>
    <t>Clostridioides difficile 630</t>
  </si>
  <si>
    <t>iE2348C_1286</t>
  </si>
  <si>
    <t>Escherichia coli O127:H6 str. E2348/69</t>
  </si>
  <si>
    <t>iEC042_1314</t>
  </si>
  <si>
    <t>Escherichia coli 042</t>
  </si>
  <si>
    <t>iEC1344_C</t>
  </si>
  <si>
    <t>Escherichia coli C</t>
  </si>
  <si>
    <t>iEC1349_Crooks</t>
  </si>
  <si>
    <t>Escherichia coli ATCC 8739</t>
  </si>
  <si>
    <t>iEC1356_Bl21DE3</t>
  </si>
  <si>
    <t>iEC1364_W</t>
  </si>
  <si>
    <t>Escherichia coli W</t>
  </si>
  <si>
    <t>iEC1368_DH5a</t>
  </si>
  <si>
    <t>Escherichia coli DH5[alpha]</t>
  </si>
  <si>
    <t>iEC1372_W3110</t>
  </si>
  <si>
    <t>Escherichia coli str. K-12 substr. W3110</t>
  </si>
  <si>
    <t>iEC55989_1330</t>
  </si>
  <si>
    <t>Escherichia coli 55989</t>
  </si>
  <si>
    <t>iECABU_c1320</t>
  </si>
  <si>
    <t>Escherichia coli ABU 83972</t>
  </si>
  <si>
    <t>iECB_1328</t>
  </si>
  <si>
    <t>Escherichia coli B str. REL606</t>
  </si>
  <si>
    <t>iECBD_1354</t>
  </si>
  <si>
    <t>Escherichia coli 'BL21-Gold(DE3)pLysS AG'</t>
  </si>
  <si>
    <t>iECD_1391</t>
  </si>
  <si>
    <t>iECDH10B_1368</t>
  </si>
  <si>
    <t>Escherichia coli str. K-12 substr. DH10B</t>
  </si>
  <si>
    <t>iEcDH1_1363</t>
  </si>
  <si>
    <t>Escherichia coli DH1</t>
  </si>
  <si>
    <t>iECDH1ME8569_1439</t>
  </si>
  <si>
    <t>iEcE24377_1341</t>
  </si>
  <si>
    <t>Escherichia coli O139:H28 str. E24377A</t>
  </si>
  <si>
    <t>iECED1_1282</t>
  </si>
  <si>
    <t>Escherichia coli ED1a</t>
  </si>
  <si>
    <t>iECH74115_1262</t>
  </si>
  <si>
    <t>Escherichia coli O157:H7 str. EC4115</t>
  </si>
  <si>
    <t>iEcHS_1320</t>
  </si>
  <si>
    <t>Escherichia coli HS</t>
  </si>
  <si>
    <t>iECIAI1_1343</t>
  </si>
  <si>
    <t>Escherichia coli IAI1</t>
  </si>
  <si>
    <t>iECIAI39_1322</t>
  </si>
  <si>
    <t>Escherichia coli IAI39</t>
  </si>
  <si>
    <t>iECNA114_1301</t>
  </si>
  <si>
    <t>Escherichia coli NA114</t>
  </si>
  <si>
    <t>iECO103_1326</t>
  </si>
  <si>
    <t>Escherichia coli O103:H2 str. 12009</t>
  </si>
  <si>
    <t>iECO111_1330</t>
  </si>
  <si>
    <t>Escherichia coli O111:H- str. 11128</t>
  </si>
  <si>
    <t>iECO26_1355</t>
  </si>
  <si>
    <t>Escherichia coli O26:H11 str. 11368</t>
  </si>
  <si>
    <t>iECOK1_1307</t>
  </si>
  <si>
    <t>Escherichia coli IHE3034</t>
  </si>
  <si>
    <t>iEcolC_1368</t>
  </si>
  <si>
    <t>iECP_1309</t>
  </si>
  <si>
    <t>Escherichia coli 536</t>
  </si>
  <si>
    <t>iECs_1301</t>
  </si>
  <si>
    <t>Escherichia coli O157:H7 str. Sakai</t>
  </si>
  <si>
    <t>iECS88_1305</t>
  </si>
  <si>
    <t>Escherichia coli S88</t>
  </si>
  <si>
    <t>iECSE_1348</t>
  </si>
  <si>
    <t>Escherichia coli SE11</t>
  </si>
  <si>
    <t>iECSF_1327</t>
  </si>
  <si>
    <t>Escherichia coli SE15</t>
  </si>
  <si>
    <t>iEcSMS35_1347</t>
  </si>
  <si>
    <t>Escherichia coli SMS-3-5</t>
  </si>
  <si>
    <t>iECSP_1301</t>
  </si>
  <si>
    <t>Escherichia coli O157:H7 str. TW14359</t>
  </si>
  <si>
    <t>iECUMN_1333</t>
  </si>
  <si>
    <t>Escherichia coli UMN026</t>
  </si>
  <si>
    <t>iECW_1372</t>
  </si>
  <si>
    <t>iEK1008</t>
  </si>
  <si>
    <t>Mycobacterium tuberculosis H37Rv</t>
  </si>
  <si>
    <t>iEKO11_1354</t>
  </si>
  <si>
    <t>Escherichia coli KO11FL</t>
  </si>
  <si>
    <t>iETEC_1333</t>
  </si>
  <si>
    <t>Escherichia coli ETEC H10407</t>
  </si>
  <si>
    <t>iG2583_1286</t>
  </si>
  <si>
    <t>Escherichia coli O55:H7 str. CB9615</t>
  </si>
  <si>
    <t>iHN637</t>
  </si>
  <si>
    <t>Clostridium ljungdahlii DSM 13528</t>
  </si>
  <si>
    <t>iIS312</t>
  </si>
  <si>
    <t>Trypanosoma cruzi Dm28c</t>
  </si>
  <si>
    <t>iIS312_Amastigote</t>
  </si>
  <si>
    <t>iIS312_Epimastigote</t>
  </si>
  <si>
    <t>iIS312_Trypomastigote</t>
  </si>
  <si>
    <t>iIT341</t>
  </si>
  <si>
    <t>Helicobacter pylori 26695</t>
  </si>
  <si>
    <t>iJB785</t>
  </si>
  <si>
    <t>Synechococcus elongatus PCC 7942</t>
  </si>
  <si>
    <t>iJN1463</t>
  </si>
  <si>
    <t>Pseudomonas putida KT2440</t>
  </si>
  <si>
    <t>iJN678</t>
  </si>
  <si>
    <t>Synechocystis sp. PCC 6803</t>
  </si>
  <si>
    <t>iJN746</t>
  </si>
  <si>
    <t>iJO1366</t>
  </si>
  <si>
    <t>iJR904</t>
  </si>
  <si>
    <t>iLB1027_lipid</t>
  </si>
  <si>
    <t>Phaeodactylum tricornutum CCAP 1055/1</t>
  </si>
  <si>
    <t>iLF82_1304</t>
  </si>
  <si>
    <t>Escherichia coli LF82</t>
  </si>
  <si>
    <t>iLJ478</t>
  </si>
  <si>
    <t>Thermotoga maritima MSB8</t>
  </si>
  <si>
    <t>iML1515</t>
  </si>
  <si>
    <t>iMM1415</t>
  </si>
  <si>
    <t>Mus musculus</t>
  </si>
  <si>
    <t>iMM904</t>
  </si>
  <si>
    <t>Saccharomyces cerevisiae S288C</t>
  </si>
  <si>
    <t>iND750</t>
  </si>
  <si>
    <t>iNF517</t>
  </si>
  <si>
    <t>Lactococcus lactis subsp. cremoris MG1363</t>
  </si>
  <si>
    <t>iNJ661</t>
  </si>
  <si>
    <t>iNRG857_1313</t>
  </si>
  <si>
    <t>Escherichia coli O83:H1 str. NRG 857C</t>
  </si>
  <si>
    <t>iPC815</t>
  </si>
  <si>
    <t>Yersinia pestis CO92</t>
  </si>
  <si>
    <t>iRC1080</t>
  </si>
  <si>
    <t>Chlamydomonas reinhardtii</t>
  </si>
  <si>
    <t>iS_1188</t>
  </si>
  <si>
    <t>Shigella flexneri 2a str. 2457T</t>
  </si>
  <si>
    <t>iSB619</t>
  </si>
  <si>
    <t>Staphylococcus aureus subsp. aureus N315</t>
  </si>
  <si>
    <t>iSbBS512_1146</t>
  </si>
  <si>
    <t>Shigella boydii CDC 3083-94</t>
  </si>
  <si>
    <t>iSBO_1134</t>
  </si>
  <si>
    <t>Shigella boydii Sb227</t>
  </si>
  <si>
    <t>iSDY_1059</t>
  </si>
  <si>
    <t>Shigella dysenteriae Sd197</t>
  </si>
  <si>
    <t>iSF_1195</t>
  </si>
  <si>
    <t>Shigella flexneri 2a str. 301</t>
  </si>
  <si>
    <t>iSFV_1184</t>
  </si>
  <si>
    <t>Shigella flexneri 5 str. 8401</t>
  </si>
  <si>
    <t>iSFxv_1172</t>
  </si>
  <si>
    <t>Shigella flexneri 2002017</t>
  </si>
  <si>
    <t>iSSON_1240</t>
  </si>
  <si>
    <t>Shigella sonnei Ss046</t>
  </si>
  <si>
    <t>iSynCJ816</t>
  </si>
  <si>
    <t>iUMN146_1321</t>
  </si>
  <si>
    <t>Escherichia coli UM146</t>
  </si>
  <si>
    <t>iUMNK88_1353</t>
  </si>
  <si>
    <t>Escherichia coli UMNK88</t>
  </si>
  <si>
    <t>iUTI89_1310</t>
  </si>
  <si>
    <t>Escherichia coli UTI89</t>
  </si>
  <si>
    <t>iWFL_1372</t>
  </si>
  <si>
    <t>iY75_1357</t>
  </si>
  <si>
    <t>iYL1228</t>
  </si>
  <si>
    <t>Klebsiella pneumoniae subsp. pneumoniae MGH 78578</t>
  </si>
  <si>
    <t>iYO844</t>
  </si>
  <si>
    <t>Bacillus subtilis subsp. subtilis str. 168</t>
  </si>
  <si>
    <t>iYS1720</t>
  </si>
  <si>
    <t>Salmonella pan-reactome</t>
  </si>
  <si>
    <t>iYS854</t>
  </si>
  <si>
    <t>Staphylococcus aureus subsp. aureus USA300_TCH1516</t>
  </si>
  <si>
    <t>iZ_1308</t>
  </si>
  <si>
    <t>Escherichia coli O157:H7 str. EDL933</t>
  </si>
  <si>
    <t>RECON1</t>
  </si>
  <si>
    <t>Recon3D</t>
  </si>
  <si>
    <t>STM_v1_0</t>
  </si>
  <si>
    <t>Salmonella enterica subsp. enterica serovar Typhimurium str. LT2</t>
  </si>
  <si>
    <t>Model Name</t>
  </si>
  <si>
    <t>Organism</t>
  </si>
  <si>
    <t>Number of Metabolites</t>
  </si>
  <si>
    <t>Number of Reactions</t>
  </si>
  <si>
    <t>Number of Genes</t>
  </si>
  <si>
    <t>Source</t>
  </si>
  <si>
    <t>BiGG</t>
  </si>
  <si>
    <t>Norsigian et al. 2020. BiGG Models 2020: multi-strain genome-scale models and expansion across the phylogenetic tree. Nucleic Acids Research 48(D1):D402–D406. https://doi.org/10.1093/nar/gkz1054</t>
  </si>
  <si>
    <t>Reference</t>
  </si>
  <si>
    <t>GSM File (in GSM folder)</t>
  </si>
  <si>
    <t>ASM File (in asm folder)</t>
  </si>
  <si>
    <t>ODE Script File (in odescripts folder)</t>
  </si>
  <si>
    <t>ODE Script File (in GSM-odescripts folder)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</si>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</sst>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4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1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bigg.ucsd.edu/models/iECABU_c1320" TargetMode="External"/><Relationship Id="rId299" Type="http://schemas.openxmlformats.org/officeDocument/2006/relationships/hyperlink" Target="http://bigg.ucsd.edu/models/iLF82_1304/reactions" TargetMode="External"/><Relationship Id="rId21" Type="http://schemas.openxmlformats.org/officeDocument/2006/relationships/hyperlink" Target="http://bigg.ucsd.edu/models/iAF987" TargetMode="External"/><Relationship Id="rId63" Type="http://schemas.openxmlformats.org/officeDocument/2006/relationships/hyperlink" Target="http://bigg.ucsd.edu/models/ic_1306/reactions" TargetMode="External"/><Relationship Id="rId159" Type="http://schemas.openxmlformats.org/officeDocument/2006/relationships/hyperlink" Target="http://bigg.ucsd.edu/models/iEcHS_1320/reactions" TargetMode="External"/><Relationship Id="rId324" Type="http://schemas.openxmlformats.org/officeDocument/2006/relationships/hyperlink" Target="http://bigg.ucsd.edu/models/iNF517/genes" TargetMode="External"/><Relationship Id="rId366" Type="http://schemas.openxmlformats.org/officeDocument/2006/relationships/hyperlink" Target="http://bigg.ucsd.edu/models/iSFV_1184/metabolites" TargetMode="External"/><Relationship Id="rId170" Type="http://schemas.openxmlformats.org/officeDocument/2006/relationships/hyperlink" Target="http://bigg.ucsd.edu/models/iECNA114_1301/metabolites" TargetMode="External"/><Relationship Id="rId226" Type="http://schemas.openxmlformats.org/officeDocument/2006/relationships/hyperlink" Target="http://bigg.ucsd.edu/models/iECW_1372/metabolites" TargetMode="External"/><Relationship Id="rId268" Type="http://schemas.openxmlformats.org/officeDocument/2006/relationships/hyperlink" Target="http://bigg.ucsd.edu/models/iIT341/genes" TargetMode="External"/><Relationship Id="rId32" Type="http://schemas.openxmlformats.org/officeDocument/2006/relationships/hyperlink" Target="http://bigg.ucsd.edu/models/iAM_Pc455/genes" TargetMode="External"/><Relationship Id="rId74" Type="http://schemas.openxmlformats.org/officeDocument/2006/relationships/hyperlink" Target="http://bigg.ucsd.edu/models/iCN718/metabolites" TargetMode="External"/><Relationship Id="rId128" Type="http://schemas.openxmlformats.org/officeDocument/2006/relationships/hyperlink" Target="http://bigg.ucsd.edu/models/iECBD_1354/genes" TargetMode="External"/><Relationship Id="rId335" Type="http://schemas.openxmlformats.org/officeDocument/2006/relationships/hyperlink" Target="http://bigg.ucsd.edu/models/iPC815/reactions" TargetMode="External"/><Relationship Id="rId377" Type="http://schemas.openxmlformats.org/officeDocument/2006/relationships/hyperlink" Target="http://bigg.ucsd.edu/models/iSynCJ816" TargetMode="External"/><Relationship Id="rId5" Type="http://schemas.openxmlformats.org/officeDocument/2006/relationships/hyperlink" Target="http://bigg.ucsd.edu/models/iAB_RBC_283" TargetMode="External"/><Relationship Id="rId181" Type="http://schemas.openxmlformats.org/officeDocument/2006/relationships/hyperlink" Target="http://bigg.ucsd.edu/models/iECO26_1355" TargetMode="External"/><Relationship Id="rId237" Type="http://schemas.openxmlformats.org/officeDocument/2006/relationships/hyperlink" Target="http://bigg.ucsd.edu/models/iETEC_1333" TargetMode="External"/><Relationship Id="rId402" Type="http://schemas.openxmlformats.org/officeDocument/2006/relationships/hyperlink" Target="http://bigg.ucsd.edu/models/iYL1228/metabolites" TargetMode="External"/><Relationship Id="rId279" Type="http://schemas.openxmlformats.org/officeDocument/2006/relationships/hyperlink" Target="http://bigg.ucsd.edu/models/iJN678/reactions" TargetMode="External"/><Relationship Id="rId43" Type="http://schemas.openxmlformats.org/officeDocument/2006/relationships/hyperlink" Target="http://bigg.ucsd.edu/models/iAM_Pv461/reactions" TargetMode="External"/><Relationship Id="rId139" Type="http://schemas.openxmlformats.org/officeDocument/2006/relationships/hyperlink" Target="http://bigg.ucsd.edu/models/iEcDH1_1363/reactions" TargetMode="External"/><Relationship Id="rId290" Type="http://schemas.openxmlformats.org/officeDocument/2006/relationships/hyperlink" Target="http://bigg.ucsd.edu/models/iJR904/metabolites" TargetMode="External"/><Relationship Id="rId304" Type="http://schemas.openxmlformats.org/officeDocument/2006/relationships/hyperlink" Target="http://bigg.ucsd.edu/models/iLJ478/genes" TargetMode="External"/><Relationship Id="rId346" Type="http://schemas.openxmlformats.org/officeDocument/2006/relationships/hyperlink" Target="http://bigg.ucsd.edu/models/iSB619/metabolites" TargetMode="External"/><Relationship Id="rId388" Type="http://schemas.openxmlformats.org/officeDocument/2006/relationships/hyperlink" Target="http://bigg.ucsd.edu/models/iUMNK88_1353/genes" TargetMode="External"/><Relationship Id="rId85" Type="http://schemas.openxmlformats.org/officeDocument/2006/relationships/hyperlink" Target="http://bigg.ucsd.edu/models/iEC042_1314" TargetMode="External"/><Relationship Id="rId150" Type="http://schemas.openxmlformats.org/officeDocument/2006/relationships/hyperlink" Target="http://bigg.ucsd.edu/models/iECED1_1282/metabolites" TargetMode="External"/><Relationship Id="rId192" Type="http://schemas.openxmlformats.org/officeDocument/2006/relationships/hyperlink" Target="http://bigg.ucsd.edu/models/iEcolC_1368/genes" TargetMode="External"/><Relationship Id="rId206" Type="http://schemas.openxmlformats.org/officeDocument/2006/relationships/hyperlink" Target="http://bigg.ucsd.edu/models/iECSE_1348/metabolites" TargetMode="External"/><Relationship Id="rId413" Type="http://schemas.openxmlformats.org/officeDocument/2006/relationships/hyperlink" Target="http://bigg.ucsd.edu/models/iYS854" TargetMode="External"/><Relationship Id="rId248" Type="http://schemas.openxmlformats.org/officeDocument/2006/relationships/hyperlink" Target="http://bigg.ucsd.edu/models/iHN637/genes" TargetMode="External"/><Relationship Id="rId12" Type="http://schemas.openxmlformats.org/officeDocument/2006/relationships/hyperlink" Target="http://bigg.ucsd.edu/models/iAF1260/genes" TargetMode="External"/><Relationship Id="rId108" Type="http://schemas.openxmlformats.org/officeDocument/2006/relationships/hyperlink" Target="http://bigg.ucsd.edu/models/iEC1368_DH5a/genes" TargetMode="External"/><Relationship Id="rId315" Type="http://schemas.openxmlformats.org/officeDocument/2006/relationships/hyperlink" Target="http://bigg.ucsd.edu/models/iMM904/reactions" TargetMode="External"/><Relationship Id="rId357" Type="http://schemas.openxmlformats.org/officeDocument/2006/relationships/hyperlink" Target="http://bigg.ucsd.edu/models/iSDY_1059" TargetMode="External"/><Relationship Id="rId54" Type="http://schemas.openxmlformats.org/officeDocument/2006/relationships/hyperlink" Target="http://bigg.ucsd.edu/models/iB21_1397/metabolites" TargetMode="External"/><Relationship Id="rId96" Type="http://schemas.openxmlformats.org/officeDocument/2006/relationships/hyperlink" Target="http://bigg.ucsd.edu/models/iEC1349_Crooks/genes" TargetMode="External"/><Relationship Id="rId161" Type="http://schemas.openxmlformats.org/officeDocument/2006/relationships/hyperlink" Target="http://bigg.ucsd.edu/models/iECIAI1_1343" TargetMode="External"/><Relationship Id="rId217" Type="http://schemas.openxmlformats.org/officeDocument/2006/relationships/hyperlink" Target="http://bigg.ucsd.edu/models/iECSP_1301" TargetMode="External"/><Relationship Id="rId399" Type="http://schemas.openxmlformats.org/officeDocument/2006/relationships/hyperlink" Target="http://bigg.ucsd.edu/models/iY75_1357/reactions" TargetMode="External"/><Relationship Id="rId259" Type="http://schemas.openxmlformats.org/officeDocument/2006/relationships/hyperlink" Target="http://bigg.ucsd.edu/models/iIS312_Epimastigote/reactions" TargetMode="External"/><Relationship Id="rId424" Type="http://schemas.openxmlformats.org/officeDocument/2006/relationships/hyperlink" Target="http://bigg.ucsd.edu/models/RECON1/genes" TargetMode="External"/><Relationship Id="rId23" Type="http://schemas.openxmlformats.org/officeDocument/2006/relationships/hyperlink" Target="http://bigg.ucsd.edu/models/iAF987/reactions" TargetMode="External"/><Relationship Id="rId119" Type="http://schemas.openxmlformats.org/officeDocument/2006/relationships/hyperlink" Target="http://bigg.ucsd.edu/models/iECABU_c1320/reactions" TargetMode="External"/><Relationship Id="rId270" Type="http://schemas.openxmlformats.org/officeDocument/2006/relationships/hyperlink" Target="http://bigg.ucsd.edu/models/iJB785/metabolites" TargetMode="External"/><Relationship Id="rId326" Type="http://schemas.openxmlformats.org/officeDocument/2006/relationships/hyperlink" Target="http://bigg.ucsd.edu/models/iNJ661/metabolites" TargetMode="External"/><Relationship Id="rId65" Type="http://schemas.openxmlformats.org/officeDocument/2006/relationships/hyperlink" Target="http://bigg.ucsd.edu/models/iCHOv1" TargetMode="External"/><Relationship Id="rId130" Type="http://schemas.openxmlformats.org/officeDocument/2006/relationships/hyperlink" Target="http://bigg.ucsd.edu/models/iECD_1391/metabolites" TargetMode="External"/><Relationship Id="rId368" Type="http://schemas.openxmlformats.org/officeDocument/2006/relationships/hyperlink" Target="http://bigg.ucsd.edu/models/iSFV_1184/genes" TargetMode="External"/><Relationship Id="rId172" Type="http://schemas.openxmlformats.org/officeDocument/2006/relationships/hyperlink" Target="http://bigg.ucsd.edu/models/iECNA114_1301/genes" TargetMode="External"/><Relationship Id="rId228" Type="http://schemas.openxmlformats.org/officeDocument/2006/relationships/hyperlink" Target="http://bigg.ucsd.edu/models/iECW_1372/genes" TargetMode="External"/><Relationship Id="rId281" Type="http://schemas.openxmlformats.org/officeDocument/2006/relationships/hyperlink" Target="http://bigg.ucsd.edu/models/iJN746" TargetMode="External"/><Relationship Id="rId337" Type="http://schemas.openxmlformats.org/officeDocument/2006/relationships/hyperlink" Target="http://bigg.ucsd.edu/models/iRC1080" TargetMode="External"/><Relationship Id="rId34" Type="http://schemas.openxmlformats.org/officeDocument/2006/relationships/hyperlink" Target="http://bigg.ucsd.edu/models/iAM_Pf480/metabolites" TargetMode="External"/><Relationship Id="rId76" Type="http://schemas.openxmlformats.org/officeDocument/2006/relationships/hyperlink" Target="http://bigg.ucsd.edu/models/iCN718/genes" TargetMode="External"/><Relationship Id="rId141" Type="http://schemas.openxmlformats.org/officeDocument/2006/relationships/hyperlink" Target="http://bigg.ucsd.edu/models/iECDH1ME8569_1439" TargetMode="External"/><Relationship Id="rId379" Type="http://schemas.openxmlformats.org/officeDocument/2006/relationships/hyperlink" Target="http://bigg.ucsd.edu/models/iSynCJ816/reactions" TargetMode="External"/><Relationship Id="rId7" Type="http://schemas.openxmlformats.org/officeDocument/2006/relationships/hyperlink" Target="http://bigg.ucsd.edu/models/iAB_RBC_283/reactions" TargetMode="External"/><Relationship Id="rId183" Type="http://schemas.openxmlformats.org/officeDocument/2006/relationships/hyperlink" Target="http://bigg.ucsd.edu/models/iECO26_1355/reactions" TargetMode="External"/><Relationship Id="rId239" Type="http://schemas.openxmlformats.org/officeDocument/2006/relationships/hyperlink" Target="http://bigg.ucsd.edu/models/iETEC_1333/reactions" TargetMode="External"/><Relationship Id="rId390" Type="http://schemas.openxmlformats.org/officeDocument/2006/relationships/hyperlink" Target="http://bigg.ucsd.edu/models/iUTI89_1310/metabolites" TargetMode="External"/><Relationship Id="rId404" Type="http://schemas.openxmlformats.org/officeDocument/2006/relationships/hyperlink" Target="http://bigg.ucsd.edu/models/iYL1228/genes" TargetMode="External"/><Relationship Id="rId250" Type="http://schemas.openxmlformats.org/officeDocument/2006/relationships/hyperlink" Target="http://bigg.ucsd.edu/models/iIS312/metabolites" TargetMode="External"/><Relationship Id="rId292" Type="http://schemas.openxmlformats.org/officeDocument/2006/relationships/hyperlink" Target="http://bigg.ucsd.edu/models/iJR904/genes" TargetMode="External"/><Relationship Id="rId306" Type="http://schemas.openxmlformats.org/officeDocument/2006/relationships/hyperlink" Target="http://bigg.ucsd.edu/models/iML1515/metabolites" TargetMode="External"/><Relationship Id="rId45" Type="http://schemas.openxmlformats.org/officeDocument/2006/relationships/hyperlink" Target="http://bigg.ucsd.edu/models/iAPECO1_1312" TargetMode="External"/><Relationship Id="rId87" Type="http://schemas.openxmlformats.org/officeDocument/2006/relationships/hyperlink" Target="http://bigg.ucsd.edu/models/iEC042_1314/reactions" TargetMode="External"/><Relationship Id="rId110" Type="http://schemas.openxmlformats.org/officeDocument/2006/relationships/hyperlink" Target="http://bigg.ucsd.edu/models/iEC1372_W3110/metabolites" TargetMode="External"/><Relationship Id="rId348" Type="http://schemas.openxmlformats.org/officeDocument/2006/relationships/hyperlink" Target="http://bigg.ucsd.edu/models/iSB619/genes" TargetMode="External"/><Relationship Id="rId152" Type="http://schemas.openxmlformats.org/officeDocument/2006/relationships/hyperlink" Target="http://bigg.ucsd.edu/models/iECED1_1282/genes" TargetMode="External"/><Relationship Id="rId194" Type="http://schemas.openxmlformats.org/officeDocument/2006/relationships/hyperlink" Target="http://bigg.ucsd.edu/models/iECP_1309/metabolites" TargetMode="External"/><Relationship Id="rId208" Type="http://schemas.openxmlformats.org/officeDocument/2006/relationships/hyperlink" Target="http://bigg.ucsd.edu/models/iECSE_1348/genes" TargetMode="External"/><Relationship Id="rId415" Type="http://schemas.openxmlformats.org/officeDocument/2006/relationships/hyperlink" Target="http://bigg.ucsd.edu/models/iYS854/reactions" TargetMode="External"/><Relationship Id="rId261" Type="http://schemas.openxmlformats.org/officeDocument/2006/relationships/hyperlink" Target="http://bigg.ucsd.edu/models/iIS312_Trypomastigote" TargetMode="External"/><Relationship Id="rId14" Type="http://schemas.openxmlformats.org/officeDocument/2006/relationships/hyperlink" Target="http://bigg.ucsd.edu/models/iAF1260b/metabolites" TargetMode="External"/><Relationship Id="rId56" Type="http://schemas.openxmlformats.org/officeDocument/2006/relationships/hyperlink" Target="http://bigg.ucsd.edu/models/iB21_1397/genes" TargetMode="External"/><Relationship Id="rId317" Type="http://schemas.openxmlformats.org/officeDocument/2006/relationships/hyperlink" Target="http://bigg.ucsd.edu/models/iND750" TargetMode="External"/><Relationship Id="rId359" Type="http://schemas.openxmlformats.org/officeDocument/2006/relationships/hyperlink" Target="http://bigg.ucsd.edu/models/iSDY_1059/reactions" TargetMode="External"/><Relationship Id="rId98" Type="http://schemas.openxmlformats.org/officeDocument/2006/relationships/hyperlink" Target="http://bigg.ucsd.edu/models/iEC1356_Bl21DE3/metabolites" TargetMode="External"/><Relationship Id="rId121" Type="http://schemas.openxmlformats.org/officeDocument/2006/relationships/hyperlink" Target="http://bigg.ucsd.edu/models/iECB_1328" TargetMode="External"/><Relationship Id="rId163" Type="http://schemas.openxmlformats.org/officeDocument/2006/relationships/hyperlink" Target="http://bigg.ucsd.edu/models/iECIAI1_1343/reactions" TargetMode="External"/><Relationship Id="rId219" Type="http://schemas.openxmlformats.org/officeDocument/2006/relationships/hyperlink" Target="http://bigg.ucsd.edu/models/iECSP_1301/reactions" TargetMode="External"/><Relationship Id="rId370" Type="http://schemas.openxmlformats.org/officeDocument/2006/relationships/hyperlink" Target="http://bigg.ucsd.edu/models/iSFxv_1172/metabolites" TargetMode="External"/><Relationship Id="rId426" Type="http://schemas.openxmlformats.org/officeDocument/2006/relationships/hyperlink" Target="http://bigg.ucsd.edu/models/Recon3D/metabolites" TargetMode="External"/><Relationship Id="rId230" Type="http://schemas.openxmlformats.org/officeDocument/2006/relationships/hyperlink" Target="http://bigg.ucsd.edu/models/iEK1008/metabolites" TargetMode="External"/><Relationship Id="rId25" Type="http://schemas.openxmlformats.org/officeDocument/2006/relationships/hyperlink" Target="http://bigg.ucsd.edu/models/iAM_Pb448" TargetMode="External"/><Relationship Id="rId67" Type="http://schemas.openxmlformats.org/officeDocument/2006/relationships/hyperlink" Target="http://bigg.ucsd.edu/models/iCHOv1/reactions" TargetMode="External"/><Relationship Id="rId272" Type="http://schemas.openxmlformats.org/officeDocument/2006/relationships/hyperlink" Target="http://bigg.ucsd.edu/models/iJB785/genes" TargetMode="External"/><Relationship Id="rId328" Type="http://schemas.openxmlformats.org/officeDocument/2006/relationships/hyperlink" Target="http://bigg.ucsd.edu/models/iNJ661/genes" TargetMode="External"/><Relationship Id="rId132" Type="http://schemas.openxmlformats.org/officeDocument/2006/relationships/hyperlink" Target="http://bigg.ucsd.edu/models/iECD_1391/genes" TargetMode="External"/><Relationship Id="rId174" Type="http://schemas.openxmlformats.org/officeDocument/2006/relationships/hyperlink" Target="http://bigg.ucsd.edu/models/iECO103_1326/metabolites" TargetMode="External"/><Relationship Id="rId381" Type="http://schemas.openxmlformats.org/officeDocument/2006/relationships/hyperlink" Target="http://bigg.ucsd.edu/models/iUMN146_1321" TargetMode="External"/><Relationship Id="rId241" Type="http://schemas.openxmlformats.org/officeDocument/2006/relationships/hyperlink" Target="http://bigg.ucsd.edu/models/iG2583_1286" TargetMode="External"/><Relationship Id="rId36" Type="http://schemas.openxmlformats.org/officeDocument/2006/relationships/hyperlink" Target="http://bigg.ucsd.edu/models/iAM_Pf480/genes" TargetMode="External"/><Relationship Id="rId283" Type="http://schemas.openxmlformats.org/officeDocument/2006/relationships/hyperlink" Target="http://bigg.ucsd.edu/models/iJN746/reactions" TargetMode="External"/><Relationship Id="rId339" Type="http://schemas.openxmlformats.org/officeDocument/2006/relationships/hyperlink" Target="http://bigg.ucsd.edu/models/iRC1080/reactions" TargetMode="External"/><Relationship Id="rId78" Type="http://schemas.openxmlformats.org/officeDocument/2006/relationships/hyperlink" Target="http://bigg.ucsd.edu/models/iCN900/metabolites" TargetMode="External"/><Relationship Id="rId101" Type="http://schemas.openxmlformats.org/officeDocument/2006/relationships/hyperlink" Target="http://bigg.ucsd.edu/models/iEC1364_W" TargetMode="External"/><Relationship Id="rId143" Type="http://schemas.openxmlformats.org/officeDocument/2006/relationships/hyperlink" Target="http://bigg.ucsd.edu/models/iECDH1ME8569_1439/reactions" TargetMode="External"/><Relationship Id="rId185" Type="http://schemas.openxmlformats.org/officeDocument/2006/relationships/hyperlink" Target="http://bigg.ucsd.edu/models/iECOK1_1307" TargetMode="External"/><Relationship Id="rId350" Type="http://schemas.openxmlformats.org/officeDocument/2006/relationships/hyperlink" Target="http://bigg.ucsd.edu/models/iSbBS512_1146/metabolites" TargetMode="External"/><Relationship Id="rId406" Type="http://schemas.openxmlformats.org/officeDocument/2006/relationships/hyperlink" Target="http://bigg.ucsd.edu/models/iYO844/metabolites" TargetMode="External"/><Relationship Id="rId9" Type="http://schemas.openxmlformats.org/officeDocument/2006/relationships/hyperlink" Target="http://bigg.ucsd.edu/models/iAF1260" TargetMode="External"/><Relationship Id="rId210" Type="http://schemas.openxmlformats.org/officeDocument/2006/relationships/hyperlink" Target="http://bigg.ucsd.edu/models/iECSF_1327/metabolites" TargetMode="External"/><Relationship Id="rId392" Type="http://schemas.openxmlformats.org/officeDocument/2006/relationships/hyperlink" Target="http://bigg.ucsd.edu/models/iUTI89_1310/genes" TargetMode="External"/><Relationship Id="rId252" Type="http://schemas.openxmlformats.org/officeDocument/2006/relationships/hyperlink" Target="http://bigg.ucsd.edu/models/iIS312/genes" TargetMode="External"/><Relationship Id="rId294" Type="http://schemas.openxmlformats.org/officeDocument/2006/relationships/hyperlink" Target="http://bigg.ucsd.edu/models/iLB1027_lipid/metabolites" TargetMode="External"/><Relationship Id="rId308" Type="http://schemas.openxmlformats.org/officeDocument/2006/relationships/hyperlink" Target="http://bigg.ucsd.edu/models/iML1515/genes" TargetMode="External"/><Relationship Id="rId47" Type="http://schemas.openxmlformats.org/officeDocument/2006/relationships/hyperlink" Target="http://bigg.ucsd.edu/models/iAPECO1_1312/reactions" TargetMode="External"/><Relationship Id="rId89" Type="http://schemas.openxmlformats.org/officeDocument/2006/relationships/hyperlink" Target="http://bigg.ucsd.edu/models/iEC1344_C" TargetMode="External"/><Relationship Id="rId112" Type="http://schemas.openxmlformats.org/officeDocument/2006/relationships/hyperlink" Target="http://bigg.ucsd.edu/models/iEC1372_W3110/genes" TargetMode="External"/><Relationship Id="rId154" Type="http://schemas.openxmlformats.org/officeDocument/2006/relationships/hyperlink" Target="http://bigg.ucsd.edu/models/iECH74115_1262/metabolites" TargetMode="External"/><Relationship Id="rId361" Type="http://schemas.openxmlformats.org/officeDocument/2006/relationships/hyperlink" Target="http://bigg.ucsd.edu/models/iSF_1195" TargetMode="External"/><Relationship Id="rId196" Type="http://schemas.openxmlformats.org/officeDocument/2006/relationships/hyperlink" Target="http://bigg.ucsd.edu/models/iECP_1309/genes" TargetMode="External"/><Relationship Id="rId417" Type="http://schemas.openxmlformats.org/officeDocument/2006/relationships/hyperlink" Target="http://bigg.ucsd.edu/models/iZ_1308" TargetMode="External"/><Relationship Id="rId16" Type="http://schemas.openxmlformats.org/officeDocument/2006/relationships/hyperlink" Target="http://bigg.ucsd.edu/models/iAF1260b/genes" TargetMode="External"/><Relationship Id="rId221" Type="http://schemas.openxmlformats.org/officeDocument/2006/relationships/hyperlink" Target="http://bigg.ucsd.edu/models/iECUMN_1333" TargetMode="External"/><Relationship Id="rId263" Type="http://schemas.openxmlformats.org/officeDocument/2006/relationships/hyperlink" Target="http://bigg.ucsd.edu/models/iIS312_Trypomastigote/reactions" TargetMode="External"/><Relationship Id="rId319" Type="http://schemas.openxmlformats.org/officeDocument/2006/relationships/hyperlink" Target="http://bigg.ucsd.edu/models/iND750/reactions" TargetMode="External"/><Relationship Id="rId58" Type="http://schemas.openxmlformats.org/officeDocument/2006/relationships/hyperlink" Target="http://bigg.ucsd.edu/models/iBWG_1329/metabolites" TargetMode="External"/><Relationship Id="rId123" Type="http://schemas.openxmlformats.org/officeDocument/2006/relationships/hyperlink" Target="http://bigg.ucsd.edu/models/iECB_1328/reactions" TargetMode="External"/><Relationship Id="rId330" Type="http://schemas.openxmlformats.org/officeDocument/2006/relationships/hyperlink" Target="http://bigg.ucsd.edu/models/iNRG857_1313/metabolites" TargetMode="External"/><Relationship Id="rId165" Type="http://schemas.openxmlformats.org/officeDocument/2006/relationships/hyperlink" Target="http://bigg.ucsd.edu/models/iECIAI39_1322" TargetMode="External"/><Relationship Id="rId372" Type="http://schemas.openxmlformats.org/officeDocument/2006/relationships/hyperlink" Target="http://bigg.ucsd.edu/models/iSFxv_1172/genes" TargetMode="External"/><Relationship Id="rId428" Type="http://schemas.openxmlformats.org/officeDocument/2006/relationships/hyperlink" Target="http://bigg.ucsd.edu/models/Recon3D/genes" TargetMode="External"/><Relationship Id="rId232" Type="http://schemas.openxmlformats.org/officeDocument/2006/relationships/hyperlink" Target="http://bigg.ucsd.edu/models/iEK1008/genes" TargetMode="External"/><Relationship Id="rId274" Type="http://schemas.openxmlformats.org/officeDocument/2006/relationships/hyperlink" Target="http://bigg.ucsd.edu/models/iJN1463/metabolites" TargetMode="External"/><Relationship Id="rId27" Type="http://schemas.openxmlformats.org/officeDocument/2006/relationships/hyperlink" Target="http://bigg.ucsd.edu/models/iAM_Pb448/reactions" TargetMode="External"/><Relationship Id="rId69" Type="http://schemas.openxmlformats.org/officeDocument/2006/relationships/hyperlink" Target="http://bigg.ucsd.edu/models/iCHOv1_DG44" TargetMode="External"/><Relationship Id="rId134" Type="http://schemas.openxmlformats.org/officeDocument/2006/relationships/hyperlink" Target="http://bigg.ucsd.edu/models/iECDH10B_1368/metabolites" TargetMode="External"/><Relationship Id="rId80" Type="http://schemas.openxmlformats.org/officeDocument/2006/relationships/hyperlink" Target="http://bigg.ucsd.edu/models/iCN900/genes" TargetMode="External"/><Relationship Id="rId176" Type="http://schemas.openxmlformats.org/officeDocument/2006/relationships/hyperlink" Target="http://bigg.ucsd.edu/models/iECO103_1326/genes" TargetMode="External"/><Relationship Id="rId341" Type="http://schemas.openxmlformats.org/officeDocument/2006/relationships/hyperlink" Target="http://bigg.ucsd.edu/models/iS_1188" TargetMode="External"/><Relationship Id="rId383" Type="http://schemas.openxmlformats.org/officeDocument/2006/relationships/hyperlink" Target="http://bigg.ucsd.edu/models/iUMN146_1321/reactions" TargetMode="External"/><Relationship Id="rId201" Type="http://schemas.openxmlformats.org/officeDocument/2006/relationships/hyperlink" Target="http://bigg.ucsd.edu/models/iECS88_1305" TargetMode="External"/><Relationship Id="rId243" Type="http://schemas.openxmlformats.org/officeDocument/2006/relationships/hyperlink" Target="http://bigg.ucsd.edu/models/iG2583_1286/reactions" TargetMode="External"/><Relationship Id="rId285" Type="http://schemas.openxmlformats.org/officeDocument/2006/relationships/hyperlink" Target="http://bigg.ucsd.edu/models/iJO1366" TargetMode="External"/><Relationship Id="rId38" Type="http://schemas.openxmlformats.org/officeDocument/2006/relationships/hyperlink" Target="http://bigg.ucsd.edu/models/iAM_Pk459/metabolites" TargetMode="External"/><Relationship Id="rId103" Type="http://schemas.openxmlformats.org/officeDocument/2006/relationships/hyperlink" Target="http://bigg.ucsd.edu/models/iEC1364_W/reactions" TargetMode="External"/><Relationship Id="rId310" Type="http://schemas.openxmlformats.org/officeDocument/2006/relationships/hyperlink" Target="http://bigg.ucsd.edu/models/iMM1415/metabolites" TargetMode="External"/><Relationship Id="rId91" Type="http://schemas.openxmlformats.org/officeDocument/2006/relationships/hyperlink" Target="http://bigg.ucsd.edu/models/iEC1344_C/reactions" TargetMode="External"/><Relationship Id="rId145" Type="http://schemas.openxmlformats.org/officeDocument/2006/relationships/hyperlink" Target="http://bigg.ucsd.edu/models/iEcE24377_1341" TargetMode="External"/><Relationship Id="rId187" Type="http://schemas.openxmlformats.org/officeDocument/2006/relationships/hyperlink" Target="http://bigg.ucsd.edu/models/iECOK1_1307/reactions" TargetMode="External"/><Relationship Id="rId352" Type="http://schemas.openxmlformats.org/officeDocument/2006/relationships/hyperlink" Target="http://bigg.ucsd.edu/models/iSbBS512_1146/genes" TargetMode="External"/><Relationship Id="rId394" Type="http://schemas.openxmlformats.org/officeDocument/2006/relationships/hyperlink" Target="http://bigg.ucsd.edu/models/iWFL_1372/metabolites" TargetMode="External"/><Relationship Id="rId408" Type="http://schemas.openxmlformats.org/officeDocument/2006/relationships/hyperlink" Target="http://bigg.ucsd.edu/models/iYO844/genes" TargetMode="External"/><Relationship Id="rId1" Type="http://schemas.openxmlformats.org/officeDocument/2006/relationships/hyperlink" Target="http://bigg.ucsd.edu/models/e_coli_core" TargetMode="External"/><Relationship Id="rId212" Type="http://schemas.openxmlformats.org/officeDocument/2006/relationships/hyperlink" Target="http://bigg.ucsd.edu/models/iECSF_1327/genes" TargetMode="External"/><Relationship Id="rId233" Type="http://schemas.openxmlformats.org/officeDocument/2006/relationships/hyperlink" Target="http://bigg.ucsd.edu/models/iEKO11_1354" TargetMode="External"/><Relationship Id="rId254" Type="http://schemas.openxmlformats.org/officeDocument/2006/relationships/hyperlink" Target="http://bigg.ucsd.edu/models/iIS312_Amastigote/metabolites" TargetMode="External"/><Relationship Id="rId28" Type="http://schemas.openxmlformats.org/officeDocument/2006/relationships/hyperlink" Target="http://bigg.ucsd.edu/models/iAM_Pb448/genes" TargetMode="External"/><Relationship Id="rId49" Type="http://schemas.openxmlformats.org/officeDocument/2006/relationships/hyperlink" Target="http://bigg.ucsd.edu/models/iAT_PLT_636" TargetMode="External"/><Relationship Id="rId114" Type="http://schemas.openxmlformats.org/officeDocument/2006/relationships/hyperlink" Target="http://bigg.ucsd.edu/models/iEC55989_1330/metabolites" TargetMode="External"/><Relationship Id="rId275" Type="http://schemas.openxmlformats.org/officeDocument/2006/relationships/hyperlink" Target="http://bigg.ucsd.edu/models/iJN1463/reactions" TargetMode="External"/><Relationship Id="rId296" Type="http://schemas.openxmlformats.org/officeDocument/2006/relationships/hyperlink" Target="http://bigg.ucsd.edu/models/iLB1027_lipid/genes" TargetMode="External"/><Relationship Id="rId300" Type="http://schemas.openxmlformats.org/officeDocument/2006/relationships/hyperlink" Target="http://bigg.ucsd.edu/models/iLF82_1304/genes" TargetMode="External"/><Relationship Id="rId60" Type="http://schemas.openxmlformats.org/officeDocument/2006/relationships/hyperlink" Target="http://bigg.ucsd.edu/models/iBWG_1329/genes" TargetMode="External"/><Relationship Id="rId81" Type="http://schemas.openxmlformats.org/officeDocument/2006/relationships/hyperlink" Target="http://bigg.ucsd.edu/models/iE2348C_1286" TargetMode="External"/><Relationship Id="rId135" Type="http://schemas.openxmlformats.org/officeDocument/2006/relationships/hyperlink" Target="http://bigg.ucsd.edu/models/iECDH10B_1368/reactions" TargetMode="External"/><Relationship Id="rId156" Type="http://schemas.openxmlformats.org/officeDocument/2006/relationships/hyperlink" Target="http://bigg.ucsd.edu/models/iECH74115_1262/genes" TargetMode="External"/><Relationship Id="rId177" Type="http://schemas.openxmlformats.org/officeDocument/2006/relationships/hyperlink" Target="http://bigg.ucsd.edu/models/iECO111_1330" TargetMode="External"/><Relationship Id="rId198" Type="http://schemas.openxmlformats.org/officeDocument/2006/relationships/hyperlink" Target="http://bigg.ucsd.edu/models/iECs_1301/metabolites" TargetMode="External"/><Relationship Id="rId321" Type="http://schemas.openxmlformats.org/officeDocument/2006/relationships/hyperlink" Target="http://bigg.ucsd.edu/models/iNF517" TargetMode="External"/><Relationship Id="rId342" Type="http://schemas.openxmlformats.org/officeDocument/2006/relationships/hyperlink" Target="http://bigg.ucsd.edu/models/iS_1188/metabolites" TargetMode="External"/><Relationship Id="rId363" Type="http://schemas.openxmlformats.org/officeDocument/2006/relationships/hyperlink" Target="http://bigg.ucsd.edu/models/iSF_1195/reactions" TargetMode="External"/><Relationship Id="rId384" Type="http://schemas.openxmlformats.org/officeDocument/2006/relationships/hyperlink" Target="http://bigg.ucsd.edu/models/iUMN146_1321/genes" TargetMode="External"/><Relationship Id="rId419" Type="http://schemas.openxmlformats.org/officeDocument/2006/relationships/hyperlink" Target="http://bigg.ucsd.edu/models/iZ_1308/reactions" TargetMode="External"/><Relationship Id="rId202" Type="http://schemas.openxmlformats.org/officeDocument/2006/relationships/hyperlink" Target="http://bigg.ucsd.edu/models/iECS88_1305/metabolites" TargetMode="External"/><Relationship Id="rId223" Type="http://schemas.openxmlformats.org/officeDocument/2006/relationships/hyperlink" Target="http://bigg.ucsd.edu/models/iECUMN_1333/reactions" TargetMode="External"/><Relationship Id="rId244" Type="http://schemas.openxmlformats.org/officeDocument/2006/relationships/hyperlink" Target="http://bigg.ucsd.edu/models/iG2583_1286/genes" TargetMode="External"/><Relationship Id="rId430" Type="http://schemas.openxmlformats.org/officeDocument/2006/relationships/hyperlink" Target="http://bigg.ucsd.edu/models/STM_v1_0/metabolites" TargetMode="External"/><Relationship Id="rId18" Type="http://schemas.openxmlformats.org/officeDocument/2006/relationships/hyperlink" Target="http://bigg.ucsd.edu/models/iAF692/metabolites" TargetMode="External"/><Relationship Id="rId39" Type="http://schemas.openxmlformats.org/officeDocument/2006/relationships/hyperlink" Target="http://bigg.ucsd.edu/models/iAM_Pk459/reactions" TargetMode="External"/><Relationship Id="rId265" Type="http://schemas.openxmlformats.org/officeDocument/2006/relationships/hyperlink" Target="http://bigg.ucsd.edu/models/iIT341" TargetMode="External"/><Relationship Id="rId286" Type="http://schemas.openxmlformats.org/officeDocument/2006/relationships/hyperlink" Target="http://bigg.ucsd.edu/models/iJO1366/metabolites" TargetMode="External"/><Relationship Id="rId50" Type="http://schemas.openxmlformats.org/officeDocument/2006/relationships/hyperlink" Target="http://bigg.ucsd.edu/models/iAT_PLT_636/metabolites" TargetMode="External"/><Relationship Id="rId104" Type="http://schemas.openxmlformats.org/officeDocument/2006/relationships/hyperlink" Target="http://bigg.ucsd.edu/models/iEC1364_W/genes" TargetMode="External"/><Relationship Id="rId125" Type="http://schemas.openxmlformats.org/officeDocument/2006/relationships/hyperlink" Target="http://bigg.ucsd.edu/models/iECBD_1354" TargetMode="External"/><Relationship Id="rId146" Type="http://schemas.openxmlformats.org/officeDocument/2006/relationships/hyperlink" Target="http://bigg.ucsd.edu/models/iEcE24377_1341/metabolites" TargetMode="External"/><Relationship Id="rId167" Type="http://schemas.openxmlformats.org/officeDocument/2006/relationships/hyperlink" Target="http://bigg.ucsd.edu/models/iECIAI39_1322/reactions" TargetMode="External"/><Relationship Id="rId188" Type="http://schemas.openxmlformats.org/officeDocument/2006/relationships/hyperlink" Target="http://bigg.ucsd.edu/models/iECOK1_1307/genes" TargetMode="External"/><Relationship Id="rId311" Type="http://schemas.openxmlformats.org/officeDocument/2006/relationships/hyperlink" Target="http://bigg.ucsd.edu/models/iMM1415/reactions" TargetMode="External"/><Relationship Id="rId332" Type="http://schemas.openxmlformats.org/officeDocument/2006/relationships/hyperlink" Target="http://bigg.ucsd.edu/models/iNRG857_1313/genes" TargetMode="External"/><Relationship Id="rId353" Type="http://schemas.openxmlformats.org/officeDocument/2006/relationships/hyperlink" Target="http://bigg.ucsd.edu/models/iSBO_1134" TargetMode="External"/><Relationship Id="rId374" Type="http://schemas.openxmlformats.org/officeDocument/2006/relationships/hyperlink" Target="http://bigg.ucsd.edu/models/iSSON_1240/metabolites" TargetMode="External"/><Relationship Id="rId395" Type="http://schemas.openxmlformats.org/officeDocument/2006/relationships/hyperlink" Target="http://bigg.ucsd.edu/models/iWFL_1372/reactions" TargetMode="External"/><Relationship Id="rId409" Type="http://schemas.openxmlformats.org/officeDocument/2006/relationships/hyperlink" Target="http://bigg.ucsd.edu/models/iYS1720" TargetMode="External"/><Relationship Id="rId71" Type="http://schemas.openxmlformats.org/officeDocument/2006/relationships/hyperlink" Target="http://bigg.ucsd.edu/models/iCHOv1_DG44/reactions" TargetMode="External"/><Relationship Id="rId92" Type="http://schemas.openxmlformats.org/officeDocument/2006/relationships/hyperlink" Target="http://bigg.ucsd.edu/models/iEC1344_C/genes" TargetMode="External"/><Relationship Id="rId213" Type="http://schemas.openxmlformats.org/officeDocument/2006/relationships/hyperlink" Target="http://bigg.ucsd.edu/models/iEcSMS35_1347" TargetMode="External"/><Relationship Id="rId234" Type="http://schemas.openxmlformats.org/officeDocument/2006/relationships/hyperlink" Target="http://bigg.ucsd.edu/models/iEKO11_1354/metabolites" TargetMode="External"/><Relationship Id="rId420" Type="http://schemas.openxmlformats.org/officeDocument/2006/relationships/hyperlink" Target="http://bigg.ucsd.edu/models/iZ_1308/genes" TargetMode="External"/><Relationship Id="rId2" Type="http://schemas.openxmlformats.org/officeDocument/2006/relationships/hyperlink" Target="http://bigg.ucsd.edu/models/e_coli_core/metabolites" TargetMode="External"/><Relationship Id="rId29" Type="http://schemas.openxmlformats.org/officeDocument/2006/relationships/hyperlink" Target="http://bigg.ucsd.edu/models/iAM_Pc455" TargetMode="External"/><Relationship Id="rId255" Type="http://schemas.openxmlformats.org/officeDocument/2006/relationships/hyperlink" Target="http://bigg.ucsd.edu/models/iIS312_Amastigote/reactions" TargetMode="External"/><Relationship Id="rId276" Type="http://schemas.openxmlformats.org/officeDocument/2006/relationships/hyperlink" Target="http://bigg.ucsd.edu/models/iJN1463/genes" TargetMode="External"/><Relationship Id="rId297" Type="http://schemas.openxmlformats.org/officeDocument/2006/relationships/hyperlink" Target="http://bigg.ucsd.edu/models/iLF82_1304" TargetMode="External"/><Relationship Id="rId40" Type="http://schemas.openxmlformats.org/officeDocument/2006/relationships/hyperlink" Target="http://bigg.ucsd.edu/models/iAM_Pk459/genes" TargetMode="External"/><Relationship Id="rId115" Type="http://schemas.openxmlformats.org/officeDocument/2006/relationships/hyperlink" Target="http://bigg.ucsd.edu/models/iEC55989_1330/reactions" TargetMode="External"/><Relationship Id="rId136" Type="http://schemas.openxmlformats.org/officeDocument/2006/relationships/hyperlink" Target="http://bigg.ucsd.edu/models/iECDH10B_1368/genes" TargetMode="External"/><Relationship Id="rId157" Type="http://schemas.openxmlformats.org/officeDocument/2006/relationships/hyperlink" Target="http://bigg.ucsd.edu/models/iEcHS_1320" TargetMode="External"/><Relationship Id="rId178" Type="http://schemas.openxmlformats.org/officeDocument/2006/relationships/hyperlink" Target="http://bigg.ucsd.edu/models/iECO111_1330/metabolites" TargetMode="External"/><Relationship Id="rId301" Type="http://schemas.openxmlformats.org/officeDocument/2006/relationships/hyperlink" Target="http://bigg.ucsd.edu/models/iLJ478" TargetMode="External"/><Relationship Id="rId322" Type="http://schemas.openxmlformats.org/officeDocument/2006/relationships/hyperlink" Target="http://bigg.ucsd.edu/models/iNF517/metabolites" TargetMode="External"/><Relationship Id="rId343" Type="http://schemas.openxmlformats.org/officeDocument/2006/relationships/hyperlink" Target="http://bigg.ucsd.edu/models/iS_1188/reactions" TargetMode="External"/><Relationship Id="rId364" Type="http://schemas.openxmlformats.org/officeDocument/2006/relationships/hyperlink" Target="http://bigg.ucsd.edu/models/iSF_1195/genes" TargetMode="External"/><Relationship Id="rId61" Type="http://schemas.openxmlformats.org/officeDocument/2006/relationships/hyperlink" Target="http://bigg.ucsd.edu/models/ic_1306" TargetMode="External"/><Relationship Id="rId82" Type="http://schemas.openxmlformats.org/officeDocument/2006/relationships/hyperlink" Target="http://bigg.ucsd.edu/models/iE2348C_1286/metabolites" TargetMode="External"/><Relationship Id="rId199" Type="http://schemas.openxmlformats.org/officeDocument/2006/relationships/hyperlink" Target="http://bigg.ucsd.edu/models/iECs_1301/reactions" TargetMode="External"/><Relationship Id="rId203" Type="http://schemas.openxmlformats.org/officeDocument/2006/relationships/hyperlink" Target="http://bigg.ucsd.edu/models/iECS88_1305/reactions" TargetMode="External"/><Relationship Id="rId385" Type="http://schemas.openxmlformats.org/officeDocument/2006/relationships/hyperlink" Target="http://bigg.ucsd.edu/models/iUMNK88_1353" TargetMode="External"/><Relationship Id="rId19" Type="http://schemas.openxmlformats.org/officeDocument/2006/relationships/hyperlink" Target="http://bigg.ucsd.edu/models/iAF692/reactions" TargetMode="External"/><Relationship Id="rId224" Type="http://schemas.openxmlformats.org/officeDocument/2006/relationships/hyperlink" Target="http://bigg.ucsd.edu/models/iECUMN_1333/genes" TargetMode="External"/><Relationship Id="rId245" Type="http://schemas.openxmlformats.org/officeDocument/2006/relationships/hyperlink" Target="http://bigg.ucsd.edu/models/iHN637" TargetMode="External"/><Relationship Id="rId266" Type="http://schemas.openxmlformats.org/officeDocument/2006/relationships/hyperlink" Target="http://bigg.ucsd.edu/models/iIT341/metabolites" TargetMode="External"/><Relationship Id="rId287" Type="http://schemas.openxmlformats.org/officeDocument/2006/relationships/hyperlink" Target="http://bigg.ucsd.edu/models/iJO1366/reactions" TargetMode="External"/><Relationship Id="rId410" Type="http://schemas.openxmlformats.org/officeDocument/2006/relationships/hyperlink" Target="http://bigg.ucsd.edu/models/iYS1720/metabolites" TargetMode="External"/><Relationship Id="rId431" Type="http://schemas.openxmlformats.org/officeDocument/2006/relationships/hyperlink" Target="http://bigg.ucsd.edu/models/STM_v1_0/reactions" TargetMode="External"/><Relationship Id="rId30" Type="http://schemas.openxmlformats.org/officeDocument/2006/relationships/hyperlink" Target="http://bigg.ucsd.edu/models/iAM_Pc455/metabolites" TargetMode="External"/><Relationship Id="rId105" Type="http://schemas.openxmlformats.org/officeDocument/2006/relationships/hyperlink" Target="http://bigg.ucsd.edu/models/iEC1368_DH5a" TargetMode="External"/><Relationship Id="rId126" Type="http://schemas.openxmlformats.org/officeDocument/2006/relationships/hyperlink" Target="http://bigg.ucsd.edu/models/iECBD_1354/metabolites" TargetMode="External"/><Relationship Id="rId147" Type="http://schemas.openxmlformats.org/officeDocument/2006/relationships/hyperlink" Target="http://bigg.ucsd.edu/models/iEcE24377_1341/reactions" TargetMode="External"/><Relationship Id="rId168" Type="http://schemas.openxmlformats.org/officeDocument/2006/relationships/hyperlink" Target="http://bigg.ucsd.edu/models/iECIAI39_1322/genes" TargetMode="External"/><Relationship Id="rId312" Type="http://schemas.openxmlformats.org/officeDocument/2006/relationships/hyperlink" Target="http://bigg.ucsd.edu/models/iMM1415/genes" TargetMode="External"/><Relationship Id="rId333" Type="http://schemas.openxmlformats.org/officeDocument/2006/relationships/hyperlink" Target="http://bigg.ucsd.edu/models/iPC815" TargetMode="External"/><Relationship Id="rId354" Type="http://schemas.openxmlformats.org/officeDocument/2006/relationships/hyperlink" Target="http://bigg.ucsd.edu/models/iSBO_1134/metabolites" TargetMode="External"/><Relationship Id="rId51" Type="http://schemas.openxmlformats.org/officeDocument/2006/relationships/hyperlink" Target="http://bigg.ucsd.edu/models/iAT_PLT_636/reactions" TargetMode="External"/><Relationship Id="rId72" Type="http://schemas.openxmlformats.org/officeDocument/2006/relationships/hyperlink" Target="http://bigg.ucsd.edu/models/iCHOv1_DG44/genes" TargetMode="External"/><Relationship Id="rId93" Type="http://schemas.openxmlformats.org/officeDocument/2006/relationships/hyperlink" Target="http://bigg.ucsd.edu/models/iEC1349_Crooks" TargetMode="External"/><Relationship Id="rId189" Type="http://schemas.openxmlformats.org/officeDocument/2006/relationships/hyperlink" Target="http://bigg.ucsd.edu/models/iEcolC_1368" TargetMode="External"/><Relationship Id="rId375" Type="http://schemas.openxmlformats.org/officeDocument/2006/relationships/hyperlink" Target="http://bigg.ucsd.edu/models/iSSON_1240/reactions" TargetMode="External"/><Relationship Id="rId396" Type="http://schemas.openxmlformats.org/officeDocument/2006/relationships/hyperlink" Target="http://bigg.ucsd.edu/models/iWFL_1372/genes" TargetMode="External"/><Relationship Id="rId3" Type="http://schemas.openxmlformats.org/officeDocument/2006/relationships/hyperlink" Target="http://bigg.ucsd.edu/models/e_coli_core/reactions" TargetMode="External"/><Relationship Id="rId214" Type="http://schemas.openxmlformats.org/officeDocument/2006/relationships/hyperlink" Target="http://bigg.ucsd.edu/models/iEcSMS35_1347/metabolites" TargetMode="External"/><Relationship Id="rId235" Type="http://schemas.openxmlformats.org/officeDocument/2006/relationships/hyperlink" Target="http://bigg.ucsd.edu/models/iEKO11_1354/reactions" TargetMode="External"/><Relationship Id="rId256" Type="http://schemas.openxmlformats.org/officeDocument/2006/relationships/hyperlink" Target="http://bigg.ucsd.edu/models/iIS312_Amastigote/genes" TargetMode="External"/><Relationship Id="rId277" Type="http://schemas.openxmlformats.org/officeDocument/2006/relationships/hyperlink" Target="http://bigg.ucsd.edu/models/iJN678" TargetMode="External"/><Relationship Id="rId298" Type="http://schemas.openxmlformats.org/officeDocument/2006/relationships/hyperlink" Target="http://bigg.ucsd.edu/models/iLF82_1304/metabolites" TargetMode="External"/><Relationship Id="rId400" Type="http://schemas.openxmlformats.org/officeDocument/2006/relationships/hyperlink" Target="http://bigg.ucsd.edu/models/iY75_1357/genes" TargetMode="External"/><Relationship Id="rId421" Type="http://schemas.openxmlformats.org/officeDocument/2006/relationships/hyperlink" Target="http://bigg.ucsd.edu/models/RECON1" TargetMode="External"/><Relationship Id="rId116" Type="http://schemas.openxmlformats.org/officeDocument/2006/relationships/hyperlink" Target="http://bigg.ucsd.edu/models/iEC55989_1330/genes" TargetMode="External"/><Relationship Id="rId137" Type="http://schemas.openxmlformats.org/officeDocument/2006/relationships/hyperlink" Target="http://bigg.ucsd.edu/models/iEcDH1_1363" TargetMode="External"/><Relationship Id="rId158" Type="http://schemas.openxmlformats.org/officeDocument/2006/relationships/hyperlink" Target="http://bigg.ucsd.edu/models/iEcHS_1320/metabolites" TargetMode="External"/><Relationship Id="rId302" Type="http://schemas.openxmlformats.org/officeDocument/2006/relationships/hyperlink" Target="http://bigg.ucsd.edu/models/iLJ478/metabolites" TargetMode="External"/><Relationship Id="rId323" Type="http://schemas.openxmlformats.org/officeDocument/2006/relationships/hyperlink" Target="http://bigg.ucsd.edu/models/iNF517/reactions" TargetMode="External"/><Relationship Id="rId344" Type="http://schemas.openxmlformats.org/officeDocument/2006/relationships/hyperlink" Target="http://bigg.ucsd.edu/models/iS_1188/genes" TargetMode="External"/><Relationship Id="rId20" Type="http://schemas.openxmlformats.org/officeDocument/2006/relationships/hyperlink" Target="http://bigg.ucsd.edu/models/iAF692/genes" TargetMode="External"/><Relationship Id="rId41" Type="http://schemas.openxmlformats.org/officeDocument/2006/relationships/hyperlink" Target="http://bigg.ucsd.edu/models/iAM_Pv461" TargetMode="External"/><Relationship Id="rId62" Type="http://schemas.openxmlformats.org/officeDocument/2006/relationships/hyperlink" Target="http://bigg.ucsd.edu/models/ic_1306/metabolites" TargetMode="External"/><Relationship Id="rId83" Type="http://schemas.openxmlformats.org/officeDocument/2006/relationships/hyperlink" Target="http://bigg.ucsd.edu/models/iE2348C_1286/reactions" TargetMode="External"/><Relationship Id="rId179" Type="http://schemas.openxmlformats.org/officeDocument/2006/relationships/hyperlink" Target="http://bigg.ucsd.edu/models/iECO111_1330/reactions" TargetMode="External"/><Relationship Id="rId365" Type="http://schemas.openxmlformats.org/officeDocument/2006/relationships/hyperlink" Target="http://bigg.ucsd.edu/models/iSFV_1184" TargetMode="External"/><Relationship Id="rId386" Type="http://schemas.openxmlformats.org/officeDocument/2006/relationships/hyperlink" Target="http://bigg.ucsd.edu/models/iUMNK88_1353/metabolites" TargetMode="External"/><Relationship Id="rId190" Type="http://schemas.openxmlformats.org/officeDocument/2006/relationships/hyperlink" Target="http://bigg.ucsd.edu/models/iEcolC_1368/metabolites" TargetMode="External"/><Relationship Id="rId204" Type="http://schemas.openxmlformats.org/officeDocument/2006/relationships/hyperlink" Target="http://bigg.ucsd.edu/models/iECS88_1305/genes" TargetMode="External"/><Relationship Id="rId225" Type="http://schemas.openxmlformats.org/officeDocument/2006/relationships/hyperlink" Target="http://bigg.ucsd.edu/models/iECW_1372" TargetMode="External"/><Relationship Id="rId246" Type="http://schemas.openxmlformats.org/officeDocument/2006/relationships/hyperlink" Target="http://bigg.ucsd.edu/models/iHN637/metabolites" TargetMode="External"/><Relationship Id="rId267" Type="http://schemas.openxmlformats.org/officeDocument/2006/relationships/hyperlink" Target="http://bigg.ucsd.edu/models/iIT341/reactions" TargetMode="External"/><Relationship Id="rId288" Type="http://schemas.openxmlformats.org/officeDocument/2006/relationships/hyperlink" Target="http://bigg.ucsd.edu/models/iJO1366/genes" TargetMode="External"/><Relationship Id="rId411" Type="http://schemas.openxmlformats.org/officeDocument/2006/relationships/hyperlink" Target="http://bigg.ucsd.edu/models/iYS1720/reactions" TargetMode="External"/><Relationship Id="rId432" Type="http://schemas.openxmlformats.org/officeDocument/2006/relationships/hyperlink" Target="http://bigg.ucsd.edu/models/STM_v1_0/genes" TargetMode="External"/><Relationship Id="rId106" Type="http://schemas.openxmlformats.org/officeDocument/2006/relationships/hyperlink" Target="http://bigg.ucsd.edu/models/iEC1368_DH5a/metabolites" TargetMode="External"/><Relationship Id="rId127" Type="http://schemas.openxmlformats.org/officeDocument/2006/relationships/hyperlink" Target="http://bigg.ucsd.edu/models/iECBD_1354/reactions" TargetMode="External"/><Relationship Id="rId313" Type="http://schemas.openxmlformats.org/officeDocument/2006/relationships/hyperlink" Target="http://bigg.ucsd.edu/models/iMM904" TargetMode="External"/><Relationship Id="rId10" Type="http://schemas.openxmlformats.org/officeDocument/2006/relationships/hyperlink" Target="http://bigg.ucsd.edu/models/iAF1260/metabolites" TargetMode="External"/><Relationship Id="rId31" Type="http://schemas.openxmlformats.org/officeDocument/2006/relationships/hyperlink" Target="http://bigg.ucsd.edu/models/iAM_Pc455/reactions" TargetMode="External"/><Relationship Id="rId52" Type="http://schemas.openxmlformats.org/officeDocument/2006/relationships/hyperlink" Target="http://bigg.ucsd.edu/models/iAT_PLT_636/genes" TargetMode="External"/><Relationship Id="rId73" Type="http://schemas.openxmlformats.org/officeDocument/2006/relationships/hyperlink" Target="http://bigg.ucsd.edu/models/iCN718" TargetMode="External"/><Relationship Id="rId94" Type="http://schemas.openxmlformats.org/officeDocument/2006/relationships/hyperlink" Target="http://bigg.ucsd.edu/models/iEC1349_Crooks/metabolites" TargetMode="External"/><Relationship Id="rId148" Type="http://schemas.openxmlformats.org/officeDocument/2006/relationships/hyperlink" Target="http://bigg.ucsd.edu/models/iEcE24377_1341/genes" TargetMode="External"/><Relationship Id="rId169" Type="http://schemas.openxmlformats.org/officeDocument/2006/relationships/hyperlink" Target="http://bigg.ucsd.edu/models/iECNA114_1301" TargetMode="External"/><Relationship Id="rId334" Type="http://schemas.openxmlformats.org/officeDocument/2006/relationships/hyperlink" Target="http://bigg.ucsd.edu/models/iPC815/metabolites" TargetMode="External"/><Relationship Id="rId355" Type="http://schemas.openxmlformats.org/officeDocument/2006/relationships/hyperlink" Target="http://bigg.ucsd.edu/models/iSBO_1134/reactions" TargetMode="External"/><Relationship Id="rId376" Type="http://schemas.openxmlformats.org/officeDocument/2006/relationships/hyperlink" Target="http://bigg.ucsd.edu/models/iSSON_1240/genes" TargetMode="External"/><Relationship Id="rId397" Type="http://schemas.openxmlformats.org/officeDocument/2006/relationships/hyperlink" Target="http://bigg.ucsd.edu/models/iY75_1357" TargetMode="External"/><Relationship Id="rId4" Type="http://schemas.openxmlformats.org/officeDocument/2006/relationships/hyperlink" Target="http://bigg.ucsd.edu/models/e_coli_core/genes" TargetMode="External"/><Relationship Id="rId180" Type="http://schemas.openxmlformats.org/officeDocument/2006/relationships/hyperlink" Target="http://bigg.ucsd.edu/models/iECO111_1330/genes" TargetMode="External"/><Relationship Id="rId215" Type="http://schemas.openxmlformats.org/officeDocument/2006/relationships/hyperlink" Target="http://bigg.ucsd.edu/models/iEcSMS35_1347/reactions" TargetMode="External"/><Relationship Id="rId236" Type="http://schemas.openxmlformats.org/officeDocument/2006/relationships/hyperlink" Target="http://bigg.ucsd.edu/models/iEKO11_1354/genes" TargetMode="External"/><Relationship Id="rId257" Type="http://schemas.openxmlformats.org/officeDocument/2006/relationships/hyperlink" Target="http://bigg.ucsd.edu/models/iIS312_Epimastigote" TargetMode="External"/><Relationship Id="rId278" Type="http://schemas.openxmlformats.org/officeDocument/2006/relationships/hyperlink" Target="http://bigg.ucsd.edu/models/iJN678/metabolites" TargetMode="External"/><Relationship Id="rId401" Type="http://schemas.openxmlformats.org/officeDocument/2006/relationships/hyperlink" Target="http://bigg.ucsd.edu/models/iYL1228" TargetMode="External"/><Relationship Id="rId422" Type="http://schemas.openxmlformats.org/officeDocument/2006/relationships/hyperlink" Target="http://bigg.ucsd.edu/models/RECON1/metabolites" TargetMode="External"/><Relationship Id="rId303" Type="http://schemas.openxmlformats.org/officeDocument/2006/relationships/hyperlink" Target="http://bigg.ucsd.edu/models/iLJ478/reactions" TargetMode="External"/><Relationship Id="rId42" Type="http://schemas.openxmlformats.org/officeDocument/2006/relationships/hyperlink" Target="http://bigg.ucsd.edu/models/iAM_Pv461/metabolites" TargetMode="External"/><Relationship Id="rId84" Type="http://schemas.openxmlformats.org/officeDocument/2006/relationships/hyperlink" Target="http://bigg.ucsd.edu/models/iE2348C_1286/genes" TargetMode="External"/><Relationship Id="rId138" Type="http://schemas.openxmlformats.org/officeDocument/2006/relationships/hyperlink" Target="http://bigg.ucsd.edu/models/iEcDH1_1363/metabolites" TargetMode="External"/><Relationship Id="rId345" Type="http://schemas.openxmlformats.org/officeDocument/2006/relationships/hyperlink" Target="http://bigg.ucsd.edu/models/iSB619" TargetMode="External"/><Relationship Id="rId387" Type="http://schemas.openxmlformats.org/officeDocument/2006/relationships/hyperlink" Target="http://bigg.ucsd.edu/models/iUMNK88_1353/reactions" TargetMode="External"/><Relationship Id="rId191" Type="http://schemas.openxmlformats.org/officeDocument/2006/relationships/hyperlink" Target="http://bigg.ucsd.edu/models/iEcolC_1368/reactions" TargetMode="External"/><Relationship Id="rId205" Type="http://schemas.openxmlformats.org/officeDocument/2006/relationships/hyperlink" Target="http://bigg.ucsd.edu/models/iECSE_1348" TargetMode="External"/><Relationship Id="rId247" Type="http://schemas.openxmlformats.org/officeDocument/2006/relationships/hyperlink" Target="http://bigg.ucsd.edu/models/iHN637/reactions" TargetMode="External"/><Relationship Id="rId412" Type="http://schemas.openxmlformats.org/officeDocument/2006/relationships/hyperlink" Target="http://bigg.ucsd.edu/models/iYS1720/genes" TargetMode="External"/><Relationship Id="rId107" Type="http://schemas.openxmlformats.org/officeDocument/2006/relationships/hyperlink" Target="http://bigg.ucsd.edu/models/iEC1368_DH5a/reactions" TargetMode="External"/><Relationship Id="rId289" Type="http://schemas.openxmlformats.org/officeDocument/2006/relationships/hyperlink" Target="http://bigg.ucsd.edu/models/iJR904" TargetMode="External"/><Relationship Id="rId11" Type="http://schemas.openxmlformats.org/officeDocument/2006/relationships/hyperlink" Target="http://bigg.ucsd.edu/models/iAF1260/reactions" TargetMode="External"/><Relationship Id="rId53" Type="http://schemas.openxmlformats.org/officeDocument/2006/relationships/hyperlink" Target="http://bigg.ucsd.edu/models/iB21_1397" TargetMode="External"/><Relationship Id="rId149" Type="http://schemas.openxmlformats.org/officeDocument/2006/relationships/hyperlink" Target="http://bigg.ucsd.edu/models/iECED1_1282" TargetMode="External"/><Relationship Id="rId314" Type="http://schemas.openxmlformats.org/officeDocument/2006/relationships/hyperlink" Target="http://bigg.ucsd.edu/models/iMM904/metabolites" TargetMode="External"/><Relationship Id="rId356" Type="http://schemas.openxmlformats.org/officeDocument/2006/relationships/hyperlink" Target="http://bigg.ucsd.edu/models/iSBO_1134/genes" TargetMode="External"/><Relationship Id="rId398" Type="http://schemas.openxmlformats.org/officeDocument/2006/relationships/hyperlink" Target="http://bigg.ucsd.edu/models/iY75_1357/metabolites" TargetMode="External"/><Relationship Id="rId95" Type="http://schemas.openxmlformats.org/officeDocument/2006/relationships/hyperlink" Target="http://bigg.ucsd.edu/models/iEC1349_Crooks/reactions" TargetMode="External"/><Relationship Id="rId160" Type="http://schemas.openxmlformats.org/officeDocument/2006/relationships/hyperlink" Target="http://bigg.ucsd.edu/models/iEcHS_1320/genes" TargetMode="External"/><Relationship Id="rId216" Type="http://schemas.openxmlformats.org/officeDocument/2006/relationships/hyperlink" Target="http://bigg.ucsd.edu/models/iEcSMS35_1347/genes" TargetMode="External"/><Relationship Id="rId423" Type="http://schemas.openxmlformats.org/officeDocument/2006/relationships/hyperlink" Target="http://bigg.ucsd.edu/models/RECON1/reactions" TargetMode="External"/><Relationship Id="rId258" Type="http://schemas.openxmlformats.org/officeDocument/2006/relationships/hyperlink" Target="http://bigg.ucsd.edu/models/iIS312_Epimastigote/metabolites" TargetMode="External"/><Relationship Id="rId22" Type="http://schemas.openxmlformats.org/officeDocument/2006/relationships/hyperlink" Target="http://bigg.ucsd.edu/models/iAF987/metabolites" TargetMode="External"/><Relationship Id="rId64" Type="http://schemas.openxmlformats.org/officeDocument/2006/relationships/hyperlink" Target="http://bigg.ucsd.edu/models/ic_1306/genes" TargetMode="External"/><Relationship Id="rId118" Type="http://schemas.openxmlformats.org/officeDocument/2006/relationships/hyperlink" Target="http://bigg.ucsd.edu/models/iECABU_c1320/metabolites" TargetMode="External"/><Relationship Id="rId325" Type="http://schemas.openxmlformats.org/officeDocument/2006/relationships/hyperlink" Target="http://bigg.ucsd.edu/models/iNJ661" TargetMode="External"/><Relationship Id="rId367" Type="http://schemas.openxmlformats.org/officeDocument/2006/relationships/hyperlink" Target="http://bigg.ucsd.edu/models/iSFV_1184/reactions" TargetMode="External"/><Relationship Id="rId171" Type="http://schemas.openxmlformats.org/officeDocument/2006/relationships/hyperlink" Target="http://bigg.ucsd.edu/models/iECNA114_1301/reactions" TargetMode="External"/><Relationship Id="rId227" Type="http://schemas.openxmlformats.org/officeDocument/2006/relationships/hyperlink" Target="http://bigg.ucsd.edu/models/iECW_1372/reactions" TargetMode="External"/><Relationship Id="rId269" Type="http://schemas.openxmlformats.org/officeDocument/2006/relationships/hyperlink" Target="http://bigg.ucsd.edu/models/iJB785" TargetMode="External"/><Relationship Id="rId33" Type="http://schemas.openxmlformats.org/officeDocument/2006/relationships/hyperlink" Target="http://bigg.ucsd.edu/models/iAM_Pf480" TargetMode="External"/><Relationship Id="rId129" Type="http://schemas.openxmlformats.org/officeDocument/2006/relationships/hyperlink" Target="http://bigg.ucsd.edu/models/iECD_1391" TargetMode="External"/><Relationship Id="rId280" Type="http://schemas.openxmlformats.org/officeDocument/2006/relationships/hyperlink" Target="http://bigg.ucsd.edu/models/iJN678/genes" TargetMode="External"/><Relationship Id="rId336" Type="http://schemas.openxmlformats.org/officeDocument/2006/relationships/hyperlink" Target="http://bigg.ucsd.edu/models/iPC815/genes" TargetMode="External"/><Relationship Id="rId75" Type="http://schemas.openxmlformats.org/officeDocument/2006/relationships/hyperlink" Target="http://bigg.ucsd.edu/models/iCN718/reactions" TargetMode="External"/><Relationship Id="rId140" Type="http://schemas.openxmlformats.org/officeDocument/2006/relationships/hyperlink" Target="http://bigg.ucsd.edu/models/iEcDH1_1363/genes" TargetMode="External"/><Relationship Id="rId182" Type="http://schemas.openxmlformats.org/officeDocument/2006/relationships/hyperlink" Target="http://bigg.ucsd.edu/models/iECO26_1355/metabolites" TargetMode="External"/><Relationship Id="rId378" Type="http://schemas.openxmlformats.org/officeDocument/2006/relationships/hyperlink" Target="http://bigg.ucsd.edu/models/iSynCJ816/metabolites" TargetMode="External"/><Relationship Id="rId403" Type="http://schemas.openxmlformats.org/officeDocument/2006/relationships/hyperlink" Target="http://bigg.ucsd.edu/models/iYL1228/reactions" TargetMode="External"/><Relationship Id="rId6" Type="http://schemas.openxmlformats.org/officeDocument/2006/relationships/hyperlink" Target="http://bigg.ucsd.edu/models/iAB_RBC_283/metabolites" TargetMode="External"/><Relationship Id="rId238" Type="http://schemas.openxmlformats.org/officeDocument/2006/relationships/hyperlink" Target="http://bigg.ucsd.edu/models/iETEC_1333/metabolites" TargetMode="External"/><Relationship Id="rId291" Type="http://schemas.openxmlformats.org/officeDocument/2006/relationships/hyperlink" Target="http://bigg.ucsd.edu/models/iJR904/reactions" TargetMode="External"/><Relationship Id="rId305" Type="http://schemas.openxmlformats.org/officeDocument/2006/relationships/hyperlink" Target="http://bigg.ucsd.edu/models/iML1515" TargetMode="External"/><Relationship Id="rId347" Type="http://schemas.openxmlformats.org/officeDocument/2006/relationships/hyperlink" Target="http://bigg.ucsd.edu/models/iSB619/reactions" TargetMode="External"/><Relationship Id="rId44" Type="http://schemas.openxmlformats.org/officeDocument/2006/relationships/hyperlink" Target="http://bigg.ucsd.edu/models/iAM_Pv461/genes" TargetMode="External"/><Relationship Id="rId86" Type="http://schemas.openxmlformats.org/officeDocument/2006/relationships/hyperlink" Target="http://bigg.ucsd.edu/models/iEC042_1314/metabolites" TargetMode="External"/><Relationship Id="rId151" Type="http://schemas.openxmlformats.org/officeDocument/2006/relationships/hyperlink" Target="http://bigg.ucsd.edu/models/iECED1_1282/reactions" TargetMode="External"/><Relationship Id="rId389" Type="http://schemas.openxmlformats.org/officeDocument/2006/relationships/hyperlink" Target="http://bigg.ucsd.edu/models/iUTI89_1310" TargetMode="External"/><Relationship Id="rId193" Type="http://schemas.openxmlformats.org/officeDocument/2006/relationships/hyperlink" Target="http://bigg.ucsd.edu/models/iECP_1309" TargetMode="External"/><Relationship Id="rId207" Type="http://schemas.openxmlformats.org/officeDocument/2006/relationships/hyperlink" Target="http://bigg.ucsd.edu/models/iECSE_1348/reactions" TargetMode="External"/><Relationship Id="rId249" Type="http://schemas.openxmlformats.org/officeDocument/2006/relationships/hyperlink" Target="http://bigg.ucsd.edu/models/iIS312" TargetMode="External"/><Relationship Id="rId414" Type="http://schemas.openxmlformats.org/officeDocument/2006/relationships/hyperlink" Target="http://bigg.ucsd.edu/models/iYS854/metabolites" TargetMode="External"/><Relationship Id="rId13" Type="http://schemas.openxmlformats.org/officeDocument/2006/relationships/hyperlink" Target="http://bigg.ucsd.edu/models/iAF1260b" TargetMode="External"/><Relationship Id="rId109" Type="http://schemas.openxmlformats.org/officeDocument/2006/relationships/hyperlink" Target="http://bigg.ucsd.edu/models/iEC1372_W3110" TargetMode="External"/><Relationship Id="rId260" Type="http://schemas.openxmlformats.org/officeDocument/2006/relationships/hyperlink" Target="http://bigg.ucsd.edu/models/iIS312_Epimastigote/genes" TargetMode="External"/><Relationship Id="rId316" Type="http://schemas.openxmlformats.org/officeDocument/2006/relationships/hyperlink" Target="http://bigg.ucsd.edu/models/iMM904/genes" TargetMode="External"/><Relationship Id="rId55" Type="http://schemas.openxmlformats.org/officeDocument/2006/relationships/hyperlink" Target="http://bigg.ucsd.edu/models/iB21_1397/reactions" TargetMode="External"/><Relationship Id="rId97" Type="http://schemas.openxmlformats.org/officeDocument/2006/relationships/hyperlink" Target="http://bigg.ucsd.edu/models/iEC1356_Bl21DE3" TargetMode="External"/><Relationship Id="rId120" Type="http://schemas.openxmlformats.org/officeDocument/2006/relationships/hyperlink" Target="http://bigg.ucsd.edu/models/iECABU_c1320/genes" TargetMode="External"/><Relationship Id="rId358" Type="http://schemas.openxmlformats.org/officeDocument/2006/relationships/hyperlink" Target="http://bigg.ucsd.edu/models/iSDY_1059/metabolites" TargetMode="External"/><Relationship Id="rId162" Type="http://schemas.openxmlformats.org/officeDocument/2006/relationships/hyperlink" Target="http://bigg.ucsd.edu/models/iECIAI1_1343/metabolites" TargetMode="External"/><Relationship Id="rId218" Type="http://schemas.openxmlformats.org/officeDocument/2006/relationships/hyperlink" Target="http://bigg.ucsd.edu/models/iECSP_1301/metabolites" TargetMode="External"/><Relationship Id="rId425" Type="http://schemas.openxmlformats.org/officeDocument/2006/relationships/hyperlink" Target="http://bigg.ucsd.edu/models/Recon3D" TargetMode="External"/><Relationship Id="rId271" Type="http://schemas.openxmlformats.org/officeDocument/2006/relationships/hyperlink" Target="http://bigg.ucsd.edu/models/iJB785/reactions" TargetMode="External"/><Relationship Id="rId24" Type="http://schemas.openxmlformats.org/officeDocument/2006/relationships/hyperlink" Target="http://bigg.ucsd.edu/models/iAF987/genes" TargetMode="External"/><Relationship Id="rId66" Type="http://schemas.openxmlformats.org/officeDocument/2006/relationships/hyperlink" Target="http://bigg.ucsd.edu/models/iCHOv1/metabolites" TargetMode="External"/><Relationship Id="rId131" Type="http://schemas.openxmlformats.org/officeDocument/2006/relationships/hyperlink" Target="http://bigg.ucsd.edu/models/iECD_1391/reactions" TargetMode="External"/><Relationship Id="rId327" Type="http://schemas.openxmlformats.org/officeDocument/2006/relationships/hyperlink" Target="http://bigg.ucsd.edu/models/iNJ661/reactions" TargetMode="External"/><Relationship Id="rId369" Type="http://schemas.openxmlformats.org/officeDocument/2006/relationships/hyperlink" Target="http://bigg.ucsd.edu/models/iSFxv_1172" TargetMode="External"/><Relationship Id="rId173" Type="http://schemas.openxmlformats.org/officeDocument/2006/relationships/hyperlink" Target="http://bigg.ucsd.edu/models/iECO103_1326" TargetMode="External"/><Relationship Id="rId229" Type="http://schemas.openxmlformats.org/officeDocument/2006/relationships/hyperlink" Target="http://bigg.ucsd.edu/models/iEK1008" TargetMode="External"/><Relationship Id="rId380" Type="http://schemas.openxmlformats.org/officeDocument/2006/relationships/hyperlink" Target="http://bigg.ucsd.edu/models/iSynCJ816/genes" TargetMode="External"/><Relationship Id="rId240" Type="http://schemas.openxmlformats.org/officeDocument/2006/relationships/hyperlink" Target="http://bigg.ucsd.edu/models/iETEC_1333/genes" TargetMode="External"/><Relationship Id="rId35" Type="http://schemas.openxmlformats.org/officeDocument/2006/relationships/hyperlink" Target="http://bigg.ucsd.edu/models/iAM_Pf480/reactions" TargetMode="External"/><Relationship Id="rId77" Type="http://schemas.openxmlformats.org/officeDocument/2006/relationships/hyperlink" Target="http://bigg.ucsd.edu/models/iCN900" TargetMode="External"/><Relationship Id="rId100" Type="http://schemas.openxmlformats.org/officeDocument/2006/relationships/hyperlink" Target="http://bigg.ucsd.edu/models/iEC1356_Bl21DE3/genes" TargetMode="External"/><Relationship Id="rId282" Type="http://schemas.openxmlformats.org/officeDocument/2006/relationships/hyperlink" Target="http://bigg.ucsd.edu/models/iJN746/metabolites" TargetMode="External"/><Relationship Id="rId338" Type="http://schemas.openxmlformats.org/officeDocument/2006/relationships/hyperlink" Target="http://bigg.ucsd.edu/models/iRC1080/metabolites" TargetMode="External"/><Relationship Id="rId8" Type="http://schemas.openxmlformats.org/officeDocument/2006/relationships/hyperlink" Target="http://bigg.ucsd.edu/models/iAB_RBC_283/genes" TargetMode="External"/><Relationship Id="rId142" Type="http://schemas.openxmlformats.org/officeDocument/2006/relationships/hyperlink" Target="http://bigg.ucsd.edu/models/iECDH1ME8569_1439/metabolites" TargetMode="External"/><Relationship Id="rId184" Type="http://schemas.openxmlformats.org/officeDocument/2006/relationships/hyperlink" Target="http://bigg.ucsd.edu/models/iECO26_1355/genes" TargetMode="External"/><Relationship Id="rId391" Type="http://schemas.openxmlformats.org/officeDocument/2006/relationships/hyperlink" Target="http://bigg.ucsd.edu/models/iUTI89_1310/reactions" TargetMode="External"/><Relationship Id="rId405" Type="http://schemas.openxmlformats.org/officeDocument/2006/relationships/hyperlink" Target="http://bigg.ucsd.edu/models/iYO844" TargetMode="External"/><Relationship Id="rId251" Type="http://schemas.openxmlformats.org/officeDocument/2006/relationships/hyperlink" Target="http://bigg.ucsd.edu/models/iIS312/reactions" TargetMode="External"/><Relationship Id="rId46" Type="http://schemas.openxmlformats.org/officeDocument/2006/relationships/hyperlink" Target="http://bigg.ucsd.edu/models/iAPECO1_1312/metabolites" TargetMode="External"/><Relationship Id="rId293" Type="http://schemas.openxmlformats.org/officeDocument/2006/relationships/hyperlink" Target="http://bigg.ucsd.edu/models/iLB1027_lipid" TargetMode="External"/><Relationship Id="rId307" Type="http://schemas.openxmlformats.org/officeDocument/2006/relationships/hyperlink" Target="http://bigg.ucsd.edu/models/iML1515/reactions" TargetMode="External"/><Relationship Id="rId349" Type="http://schemas.openxmlformats.org/officeDocument/2006/relationships/hyperlink" Target="http://bigg.ucsd.edu/models/iSbBS512_1146" TargetMode="External"/><Relationship Id="rId88" Type="http://schemas.openxmlformats.org/officeDocument/2006/relationships/hyperlink" Target="http://bigg.ucsd.edu/models/iEC042_1314/genes" TargetMode="External"/><Relationship Id="rId111" Type="http://schemas.openxmlformats.org/officeDocument/2006/relationships/hyperlink" Target="http://bigg.ucsd.edu/models/iEC1372_W3110/reactions" TargetMode="External"/><Relationship Id="rId153" Type="http://schemas.openxmlformats.org/officeDocument/2006/relationships/hyperlink" Target="http://bigg.ucsd.edu/models/iECH74115_1262" TargetMode="External"/><Relationship Id="rId195" Type="http://schemas.openxmlformats.org/officeDocument/2006/relationships/hyperlink" Target="http://bigg.ucsd.edu/models/iECP_1309/reactions" TargetMode="External"/><Relationship Id="rId209" Type="http://schemas.openxmlformats.org/officeDocument/2006/relationships/hyperlink" Target="http://bigg.ucsd.edu/models/iECSF_1327" TargetMode="External"/><Relationship Id="rId360" Type="http://schemas.openxmlformats.org/officeDocument/2006/relationships/hyperlink" Target="http://bigg.ucsd.edu/models/iSDY_1059/genes" TargetMode="External"/><Relationship Id="rId416" Type="http://schemas.openxmlformats.org/officeDocument/2006/relationships/hyperlink" Target="http://bigg.ucsd.edu/models/iYS854/genes" TargetMode="External"/><Relationship Id="rId220" Type="http://schemas.openxmlformats.org/officeDocument/2006/relationships/hyperlink" Target="http://bigg.ucsd.edu/models/iECSP_1301/genes" TargetMode="External"/><Relationship Id="rId15" Type="http://schemas.openxmlformats.org/officeDocument/2006/relationships/hyperlink" Target="http://bigg.ucsd.edu/models/iAF1260b/reactions" TargetMode="External"/><Relationship Id="rId57" Type="http://schemas.openxmlformats.org/officeDocument/2006/relationships/hyperlink" Target="http://bigg.ucsd.edu/models/iBWG_1329" TargetMode="External"/><Relationship Id="rId262" Type="http://schemas.openxmlformats.org/officeDocument/2006/relationships/hyperlink" Target="http://bigg.ucsd.edu/models/iIS312_Trypomastigote/metabolites" TargetMode="External"/><Relationship Id="rId318" Type="http://schemas.openxmlformats.org/officeDocument/2006/relationships/hyperlink" Target="http://bigg.ucsd.edu/models/iND750/metabolites" TargetMode="External"/><Relationship Id="rId99" Type="http://schemas.openxmlformats.org/officeDocument/2006/relationships/hyperlink" Target="http://bigg.ucsd.edu/models/iEC1356_Bl21DE3/reactions" TargetMode="External"/><Relationship Id="rId122" Type="http://schemas.openxmlformats.org/officeDocument/2006/relationships/hyperlink" Target="http://bigg.ucsd.edu/models/iECB_1328/metabolites" TargetMode="External"/><Relationship Id="rId164" Type="http://schemas.openxmlformats.org/officeDocument/2006/relationships/hyperlink" Target="http://bigg.ucsd.edu/models/iECIAI1_1343/genes" TargetMode="External"/><Relationship Id="rId371" Type="http://schemas.openxmlformats.org/officeDocument/2006/relationships/hyperlink" Target="http://bigg.ucsd.edu/models/iSFxv_1172/reactions" TargetMode="External"/><Relationship Id="rId427" Type="http://schemas.openxmlformats.org/officeDocument/2006/relationships/hyperlink" Target="http://bigg.ucsd.edu/models/Recon3D/reactions" TargetMode="External"/><Relationship Id="rId26" Type="http://schemas.openxmlformats.org/officeDocument/2006/relationships/hyperlink" Target="http://bigg.ucsd.edu/models/iAM_Pb448/metabolites" TargetMode="External"/><Relationship Id="rId231" Type="http://schemas.openxmlformats.org/officeDocument/2006/relationships/hyperlink" Target="http://bigg.ucsd.edu/models/iEK1008/reactions" TargetMode="External"/><Relationship Id="rId273" Type="http://schemas.openxmlformats.org/officeDocument/2006/relationships/hyperlink" Target="http://bigg.ucsd.edu/models/iJN1463" TargetMode="External"/><Relationship Id="rId329" Type="http://schemas.openxmlformats.org/officeDocument/2006/relationships/hyperlink" Target="http://bigg.ucsd.edu/models/iNRG857_1313" TargetMode="External"/><Relationship Id="rId68" Type="http://schemas.openxmlformats.org/officeDocument/2006/relationships/hyperlink" Target="http://bigg.ucsd.edu/models/iCHOv1/genes" TargetMode="External"/><Relationship Id="rId133" Type="http://schemas.openxmlformats.org/officeDocument/2006/relationships/hyperlink" Target="http://bigg.ucsd.edu/models/iECDH10B_1368" TargetMode="External"/><Relationship Id="rId175" Type="http://schemas.openxmlformats.org/officeDocument/2006/relationships/hyperlink" Target="http://bigg.ucsd.edu/models/iECO103_1326/reactions" TargetMode="External"/><Relationship Id="rId340" Type="http://schemas.openxmlformats.org/officeDocument/2006/relationships/hyperlink" Target="http://bigg.ucsd.edu/models/iRC1080/genes" TargetMode="External"/><Relationship Id="rId200" Type="http://schemas.openxmlformats.org/officeDocument/2006/relationships/hyperlink" Target="http://bigg.ucsd.edu/models/iECs_1301/genes" TargetMode="External"/><Relationship Id="rId382" Type="http://schemas.openxmlformats.org/officeDocument/2006/relationships/hyperlink" Target="http://bigg.ucsd.edu/models/iUMN146_1321/metabolites" TargetMode="External"/><Relationship Id="rId242" Type="http://schemas.openxmlformats.org/officeDocument/2006/relationships/hyperlink" Target="http://bigg.ucsd.edu/models/iG2583_1286/metabolites" TargetMode="External"/><Relationship Id="rId284" Type="http://schemas.openxmlformats.org/officeDocument/2006/relationships/hyperlink" Target="http://bigg.ucsd.edu/models/iJN746/genes" TargetMode="External"/><Relationship Id="rId37" Type="http://schemas.openxmlformats.org/officeDocument/2006/relationships/hyperlink" Target="http://bigg.ucsd.edu/models/iAM_Pk459" TargetMode="External"/><Relationship Id="rId79" Type="http://schemas.openxmlformats.org/officeDocument/2006/relationships/hyperlink" Target="http://bigg.ucsd.edu/models/iCN900/reactions" TargetMode="External"/><Relationship Id="rId102" Type="http://schemas.openxmlformats.org/officeDocument/2006/relationships/hyperlink" Target="http://bigg.ucsd.edu/models/iEC1364_W/metabolites" TargetMode="External"/><Relationship Id="rId144" Type="http://schemas.openxmlformats.org/officeDocument/2006/relationships/hyperlink" Target="http://bigg.ucsd.edu/models/iECDH1ME8569_1439/genes" TargetMode="External"/><Relationship Id="rId90" Type="http://schemas.openxmlformats.org/officeDocument/2006/relationships/hyperlink" Target="http://bigg.ucsd.edu/models/iEC1344_C/metabolites" TargetMode="External"/><Relationship Id="rId186" Type="http://schemas.openxmlformats.org/officeDocument/2006/relationships/hyperlink" Target="http://bigg.ucsd.edu/models/iECOK1_1307/metabolites" TargetMode="External"/><Relationship Id="rId351" Type="http://schemas.openxmlformats.org/officeDocument/2006/relationships/hyperlink" Target="http://bigg.ucsd.edu/models/iSbBS512_1146/reactions" TargetMode="External"/><Relationship Id="rId393" Type="http://schemas.openxmlformats.org/officeDocument/2006/relationships/hyperlink" Target="http://bigg.ucsd.edu/models/iWFL_1372" TargetMode="External"/><Relationship Id="rId407" Type="http://schemas.openxmlformats.org/officeDocument/2006/relationships/hyperlink" Target="http://bigg.ucsd.edu/models/iYO844/reactions" TargetMode="External"/><Relationship Id="rId211" Type="http://schemas.openxmlformats.org/officeDocument/2006/relationships/hyperlink" Target="http://bigg.ucsd.edu/models/iECSF_1327/reactions" TargetMode="External"/><Relationship Id="rId253" Type="http://schemas.openxmlformats.org/officeDocument/2006/relationships/hyperlink" Target="http://bigg.ucsd.edu/models/iIS312_Amastigote" TargetMode="External"/><Relationship Id="rId295" Type="http://schemas.openxmlformats.org/officeDocument/2006/relationships/hyperlink" Target="http://bigg.ucsd.edu/models/iLB1027_lipid/reactions" TargetMode="External"/><Relationship Id="rId309" Type="http://schemas.openxmlformats.org/officeDocument/2006/relationships/hyperlink" Target="http://bigg.ucsd.edu/models/iMM1415" TargetMode="External"/><Relationship Id="rId48" Type="http://schemas.openxmlformats.org/officeDocument/2006/relationships/hyperlink" Target="http://bigg.ucsd.edu/models/iAPECO1_1312/genes" TargetMode="External"/><Relationship Id="rId113" Type="http://schemas.openxmlformats.org/officeDocument/2006/relationships/hyperlink" Target="http://bigg.ucsd.edu/models/iEC55989_1330" TargetMode="External"/><Relationship Id="rId320" Type="http://schemas.openxmlformats.org/officeDocument/2006/relationships/hyperlink" Target="http://bigg.ucsd.edu/models/iND750/genes" TargetMode="External"/><Relationship Id="rId155" Type="http://schemas.openxmlformats.org/officeDocument/2006/relationships/hyperlink" Target="http://bigg.ucsd.edu/models/iECH74115_1262/reactions" TargetMode="External"/><Relationship Id="rId197" Type="http://schemas.openxmlformats.org/officeDocument/2006/relationships/hyperlink" Target="http://bigg.ucsd.edu/models/iECs_1301" TargetMode="External"/><Relationship Id="rId362" Type="http://schemas.openxmlformats.org/officeDocument/2006/relationships/hyperlink" Target="http://bigg.ucsd.edu/models/iSF_1195/metabolites" TargetMode="External"/><Relationship Id="rId418" Type="http://schemas.openxmlformats.org/officeDocument/2006/relationships/hyperlink" Target="http://bigg.ucsd.edu/models/iZ_1308/metabolites" TargetMode="External"/><Relationship Id="rId222" Type="http://schemas.openxmlformats.org/officeDocument/2006/relationships/hyperlink" Target="http://bigg.ucsd.edu/models/iECUMN_1333/metabolites" TargetMode="External"/><Relationship Id="rId264" Type="http://schemas.openxmlformats.org/officeDocument/2006/relationships/hyperlink" Target="http://bigg.ucsd.edu/models/iIS312_Trypomastigote/genes" TargetMode="External"/><Relationship Id="rId17" Type="http://schemas.openxmlformats.org/officeDocument/2006/relationships/hyperlink" Target="http://bigg.ucsd.edu/models/iAF692" TargetMode="External"/><Relationship Id="rId59" Type="http://schemas.openxmlformats.org/officeDocument/2006/relationships/hyperlink" Target="http://bigg.ucsd.edu/models/iBWG_1329/reactions" TargetMode="External"/><Relationship Id="rId124" Type="http://schemas.openxmlformats.org/officeDocument/2006/relationships/hyperlink" Target="http://bigg.ucsd.edu/models/iECB_1328/genes" TargetMode="External"/><Relationship Id="rId70" Type="http://schemas.openxmlformats.org/officeDocument/2006/relationships/hyperlink" Target="http://bigg.ucsd.edu/models/iCHOv1_DG44/metabolites" TargetMode="External"/><Relationship Id="rId166" Type="http://schemas.openxmlformats.org/officeDocument/2006/relationships/hyperlink" Target="http://bigg.ucsd.edu/models/iECIAI39_1322/metabolites" TargetMode="External"/><Relationship Id="rId331" Type="http://schemas.openxmlformats.org/officeDocument/2006/relationships/hyperlink" Target="http://bigg.ucsd.edu/models/iNRG857_1313/reactions" TargetMode="External"/><Relationship Id="rId373" Type="http://schemas.openxmlformats.org/officeDocument/2006/relationships/hyperlink" Target="http://bigg.ucsd.edu/models/iSSON_1240" TargetMode="External"/><Relationship Id="rId429" Type="http://schemas.openxmlformats.org/officeDocument/2006/relationships/hyperlink" Target="http://bigg.ucsd.edu/models/STM_v1_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CDDD6-2BE3-467B-8E7F-78A96156F001}">
  <dimension ref="A1:K109"/>
  <sheetViews>
    <sheetView tabSelected="1" workbookViewId="0">
      <selection activeCell="K30" sqref="K30"/>
    </sheetView>
  </sheetViews>
  <sheetFormatPr defaultRowHeight="16" x14ac:dyDescent="0.4"/>
  <cols>
    <col min="1" max="1" width="22.81640625" style="7" customWidth="1"/>
    <col min="2" max="2" width="46.1796875" style="7" customWidth="1"/>
    <col min="3" max="5" width="14" style="8" hidden="1" customWidth="1"/>
    <col min="6" max="6" width="10.26953125" style="7" hidden="1" customWidth="1"/>
    <col min="7" max="10" width="21.6328125" style="7" customWidth="1"/>
    <col min="11" max="11" width="12.36328125" style="1" customWidth="1"/>
    <col min="12" max="12" width="21.6328125" style="1" customWidth="1"/>
    <col min="13" max="16384" width="8.7265625" style="1"/>
  </cols>
  <sheetData>
    <row r="1" spans="1:11" s="2" customFormat="1" ht="48" x14ac:dyDescent="0.35">
      <c r="A1" s="3" t="s">
        <v>193</v>
      </c>
      <c r="B1" s="3" t="s">
        <v>194</v>
      </c>
      <c r="C1" s="3" t="s">
        <v>195</v>
      </c>
      <c r="D1" s="3" t="s">
        <v>196</v>
      </c>
      <c r="E1" s="3" t="s">
        <v>197</v>
      </c>
      <c r="F1" s="3" t="s">
        <v>198</v>
      </c>
      <c r="G1" s="3" t="s">
        <v>202</v>
      </c>
      <c r="H1" s="3" t="s">
        <v>203</v>
      </c>
      <c r="I1" s="3" t="s">
        <v>204</v>
      </c>
      <c r="J1" s="3" t="s">
        <v>205</v>
      </c>
    </row>
    <row r="2" spans="1:11" x14ac:dyDescent="0.4">
      <c r="A2" s="4" t="s">
        <v>0</v>
      </c>
      <c r="B2" s="5" t="s">
        <v>1</v>
      </c>
      <c r="C2" s="6">
        <v>72</v>
      </c>
      <c r="D2" s="6">
        <v>95</v>
      </c>
      <c r="E2" s="6">
        <v>137</v>
      </c>
      <c r="F2" s="7" t="s">
        <v>199</v>
      </c>
      <c r="G2" s="14" t="str">
        <f>HYPERLINK(_xlfn.CONCAT("https://github.com/mauriceling/kinmodre/blob/main/GSM/",A2,".xml"),_xlfn.CONCAT(A2,".xml"))</f>
        <v>e_coli_core.xml</v>
      </c>
      <c r="H2" s="14" t="str">
        <f>HYPERLINK(_xlfn.CONCAT("https://github.com/mauriceling/kinmodre/tree/main/asm/",A2,".modelspec"),_xlfn.CONCAT(A2,".modelspec"))</f>
        <v>e_coli_core.modelspec</v>
      </c>
      <c r="I2" s="14" t="str">
        <f>HYPERLINK(_xlfn.CONCAT("https://github.com/mauriceling/kinmodre/tree/main/odescripts/",A2,".py"),_xlfn.CONCAT(A2,".py"))</f>
        <v>e_coli_core.py</v>
      </c>
      <c r="J2" s="14" t="str">
        <f>HYPERLINK(_xlfn.CONCAT("https://github.com/mauriceling/kinmodre/tree/main/GSM-odescripts/",A2,".py"),_xlfn.CONCAT(A2,".py"))</f>
        <v>e_coli_core.py</v>
      </c>
      <c r="K2" s="1" t="s">
        <v>206</v>
      </c>
    </row>
    <row r="3" spans="1:11" x14ac:dyDescent="0.4">
      <c r="A3" s="4" t="s">
        <v>2</v>
      </c>
      <c r="B3" s="5" t="s">
        <v>3</v>
      </c>
      <c r="C3" s="6">
        <v>342</v>
      </c>
      <c r="D3" s="6">
        <v>469</v>
      </c>
      <c r="E3" s="6">
        <v>346</v>
      </c>
      <c r="F3" s="7" t="s">
        <v>199</v>
      </c>
      <c r="G3" s="14" t="str">
        <f t="shared" ref="G3:G66" si="0">HYPERLINK(_xlfn.CONCAT("https://github.com/mauriceling/kinmodre/blob/main/GSM/",A3,".xml"),_xlfn.CONCAT(A3,".xml"))</f>
        <v>iAB_RBC_283.xml</v>
      </c>
      <c r="H3" s="14" t="str">
        <f t="shared" ref="H3:H66" si="1">HYPERLINK(_xlfn.CONCAT("https://github.com/mauriceling/kinmodre/tree/main/asm/",A3,".modelspec"),_xlfn.CONCAT(A3,".modelspec"))</f>
        <v>iAB_RBC_283.modelspec</v>
      </c>
      <c r="I3" s="14" t="str">
        <f t="shared" ref="I3:I66" si="2">HYPERLINK(_xlfn.CONCAT("https://github.com/mauriceling/kinmodre/tree/main/odescripts/",A3,".py"),_xlfn.CONCAT(A3,".py"))</f>
        <v>iAB_RBC_283.py</v>
      </c>
      <c r="J3" s="14" t="str">
        <f t="shared" ref="J3:J66" si="3">HYPERLINK(_xlfn.CONCAT("https://github.com/mauriceling/kinmodre/tree/main/GSM-odescripts/",A3,".py"),_xlfn.CONCAT(A3,".py"))</f>
        <v>iAB_RBC_283.py</v>
      </c>
      <c r="K3" s="1" t="s">
        <v>206</v>
      </c>
    </row>
    <row r="4" spans="1:11" x14ac:dyDescent="0.4">
      <c r="A4" s="4" t="s">
        <v>4</v>
      </c>
      <c r="B4" s="5" t="s">
        <v>1</v>
      </c>
      <c r="C4" s="6">
        <v>1668</v>
      </c>
      <c r="D4" s="6">
        <v>2382</v>
      </c>
      <c r="E4" s="6">
        <v>1261</v>
      </c>
      <c r="F4" s="7" t="s">
        <v>199</v>
      </c>
      <c r="G4" s="14" t="str">
        <f t="shared" si="0"/>
        <v>iAF1260.xml</v>
      </c>
      <c r="H4" s="14" t="str">
        <f t="shared" si="1"/>
        <v>iAF1260.modelspec</v>
      </c>
      <c r="I4" s="14" t="str">
        <f>HYPERLINK(_xlfn.CONCAT("https://github.com/mauriceling/kinmodre/tree/main/odescripts/",A4,".py"),_xlfn.CONCAT(A4,".py"))</f>
        <v>iAF1260.py</v>
      </c>
      <c r="J4" s="14" t="str">
        <f t="shared" si="3"/>
        <v>iAF1260.py</v>
      </c>
      <c r="K4" s="1" t="s">
        <v>206</v>
      </c>
    </row>
    <row r="5" spans="1:11" x14ac:dyDescent="0.4">
      <c r="A5" s="4" t="s">
        <v>5</v>
      </c>
      <c r="B5" s="5" t="s">
        <v>1</v>
      </c>
      <c r="C5" s="6">
        <v>1668</v>
      </c>
      <c r="D5" s="6">
        <v>2388</v>
      </c>
      <c r="E5" s="6">
        <v>1261</v>
      </c>
      <c r="F5" s="7" t="s">
        <v>199</v>
      </c>
      <c r="G5" s="14" t="str">
        <f t="shared" si="0"/>
        <v>iAF1260b.xml</v>
      </c>
      <c r="H5" s="14" t="str">
        <f t="shared" si="1"/>
        <v>iAF1260b.modelspec</v>
      </c>
      <c r="I5" s="14" t="str">
        <f t="shared" si="2"/>
        <v>iAF1260b.py</v>
      </c>
      <c r="J5" s="14" t="str">
        <f t="shared" si="3"/>
        <v>iAF1260b.py</v>
      </c>
      <c r="K5" s="1" t="s">
        <v>206</v>
      </c>
    </row>
    <row r="6" spans="1:11" x14ac:dyDescent="0.4">
      <c r="A6" s="4" t="s">
        <v>6</v>
      </c>
      <c r="B6" s="5" t="s">
        <v>7</v>
      </c>
      <c r="C6" s="6">
        <v>628</v>
      </c>
      <c r="D6" s="6">
        <v>690</v>
      </c>
      <c r="E6" s="6">
        <v>692</v>
      </c>
      <c r="F6" s="7" t="s">
        <v>199</v>
      </c>
      <c r="G6" s="14" t="str">
        <f t="shared" si="0"/>
        <v>iAF692.xml</v>
      </c>
      <c r="H6" s="14" t="str">
        <f t="shared" si="1"/>
        <v>iAF692.modelspec</v>
      </c>
      <c r="I6" s="14" t="str">
        <f t="shared" si="2"/>
        <v>iAF692.py</v>
      </c>
      <c r="J6" s="14" t="str">
        <f t="shared" si="3"/>
        <v>iAF692.py</v>
      </c>
      <c r="K6" s="1" t="s">
        <v>206</v>
      </c>
    </row>
    <row r="7" spans="1:11" x14ac:dyDescent="0.4">
      <c r="A7" s="4" t="s">
        <v>8</v>
      </c>
      <c r="B7" s="5" t="s">
        <v>9</v>
      </c>
      <c r="C7" s="6">
        <v>1109</v>
      </c>
      <c r="D7" s="6">
        <v>1285</v>
      </c>
      <c r="E7" s="6">
        <v>987</v>
      </c>
      <c r="F7" s="7" t="s">
        <v>199</v>
      </c>
      <c r="G7" s="14" t="str">
        <f t="shared" si="0"/>
        <v>iAF987.xml</v>
      </c>
      <c r="H7" s="14" t="str">
        <f t="shared" si="1"/>
        <v>iAF987.modelspec</v>
      </c>
      <c r="I7" s="14" t="str">
        <f t="shared" si="2"/>
        <v>iAF987.py</v>
      </c>
      <c r="J7" s="14" t="str">
        <f t="shared" si="3"/>
        <v>iAF987.py</v>
      </c>
      <c r="K7" s="1" t="s">
        <v>206</v>
      </c>
    </row>
    <row r="8" spans="1:11" x14ac:dyDescent="0.4">
      <c r="A8" s="4" t="s">
        <v>10</v>
      </c>
      <c r="B8" s="5" t="s">
        <v>11</v>
      </c>
      <c r="C8" s="6">
        <v>903</v>
      </c>
      <c r="D8" s="6">
        <v>1067</v>
      </c>
      <c r="E8" s="6">
        <v>448</v>
      </c>
      <c r="F8" s="7" t="s">
        <v>199</v>
      </c>
      <c r="G8" s="14" t="str">
        <f>HYPERLINK(_xlfn.CONCAT("https://github.com/mauriceling/kinmodre/blob/main/GSM/",A8,".xml"),_xlfn.CONCAT(A8,".xml"))</f>
        <v>iAM_Pb448.xml</v>
      </c>
      <c r="H8" s="14" t="str">
        <f t="shared" si="1"/>
        <v>iAM_Pb448.modelspec</v>
      </c>
      <c r="I8" s="14" t="str">
        <f t="shared" si="2"/>
        <v>iAM_Pb448.py</v>
      </c>
      <c r="J8" s="14" t="str">
        <f t="shared" si="3"/>
        <v>iAM_Pb448.py</v>
      </c>
      <c r="K8" s="1" t="s">
        <v>206</v>
      </c>
    </row>
    <row r="9" spans="1:11" x14ac:dyDescent="0.4">
      <c r="A9" s="4" t="s">
        <v>12</v>
      </c>
      <c r="B9" s="5" t="s">
        <v>13</v>
      </c>
      <c r="C9" s="6">
        <v>907</v>
      </c>
      <c r="D9" s="6">
        <v>1074</v>
      </c>
      <c r="E9" s="6">
        <v>455</v>
      </c>
      <c r="F9" s="7" t="s">
        <v>199</v>
      </c>
      <c r="G9" s="14" t="str">
        <f t="shared" si="0"/>
        <v>iAM_Pc455.xml</v>
      </c>
      <c r="H9" s="14" t="str">
        <f t="shared" si="1"/>
        <v>iAM_Pc455.modelspec</v>
      </c>
      <c r="I9" s="14" t="str">
        <f>HYPERLINK(_xlfn.CONCAT("https://github.com/mauriceling/kinmodre/tree/main/odescripts/",A9,".py"),_xlfn.CONCAT(A9,".py"))</f>
        <v>iAM_Pc455.py</v>
      </c>
      <c r="J9" s="14" t="str">
        <f t="shared" si="3"/>
        <v>iAM_Pc455.py</v>
      </c>
      <c r="K9" s="1" t="s">
        <v>206</v>
      </c>
    </row>
    <row r="10" spans="1:11" x14ac:dyDescent="0.4">
      <c r="A10" s="4" t="s">
        <v>14</v>
      </c>
      <c r="B10" s="5" t="s">
        <v>15</v>
      </c>
      <c r="C10" s="6">
        <v>909</v>
      </c>
      <c r="D10" s="6">
        <v>1083</v>
      </c>
      <c r="E10" s="6">
        <v>480</v>
      </c>
      <c r="F10" s="7" t="s">
        <v>199</v>
      </c>
      <c r="G10" s="14" t="str">
        <f t="shared" si="0"/>
        <v>iAM_Pf480.xml</v>
      </c>
      <c r="H10" s="14" t="str">
        <f t="shared" si="1"/>
        <v>iAM_Pf480.modelspec</v>
      </c>
      <c r="I10" s="14" t="str">
        <f>HYPERLINK(_xlfn.CONCAT("https://github.com/mauriceling/kinmodre/tree/main/odescripts/",A10,".py"),_xlfn.CONCAT(A10,".py"))</f>
        <v>iAM_Pf480.py</v>
      </c>
      <c r="J10" s="14" t="str">
        <f>HYPERLINK(_xlfn.CONCAT("https://github.com/mauriceling/kinmodre/tree/main/GSM-odescripts/",A10,".py"),_xlfn.CONCAT(A10,".py"))</f>
        <v>iAM_Pf480.py</v>
      </c>
      <c r="K10" s="1" t="s">
        <v>206</v>
      </c>
    </row>
    <row r="11" spans="1:11" x14ac:dyDescent="0.4">
      <c r="A11" s="4" t="s">
        <v>16</v>
      </c>
      <c r="B11" s="5" t="s">
        <v>17</v>
      </c>
      <c r="C11" s="6">
        <v>909</v>
      </c>
      <c r="D11" s="6">
        <v>1079</v>
      </c>
      <c r="E11" s="6">
        <v>459</v>
      </c>
      <c r="F11" s="7" t="s">
        <v>199</v>
      </c>
      <c r="G11" s="14" t="str">
        <f>HYPERLINK(_xlfn.CONCAT("https://github.com/mauriceling/kinmodre/blob/main/GSM/",A11,".xml"),_xlfn.CONCAT(A11,".xml"))</f>
        <v>iAM_Pk459.xml</v>
      </c>
      <c r="H11" s="14" t="str">
        <f>HYPERLINK(_xlfn.CONCAT("https://github.com/mauriceling/kinmodre/tree/main/asm/",A11,".modelspec"),_xlfn.CONCAT(A11,".modelspec"))</f>
        <v>iAM_Pk459.modelspec</v>
      </c>
      <c r="I11" s="14" t="str">
        <f t="shared" si="2"/>
        <v>iAM_Pk459.py</v>
      </c>
      <c r="J11" s="14" t="str">
        <f t="shared" si="3"/>
        <v>iAM_Pk459.py</v>
      </c>
      <c r="K11" s="1" t="s">
        <v>206</v>
      </c>
    </row>
    <row r="12" spans="1:11" x14ac:dyDescent="0.4">
      <c r="A12" s="4" t="s">
        <v>18</v>
      </c>
      <c r="B12" s="5" t="s">
        <v>19</v>
      </c>
      <c r="C12" s="6">
        <v>909</v>
      </c>
      <c r="D12" s="6">
        <v>1078</v>
      </c>
      <c r="E12" s="6">
        <v>461</v>
      </c>
      <c r="F12" s="7" t="s">
        <v>199</v>
      </c>
      <c r="G12" s="14" t="str">
        <f t="shared" si="0"/>
        <v>iAM_Pv461.xml</v>
      </c>
      <c r="H12" s="14" t="str">
        <f t="shared" si="1"/>
        <v>iAM_Pv461.modelspec</v>
      </c>
      <c r="I12" s="14" t="str">
        <f>HYPERLINK(_xlfn.CONCAT("https://github.com/mauriceling/kinmodre/tree/main/odescripts/",A12,".py"),_xlfn.CONCAT(A12,".py"))</f>
        <v>iAM_Pv461.py</v>
      </c>
      <c r="J12" s="14" t="str">
        <f t="shared" si="3"/>
        <v>iAM_Pv461.py</v>
      </c>
      <c r="K12" s="1" t="s">
        <v>206</v>
      </c>
    </row>
    <row r="13" spans="1:11" ht="29.5" x14ac:dyDescent="0.4">
      <c r="A13" s="4" t="s">
        <v>20</v>
      </c>
      <c r="B13" s="5" t="s">
        <v>21</v>
      </c>
      <c r="C13" s="6">
        <v>1942</v>
      </c>
      <c r="D13" s="6">
        <v>2735</v>
      </c>
      <c r="E13" s="6">
        <v>1313</v>
      </c>
      <c r="F13" s="7" t="s">
        <v>199</v>
      </c>
      <c r="G13" s="14" t="str">
        <f t="shared" si="0"/>
        <v>iAPECO1_1312.xml</v>
      </c>
      <c r="H13" s="14" t="str">
        <f t="shared" si="1"/>
        <v>iAPECO1_1312.modelspec</v>
      </c>
      <c r="I13" s="14" t="str">
        <f>HYPERLINK(_xlfn.CONCAT("https://github.com/mauriceling/kinmodre/tree/main/odescripts/",A13,".py"),_xlfn.CONCAT(A13,".py"))</f>
        <v>iAPECO1_1312.py</v>
      </c>
      <c r="J13" s="14" t="str">
        <f>HYPERLINK(_xlfn.CONCAT("https://github.com/mauriceling/kinmodre/tree/main/GSM-odescripts/",A13,".py"),_xlfn.CONCAT(A13,".py"))</f>
        <v>iAPECO1_1312.py</v>
      </c>
      <c r="K13" s="1" t="s">
        <v>206</v>
      </c>
    </row>
    <row r="14" spans="1:11" x14ac:dyDescent="0.4">
      <c r="A14" s="4" t="s">
        <v>22</v>
      </c>
      <c r="B14" s="5" t="s">
        <v>3</v>
      </c>
      <c r="C14" s="6">
        <v>738</v>
      </c>
      <c r="D14" s="6">
        <v>1008</v>
      </c>
      <c r="E14" s="6">
        <v>636</v>
      </c>
      <c r="F14" s="7" t="s">
        <v>199</v>
      </c>
      <c r="G14" s="14" t="str">
        <f t="shared" si="0"/>
        <v>iAT_PLT_636.xml</v>
      </c>
      <c r="H14" s="14" t="str">
        <f t="shared" si="1"/>
        <v>iAT_PLT_636.modelspec</v>
      </c>
      <c r="I14" s="14" t="str">
        <f>HYPERLINK(_xlfn.CONCAT("https://github.com/mauriceling/kinmodre/tree/main/odescripts/",A14,".py"),_xlfn.CONCAT(A14,".py"))</f>
        <v>iAT_PLT_636.py</v>
      </c>
      <c r="J14" s="14" t="str">
        <f t="shared" si="3"/>
        <v>iAT_PLT_636.py</v>
      </c>
      <c r="K14" s="1" t="s">
        <v>206</v>
      </c>
    </row>
    <row r="15" spans="1:11" x14ac:dyDescent="0.4">
      <c r="A15" s="4" t="s">
        <v>23</v>
      </c>
      <c r="B15" s="5" t="s">
        <v>24</v>
      </c>
      <c r="C15" s="6">
        <v>1943</v>
      </c>
      <c r="D15" s="6">
        <v>2741</v>
      </c>
      <c r="E15" s="6">
        <v>1337</v>
      </c>
      <c r="F15" s="7" t="s">
        <v>199</v>
      </c>
      <c r="G15" s="14" t="str">
        <f t="shared" si="0"/>
        <v>iB21_1397.xml</v>
      </c>
      <c r="H15" s="14" t="str">
        <f t="shared" si="1"/>
        <v>iB21_1397.modelspec</v>
      </c>
      <c r="I15" s="14" t="str">
        <f>HYPERLINK(_xlfn.CONCAT("https://github.com/mauriceling/kinmodre/tree/main/odescripts/",A15,".py"),_xlfn.CONCAT(A15,".py"))</f>
        <v>iB21_1397.py</v>
      </c>
      <c r="J15" s="14" t="str">
        <f>HYPERLINK(_xlfn.CONCAT("https://github.com/mauriceling/kinmodre/tree/main/GSM-odescripts/",A15,".py"),_xlfn.CONCAT(A15,".py"))</f>
        <v>iB21_1397.py</v>
      </c>
      <c r="K15" s="1" t="s">
        <v>206</v>
      </c>
    </row>
    <row r="16" spans="1:11" x14ac:dyDescent="0.4">
      <c r="A16" s="4" t="s">
        <v>25</v>
      </c>
      <c r="B16" s="5" t="s">
        <v>26</v>
      </c>
      <c r="C16" s="6">
        <v>1949</v>
      </c>
      <c r="D16" s="6">
        <v>2741</v>
      </c>
      <c r="E16" s="6">
        <v>1329</v>
      </c>
      <c r="F16" s="7" t="s">
        <v>199</v>
      </c>
      <c r="G16" s="14" t="str">
        <f t="shared" si="0"/>
        <v>iBWG_1329.xml</v>
      </c>
      <c r="H16" s="14" t="str">
        <f t="shared" si="1"/>
        <v>iBWG_1329.modelspec</v>
      </c>
      <c r="I16" s="14" t="str">
        <f t="shared" si="2"/>
        <v>iBWG_1329.py</v>
      </c>
      <c r="J16" s="14" t="str">
        <f>HYPERLINK(_xlfn.CONCAT("https://github.com/mauriceling/kinmodre/tree/main/GSM-odescripts/",A16,".py"),_xlfn.CONCAT(A16,".py"))</f>
        <v>iBWG_1329.py</v>
      </c>
      <c r="K16" s="1" t="s">
        <v>206</v>
      </c>
    </row>
    <row r="17" spans="1:11" x14ac:dyDescent="0.4">
      <c r="A17" s="4" t="s">
        <v>27</v>
      </c>
      <c r="B17" s="5" t="s">
        <v>28</v>
      </c>
      <c r="C17" s="6">
        <v>1936</v>
      </c>
      <c r="D17" s="6">
        <v>2726</v>
      </c>
      <c r="E17" s="6">
        <v>1307</v>
      </c>
      <c r="F17" s="7" t="s">
        <v>199</v>
      </c>
      <c r="G17" s="14" t="str">
        <f t="shared" si="0"/>
        <v>ic_1306.xml</v>
      </c>
      <c r="H17" s="14" t="str">
        <f t="shared" si="1"/>
        <v>ic_1306.modelspec</v>
      </c>
      <c r="I17" s="14" t="str">
        <f>HYPERLINK(_xlfn.CONCAT("https://github.com/mauriceling/kinmodre/tree/main/odescripts/",A17,".py"),_xlfn.CONCAT(A17,".py"))</f>
        <v>ic_1306.py</v>
      </c>
      <c r="J17" s="14" t="str">
        <f t="shared" si="3"/>
        <v>ic_1306.py</v>
      </c>
      <c r="K17" s="1" t="s">
        <v>206</v>
      </c>
    </row>
    <row r="18" spans="1:11" x14ac:dyDescent="0.4">
      <c r="A18" s="4" t="s">
        <v>29</v>
      </c>
      <c r="B18" s="5" t="s">
        <v>30</v>
      </c>
      <c r="C18" s="6">
        <v>4456</v>
      </c>
      <c r="D18" s="6">
        <v>6663</v>
      </c>
      <c r="E18" s="6">
        <v>1766</v>
      </c>
      <c r="F18" s="7" t="s">
        <v>199</v>
      </c>
      <c r="G18" s="14" t="str">
        <f>HYPERLINK(_xlfn.CONCAT("https://github.com/mauriceling/kinmodre/blob/main/GSM/",A18,".xml"),_xlfn.CONCAT(A18,".xml"))</f>
        <v>iCHOv1.xml</v>
      </c>
      <c r="H18" s="14" t="str">
        <f t="shared" si="1"/>
        <v>iCHOv1.modelspec</v>
      </c>
      <c r="I18" s="14" t="str">
        <f t="shared" si="2"/>
        <v>iCHOv1.py</v>
      </c>
      <c r="J18" s="14" t="str">
        <f t="shared" si="3"/>
        <v>iCHOv1.py</v>
      </c>
      <c r="K18" s="1" t="s">
        <v>206</v>
      </c>
    </row>
    <row r="19" spans="1:11" ht="29.5" x14ac:dyDescent="0.4">
      <c r="A19" s="4" t="s">
        <v>31</v>
      </c>
      <c r="B19" s="5" t="s">
        <v>30</v>
      </c>
      <c r="C19" s="6">
        <v>2751</v>
      </c>
      <c r="D19" s="6">
        <v>3942</v>
      </c>
      <c r="E19" s="6">
        <v>1184</v>
      </c>
      <c r="F19" s="7" t="s">
        <v>199</v>
      </c>
      <c r="G19" s="14" t="str">
        <f t="shared" si="0"/>
        <v>iCHOv1_DG44.xml</v>
      </c>
      <c r="H19" s="14" t="str">
        <f>HYPERLINK(_xlfn.CONCAT("https://github.com/mauriceling/kinmodre/tree/main/asm/",A19,".modelspec"),_xlfn.CONCAT(A19,".modelspec"))</f>
        <v>iCHOv1_DG44.modelspec</v>
      </c>
      <c r="I19" s="14" t="str">
        <f t="shared" si="2"/>
        <v>iCHOv1_DG44.py</v>
      </c>
      <c r="J19" s="14" t="str">
        <f t="shared" si="3"/>
        <v>iCHOv1_DG44.py</v>
      </c>
      <c r="K19" s="13" t="str">
        <f>HYPERLINK(_xlfn.CONCAT("https://github.com/Minionnick/kinmodre/tree/main/asm/",A19,".modelspec"),_xlfn.CONCAT(A19,".modelspec"))</f>
        <v>iCHOv1_DG44.modelspec</v>
      </c>
    </row>
    <row r="20" spans="1:11" ht="29.5" x14ac:dyDescent="0.4">
      <c r="A20" s="4" t="s">
        <v>32</v>
      </c>
      <c r="B20" s="5" t="s">
        <v>33</v>
      </c>
      <c r="C20" s="6">
        <v>888</v>
      </c>
      <c r="D20" s="6">
        <v>1015</v>
      </c>
      <c r="E20" s="6">
        <v>709</v>
      </c>
      <c r="F20" s="7" t="s">
        <v>199</v>
      </c>
      <c r="G20" s="14" t="str">
        <f t="shared" si="0"/>
        <v>iCN718.xml</v>
      </c>
      <c r="H20" s="14" t="str">
        <f t="shared" si="1"/>
        <v>iCN718.modelspec</v>
      </c>
      <c r="I20" s="14" t="str">
        <f t="shared" si="2"/>
        <v>iCN718.py</v>
      </c>
      <c r="J20" s="14" t="str">
        <f t="shared" si="3"/>
        <v>iCN718.py</v>
      </c>
      <c r="K20" s="13" t="str">
        <f t="shared" ref="K20:K50" si="4">HYPERLINK(_xlfn.CONCAT("https://github.com/Minionnick/kinmodre/tree/main/asm/",A20,".modelspec"),_xlfn.CONCAT(A20,".modelspec"))</f>
        <v>iCN718.modelspec</v>
      </c>
    </row>
    <row r="21" spans="1:11" ht="29.5" x14ac:dyDescent="0.4">
      <c r="A21" s="4" t="s">
        <v>34</v>
      </c>
      <c r="B21" s="5" t="s">
        <v>35</v>
      </c>
      <c r="C21" s="6">
        <v>885</v>
      </c>
      <c r="D21" s="6">
        <v>1229</v>
      </c>
      <c r="E21" s="6">
        <v>900</v>
      </c>
      <c r="F21" s="7" t="s">
        <v>199</v>
      </c>
      <c r="G21" s="14" t="str">
        <f t="shared" si="0"/>
        <v>iCN900.xml</v>
      </c>
      <c r="H21" s="14" t="str">
        <f t="shared" si="1"/>
        <v>iCN900.modelspec</v>
      </c>
      <c r="I21" s="14" t="str">
        <f>HYPERLINK(_xlfn.CONCAT("https://github.com/mauriceling/kinmodre/tree/main/odescripts/",A21,".py"),_xlfn.CONCAT(A21,".py"))</f>
        <v>iCN900.py</v>
      </c>
      <c r="J21" s="14" t="str">
        <f>HYPERLINK(_xlfn.CONCAT("https://github.com/mauriceling/kinmodre/tree/main/GSM-odescripts/",A21,".py"),_xlfn.CONCAT(A21,".py"))</f>
        <v>iCN900.py</v>
      </c>
      <c r="K21" s="13" t="str">
        <f t="shared" si="4"/>
        <v>iCN900.modelspec</v>
      </c>
    </row>
    <row r="22" spans="1:11" ht="29.5" x14ac:dyDescent="0.4">
      <c r="A22" s="4" t="s">
        <v>36</v>
      </c>
      <c r="B22" s="5" t="s">
        <v>37</v>
      </c>
      <c r="C22" s="6">
        <v>1919</v>
      </c>
      <c r="D22" s="6">
        <v>2703</v>
      </c>
      <c r="E22" s="6">
        <v>1287</v>
      </c>
      <c r="F22" s="7" t="s">
        <v>199</v>
      </c>
      <c r="G22" s="14" t="str">
        <f t="shared" si="0"/>
        <v>iE2348C_1286.xml</v>
      </c>
      <c r="H22" s="14" t="str">
        <f t="shared" si="1"/>
        <v>iE2348C_1286.modelspec</v>
      </c>
      <c r="I22" s="14" t="str">
        <f t="shared" si="2"/>
        <v>iE2348C_1286.py</v>
      </c>
      <c r="J22" s="14" t="str">
        <f>HYPERLINK(_xlfn.CONCAT("https://github.com/mauriceling/kinmodre/tree/main/GSM-odescripts/",A22,".py"),_xlfn.CONCAT(A22,".py"))</f>
        <v>iE2348C_1286.py</v>
      </c>
      <c r="K22" s="13" t="str">
        <f t="shared" si="4"/>
        <v>iE2348C_1286.modelspec</v>
      </c>
    </row>
    <row r="23" spans="1:11" x14ac:dyDescent="0.4">
      <c r="A23" s="4" t="s">
        <v>38</v>
      </c>
      <c r="B23" s="5" t="s">
        <v>39</v>
      </c>
      <c r="C23" s="6">
        <v>1926</v>
      </c>
      <c r="D23" s="6">
        <v>2714</v>
      </c>
      <c r="E23" s="6">
        <v>1314</v>
      </c>
      <c r="F23" s="7" t="s">
        <v>199</v>
      </c>
      <c r="G23" s="14" t="str">
        <f>HYPERLINK(_xlfn.CONCAT("https://github.com/mauriceling/kinmodre/blob/main/GSM/",A23,".xml"),_xlfn.CONCAT(A23,".xml"))</f>
        <v>iEC042_1314.xml</v>
      </c>
      <c r="H23" s="14" t="str">
        <f t="shared" si="1"/>
        <v>iEC042_1314.modelspec</v>
      </c>
      <c r="I23" s="14" t="str">
        <f>HYPERLINK(_xlfn.CONCAT("https://github.com/mauriceling/kinmodre/tree/main/odescripts/",A23,".py"),_xlfn.CONCAT(A23,".py"))</f>
        <v>iEC042_1314.py</v>
      </c>
      <c r="J23" s="14" t="str">
        <f t="shared" si="3"/>
        <v>iEC042_1314.py</v>
      </c>
      <c r="K23" s="13" t="str">
        <f>HYPERLINK(_xlfn.CONCAT("https://github.com/Minionnick/kinmodre/tree/main/asm/",A23,".modelspec"),_xlfn.CONCAT(A23,".modelspec"))</f>
        <v>iEC042_1314.modelspec</v>
      </c>
    </row>
    <row r="24" spans="1:11" ht="29.5" x14ac:dyDescent="0.4">
      <c r="A24" s="4" t="s">
        <v>40</v>
      </c>
      <c r="B24" s="5" t="s">
        <v>41</v>
      </c>
      <c r="C24" s="6">
        <v>1934</v>
      </c>
      <c r="D24" s="6">
        <v>2726</v>
      </c>
      <c r="E24" s="6">
        <v>1344</v>
      </c>
      <c r="F24" s="7" t="s">
        <v>199</v>
      </c>
      <c r="G24" s="14" t="str">
        <f>HYPERLINK(_xlfn.CONCAT("https://github.com/mauriceling/kinmodre/blob/main/GSM/",A24,".xml"),_xlfn.CONCAT(A24,".xml"))</f>
        <v>iEC1344_C.xml</v>
      </c>
      <c r="H24" s="14" t="str">
        <f>HYPERLINK(_xlfn.CONCAT("https://github.com/mauriceling/kinmodre/tree/main/asm/",A24,".modelspec"),_xlfn.CONCAT(A24,".modelspec"))</f>
        <v>iEC1344_C.modelspec</v>
      </c>
      <c r="I24" s="14" t="str">
        <f t="shared" si="2"/>
        <v>iEC1344_C.py</v>
      </c>
      <c r="J24" s="14" t="str">
        <f t="shared" si="3"/>
        <v>iEC1344_C.py</v>
      </c>
      <c r="K24" s="13" t="str">
        <f t="shared" si="4"/>
        <v>iEC1344_C.modelspec</v>
      </c>
    </row>
    <row r="25" spans="1:11" ht="29.5" x14ac:dyDescent="0.4">
      <c r="A25" s="4" t="s">
        <v>42</v>
      </c>
      <c r="B25" s="5" t="s">
        <v>43</v>
      </c>
      <c r="C25" s="6">
        <v>1946</v>
      </c>
      <c r="D25" s="6">
        <v>2756</v>
      </c>
      <c r="E25" s="6">
        <v>1349</v>
      </c>
      <c r="F25" s="7" t="s">
        <v>199</v>
      </c>
      <c r="G25" s="14" t="str">
        <f t="shared" si="0"/>
        <v>iEC1349_Crooks.xml</v>
      </c>
      <c r="H25" s="14" t="str">
        <f t="shared" si="1"/>
        <v>iEC1349_Crooks.modelspec</v>
      </c>
      <c r="I25" s="14" t="str">
        <f t="shared" si="2"/>
        <v>iEC1349_Crooks.py</v>
      </c>
      <c r="J25" s="14" t="str">
        <f t="shared" si="3"/>
        <v>iEC1349_Crooks.py</v>
      </c>
      <c r="K25" s="13" t="str">
        <f t="shared" si="4"/>
        <v>iEC1349_Crooks.modelspec</v>
      </c>
    </row>
    <row r="26" spans="1:11" ht="29.5" x14ac:dyDescent="0.4">
      <c r="A26" s="4" t="s">
        <v>44</v>
      </c>
      <c r="B26" s="5" t="s">
        <v>24</v>
      </c>
      <c r="C26" s="6">
        <v>1918</v>
      </c>
      <c r="D26" s="6">
        <v>2740</v>
      </c>
      <c r="E26" s="6">
        <v>1356</v>
      </c>
      <c r="F26" s="7" t="s">
        <v>199</v>
      </c>
      <c r="G26" s="14" t="str">
        <f t="shared" si="0"/>
        <v>iEC1356_Bl21DE3.xml</v>
      </c>
      <c r="H26" s="14" t="str">
        <f t="shared" si="1"/>
        <v>iEC1356_Bl21DE3.modelspec</v>
      </c>
      <c r="I26" s="14" t="str">
        <f t="shared" si="2"/>
        <v>iEC1356_Bl21DE3.py</v>
      </c>
      <c r="J26" s="14" t="str">
        <f>HYPERLINK(_xlfn.CONCAT("https://github.com/mauriceling/kinmodre/tree/main/GSM-odescripts/",A26,".py"),_xlfn.CONCAT(A26,".py"))</f>
        <v>iEC1356_Bl21DE3.py</v>
      </c>
      <c r="K26" s="13" t="str">
        <f>HYPERLINK(_xlfn.CONCAT("https://github.com/Minionnick/kinmodre/tree/main/asm/",A26,".modelspec"),_xlfn.CONCAT(A26,".modelspec"))</f>
        <v>iEC1356_Bl21DE3.modelspec</v>
      </c>
    </row>
    <row r="27" spans="1:11" ht="29.5" x14ac:dyDescent="0.4">
      <c r="A27" s="4" t="s">
        <v>45</v>
      </c>
      <c r="B27" s="5" t="s">
        <v>46</v>
      </c>
      <c r="C27" s="6">
        <v>1927</v>
      </c>
      <c r="D27" s="6">
        <v>2764</v>
      </c>
      <c r="E27" s="6">
        <v>1364</v>
      </c>
      <c r="F27" s="7" t="s">
        <v>199</v>
      </c>
      <c r="G27" s="14" t="str">
        <f t="shared" si="0"/>
        <v>iEC1364_W.xml</v>
      </c>
      <c r="H27" s="14" t="str">
        <f>HYPERLINK(_xlfn.CONCAT("https://github.com/mauriceling/kinmodre/tree/main/asm/",A27,".modelspec"),_xlfn.CONCAT(A27,".modelspec"))</f>
        <v>iEC1364_W.modelspec</v>
      </c>
      <c r="I27" s="14" t="str">
        <f t="shared" si="2"/>
        <v>iEC1364_W.py</v>
      </c>
      <c r="J27" s="14" t="str">
        <f t="shared" si="3"/>
        <v>iEC1364_W.py</v>
      </c>
      <c r="K27" s="13" t="str">
        <f t="shared" si="4"/>
        <v>iEC1364_W.modelspec</v>
      </c>
    </row>
    <row r="28" spans="1:11" ht="29.5" x14ac:dyDescent="0.4">
      <c r="A28" s="4" t="s">
        <v>47</v>
      </c>
      <c r="B28" s="5" t="s">
        <v>48</v>
      </c>
      <c r="C28" s="6">
        <v>1951</v>
      </c>
      <c r="D28" s="6">
        <v>2779</v>
      </c>
      <c r="E28" s="6">
        <v>1368</v>
      </c>
      <c r="F28" s="7" t="s">
        <v>199</v>
      </c>
      <c r="G28" s="14" t="str">
        <f t="shared" si="0"/>
        <v>iEC1368_DH5a.xml</v>
      </c>
      <c r="H28" s="14" t="str">
        <f>HYPERLINK(_xlfn.CONCAT("https://github.com/mauriceling/kinmodre/tree/main/asm/",A28,".modelspec"),_xlfn.CONCAT(A28,".modelspec"))</f>
        <v>iEC1368_DH5a.modelspec</v>
      </c>
      <c r="I28" s="14" t="str">
        <f t="shared" si="2"/>
        <v>iEC1368_DH5a.py</v>
      </c>
      <c r="J28" s="14" t="str">
        <f>HYPERLINK(_xlfn.CONCAT("https://github.com/mauriceling/kinmodre/tree/main/GSM-odescripts/",A28,".py"),_xlfn.CONCAT(A28,".py"))</f>
        <v>iEC1368_DH5a.py</v>
      </c>
      <c r="K28" s="13" t="str">
        <f t="shared" si="4"/>
        <v>iEC1368_DH5a.modelspec</v>
      </c>
    </row>
    <row r="29" spans="1:11" ht="29.5" x14ac:dyDescent="0.4">
      <c r="A29" s="4" t="s">
        <v>49</v>
      </c>
      <c r="B29" s="5" t="s">
        <v>50</v>
      </c>
      <c r="C29" s="6">
        <v>1918</v>
      </c>
      <c r="D29" s="6">
        <v>2758</v>
      </c>
      <c r="E29" s="6">
        <v>1372</v>
      </c>
      <c r="F29" s="7" t="s">
        <v>199</v>
      </c>
      <c r="G29" s="14" t="str">
        <f t="shared" si="0"/>
        <v>iEC1372_W3110.xml</v>
      </c>
      <c r="H29" s="14" t="str">
        <f t="shared" si="1"/>
        <v>iEC1372_W3110.modelspec</v>
      </c>
      <c r="I29" s="14" t="str">
        <f t="shared" si="2"/>
        <v>iEC1372_W3110.py</v>
      </c>
      <c r="J29" s="14" t="str">
        <f t="shared" si="3"/>
        <v>iEC1372_W3110.py</v>
      </c>
      <c r="K29" s="13" t="str">
        <f>HYPERLINK(_xlfn.CONCAT("https://github.com/Minionnick/kinmodre/tree/main/asm/",A29,".modelspec"),_xlfn.CONCAT(A29,".modelspec"))</f>
        <v>iEC1372_W3110.modelspec</v>
      </c>
    </row>
    <row r="30" spans="1:11" ht="29.5" x14ac:dyDescent="0.4">
      <c r="A30" s="4" t="s">
        <v>51</v>
      </c>
      <c r="B30" s="5" t="s">
        <v>52</v>
      </c>
      <c r="C30" s="6">
        <v>1953</v>
      </c>
      <c r="D30" s="6">
        <v>2756</v>
      </c>
      <c r="E30" s="6">
        <v>1330</v>
      </c>
      <c r="F30" s="7" t="s">
        <v>199</v>
      </c>
      <c r="G30" s="14" t="str">
        <f t="shared" si="0"/>
        <v>iEC55989_1330.xml</v>
      </c>
      <c r="H30" s="14" t="str">
        <f t="shared" si="1"/>
        <v>iEC55989_1330.modelspec</v>
      </c>
      <c r="I30" s="14" t="str">
        <f t="shared" si="2"/>
        <v>iEC55989_1330.py</v>
      </c>
      <c r="J30" s="14" t="str">
        <f t="shared" si="3"/>
        <v>iEC55989_1330.py</v>
      </c>
      <c r="K30" s="13" t="str">
        <f t="shared" si="4"/>
        <v>iEC55989_1330.modelspec</v>
      </c>
    </row>
    <row r="31" spans="1:11" ht="29.5" x14ac:dyDescent="0.4">
      <c r="A31" s="4" t="s">
        <v>53</v>
      </c>
      <c r="B31" s="5" t="s">
        <v>54</v>
      </c>
      <c r="C31" s="6">
        <v>1942</v>
      </c>
      <c r="D31" s="6">
        <v>2731</v>
      </c>
      <c r="E31" s="6">
        <v>1320</v>
      </c>
      <c r="F31" s="7" t="s">
        <v>199</v>
      </c>
      <c r="G31" s="14" t="str">
        <f>HYPERLINK(_xlfn.CONCAT("https://github.com/mauriceling/kinmodre/blob/main/GSM/",A31,".xml"),_xlfn.CONCAT(A31,".xml"))</f>
        <v>iECABU_c1320.xml</v>
      </c>
      <c r="H31" s="14" t="str">
        <f>HYPERLINK(_xlfn.CONCAT("https://github.com/mauriceling/kinmodre/tree/main/asm/",A31,".modelspec"),_xlfn.CONCAT(A31,".modelspec"))</f>
        <v>iECABU_c1320.modelspec</v>
      </c>
      <c r="I31" s="14" t="str">
        <f t="shared" si="2"/>
        <v>iECABU_c1320.py</v>
      </c>
      <c r="J31" s="14" t="str">
        <f t="shared" si="3"/>
        <v>iECABU_c1320.py</v>
      </c>
      <c r="K31" s="13" t="str">
        <f t="shared" si="4"/>
        <v>iECABU_c1320.modelspec</v>
      </c>
    </row>
    <row r="32" spans="1:11" ht="29.5" x14ac:dyDescent="0.4">
      <c r="A32" s="4" t="s">
        <v>55</v>
      </c>
      <c r="B32" s="5" t="s">
        <v>56</v>
      </c>
      <c r="C32" s="6">
        <v>1951</v>
      </c>
      <c r="D32" s="6">
        <v>2748</v>
      </c>
      <c r="E32" s="6">
        <v>1329</v>
      </c>
      <c r="F32" s="7" t="s">
        <v>199</v>
      </c>
      <c r="G32" s="14" t="str">
        <f t="shared" si="0"/>
        <v>iECB_1328.xml</v>
      </c>
      <c r="H32" s="14" t="str">
        <f>HYPERLINK(_xlfn.CONCAT("https://github.com/mauriceling/kinmodre/tree/main/asm/",A32,".modelspec"),_xlfn.CONCAT(A32,".modelspec"))</f>
        <v>iECB_1328.modelspec</v>
      </c>
      <c r="I32" s="14" t="str">
        <f t="shared" si="2"/>
        <v>iECB_1328.py</v>
      </c>
      <c r="J32" s="14" t="str">
        <f>HYPERLINK(_xlfn.CONCAT("https://github.com/mauriceling/kinmodre/tree/main/GSM-odescripts/",A32,".py"),_xlfn.CONCAT(A32,".py"))</f>
        <v>iECB_1328.py</v>
      </c>
      <c r="K32" s="13" t="str">
        <f t="shared" si="4"/>
        <v>iECB_1328.modelspec</v>
      </c>
    </row>
    <row r="33" spans="1:11" ht="29.5" x14ac:dyDescent="0.4">
      <c r="A33" s="4" t="s">
        <v>57</v>
      </c>
      <c r="B33" s="5" t="s">
        <v>58</v>
      </c>
      <c r="C33" s="6">
        <v>1952</v>
      </c>
      <c r="D33" s="6">
        <v>2748</v>
      </c>
      <c r="E33" s="6">
        <v>1354</v>
      </c>
      <c r="F33" s="7" t="s">
        <v>199</v>
      </c>
      <c r="G33" s="14" t="str">
        <f t="shared" si="0"/>
        <v>iECBD_1354.xml</v>
      </c>
      <c r="H33" s="14" t="str">
        <f t="shared" si="1"/>
        <v>iECBD_1354.modelspec</v>
      </c>
      <c r="I33" s="14" t="str">
        <f t="shared" si="2"/>
        <v>iECBD_1354.py</v>
      </c>
      <c r="J33" s="14" t="str">
        <f>HYPERLINK(_xlfn.CONCAT("https://github.com/mauriceling/kinmodre/tree/main/GSM-odescripts/",A33,".py"),_xlfn.CONCAT(A33,".py"))</f>
        <v>iECBD_1354.py</v>
      </c>
      <c r="K33" s="13" t="str">
        <f t="shared" si="4"/>
        <v>iECBD_1354.modelspec</v>
      </c>
    </row>
    <row r="34" spans="1:11" ht="29.5" x14ac:dyDescent="0.4">
      <c r="A34" s="4" t="s">
        <v>59</v>
      </c>
      <c r="B34" s="5" t="s">
        <v>24</v>
      </c>
      <c r="C34" s="6">
        <v>1943</v>
      </c>
      <c r="D34" s="6">
        <v>2741</v>
      </c>
      <c r="E34" s="6">
        <v>1333</v>
      </c>
      <c r="F34" s="7" t="s">
        <v>199</v>
      </c>
      <c r="G34" s="14" t="str">
        <f>HYPERLINK(_xlfn.CONCAT("https://github.com/mauriceling/kinmodre/blob/main/GSM/",A34,".xml"),_xlfn.CONCAT(A34,".xml"))</f>
        <v>iECD_1391.xml</v>
      </c>
      <c r="H34" s="14" t="str">
        <f t="shared" si="1"/>
        <v>iECD_1391.modelspec</v>
      </c>
      <c r="I34" s="14" t="str">
        <f>HYPERLINK(_xlfn.CONCAT("https://github.com/mauriceling/kinmodre/tree/main/odescripts/",A34,".py"),_xlfn.CONCAT(A34,".py"))</f>
        <v>iECD_1391.py</v>
      </c>
      <c r="J34" s="14" t="str">
        <f>HYPERLINK(_xlfn.CONCAT("https://github.com/mauriceling/kinmodre/tree/main/GSM-odescripts/",A34,".py"),_xlfn.CONCAT(A34,".py"))</f>
        <v>iECD_1391.py</v>
      </c>
      <c r="K34" s="13" t="str">
        <f t="shared" si="4"/>
        <v>iECD_1391.modelspec</v>
      </c>
    </row>
    <row r="35" spans="1:11" ht="29.5" x14ac:dyDescent="0.4">
      <c r="A35" s="4" t="s">
        <v>60</v>
      </c>
      <c r="B35" s="5" t="s">
        <v>61</v>
      </c>
      <c r="C35" s="6">
        <v>1947</v>
      </c>
      <c r="D35" s="6">
        <v>2742</v>
      </c>
      <c r="E35" s="6">
        <v>1327</v>
      </c>
      <c r="F35" s="7" t="s">
        <v>199</v>
      </c>
      <c r="G35" s="14" t="str">
        <f t="shared" si="0"/>
        <v>iECDH10B_1368.xml</v>
      </c>
      <c r="H35" s="14" t="str">
        <f>HYPERLINK(_xlfn.CONCAT("https://github.com/mauriceling/kinmodre/tree/main/asm/",A35,".modelspec"),_xlfn.CONCAT(A35,".modelspec"))</f>
        <v>iECDH10B_1368.modelspec</v>
      </c>
      <c r="I35" s="14" t="str">
        <f t="shared" si="2"/>
        <v>iECDH10B_1368.py</v>
      </c>
      <c r="J35" s="14" t="str">
        <f t="shared" si="3"/>
        <v>iECDH10B_1368.py</v>
      </c>
      <c r="K35" s="13" t="str">
        <f t="shared" si="4"/>
        <v>iECDH10B_1368.modelspec</v>
      </c>
    </row>
    <row r="36" spans="1:11" ht="29.5" x14ac:dyDescent="0.4">
      <c r="A36" s="4" t="s">
        <v>62</v>
      </c>
      <c r="B36" s="5" t="s">
        <v>63</v>
      </c>
      <c r="C36" s="6">
        <v>1949</v>
      </c>
      <c r="D36" s="6">
        <v>2750</v>
      </c>
      <c r="E36" s="6">
        <v>1363</v>
      </c>
      <c r="F36" s="7" t="s">
        <v>199</v>
      </c>
      <c r="G36" s="14" t="str">
        <f t="shared" si="0"/>
        <v>iEcDH1_1363.xml</v>
      </c>
      <c r="H36" s="14" t="str">
        <f t="shared" si="1"/>
        <v>iEcDH1_1363.modelspec</v>
      </c>
      <c r="I36" s="14" t="str">
        <f>HYPERLINK(_xlfn.CONCAT("https://github.com/mauriceling/kinmodre/tree/main/odescripts/",A36,".py"),_xlfn.CONCAT(A36,".py"))</f>
        <v>iEcDH1_1363.py</v>
      </c>
      <c r="J36" s="14" t="str">
        <f t="shared" si="3"/>
        <v>iEcDH1_1363.py</v>
      </c>
      <c r="K36" s="13" t="str">
        <f t="shared" si="4"/>
        <v>iEcDH1_1363.modelspec</v>
      </c>
    </row>
    <row r="37" spans="1:11" ht="29.5" x14ac:dyDescent="0.4">
      <c r="A37" s="4" t="s">
        <v>64</v>
      </c>
      <c r="B37" s="5" t="s">
        <v>63</v>
      </c>
      <c r="C37" s="6">
        <v>1950</v>
      </c>
      <c r="D37" s="6">
        <v>2755</v>
      </c>
      <c r="E37" s="6">
        <v>1439</v>
      </c>
      <c r="F37" s="7" t="s">
        <v>199</v>
      </c>
      <c r="G37" s="14" t="str">
        <f t="shared" si="0"/>
        <v>iECDH1ME8569_1439.xml</v>
      </c>
      <c r="H37" s="14" t="str">
        <f t="shared" si="1"/>
        <v>iECDH1ME8569_1439.modelspec</v>
      </c>
      <c r="I37" s="14" t="str">
        <f>HYPERLINK(_xlfn.CONCAT("https://github.com/mauriceling/kinmodre/tree/main/odescripts/",A37,".py"),_xlfn.CONCAT(A37,".py"))</f>
        <v>iECDH1ME8569_1439.py</v>
      </c>
      <c r="J37" s="14" t="str">
        <f t="shared" si="3"/>
        <v>iECDH1ME8569_1439.py</v>
      </c>
      <c r="K37" s="13" t="str">
        <f t="shared" si="4"/>
        <v>iECDH1ME8569_1439.modelspec</v>
      </c>
    </row>
    <row r="38" spans="1:11" ht="29.5" x14ac:dyDescent="0.4">
      <c r="A38" s="4" t="s">
        <v>65</v>
      </c>
      <c r="B38" s="5" t="s">
        <v>66</v>
      </c>
      <c r="C38" s="6">
        <v>1972</v>
      </c>
      <c r="D38" s="6">
        <v>2763</v>
      </c>
      <c r="E38" s="6">
        <v>1341</v>
      </c>
      <c r="F38" s="7" t="s">
        <v>199</v>
      </c>
      <c r="G38" s="14" t="str">
        <f t="shared" si="0"/>
        <v>iEcE24377_1341.xml</v>
      </c>
      <c r="H38" s="14" t="str">
        <f t="shared" si="1"/>
        <v>iEcE24377_1341.modelspec</v>
      </c>
      <c r="I38" s="14" t="str">
        <f t="shared" si="2"/>
        <v>iEcE24377_1341.py</v>
      </c>
      <c r="J38" s="14" t="str">
        <f t="shared" si="3"/>
        <v>iEcE24377_1341.py</v>
      </c>
      <c r="K38" s="13" t="str">
        <f t="shared" si="4"/>
        <v>iEcE24377_1341.modelspec</v>
      </c>
    </row>
    <row r="39" spans="1:11" ht="29.5" x14ac:dyDescent="0.4">
      <c r="A39" s="4" t="s">
        <v>67</v>
      </c>
      <c r="B39" s="5" t="s">
        <v>68</v>
      </c>
      <c r="C39" s="6">
        <v>1929</v>
      </c>
      <c r="D39" s="6">
        <v>2706</v>
      </c>
      <c r="E39" s="6">
        <v>1279</v>
      </c>
      <c r="F39" s="7" t="s">
        <v>199</v>
      </c>
      <c r="G39" s="14" t="str">
        <f t="shared" si="0"/>
        <v>iECED1_1282.xml</v>
      </c>
      <c r="H39" s="14" t="str">
        <f t="shared" si="1"/>
        <v>iECED1_1282.modelspec</v>
      </c>
      <c r="I39" s="14" t="str">
        <f t="shared" si="2"/>
        <v>iECED1_1282.py</v>
      </c>
      <c r="J39" s="14" t="str">
        <f t="shared" si="3"/>
        <v>iECED1_1282.py</v>
      </c>
      <c r="K39" s="13" t="str">
        <f t="shared" si="4"/>
        <v>iECED1_1282.modelspec</v>
      </c>
    </row>
    <row r="40" spans="1:11" ht="29.5" x14ac:dyDescent="0.4">
      <c r="A40" s="4" t="s">
        <v>69</v>
      </c>
      <c r="B40" s="5" t="s">
        <v>70</v>
      </c>
      <c r="C40" s="6">
        <v>1918</v>
      </c>
      <c r="D40" s="6">
        <v>2694</v>
      </c>
      <c r="E40" s="6">
        <v>1262</v>
      </c>
      <c r="F40" s="7" t="s">
        <v>199</v>
      </c>
      <c r="G40" s="14" t="str">
        <f>HYPERLINK(_xlfn.CONCAT("https://github.com/mauriceling/kinmodre/blob/main/GSM/",A40,".xml"),_xlfn.CONCAT(A40,".xml"))</f>
        <v>iECH74115_1262.xml</v>
      </c>
      <c r="H40" s="14" t="str">
        <f t="shared" si="1"/>
        <v>iECH74115_1262.modelspec</v>
      </c>
      <c r="I40" s="14" t="str">
        <f t="shared" si="2"/>
        <v>iECH74115_1262.py</v>
      </c>
      <c r="J40" s="14" t="str">
        <f t="shared" si="3"/>
        <v>iECH74115_1262.py</v>
      </c>
      <c r="K40" s="13" t="str">
        <f t="shared" si="4"/>
        <v>iECH74115_1262.modelspec</v>
      </c>
    </row>
    <row r="41" spans="1:11" ht="29.5" x14ac:dyDescent="0.4">
      <c r="A41" s="4" t="s">
        <v>71</v>
      </c>
      <c r="B41" s="5" t="s">
        <v>72</v>
      </c>
      <c r="C41" s="6">
        <v>1963</v>
      </c>
      <c r="D41" s="6">
        <v>2753</v>
      </c>
      <c r="E41" s="6">
        <v>1321</v>
      </c>
      <c r="F41" s="7" t="s">
        <v>199</v>
      </c>
      <c r="G41" s="14" t="str">
        <f t="shared" si="0"/>
        <v>iEcHS_1320.xml</v>
      </c>
      <c r="H41" s="14" t="str">
        <f t="shared" si="1"/>
        <v>iEcHS_1320.modelspec</v>
      </c>
      <c r="I41" s="14" t="str">
        <f t="shared" si="2"/>
        <v>iEcHS_1320.py</v>
      </c>
      <c r="J41" s="14" t="str">
        <f t="shared" si="3"/>
        <v>iEcHS_1320.py</v>
      </c>
      <c r="K41" s="13" t="str">
        <f t="shared" si="4"/>
        <v>iEcHS_1320.modelspec</v>
      </c>
    </row>
    <row r="42" spans="1:11" ht="29.5" x14ac:dyDescent="0.4">
      <c r="A42" s="4" t="s">
        <v>73</v>
      </c>
      <c r="B42" s="5" t="s">
        <v>74</v>
      </c>
      <c r="C42" s="6">
        <v>1968</v>
      </c>
      <c r="D42" s="6">
        <v>2765</v>
      </c>
      <c r="E42" s="6">
        <v>1343</v>
      </c>
      <c r="F42" s="7" t="s">
        <v>199</v>
      </c>
      <c r="G42" s="14" t="str">
        <f>HYPERLINK(_xlfn.CONCAT("https://github.com/mauriceling/kinmodre/blob/main/GSM/",A42,".xml"),_xlfn.CONCAT(A42,".xml"))</f>
        <v>iECIAI1_1343.xml</v>
      </c>
      <c r="H42" s="14" t="str">
        <f t="shared" si="1"/>
        <v>iECIAI1_1343.modelspec</v>
      </c>
      <c r="I42" s="14" t="str">
        <f>HYPERLINK(_xlfn.CONCAT("https://github.com/mauriceling/kinmodre/tree/main/odescripts/",A42,".py"),_xlfn.CONCAT(A42,".py"))</f>
        <v>iECIAI1_1343.py</v>
      </c>
      <c r="J42" s="14" t="str">
        <f>HYPERLINK(_xlfn.CONCAT("https://github.com/mauriceling/kinmodre/tree/main/GSM-odescripts/",A42,".py"),_xlfn.CONCAT(A42,".py"))</f>
        <v>iECIAI1_1343.py</v>
      </c>
      <c r="K42" s="13" t="str">
        <f t="shared" si="4"/>
        <v>iECIAI1_1343.modelspec</v>
      </c>
    </row>
    <row r="43" spans="1:11" ht="29.5" x14ac:dyDescent="0.4">
      <c r="A43" s="4" t="s">
        <v>75</v>
      </c>
      <c r="B43" s="5" t="s">
        <v>76</v>
      </c>
      <c r="C43" s="6">
        <v>1953</v>
      </c>
      <c r="D43" s="6">
        <v>2721</v>
      </c>
      <c r="E43" s="6">
        <v>1321</v>
      </c>
      <c r="F43" s="7" t="s">
        <v>199</v>
      </c>
      <c r="G43" s="14" t="str">
        <f t="shared" si="0"/>
        <v>iECIAI39_1322.xml</v>
      </c>
      <c r="H43" s="14" t="str">
        <f t="shared" si="1"/>
        <v>iECIAI39_1322.modelspec</v>
      </c>
      <c r="I43" s="14" t="str">
        <f t="shared" si="2"/>
        <v>iECIAI39_1322.py</v>
      </c>
      <c r="J43" s="14" t="str">
        <f t="shared" si="3"/>
        <v>iECIAI39_1322.py</v>
      </c>
      <c r="K43" s="13" t="str">
        <f t="shared" si="4"/>
        <v>iECIAI39_1322.modelspec</v>
      </c>
    </row>
    <row r="44" spans="1:11" ht="29.5" x14ac:dyDescent="0.4">
      <c r="A44" s="4" t="s">
        <v>77</v>
      </c>
      <c r="B44" s="5" t="s">
        <v>78</v>
      </c>
      <c r="C44" s="6">
        <v>1927</v>
      </c>
      <c r="D44" s="6">
        <v>2718</v>
      </c>
      <c r="E44" s="6">
        <v>1301</v>
      </c>
      <c r="F44" s="7" t="s">
        <v>199</v>
      </c>
      <c r="G44" s="14" t="str">
        <f t="shared" si="0"/>
        <v>iECNA114_1301.xml</v>
      </c>
      <c r="H44" s="14" t="str">
        <f t="shared" si="1"/>
        <v>iECNA114_1301.modelspec</v>
      </c>
      <c r="I44" s="14" t="str">
        <f t="shared" si="2"/>
        <v>iECNA114_1301.py</v>
      </c>
      <c r="J44" s="14" t="str">
        <f>HYPERLINK(_xlfn.CONCAT("https://github.com/mauriceling/kinmodre/tree/main/GSM-odescripts/",A44,".py"),_xlfn.CONCAT(A44,".py"))</f>
        <v>iECNA114_1301.py</v>
      </c>
      <c r="K44" s="13" t="str">
        <f t="shared" si="4"/>
        <v>iECNA114_1301.modelspec</v>
      </c>
    </row>
    <row r="45" spans="1:11" ht="29.5" x14ac:dyDescent="0.4">
      <c r="A45" s="4" t="s">
        <v>79</v>
      </c>
      <c r="B45" s="5" t="s">
        <v>80</v>
      </c>
      <c r="C45" s="6">
        <v>1958</v>
      </c>
      <c r="D45" s="6">
        <v>2758</v>
      </c>
      <c r="E45" s="6">
        <v>1327</v>
      </c>
      <c r="F45" s="7" t="s">
        <v>199</v>
      </c>
      <c r="G45" s="14" t="str">
        <f t="shared" si="0"/>
        <v>iECO103_1326.xml</v>
      </c>
      <c r="H45" s="14" t="str">
        <f t="shared" si="1"/>
        <v>iECO103_1326.modelspec</v>
      </c>
      <c r="I45" s="14" t="str">
        <f t="shared" si="2"/>
        <v>iECO103_1326.py</v>
      </c>
      <c r="J45" s="14" t="str">
        <f t="shared" si="3"/>
        <v>iECO103_1326.py</v>
      </c>
      <c r="K45" s="13" t="str">
        <f t="shared" si="4"/>
        <v>iECO103_1326.modelspec</v>
      </c>
    </row>
    <row r="46" spans="1:11" ht="29.5" x14ac:dyDescent="0.4">
      <c r="A46" s="4" t="s">
        <v>81</v>
      </c>
      <c r="B46" s="5" t="s">
        <v>82</v>
      </c>
      <c r="C46" s="6">
        <v>1959</v>
      </c>
      <c r="D46" s="6">
        <v>2760</v>
      </c>
      <c r="E46" s="6">
        <v>1328</v>
      </c>
      <c r="F46" s="7" t="s">
        <v>199</v>
      </c>
      <c r="G46" s="14" t="str">
        <f>HYPERLINK(_xlfn.CONCAT("https://github.com/mauriceling/kinmodre/blob/main/GSM/",A46,".xml"),_xlfn.CONCAT(A46,".xml"))</f>
        <v>iECO111_1330.xml</v>
      </c>
      <c r="H46" s="14" t="str">
        <f t="shared" si="1"/>
        <v>iECO111_1330.modelspec</v>
      </c>
      <c r="I46" s="14" t="str">
        <f t="shared" si="2"/>
        <v>iECO111_1330.py</v>
      </c>
      <c r="J46" s="14" t="str">
        <f>HYPERLINK(_xlfn.CONCAT("https://github.com/mauriceling/kinmodre/tree/main/GSM-odescripts/",A46,".py"),_xlfn.CONCAT(A46,".py"))</f>
        <v>iECO111_1330.py</v>
      </c>
      <c r="K46" s="13" t="str">
        <f t="shared" si="4"/>
        <v>iECO111_1330.modelspec</v>
      </c>
    </row>
    <row r="47" spans="1:11" ht="29.5" x14ac:dyDescent="0.4">
      <c r="A47" s="4" t="s">
        <v>83</v>
      </c>
      <c r="B47" s="5" t="s">
        <v>84</v>
      </c>
      <c r="C47" s="6">
        <v>1965</v>
      </c>
      <c r="D47" s="6">
        <v>2780</v>
      </c>
      <c r="E47" s="6">
        <v>1355</v>
      </c>
      <c r="F47" s="7" t="s">
        <v>199</v>
      </c>
      <c r="G47" s="14" t="str">
        <f>HYPERLINK(_xlfn.CONCAT("https://github.com/mauriceling/kinmodre/blob/main/GSM/",A47,".xml"),_xlfn.CONCAT(A47,".xml"))</f>
        <v>iECO26_1355.xml</v>
      </c>
      <c r="H47" s="14" t="str">
        <f t="shared" si="1"/>
        <v>iECO26_1355.modelspec</v>
      </c>
      <c r="I47" s="14" t="str">
        <f t="shared" si="2"/>
        <v>iECO26_1355.py</v>
      </c>
      <c r="J47" s="14" t="str">
        <f t="shared" si="3"/>
        <v>iECO26_1355.py</v>
      </c>
      <c r="K47" s="13" t="str">
        <f t="shared" si="4"/>
        <v>iECO26_1355.modelspec</v>
      </c>
    </row>
    <row r="48" spans="1:11" ht="29.5" x14ac:dyDescent="0.4">
      <c r="A48" s="4" t="s">
        <v>85</v>
      </c>
      <c r="B48" s="5" t="s">
        <v>86</v>
      </c>
      <c r="C48" s="6">
        <v>1941</v>
      </c>
      <c r="D48" s="6">
        <v>2729</v>
      </c>
      <c r="E48" s="6">
        <v>1304</v>
      </c>
      <c r="F48" s="7" t="s">
        <v>199</v>
      </c>
      <c r="G48" s="14" t="str">
        <f t="shared" si="0"/>
        <v>iECOK1_1307.xml</v>
      </c>
      <c r="H48" s="14" t="str">
        <f t="shared" si="1"/>
        <v>iECOK1_1307.modelspec</v>
      </c>
      <c r="I48" s="14" t="str">
        <f t="shared" si="2"/>
        <v>iECOK1_1307.py</v>
      </c>
      <c r="J48" s="14" t="str">
        <f t="shared" si="3"/>
        <v>iECOK1_1307.py</v>
      </c>
      <c r="K48" s="13" t="str">
        <f t="shared" si="4"/>
        <v>iECOK1_1307.modelspec</v>
      </c>
    </row>
    <row r="49" spans="1:11" ht="29.5" x14ac:dyDescent="0.4">
      <c r="A49" s="4" t="s">
        <v>87</v>
      </c>
      <c r="B49" s="5" t="s">
        <v>43</v>
      </c>
      <c r="C49" s="6">
        <v>1969</v>
      </c>
      <c r="D49" s="6">
        <v>2768</v>
      </c>
      <c r="E49" s="6">
        <v>1368</v>
      </c>
      <c r="F49" s="7" t="s">
        <v>199</v>
      </c>
      <c r="G49" s="14" t="str">
        <f>HYPERLINK(_xlfn.CONCAT("https://github.com/mauriceling/kinmodre/blob/main/GSM/",A49,".xml"),_xlfn.CONCAT(A49,".xml"))</f>
        <v>iEcolC_1368.xml</v>
      </c>
      <c r="H49" s="14" t="str">
        <f>HYPERLINK(_xlfn.CONCAT("https://github.com/mauriceling/kinmodre/tree/main/asm/",A49,".modelspec"),_xlfn.CONCAT(A49,".modelspec"))</f>
        <v>iEcolC_1368.modelspec</v>
      </c>
      <c r="I49" s="14" t="str">
        <f>HYPERLINK(_xlfn.CONCAT("https://github.com/mauriceling/kinmodre/tree/main/odescripts/",A49,".py"),_xlfn.CONCAT(A49,".py"))</f>
        <v>iEcolC_1368.py</v>
      </c>
      <c r="J49" s="14" t="str">
        <f t="shared" si="3"/>
        <v>iEcolC_1368.py</v>
      </c>
      <c r="K49" s="13" t="str">
        <f t="shared" si="4"/>
        <v>iEcolC_1368.modelspec</v>
      </c>
    </row>
    <row r="50" spans="1:11" ht="29.5" x14ac:dyDescent="0.4">
      <c r="A50" s="4" t="s">
        <v>88</v>
      </c>
      <c r="B50" s="5" t="s">
        <v>89</v>
      </c>
      <c r="C50" s="6">
        <v>1941</v>
      </c>
      <c r="D50" s="6">
        <v>2739</v>
      </c>
      <c r="E50" s="6">
        <v>1309</v>
      </c>
      <c r="F50" s="7" t="s">
        <v>199</v>
      </c>
      <c r="G50" s="14" t="str">
        <f t="shared" si="0"/>
        <v>iECP_1309.xml</v>
      </c>
      <c r="H50" s="14" t="str">
        <f t="shared" si="1"/>
        <v>iECP_1309.modelspec</v>
      </c>
      <c r="I50" s="14" t="str">
        <f t="shared" si="2"/>
        <v>iECP_1309.py</v>
      </c>
      <c r="J50" s="14" t="str">
        <f t="shared" si="3"/>
        <v>iECP_1309.py</v>
      </c>
      <c r="K50" s="13" t="str">
        <f t="shared" si="4"/>
        <v>iECP_1309.modelspec</v>
      </c>
    </row>
    <row r="51" spans="1:11" x14ac:dyDescent="0.4">
      <c r="A51" s="4" t="s">
        <v>90</v>
      </c>
      <c r="B51" s="5" t="s">
        <v>91</v>
      </c>
      <c r="C51" s="6">
        <v>1923</v>
      </c>
      <c r="D51" s="6">
        <v>2720</v>
      </c>
      <c r="E51" s="6">
        <v>1301</v>
      </c>
      <c r="F51" s="7" t="s">
        <v>199</v>
      </c>
      <c r="G51" s="14" t="str">
        <f t="shared" si="0"/>
        <v>iECs_1301.xml</v>
      </c>
      <c r="H51" s="14" t="str">
        <f>HYPERLINK(_xlfn.CONCAT("https://github.com/mauriceling/kinmodre/tree/main/asm/",A51,".modelspec"),_xlfn.CONCAT(A51,".modelspec"))</f>
        <v>iECs_1301.modelspec</v>
      </c>
      <c r="I51" s="14" t="str">
        <f t="shared" si="2"/>
        <v>iECs_1301.py</v>
      </c>
      <c r="J51" s="14" t="str">
        <f t="shared" si="3"/>
        <v>iECs_1301.py</v>
      </c>
      <c r="K51" s="1" t="s">
        <v>206</v>
      </c>
    </row>
    <row r="52" spans="1:11" x14ac:dyDescent="0.4">
      <c r="A52" s="4" t="s">
        <v>92</v>
      </c>
      <c r="B52" s="5" t="s">
        <v>93</v>
      </c>
      <c r="C52" s="6">
        <v>1942</v>
      </c>
      <c r="D52" s="6">
        <v>2729</v>
      </c>
      <c r="E52" s="6">
        <v>1305</v>
      </c>
      <c r="F52" s="7" t="s">
        <v>199</v>
      </c>
      <c r="G52" s="14" t="str">
        <f t="shared" si="0"/>
        <v>iECS88_1305.xml</v>
      </c>
      <c r="H52" s="14" t="str">
        <f t="shared" si="1"/>
        <v>iECS88_1305.modelspec</v>
      </c>
      <c r="I52" s="14" t="str">
        <f t="shared" si="2"/>
        <v>iECS88_1305.py</v>
      </c>
      <c r="J52" s="14" t="str">
        <f t="shared" si="3"/>
        <v>iECS88_1305.py</v>
      </c>
      <c r="K52" s="1" t="s">
        <v>206</v>
      </c>
    </row>
    <row r="53" spans="1:11" x14ac:dyDescent="0.4">
      <c r="A53" s="4" t="s">
        <v>94</v>
      </c>
      <c r="B53" s="5" t="s">
        <v>95</v>
      </c>
      <c r="C53" s="6">
        <v>1957</v>
      </c>
      <c r="D53" s="6">
        <v>2768</v>
      </c>
      <c r="E53" s="6">
        <v>1348</v>
      </c>
      <c r="F53" s="7" t="s">
        <v>199</v>
      </c>
      <c r="G53" s="14" t="str">
        <f t="shared" si="0"/>
        <v>iECSE_1348.xml</v>
      </c>
      <c r="H53" s="14" t="str">
        <f t="shared" si="1"/>
        <v>iECSE_1348.modelspec</v>
      </c>
      <c r="I53" s="14" t="str">
        <f t="shared" si="2"/>
        <v>iECSE_1348.py</v>
      </c>
      <c r="J53" s="14" t="str">
        <f t="shared" si="3"/>
        <v>iECSE_1348.py</v>
      </c>
      <c r="K53" s="1" t="s">
        <v>206</v>
      </c>
    </row>
    <row r="54" spans="1:11" x14ac:dyDescent="0.4">
      <c r="A54" s="4" t="s">
        <v>96</v>
      </c>
      <c r="B54" s="5" t="s">
        <v>97</v>
      </c>
      <c r="C54" s="6">
        <v>1951</v>
      </c>
      <c r="D54" s="6">
        <v>2742</v>
      </c>
      <c r="E54" s="6">
        <v>1327</v>
      </c>
      <c r="F54" s="7" t="s">
        <v>199</v>
      </c>
      <c r="G54" s="14" t="str">
        <f t="shared" si="0"/>
        <v>iECSF_1327.xml</v>
      </c>
      <c r="H54" s="14" t="str">
        <f>HYPERLINK(_xlfn.CONCAT("https://github.com/mauriceling/kinmodre/tree/main/asm/",A54,".modelspec"),_xlfn.CONCAT(A54,".modelspec"))</f>
        <v>iECSF_1327.modelspec</v>
      </c>
      <c r="I54" s="14" t="str">
        <f>HYPERLINK(_xlfn.CONCAT("https://github.com/mauriceling/kinmodre/tree/main/odescripts/",A54,".py"),_xlfn.CONCAT(A54,".py"))</f>
        <v>iECSF_1327.py</v>
      </c>
      <c r="J54" s="14" t="str">
        <f t="shared" si="3"/>
        <v>iECSF_1327.py</v>
      </c>
      <c r="K54" s="1" t="s">
        <v>206</v>
      </c>
    </row>
    <row r="55" spans="1:11" ht="29.5" x14ac:dyDescent="0.4">
      <c r="A55" s="4" t="s">
        <v>98</v>
      </c>
      <c r="B55" s="5" t="s">
        <v>99</v>
      </c>
      <c r="C55" s="6">
        <v>1947</v>
      </c>
      <c r="D55" s="6">
        <v>2746</v>
      </c>
      <c r="E55" s="6">
        <v>1347</v>
      </c>
      <c r="F55" s="7" t="s">
        <v>199</v>
      </c>
      <c r="G55" s="14" t="str">
        <f>HYPERLINK(_xlfn.CONCAT("https://github.com/mauriceling/kinmodre/blob/main/GSM/",A55,".xml"),_xlfn.CONCAT(A55,".xml"))</f>
        <v>iEcSMS35_1347.xml</v>
      </c>
      <c r="H55" s="14" t="str">
        <f t="shared" si="1"/>
        <v>iEcSMS35_1347.modelspec</v>
      </c>
      <c r="I55" s="14" t="str">
        <f>HYPERLINK(_xlfn.CONCAT("https://github.com/mauriceling/kinmodre/tree/main/odescripts/",A55,".py"),_xlfn.CONCAT(A55,".py"))</f>
        <v>iEcSMS35_1347.py</v>
      </c>
      <c r="J55" s="14" t="str">
        <f t="shared" si="3"/>
        <v>iEcSMS35_1347.py</v>
      </c>
      <c r="K55" s="1" t="s">
        <v>206</v>
      </c>
    </row>
    <row r="56" spans="1:11" x14ac:dyDescent="0.4">
      <c r="A56" s="4" t="s">
        <v>100</v>
      </c>
      <c r="B56" s="5" t="s">
        <v>101</v>
      </c>
      <c r="C56" s="6">
        <v>1920</v>
      </c>
      <c r="D56" s="6">
        <v>2712</v>
      </c>
      <c r="E56" s="6">
        <v>1299</v>
      </c>
      <c r="F56" s="7" t="s">
        <v>199</v>
      </c>
      <c r="G56" s="14" t="str">
        <f t="shared" si="0"/>
        <v>iECSP_1301.xml</v>
      </c>
      <c r="H56" s="14" t="str">
        <f>HYPERLINK(_xlfn.CONCAT("https://github.com/mauriceling/kinmodre/tree/main/asm/",A56,".modelspec"),_xlfn.CONCAT(A56,".modelspec"))</f>
        <v>iECSP_1301.modelspec</v>
      </c>
      <c r="I56" s="14" t="str">
        <f>HYPERLINK(_xlfn.CONCAT("https://github.com/mauriceling/kinmodre/tree/main/odescripts/",A56,".py"),_xlfn.CONCAT(A56,".py"))</f>
        <v>iECSP_1301.py</v>
      </c>
      <c r="J56" s="14" t="str">
        <f t="shared" si="3"/>
        <v>iECSP_1301.py</v>
      </c>
      <c r="K56" s="1" t="s">
        <v>206</v>
      </c>
    </row>
    <row r="57" spans="1:11" ht="29.5" x14ac:dyDescent="0.4">
      <c r="A57" s="4" t="s">
        <v>102</v>
      </c>
      <c r="B57" s="5" t="s">
        <v>103</v>
      </c>
      <c r="C57" s="6">
        <v>1935</v>
      </c>
      <c r="D57" s="6">
        <v>2740</v>
      </c>
      <c r="E57" s="6">
        <v>1332</v>
      </c>
      <c r="F57" s="7" t="s">
        <v>199</v>
      </c>
      <c r="G57" s="14" t="str">
        <f t="shared" si="0"/>
        <v>iECUMN_1333.xml</v>
      </c>
      <c r="H57" s="14" t="str">
        <f>HYPERLINK(_xlfn.CONCAT("https://github.com/mauriceling/kinmodre/tree/main/asm/",A57,".modelspec"),_xlfn.CONCAT(A57,".modelspec"))</f>
        <v>iECUMN_1333.modelspec</v>
      </c>
      <c r="I57" s="14" t="str">
        <f t="shared" si="2"/>
        <v>iECUMN_1333.py</v>
      </c>
      <c r="J57" s="14" t="str">
        <f>HYPERLINK(_xlfn.CONCAT("https://github.com/mauriceling/kinmodre/tree/main/GSM-odescripts/",A57,".py"),_xlfn.CONCAT(A57,".py"))</f>
        <v>iECUMN_1333.py</v>
      </c>
      <c r="K57" s="1" t="s">
        <v>206</v>
      </c>
    </row>
    <row r="58" spans="1:11" x14ac:dyDescent="0.4">
      <c r="A58" s="4" t="s">
        <v>104</v>
      </c>
      <c r="B58" s="5" t="s">
        <v>46</v>
      </c>
      <c r="C58" s="6">
        <v>1973</v>
      </c>
      <c r="D58" s="6">
        <v>2782</v>
      </c>
      <c r="E58" s="6">
        <v>1372</v>
      </c>
      <c r="F58" s="7" t="s">
        <v>199</v>
      </c>
      <c r="G58" s="14" t="str">
        <f t="shared" si="0"/>
        <v>iECW_1372.xml</v>
      </c>
      <c r="H58" s="14" t="str">
        <f>HYPERLINK(_xlfn.CONCAT("https://github.com/mauriceling/kinmodre/tree/main/asm/",A58,".modelspec"),_xlfn.CONCAT(A58,".modelspec"))</f>
        <v>iECW_1372.modelspec</v>
      </c>
      <c r="I58" s="14" t="str">
        <f t="shared" si="2"/>
        <v>iECW_1372.py</v>
      </c>
      <c r="J58" s="14" t="str">
        <f t="shared" si="3"/>
        <v>iECW_1372.py</v>
      </c>
      <c r="K58" s="1" t="s">
        <v>206</v>
      </c>
    </row>
    <row r="59" spans="1:11" x14ac:dyDescent="0.4">
      <c r="A59" s="4" t="s">
        <v>105</v>
      </c>
      <c r="B59" s="5" t="s">
        <v>106</v>
      </c>
      <c r="C59" s="6">
        <v>998</v>
      </c>
      <c r="D59" s="6">
        <v>1226</v>
      </c>
      <c r="E59" s="6">
        <v>1008</v>
      </c>
      <c r="F59" s="7" t="s">
        <v>199</v>
      </c>
      <c r="G59" s="14" t="str">
        <f t="shared" si="0"/>
        <v>iEK1008.xml</v>
      </c>
      <c r="H59" s="14" t="str">
        <f>HYPERLINK(_xlfn.CONCAT("https://github.com/mauriceling/kinmodre/tree/main/asm/",A59,".modelspec"),_xlfn.CONCAT(A59,".modelspec"))</f>
        <v>iEK1008.modelspec</v>
      </c>
      <c r="I59" s="14" t="str">
        <f t="shared" si="2"/>
        <v>iEK1008.py</v>
      </c>
      <c r="J59" s="14" t="str">
        <f t="shared" si="3"/>
        <v>iEK1008.py</v>
      </c>
      <c r="K59" s="1" t="s">
        <v>206</v>
      </c>
    </row>
    <row r="60" spans="1:11" x14ac:dyDescent="0.4">
      <c r="A60" s="4" t="s">
        <v>107</v>
      </c>
      <c r="B60" s="5" t="s">
        <v>108</v>
      </c>
      <c r="C60" s="6">
        <v>1972</v>
      </c>
      <c r="D60" s="6">
        <v>2778</v>
      </c>
      <c r="E60" s="6">
        <v>1354</v>
      </c>
      <c r="F60" s="7" t="s">
        <v>199</v>
      </c>
      <c r="G60" s="14" t="str">
        <f t="shared" si="0"/>
        <v>iEKO11_1354.xml</v>
      </c>
      <c r="H60" s="14" t="str">
        <f t="shared" si="1"/>
        <v>iEKO11_1354.modelspec</v>
      </c>
      <c r="I60" s="14" t="str">
        <f t="shared" si="2"/>
        <v>iEKO11_1354.py</v>
      </c>
      <c r="J60" s="14" t="str">
        <f t="shared" si="3"/>
        <v>iEKO11_1354.py</v>
      </c>
      <c r="K60" s="1" t="s">
        <v>206</v>
      </c>
    </row>
    <row r="61" spans="1:11" x14ac:dyDescent="0.4">
      <c r="A61" s="4" t="s">
        <v>109</v>
      </c>
      <c r="B61" s="5" t="s">
        <v>110</v>
      </c>
      <c r="C61" s="6">
        <v>1962</v>
      </c>
      <c r="D61" s="6">
        <v>2756</v>
      </c>
      <c r="E61" s="6">
        <v>1333</v>
      </c>
      <c r="F61" s="7" t="s">
        <v>199</v>
      </c>
      <c r="G61" s="14" t="str">
        <f t="shared" si="0"/>
        <v>iETEC_1333.xml</v>
      </c>
      <c r="H61" s="14" t="str">
        <f t="shared" si="1"/>
        <v>iETEC_1333.modelspec</v>
      </c>
      <c r="I61" s="14" t="str">
        <f>HYPERLINK(_xlfn.CONCAT("https://github.com/mauriceling/kinmodre/tree/main/odescripts/",A61,".py"),_xlfn.CONCAT(A61,".py"))</f>
        <v>iETEC_1333.py</v>
      </c>
      <c r="J61" s="14" t="str">
        <f t="shared" si="3"/>
        <v>iETEC_1333.py</v>
      </c>
      <c r="K61" s="1" t="s">
        <v>206</v>
      </c>
    </row>
    <row r="62" spans="1:11" x14ac:dyDescent="0.4">
      <c r="A62" s="4" t="s">
        <v>111</v>
      </c>
      <c r="B62" s="5" t="s">
        <v>112</v>
      </c>
      <c r="C62" s="6">
        <v>1919</v>
      </c>
      <c r="D62" s="6">
        <v>2704</v>
      </c>
      <c r="E62" s="6">
        <v>1283</v>
      </c>
      <c r="F62" s="7" t="s">
        <v>199</v>
      </c>
      <c r="G62" s="14" t="str">
        <f t="shared" si="0"/>
        <v>iG2583_1286.xml</v>
      </c>
      <c r="H62" s="14" t="str">
        <f t="shared" si="1"/>
        <v>iG2583_1286.modelspec</v>
      </c>
      <c r="I62" s="14" t="str">
        <f t="shared" si="2"/>
        <v>iG2583_1286.py</v>
      </c>
      <c r="J62" s="14" t="str">
        <f t="shared" si="3"/>
        <v>iG2583_1286.py</v>
      </c>
      <c r="K62" s="1" t="s">
        <v>206</v>
      </c>
    </row>
    <row r="63" spans="1:11" x14ac:dyDescent="0.4">
      <c r="A63" s="4" t="s">
        <v>113</v>
      </c>
      <c r="B63" s="5" t="s">
        <v>114</v>
      </c>
      <c r="C63" s="6">
        <v>698</v>
      </c>
      <c r="D63" s="6">
        <v>785</v>
      </c>
      <c r="E63" s="6">
        <v>637</v>
      </c>
      <c r="F63" s="7" t="s">
        <v>199</v>
      </c>
      <c r="G63" s="14" t="str">
        <f t="shared" si="0"/>
        <v>iHN637.xml</v>
      </c>
      <c r="H63" s="14" t="str">
        <f t="shared" si="1"/>
        <v>iHN637.modelspec</v>
      </c>
      <c r="I63" s="14" t="str">
        <f t="shared" si="2"/>
        <v>iHN637.py</v>
      </c>
      <c r="J63" s="14" t="str">
        <f t="shared" si="3"/>
        <v>iHN637.py</v>
      </c>
      <c r="K63" s="1" t="s">
        <v>206</v>
      </c>
    </row>
    <row r="64" spans="1:11" x14ac:dyDescent="0.4">
      <c r="A64" s="4" t="s">
        <v>115</v>
      </c>
      <c r="B64" s="5" t="s">
        <v>116</v>
      </c>
      <c r="C64" s="6">
        <v>606</v>
      </c>
      <c r="D64" s="6">
        <v>519</v>
      </c>
      <c r="E64" s="6">
        <v>312</v>
      </c>
      <c r="F64" s="7" t="s">
        <v>199</v>
      </c>
      <c r="G64" s="14" t="str">
        <f t="shared" si="0"/>
        <v>iIS312.xml</v>
      </c>
      <c r="H64" s="14" t="str">
        <f t="shared" si="1"/>
        <v>iIS312.modelspec</v>
      </c>
      <c r="I64" s="14" t="str">
        <f t="shared" si="2"/>
        <v>iIS312.py</v>
      </c>
      <c r="J64" s="14" t="str">
        <f t="shared" si="3"/>
        <v>iIS312.py</v>
      </c>
      <c r="K64" s="1" t="s">
        <v>206</v>
      </c>
    </row>
    <row r="65" spans="1:11" ht="29.5" x14ac:dyDescent="0.4">
      <c r="A65" s="4" t="s">
        <v>117</v>
      </c>
      <c r="B65" s="5" t="s">
        <v>116</v>
      </c>
      <c r="C65" s="6">
        <v>606</v>
      </c>
      <c r="D65" s="6">
        <v>519</v>
      </c>
      <c r="E65" s="6">
        <v>312</v>
      </c>
      <c r="F65" s="7" t="s">
        <v>199</v>
      </c>
      <c r="G65" s="14" t="str">
        <f t="shared" si="0"/>
        <v>iIS312_Amastigote.xml</v>
      </c>
      <c r="H65" s="14" t="str">
        <f>HYPERLINK(_xlfn.CONCAT("https://github.com/mauriceling/kinmodre/tree/main/asm/",A65,".modelspec"),_xlfn.CONCAT(A65,".modelspec"))</f>
        <v>iIS312_Amastigote.modelspec</v>
      </c>
      <c r="I65" s="14" t="str">
        <f t="shared" si="2"/>
        <v>iIS312_Amastigote.py</v>
      </c>
      <c r="J65" s="14" t="str">
        <f t="shared" si="3"/>
        <v>iIS312_Amastigote.py</v>
      </c>
      <c r="K65" s="1" t="s">
        <v>206</v>
      </c>
    </row>
    <row r="66" spans="1:11" ht="29.5" x14ac:dyDescent="0.4">
      <c r="A66" s="4" t="s">
        <v>118</v>
      </c>
      <c r="B66" s="5" t="s">
        <v>116</v>
      </c>
      <c r="C66" s="6">
        <v>606</v>
      </c>
      <c r="D66" s="6">
        <v>519</v>
      </c>
      <c r="E66" s="6">
        <v>312</v>
      </c>
      <c r="F66" s="7" t="s">
        <v>199</v>
      </c>
      <c r="G66" s="14" t="str">
        <f t="shared" si="0"/>
        <v>iIS312_Epimastigote.xml</v>
      </c>
      <c r="H66" s="14" t="str">
        <f t="shared" si="1"/>
        <v>iIS312_Epimastigote.modelspec</v>
      </c>
      <c r="I66" s="14" t="str">
        <f t="shared" si="2"/>
        <v>iIS312_Epimastigote.py</v>
      </c>
      <c r="J66" s="14" t="str">
        <f t="shared" si="3"/>
        <v>iIS312_Epimastigote.py</v>
      </c>
      <c r="K66" s="1" t="s">
        <v>206</v>
      </c>
    </row>
    <row r="67" spans="1:11" ht="29.5" x14ac:dyDescent="0.4">
      <c r="A67" s="4" t="s">
        <v>119</v>
      </c>
      <c r="B67" s="5" t="s">
        <v>116</v>
      </c>
      <c r="C67" s="6">
        <v>606</v>
      </c>
      <c r="D67" s="6">
        <v>520</v>
      </c>
      <c r="E67" s="6">
        <v>312</v>
      </c>
      <c r="F67" s="7" t="s">
        <v>199</v>
      </c>
      <c r="G67" s="14" t="str">
        <f t="shared" ref="G67:G109" si="5">HYPERLINK(_xlfn.CONCAT("https://github.com/mauriceling/kinmodre/blob/main/GSM/",A67,".xml"),_xlfn.CONCAT(A67,".xml"))</f>
        <v>iIS312_Trypomastigote.xml</v>
      </c>
      <c r="H67" s="14" t="str">
        <f t="shared" ref="H67:H109" si="6">HYPERLINK(_xlfn.CONCAT("https://github.com/mauriceling/kinmodre/tree/main/asm/",A67,".modelspec"),_xlfn.CONCAT(A67,".modelspec"))</f>
        <v>iIS312_Trypomastigote.modelspec</v>
      </c>
      <c r="I67" s="14" t="str">
        <f t="shared" ref="I67:I109" si="7">HYPERLINK(_xlfn.CONCAT("https://github.com/mauriceling/kinmodre/tree/main/odescripts/",A67,".py"),_xlfn.CONCAT(A67,".py"))</f>
        <v>iIS312_Trypomastigote.py</v>
      </c>
      <c r="J67" s="14" t="str">
        <f t="shared" ref="J67:J109" si="8">HYPERLINK(_xlfn.CONCAT("https://github.com/mauriceling/kinmodre/tree/main/GSM-odescripts/",A67,".py"),_xlfn.CONCAT(A67,".py"))</f>
        <v>iIS312_Trypomastigote.py</v>
      </c>
      <c r="K67" s="1" t="s">
        <v>206</v>
      </c>
    </row>
    <row r="68" spans="1:11" x14ac:dyDescent="0.4">
      <c r="A68" s="4" t="s">
        <v>120</v>
      </c>
      <c r="B68" s="5" t="s">
        <v>121</v>
      </c>
      <c r="C68" s="6">
        <v>485</v>
      </c>
      <c r="D68" s="6">
        <v>554</v>
      </c>
      <c r="E68" s="6">
        <v>339</v>
      </c>
      <c r="F68" s="7" t="s">
        <v>199</v>
      </c>
      <c r="G68" s="14" t="str">
        <f>HYPERLINK(_xlfn.CONCAT("https://github.com/mauriceling/kinmodre/blob/main/GSM/",A68,".xml"),_xlfn.CONCAT(A68,".xml"))</f>
        <v>iIT341.xml</v>
      </c>
      <c r="H68" s="14" t="str">
        <f t="shared" si="6"/>
        <v>iIT341.modelspec</v>
      </c>
      <c r="I68" s="14" t="str">
        <f t="shared" si="7"/>
        <v>iIT341.py</v>
      </c>
      <c r="J68" s="14" t="str">
        <f t="shared" si="8"/>
        <v>iIT341.py</v>
      </c>
      <c r="K68" s="1" t="s">
        <v>206</v>
      </c>
    </row>
    <row r="69" spans="1:11" x14ac:dyDescent="0.4">
      <c r="A69" s="4" t="s">
        <v>122</v>
      </c>
      <c r="B69" s="5" t="s">
        <v>123</v>
      </c>
      <c r="C69" s="6">
        <v>768</v>
      </c>
      <c r="D69" s="6">
        <v>849</v>
      </c>
      <c r="E69" s="6">
        <v>785</v>
      </c>
      <c r="F69" s="7" t="s">
        <v>199</v>
      </c>
      <c r="G69" s="14" t="str">
        <f t="shared" si="5"/>
        <v>iJB785.xml</v>
      </c>
      <c r="H69" s="14" t="str">
        <f t="shared" si="6"/>
        <v>iJB785.modelspec</v>
      </c>
      <c r="I69" s="14" t="str">
        <f t="shared" si="7"/>
        <v>iJB785.py</v>
      </c>
      <c r="J69" s="14" t="str">
        <f t="shared" si="8"/>
        <v>iJB785.py</v>
      </c>
      <c r="K69" s="1" t="s">
        <v>206</v>
      </c>
    </row>
    <row r="70" spans="1:11" x14ac:dyDescent="0.4">
      <c r="A70" s="4" t="s">
        <v>124</v>
      </c>
      <c r="B70" s="5" t="s">
        <v>125</v>
      </c>
      <c r="C70" s="6">
        <v>2153</v>
      </c>
      <c r="D70" s="6">
        <v>2927</v>
      </c>
      <c r="E70" s="6">
        <v>1462</v>
      </c>
      <c r="F70" s="7" t="s">
        <v>199</v>
      </c>
      <c r="G70" s="14" t="str">
        <f t="shared" si="5"/>
        <v>iJN1463.xml</v>
      </c>
      <c r="H70" s="14" t="str">
        <f>HYPERLINK(_xlfn.CONCAT("https://github.com/mauriceling/kinmodre/tree/main/asm/",A70,".modelspec"),_xlfn.CONCAT(A70,".modelspec"))</f>
        <v>iJN1463.modelspec</v>
      </c>
      <c r="I70" s="14" t="str">
        <f t="shared" si="7"/>
        <v>iJN1463.py</v>
      </c>
      <c r="J70" s="14" t="str">
        <f t="shared" si="8"/>
        <v>iJN1463.py</v>
      </c>
      <c r="K70" s="1" t="s">
        <v>206</v>
      </c>
    </row>
    <row r="71" spans="1:11" x14ac:dyDescent="0.4">
      <c r="A71" s="4" t="s">
        <v>126</v>
      </c>
      <c r="B71" s="5" t="s">
        <v>127</v>
      </c>
      <c r="C71" s="6">
        <v>795</v>
      </c>
      <c r="D71" s="6">
        <v>863</v>
      </c>
      <c r="E71" s="6">
        <v>622</v>
      </c>
      <c r="F71" s="7" t="s">
        <v>199</v>
      </c>
      <c r="G71" s="14" t="str">
        <f t="shared" si="5"/>
        <v>iJN678.xml</v>
      </c>
      <c r="H71" s="14" t="str">
        <f t="shared" si="6"/>
        <v>iJN678.modelspec</v>
      </c>
      <c r="I71" s="14" t="str">
        <f t="shared" si="7"/>
        <v>iJN678.py</v>
      </c>
      <c r="J71" s="14" t="str">
        <f>HYPERLINK(_xlfn.CONCAT("https://github.com/mauriceling/kinmodre/tree/main/GSM-odescripts/",A71,".py"),_xlfn.CONCAT(A71,".py"))</f>
        <v>iJN678.py</v>
      </c>
      <c r="K71" s="1" t="s">
        <v>206</v>
      </c>
    </row>
    <row r="72" spans="1:11" x14ac:dyDescent="0.4">
      <c r="A72" s="4" t="s">
        <v>128</v>
      </c>
      <c r="B72" s="5" t="s">
        <v>125</v>
      </c>
      <c r="C72" s="6">
        <v>907</v>
      </c>
      <c r="D72" s="6">
        <v>1054</v>
      </c>
      <c r="E72" s="6">
        <v>746</v>
      </c>
      <c r="F72" s="7" t="s">
        <v>199</v>
      </c>
      <c r="G72" s="14" t="str">
        <f t="shared" si="5"/>
        <v>iJN746.xml</v>
      </c>
      <c r="H72" s="14" t="str">
        <f>HYPERLINK(_xlfn.CONCAT("https://github.com/mauriceling/kinmodre/tree/main/asm/",A72,".modelspec"),_xlfn.CONCAT(A72,".modelspec"))</f>
        <v>iJN746.modelspec</v>
      </c>
      <c r="I72" s="14" t="str">
        <f t="shared" si="7"/>
        <v>iJN746.py</v>
      </c>
      <c r="J72" s="14" t="str">
        <f t="shared" si="8"/>
        <v>iJN746.py</v>
      </c>
      <c r="K72" s="1" t="s">
        <v>206</v>
      </c>
    </row>
    <row r="73" spans="1:11" x14ac:dyDescent="0.4">
      <c r="A73" s="4" t="s">
        <v>129</v>
      </c>
      <c r="B73" s="5" t="s">
        <v>1</v>
      </c>
      <c r="C73" s="6">
        <v>1805</v>
      </c>
      <c r="D73" s="6">
        <v>2583</v>
      </c>
      <c r="E73" s="6">
        <v>1367</v>
      </c>
      <c r="F73" s="7" t="s">
        <v>199</v>
      </c>
      <c r="G73" s="14" t="str">
        <f t="shared" si="5"/>
        <v>iJO1366.xml</v>
      </c>
      <c r="H73" s="14" t="str">
        <f t="shared" si="6"/>
        <v>iJO1366.modelspec</v>
      </c>
      <c r="I73" s="14" t="str">
        <f t="shared" si="7"/>
        <v>iJO1366.py</v>
      </c>
      <c r="J73" s="14" t="str">
        <f t="shared" si="8"/>
        <v>iJO1366.py</v>
      </c>
      <c r="K73" s="1" t="s">
        <v>206</v>
      </c>
    </row>
    <row r="74" spans="1:11" x14ac:dyDescent="0.4">
      <c r="A74" s="4" t="s">
        <v>130</v>
      </c>
      <c r="B74" s="5" t="s">
        <v>1</v>
      </c>
      <c r="C74" s="6">
        <v>761</v>
      </c>
      <c r="D74" s="6">
        <v>1075</v>
      </c>
      <c r="E74" s="6">
        <v>904</v>
      </c>
      <c r="F74" s="7" t="s">
        <v>199</v>
      </c>
      <c r="G74" s="14" t="str">
        <f t="shared" si="5"/>
        <v>iJR904.xml</v>
      </c>
      <c r="H74" s="14" t="str">
        <f>HYPERLINK(_xlfn.CONCAT("https://github.com/mauriceling/kinmodre/tree/main/asm/",A74,".modelspec"),_xlfn.CONCAT(A74,".modelspec"))</f>
        <v>iJR904.modelspec</v>
      </c>
      <c r="I74" s="14" t="str">
        <f t="shared" si="7"/>
        <v>iJR904.py</v>
      </c>
      <c r="J74" s="14" t="str">
        <f t="shared" si="8"/>
        <v>iJR904.py</v>
      </c>
      <c r="K74" s="1" t="s">
        <v>206</v>
      </c>
    </row>
    <row r="75" spans="1:11" x14ac:dyDescent="0.4">
      <c r="A75" s="4" t="s">
        <v>131</v>
      </c>
      <c r="B75" s="5" t="s">
        <v>132</v>
      </c>
      <c r="C75" s="6">
        <v>2172</v>
      </c>
      <c r="D75" s="6">
        <v>4456</v>
      </c>
      <c r="E75" s="6">
        <v>1027</v>
      </c>
      <c r="F75" s="7" t="s">
        <v>199</v>
      </c>
      <c r="G75" s="14" t="str">
        <f t="shared" si="5"/>
        <v>iLB1027_lipid.xml</v>
      </c>
      <c r="H75" s="14" t="str">
        <f>HYPERLINK(_xlfn.CONCAT("https://github.com/mauriceling/kinmodre/tree/main/asm/",A75,".modelspec"),_xlfn.CONCAT(A75,".modelspec"))</f>
        <v>iLB1027_lipid.modelspec</v>
      </c>
      <c r="I75" s="14" t="str">
        <f>HYPERLINK(_xlfn.CONCAT("https://github.com/mauriceling/kinmodre/tree/main/odescripts/",A75,".py"),_xlfn.CONCAT(A75,".py"))</f>
        <v>iLB1027_lipid.py</v>
      </c>
      <c r="J75" s="14" t="str">
        <f t="shared" si="8"/>
        <v>iLB1027_lipid.py</v>
      </c>
      <c r="K75" s="1" t="s">
        <v>206</v>
      </c>
    </row>
    <row r="76" spans="1:11" x14ac:dyDescent="0.4">
      <c r="A76" s="4" t="s">
        <v>133</v>
      </c>
      <c r="B76" s="5" t="s">
        <v>134</v>
      </c>
      <c r="C76" s="6">
        <v>1938</v>
      </c>
      <c r="D76" s="6">
        <v>2726</v>
      </c>
      <c r="E76" s="6">
        <v>1302</v>
      </c>
      <c r="F76" s="7" t="s">
        <v>199</v>
      </c>
      <c r="G76" s="14" t="str">
        <f t="shared" si="5"/>
        <v>iLF82_1304.xml</v>
      </c>
      <c r="H76" s="14" t="str">
        <f t="shared" si="6"/>
        <v>iLF82_1304.modelspec</v>
      </c>
      <c r="I76" s="14" t="str">
        <f t="shared" si="7"/>
        <v>iLF82_1304.py</v>
      </c>
      <c r="J76" s="14" t="str">
        <f t="shared" si="8"/>
        <v>iLF82_1304.py</v>
      </c>
      <c r="K76" s="1" t="s">
        <v>206</v>
      </c>
    </row>
    <row r="77" spans="1:11" x14ac:dyDescent="0.4">
      <c r="A77" s="4" t="s">
        <v>135</v>
      </c>
      <c r="B77" s="5" t="s">
        <v>136</v>
      </c>
      <c r="C77" s="6">
        <v>570</v>
      </c>
      <c r="D77" s="6">
        <v>652</v>
      </c>
      <c r="E77" s="6">
        <v>482</v>
      </c>
      <c r="F77" s="7" t="s">
        <v>199</v>
      </c>
      <c r="G77" s="14" t="str">
        <f t="shared" si="5"/>
        <v>iLJ478.xml</v>
      </c>
      <c r="H77" s="14" t="str">
        <f t="shared" si="6"/>
        <v>iLJ478.modelspec</v>
      </c>
      <c r="I77" s="14" t="str">
        <f t="shared" si="7"/>
        <v>iLJ478.py</v>
      </c>
      <c r="J77" s="14" t="str">
        <f t="shared" si="8"/>
        <v>iLJ478.py</v>
      </c>
      <c r="K77" s="1" t="s">
        <v>206</v>
      </c>
    </row>
    <row r="78" spans="1:11" x14ac:dyDescent="0.4">
      <c r="A78" s="4" t="s">
        <v>137</v>
      </c>
      <c r="B78" s="5" t="s">
        <v>1</v>
      </c>
      <c r="C78" s="6">
        <v>1877</v>
      </c>
      <c r="D78" s="6">
        <v>2712</v>
      </c>
      <c r="E78" s="6">
        <v>1516</v>
      </c>
      <c r="F78" s="7" t="s">
        <v>199</v>
      </c>
      <c r="G78" s="14" t="str">
        <f t="shared" si="5"/>
        <v>iML1515.xml</v>
      </c>
      <c r="H78" s="14" t="str">
        <f t="shared" si="6"/>
        <v>iML1515.modelspec</v>
      </c>
      <c r="I78" s="14" t="str">
        <f t="shared" si="7"/>
        <v>iML1515.py</v>
      </c>
      <c r="J78" s="14" t="str">
        <f t="shared" si="8"/>
        <v>iML1515.py</v>
      </c>
      <c r="K78" s="1" t="s">
        <v>206</v>
      </c>
    </row>
    <row r="79" spans="1:11" x14ac:dyDescent="0.4">
      <c r="A79" s="4" t="s">
        <v>138</v>
      </c>
      <c r="B79" s="5" t="s">
        <v>139</v>
      </c>
      <c r="C79" s="6">
        <v>2775</v>
      </c>
      <c r="D79" s="6">
        <v>3726</v>
      </c>
      <c r="E79" s="6">
        <v>1375</v>
      </c>
      <c r="F79" s="7" t="s">
        <v>199</v>
      </c>
      <c r="G79" s="14" t="str">
        <f t="shared" si="5"/>
        <v>iMM1415.xml</v>
      </c>
      <c r="H79" s="14" t="str">
        <f t="shared" si="6"/>
        <v>iMM1415.modelspec</v>
      </c>
      <c r="I79" s="14" t="str">
        <f t="shared" si="7"/>
        <v>iMM1415.py</v>
      </c>
      <c r="J79" s="14" t="str">
        <f t="shared" si="8"/>
        <v>iMM1415.py</v>
      </c>
      <c r="K79" s="1" t="s">
        <v>206</v>
      </c>
    </row>
    <row r="80" spans="1:11" x14ac:dyDescent="0.4">
      <c r="A80" s="4" t="s">
        <v>140</v>
      </c>
      <c r="B80" s="5" t="s">
        <v>141</v>
      </c>
      <c r="C80" s="6">
        <v>1226</v>
      </c>
      <c r="D80" s="6">
        <v>1577</v>
      </c>
      <c r="E80" s="6">
        <v>905</v>
      </c>
      <c r="F80" s="7" t="s">
        <v>199</v>
      </c>
      <c r="G80" s="14" t="str">
        <f t="shared" si="5"/>
        <v>iMM904.xml</v>
      </c>
      <c r="H80" s="14" t="str">
        <f>HYPERLINK(_xlfn.CONCAT("https://github.com/mauriceling/kinmodre/tree/main/asm/",A80,".modelspec"),_xlfn.CONCAT(A80,".modelspec"))</f>
        <v>iMM904.modelspec</v>
      </c>
      <c r="I80" s="14" t="str">
        <f t="shared" si="7"/>
        <v>iMM904.py</v>
      </c>
      <c r="J80" s="14" t="str">
        <f t="shared" si="8"/>
        <v>iMM904.py</v>
      </c>
      <c r="K80" s="1" t="s">
        <v>206</v>
      </c>
    </row>
    <row r="81" spans="1:11" x14ac:dyDescent="0.4">
      <c r="A81" s="4" t="s">
        <v>142</v>
      </c>
      <c r="B81" s="5" t="s">
        <v>141</v>
      </c>
      <c r="C81" s="6">
        <v>1059</v>
      </c>
      <c r="D81" s="6">
        <v>1266</v>
      </c>
      <c r="E81" s="6">
        <v>750</v>
      </c>
      <c r="F81" s="7" t="s">
        <v>199</v>
      </c>
      <c r="G81" s="14" t="str">
        <f t="shared" si="5"/>
        <v>iND750.xml</v>
      </c>
      <c r="H81" s="14" t="str">
        <f t="shared" si="6"/>
        <v>iND750.modelspec</v>
      </c>
      <c r="I81" s="14" t="str">
        <f t="shared" si="7"/>
        <v>iND750.py</v>
      </c>
      <c r="J81" s="14" t="str">
        <f t="shared" si="8"/>
        <v>iND750.py</v>
      </c>
      <c r="K81" s="1" t="s">
        <v>206</v>
      </c>
    </row>
    <row r="82" spans="1:11" x14ac:dyDescent="0.4">
      <c r="A82" s="4" t="s">
        <v>143</v>
      </c>
      <c r="B82" s="5" t="s">
        <v>144</v>
      </c>
      <c r="C82" s="6">
        <v>650</v>
      </c>
      <c r="D82" s="6">
        <v>754</v>
      </c>
      <c r="E82" s="6">
        <v>516</v>
      </c>
      <c r="F82" s="7" t="s">
        <v>199</v>
      </c>
      <c r="G82" s="14" t="str">
        <f t="shared" si="5"/>
        <v>iNF517.xml</v>
      </c>
      <c r="H82" s="14" t="str">
        <f t="shared" si="6"/>
        <v>iNF517.modelspec</v>
      </c>
      <c r="I82" s="14" t="str">
        <f t="shared" si="7"/>
        <v>iNF517.py</v>
      </c>
      <c r="J82" s="14" t="str">
        <f t="shared" si="8"/>
        <v>iNF517.py</v>
      </c>
      <c r="K82" s="1" t="s">
        <v>206</v>
      </c>
    </row>
    <row r="83" spans="1:11" x14ac:dyDescent="0.4">
      <c r="A83" s="4" t="s">
        <v>145</v>
      </c>
      <c r="B83" s="5" t="s">
        <v>106</v>
      </c>
      <c r="C83" s="6">
        <v>825</v>
      </c>
      <c r="D83" s="6">
        <v>1025</v>
      </c>
      <c r="E83" s="6">
        <v>661</v>
      </c>
      <c r="F83" s="7" t="s">
        <v>199</v>
      </c>
      <c r="G83" s="14" t="str">
        <f t="shared" si="5"/>
        <v>iNJ661.xml</v>
      </c>
      <c r="H83" s="14" t="str">
        <f>HYPERLINK(_xlfn.CONCAT("https://github.com/mauriceling/kinmodre/tree/main/asm/",A83,".modelspec"),_xlfn.CONCAT(A83,".modelspec"))</f>
        <v>iNJ661.modelspec</v>
      </c>
      <c r="I83" s="14" t="str">
        <f t="shared" si="7"/>
        <v>iNJ661.py</v>
      </c>
      <c r="J83" s="14" t="str">
        <f t="shared" si="8"/>
        <v>iNJ661.py</v>
      </c>
      <c r="K83" s="1" t="s">
        <v>206</v>
      </c>
    </row>
    <row r="84" spans="1:11" ht="29.5" x14ac:dyDescent="0.4">
      <c r="A84" s="4" t="s">
        <v>146</v>
      </c>
      <c r="B84" s="5" t="s">
        <v>147</v>
      </c>
      <c r="C84" s="6">
        <v>1943</v>
      </c>
      <c r="D84" s="6">
        <v>2735</v>
      </c>
      <c r="E84" s="6">
        <v>1311</v>
      </c>
      <c r="F84" s="7" t="s">
        <v>199</v>
      </c>
      <c r="G84" s="14" t="str">
        <f t="shared" si="5"/>
        <v>iNRG857_1313.xml</v>
      </c>
      <c r="H84" s="14" t="str">
        <f t="shared" si="6"/>
        <v>iNRG857_1313.modelspec</v>
      </c>
      <c r="I84" s="14" t="str">
        <f t="shared" si="7"/>
        <v>iNRG857_1313.py</v>
      </c>
      <c r="J84" s="14" t="str">
        <f t="shared" si="8"/>
        <v>iNRG857_1313.py</v>
      </c>
      <c r="K84" s="1" t="s">
        <v>206</v>
      </c>
    </row>
    <row r="85" spans="1:11" x14ac:dyDescent="0.4">
      <c r="A85" s="4" t="s">
        <v>148</v>
      </c>
      <c r="B85" s="5" t="s">
        <v>149</v>
      </c>
      <c r="C85" s="6">
        <v>1552</v>
      </c>
      <c r="D85" s="6">
        <v>1961</v>
      </c>
      <c r="E85" s="6">
        <v>815</v>
      </c>
      <c r="F85" s="7" t="s">
        <v>199</v>
      </c>
      <c r="G85" s="14" t="str">
        <f t="shared" si="5"/>
        <v>iPC815.xml</v>
      </c>
      <c r="H85" s="14" t="str">
        <f t="shared" si="6"/>
        <v>iPC815.modelspec</v>
      </c>
      <c r="I85" s="14" t="str">
        <f t="shared" si="7"/>
        <v>iPC815.py</v>
      </c>
      <c r="J85" s="14" t="str">
        <f t="shared" si="8"/>
        <v>iPC815.py</v>
      </c>
      <c r="K85" s="1" t="s">
        <v>206</v>
      </c>
    </row>
    <row r="86" spans="1:11" x14ac:dyDescent="0.4">
      <c r="A86" s="4" t="s">
        <v>150</v>
      </c>
      <c r="B86" s="5" t="s">
        <v>151</v>
      </c>
      <c r="C86" s="6">
        <v>1706</v>
      </c>
      <c r="D86" s="6">
        <v>2191</v>
      </c>
      <c r="E86" s="6">
        <v>1086</v>
      </c>
      <c r="F86" s="7" t="s">
        <v>199</v>
      </c>
      <c r="G86" s="14" t="str">
        <f t="shared" si="5"/>
        <v>iRC1080.xml</v>
      </c>
      <c r="H86" s="14" t="str">
        <f>HYPERLINK(_xlfn.CONCAT("https://github.com/mauriceling/kinmodre/tree/main/asm/",A86,".modelspec"),_xlfn.CONCAT(A86,".modelspec"))</f>
        <v>iRC1080.modelspec</v>
      </c>
      <c r="I86" s="14" t="str">
        <f t="shared" si="7"/>
        <v>iRC1080.py</v>
      </c>
      <c r="J86" s="14" t="str">
        <f t="shared" si="8"/>
        <v>iRC1080.py</v>
      </c>
      <c r="K86" s="1" t="s">
        <v>206</v>
      </c>
    </row>
    <row r="87" spans="1:11" x14ac:dyDescent="0.4">
      <c r="A87" s="4" t="s">
        <v>152</v>
      </c>
      <c r="B87" s="5" t="s">
        <v>153</v>
      </c>
      <c r="C87" s="6">
        <v>1914</v>
      </c>
      <c r="D87" s="6">
        <v>2619</v>
      </c>
      <c r="E87" s="6">
        <v>1188</v>
      </c>
      <c r="F87" s="7" t="s">
        <v>199</v>
      </c>
      <c r="G87" s="14" t="str">
        <f>HYPERLINK(_xlfn.CONCAT("https://github.com/mauriceling/kinmodre/blob/main/GSM/",A87,".xml"),_xlfn.CONCAT(A87,".xml"))</f>
        <v>iS_1188.xml</v>
      </c>
      <c r="H87" s="14" t="str">
        <f>HYPERLINK(_xlfn.CONCAT("https://github.com/mauriceling/kinmodre/tree/main/asm/",A87,".modelspec"),_xlfn.CONCAT(A87,".modelspec"))</f>
        <v>iS_1188.modelspec</v>
      </c>
      <c r="I87" s="14" t="str">
        <f t="shared" si="7"/>
        <v>iS_1188.py</v>
      </c>
      <c r="J87" s="14" t="str">
        <f t="shared" si="8"/>
        <v>iS_1188.py</v>
      </c>
      <c r="K87" s="1" t="s">
        <v>206</v>
      </c>
    </row>
    <row r="88" spans="1:11" x14ac:dyDescent="0.4">
      <c r="A88" s="4" t="s">
        <v>154</v>
      </c>
      <c r="B88" s="5" t="s">
        <v>155</v>
      </c>
      <c r="C88" s="6">
        <v>655</v>
      </c>
      <c r="D88" s="6">
        <v>743</v>
      </c>
      <c r="E88" s="6">
        <v>619</v>
      </c>
      <c r="F88" s="7" t="s">
        <v>199</v>
      </c>
      <c r="G88" s="14" t="str">
        <f>HYPERLINK(_xlfn.CONCAT("https://github.com/mauriceling/kinmodre/blob/main/GSM/",A88,".xml"),_xlfn.CONCAT(A88,".xml"))</f>
        <v>iSB619.xml</v>
      </c>
      <c r="H88" s="14" t="str">
        <f t="shared" si="6"/>
        <v>iSB619.modelspec</v>
      </c>
      <c r="I88" s="14" t="str">
        <f t="shared" si="7"/>
        <v>iSB619.py</v>
      </c>
      <c r="J88" s="14" t="str">
        <f t="shared" si="8"/>
        <v>iSB619.py</v>
      </c>
      <c r="K88" s="1" t="s">
        <v>206</v>
      </c>
    </row>
    <row r="89" spans="1:11" ht="29.5" x14ac:dyDescent="0.4">
      <c r="A89" s="4" t="s">
        <v>156</v>
      </c>
      <c r="B89" s="5" t="s">
        <v>157</v>
      </c>
      <c r="C89" s="6">
        <v>1910</v>
      </c>
      <c r="D89" s="6">
        <v>2591</v>
      </c>
      <c r="E89" s="6">
        <v>1147</v>
      </c>
      <c r="F89" s="7" t="s">
        <v>199</v>
      </c>
      <c r="G89" s="14" t="str">
        <f t="shared" si="5"/>
        <v>iSbBS512_1146.xml</v>
      </c>
      <c r="H89" s="14" t="str">
        <f t="shared" si="6"/>
        <v>iSbBS512_1146.modelspec</v>
      </c>
      <c r="I89" s="14" t="str">
        <f t="shared" si="7"/>
        <v>iSbBS512_1146.py</v>
      </c>
      <c r="J89" s="14" t="str">
        <f t="shared" si="8"/>
        <v>iSbBS512_1146.py</v>
      </c>
      <c r="K89" s="1" t="s">
        <v>206</v>
      </c>
    </row>
    <row r="90" spans="1:11" x14ac:dyDescent="0.4">
      <c r="A90" s="4" t="s">
        <v>158</v>
      </c>
      <c r="B90" s="5" t="s">
        <v>159</v>
      </c>
      <c r="C90" s="6">
        <v>1908</v>
      </c>
      <c r="D90" s="6">
        <v>2591</v>
      </c>
      <c r="E90" s="6">
        <v>1134</v>
      </c>
      <c r="F90" s="7" t="s">
        <v>199</v>
      </c>
      <c r="G90" s="14" t="str">
        <f t="shared" si="5"/>
        <v>iSBO_1134.xml</v>
      </c>
      <c r="H90" s="14" t="str">
        <f t="shared" si="6"/>
        <v>iSBO_1134.modelspec</v>
      </c>
      <c r="I90" s="14" t="str">
        <f t="shared" si="7"/>
        <v>iSBO_1134.py</v>
      </c>
      <c r="J90" s="14" t="str">
        <f t="shared" si="8"/>
        <v>iSBO_1134.py</v>
      </c>
      <c r="K90" s="1" t="s">
        <v>206</v>
      </c>
    </row>
    <row r="91" spans="1:11" x14ac:dyDescent="0.4">
      <c r="A91" s="4" t="s">
        <v>160</v>
      </c>
      <c r="B91" s="5" t="s">
        <v>161</v>
      </c>
      <c r="C91" s="6">
        <v>1888</v>
      </c>
      <c r="D91" s="6">
        <v>2539</v>
      </c>
      <c r="E91" s="6">
        <v>1059</v>
      </c>
      <c r="F91" s="7" t="s">
        <v>199</v>
      </c>
      <c r="G91" s="14" t="str">
        <f t="shared" si="5"/>
        <v>iSDY_1059.xml</v>
      </c>
      <c r="H91" s="14" t="str">
        <f t="shared" si="6"/>
        <v>iSDY_1059.modelspec</v>
      </c>
      <c r="I91" s="14" t="str">
        <f t="shared" si="7"/>
        <v>iSDY_1059.py</v>
      </c>
      <c r="J91" s="14" t="str">
        <f t="shared" si="8"/>
        <v>iSDY_1059.py</v>
      </c>
      <c r="K91" s="1" t="s">
        <v>206</v>
      </c>
    </row>
    <row r="92" spans="1:11" x14ac:dyDescent="0.4">
      <c r="A92" s="4" t="s">
        <v>162</v>
      </c>
      <c r="B92" s="5" t="s">
        <v>163</v>
      </c>
      <c r="C92" s="6">
        <v>1917</v>
      </c>
      <c r="D92" s="6">
        <v>2630</v>
      </c>
      <c r="E92" s="6">
        <v>1195</v>
      </c>
      <c r="F92" s="7" t="s">
        <v>199</v>
      </c>
      <c r="G92" s="14" t="str">
        <f t="shared" si="5"/>
        <v>iSF_1195.xml</v>
      </c>
      <c r="H92" s="14" t="str">
        <f t="shared" si="6"/>
        <v>iSF_1195.modelspec</v>
      </c>
      <c r="I92" s="14" t="str">
        <f>HYPERLINK(_xlfn.CONCAT("https://github.com/mauriceling/kinmodre/tree/main/odescripts/",A92,".py"),_xlfn.CONCAT(A92,".py"))</f>
        <v>iSF_1195.py</v>
      </c>
      <c r="J92" s="14" t="str">
        <f t="shared" si="8"/>
        <v>iSF_1195.py</v>
      </c>
      <c r="K92" s="1" t="s">
        <v>206</v>
      </c>
    </row>
    <row r="93" spans="1:11" x14ac:dyDescent="0.4">
      <c r="A93" s="4" t="s">
        <v>164</v>
      </c>
      <c r="B93" s="5" t="s">
        <v>165</v>
      </c>
      <c r="C93" s="6">
        <v>1917</v>
      </c>
      <c r="D93" s="6">
        <v>2621</v>
      </c>
      <c r="E93" s="6">
        <v>1184</v>
      </c>
      <c r="F93" s="7" t="s">
        <v>199</v>
      </c>
      <c r="G93" s="14" t="str">
        <f t="shared" si="5"/>
        <v>iSFV_1184.xml</v>
      </c>
      <c r="H93" s="14" t="str">
        <f t="shared" si="6"/>
        <v>iSFV_1184.modelspec</v>
      </c>
      <c r="I93" s="14" t="str">
        <f t="shared" si="7"/>
        <v>iSFV_1184.py</v>
      </c>
      <c r="J93" s="14" t="str">
        <f t="shared" si="8"/>
        <v>iSFV_1184.py</v>
      </c>
      <c r="K93" s="1" t="s">
        <v>206</v>
      </c>
    </row>
    <row r="94" spans="1:11" x14ac:dyDescent="0.4">
      <c r="A94" s="4" t="s">
        <v>166</v>
      </c>
      <c r="B94" s="5" t="s">
        <v>167</v>
      </c>
      <c r="C94" s="6">
        <v>1918</v>
      </c>
      <c r="D94" s="6">
        <v>2638</v>
      </c>
      <c r="E94" s="6">
        <v>1169</v>
      </c>
      <c r="F94" s="7" t="s">
        <v>199</v>
      </c>
      <c r="G94" s="14" t="str">
        <f t="shared" si="5"/>
        <v>iSFxv_1172.xml</v>
      </c>
      <c r="H94" s="14" t="str">
        <f t="shared" si="6"/>
        <v>iSFxv_1172.modelspec</v>
      </c>
      <c r="I94" s="14" t="str">
        <f>HYPERLINK(_xlfn.CONCAT("https://github.com/mauriceling/kinmodre/tree/main/odescripts/",A94,".py"),_xlfn.CONCAT(A94,".py"))</f>
        <v>iSFxv_1172.py</v>
      </c>
      <c r="J94" s="14" t="str">
        <f t="shared" si="8"/>
        <v>iSFxv_1172.py</v>
      </c>
      <c r="K94" s="1" t="s">
        <v>206</v>
      </c>
    </row>
    <row r="95" spans="1:11" x14ac:dyDescent="0.4">
      <c r="A95" s="4" t="s">
        <v>168</v>
      </c>
      <c r="B95" s="5" t="s">
        <v>169</v>
      </c>
      <c r="C95" s="6">
        <v>1936</v>
      </c>
      <c r="D95" s="6">
        <v>2693</v>
      </c>
      <c r="E95" s="6">
        <v>1240</v>
      </c>
      <c r="F95" s="7" t="s">
        <v>199</v>
      </c>
      <c r="G95" s="14" t="str">
        <f t="shared" si="5"/>
        <v>iSSON_1240.xml</v>
      </c>
      <c r="H95" s="14" t="str">
        <f>HYPERLINK(_xlfn.CONCAT("https://github.com/mauriceling/kinmodre/tree/main/asm/",A95,".modelspec"),_xlfn.CONCAT(A95,".modelspec"))</f>
        <v>iSSON_1240.modelspec</v>
      </c>
      <c r="I95" s="14" t="str">
        <f t="shared" si="7"/>
        <v>iSSON_1240.py</v>
      </c>
      <c r="J95" s="14" t="str">
        <f t="shared" si="8"/>
        <v>iSSON_1240.py</v>
      </c>
      <c r="K95" s="1" t="s">
        <v>206</v>
      </c>
    </row>
    <row r="96" spans="1:11" x14ac:dyDescent="0.4">
      <c r="A96" s="4" t="s">
        <v>170</v>
      </c>
      <c r="B96" s="5" t="s">
        <v>127</v>
      </c>
      <c r="C96" s="6">
        <v>928</v>
      </c>
      <c r="D96" s="6">
        <v>1044</v>
      </c>
      <c r="E96" s="6">
        <v>816</v>
      </c>
      <c r="F96" s="7" t="s">
        <v>199</v>
      </c>
      <c r="G96" s="14" t="str">
        <f t="shared" si="5"/>
        <v>iSynCJ816.xml</v>
      </c>
      <c r="H96" s="14" t="str">
        <f t="shared" si="6"/>
        <v>iSynCJ816.modelspec</v>
      </c>
      <c r="I96" s="14" t="str">
        <f t="shared" si="7"/>
        <v>iSynCJ816.py</v>
      </c>
      <c r="J96" s="14" t="str">
        <f t="shared" si="8"/>
        <v>iSynCJ816.py</v>
      </c>
      <c r="K96" s="1" t="s">
        <v>206</v>
      </c>
    </row>
    <row r="97" spans="1:11" ht="29.5" x14ac:dyDescent="0.4">
      <c r="A97" s="4" t="s">
        <v>171</v>
      </c>
      <c r="B97" s="5" t="s">
        <v>172</v>
      </c>
      <c r="C97" s="6">
        <v>1942</v>
      </c>
      <c r="D97" s="6">
        <v>2735</v>
      </c>
      <c r="E97" s="6">
        <v>1319</v>
      </c>
      <c r="F97" s="7" t="s">
        <v>199</v>
      </c>
      <c r="G97" s="14" t="str">
        <f t="shared" si="5"/>
        <v>iUMN146_1321.xml</v>
      </c>
      <c r="H97" s="14" t="str">
        <f>HYPERLINK(_xlfn.CONCAT("https://github.com/mauriceling/kinmodre/tree/main/asm/",A97,".modelspec"),_xlfn.CONCAT(A97,".modelspec"))</f>
        <v>iUMN146_1321.modelspec</v>
      </c>
      <c r="I97" s="14" t="str">
        <f t="shared" si="7"/>
        <v>iUMN146_1321.py</v>
      </c>
      <c r="J97" s="14" t="str">
        <f t="shared" si="8"/>
        <v>iUMN146_1321.py</v>
      </c>
      <c r="K97" s="1" t="s">
        <v>206</v>
      </c>
    </row>
    <row r="98" spans="1:11" ht="29.5" x14ac:dyDescent="0.4">
      <c r="A98" s="4" t="s">
        <v>173</v>
      </c>
      <c r="B98" s="5" t="s">
        <v>174</v>
      </c>
      <c r="C98" s="6">
        <v>1969</v>
      </c>
      <c r="D98" s="6">
        <v>2777</v>
      </c>
      <c r="E98" s="6">
        <v>1353</v>
      </c>
      <c r="F98" s="7" t="s">
        <v>199</v>
      </c>
      <c r="G98" s="14" t="str">
        <f t="shared" si="5"/>
        <v>iUMNK88_1353.xml</v>
      </c>
      <c r="H98" s="14" t="str">
        <f t="shared" si="6"/>
        <v>iUMNK88_1353.modelspec</v>
      </c>
      <c r="I98" s="14" t="str">
        <f t="shared" si="7"/>
        <v>iUMNK88_1353.py</v>
      </c>
      <c r="J98" s="14" t="str">
        <f t="shared" si="8"/>
        <v>iUMNK88_1353.py</v>
      </c>
      <c r="K98" s="1" t="s">
        <v>206</v>
      </c>
    </row>
    <row r="99" spans="1:11" x14ac:dyDescent="0.4">
      <c r="A99" s="4" t="s">
        <v>175</v>
      </c>
      <c r="B99" s="5" t="s">
        <v>176</v>
      </c>
      <c r="C99" s="6">
        <v>1940</v>
      </c>
      <c r="D99" s="6">
        <v>2725</v>
      </c>
      <c r="E99" s="6">
        <v>1310</v>
      </c>
      <c r="F99" s="7" t="s">
        <v>199</v>
      </c>
      <c r="G99" s="14" t="str">
        <f t="shared" si="5"/>
        <v>iUTI89_1310.xml</v>
      </c>
      <c r="H99" s="14" t="str">
        <f t="shared" si="6"/>
        <v>iUTI89_1310.modelspec</v>
      </c>
      <c r="I99" s="14" t="str">
        <f t="shared" si="7"/>
        <v>iUTI89_1310.py</v>
      </c>
      <c r="J99" s="14" t="str">
        <f t="shared" si="8"/>
        <v>iUTI89_1310.py</v>
      </c>
      <c r="K99" s="1" t="s">
        <v>206</v>
      </c>
    </row>
    <row r="100" spans="1:11" x14ac:dyDescent="0.4">
      <c r="A100" s="4" t="s">
        <v>177</v>
      </c>
      <c r="B100" s="5" t="s">
        <v>46</v>
      </c>
      <c r="C100" s="6">
        <v>1973</v>
      </c>
      <c r="D100" s="6">
        <v>2782</v>
      </c>
      <c r="E100" s="6">
        <v>1372</v>
      </c>
      <c r="F100" s="7" t="s">
        <v>199</v>
      </c>
      <c r="G100" s="14" t="str">
        <f t="shared" si="5"/>
        <v>iWFL_1372.xml</v>
      </c>
      <c r="H100" s="14" t="str">
        <f t="shared" si="6"/>
        <v>iWFL_1372.modelspec</v>
      </c>
      <c r="I100" s="14" t="str">
        <f t="shared" si="7"/>
        <v>iWFL_1372.py</v>
      </c>
      <c r="J100" s="14" t="str">
        <f>HYPERLINK(_xlfn.CONCAT("https://github.com/mauriceling/kinmodre/tree/main/GSM-odescripts/",A100,".py"),_xlfn.CONCAT(A100,".py"))</f>
        <v>iWFL_1372.py</v>
      </c>
      <c r="K100" s="1" t="s">
        <v>206</v>
      </c>
    </row>
    <row r="101" spans="1:11" x14ac:dyDescent="0.4">
      <c r="A101" s="4" t="s">
        <v>178</v>
      </c>
      <c r="B101" s="5" t="s">
        <v>50</v>
      </c>
      <c r="C101" s="6">
        <v>1953</v>
      </c>
      <c r="D101" s="6">
        <v>2759</v>
      </c>
      <c r="E101" s="6">
        <v>1358</v>
      </c>
      <c r="F101" s="7" t="s">
        <v>199</v>
      </c>
      <c r="G101" s="14" t="str">
        <f>HYPERLINK(_xlfn.CONCAT("https://github.com/mauriceling/kinmodre/blob/main/GSM/",A101,".xml"),_xlfn.CONCAT(A101,".xml"))</f>
        <v>iY75_1357.xml</v>
      </c>
      <c r="H101" s="14" t="str">
        <f t="shared" si="6"/>
        <v>iY75_1357.modelspec</v>
      </c>
      <c r="I101" s="14" t="str">
        <f t="shared" si="7"/>
        <v>iY75_1357.py</v>
      </c>
      <c r="J101" s="14" t="str">
        <f t="shared" si="8"/>
        <v>iY75_1357.py</v>
      </c>
      <c r="K101" s="1" t="s">
        <v>206</v>
      </c>
    </row>
    <row r="102" spans="1:11" ht="32" x14ac:dyDescent="0.4">
      <c r="A102" s="4" t="s">
        <v>179</v>
      </c>
      <c r="B102" s="5" t="s">
        <v>180</v>
      </c>
      <c r="C102" s="6">
        <v>1658</v>
      </c>
      <c r="D102" s="6">
        <v>2262</v>
      </c>
      <c r="E102" s="6">
        <v>1229</v>
      </c>
      <c r="F102" s="7" t="s">
        <v>199</v>
      </c>
      <c r="G102" s="14" t="str">
        <f t="shared" si="5"/>
        <v>iYL1228.xml</v>
      </c>
      <c r="H102" s="14" t="str">
        <f t="shared" si="6"/>
        <v>iYL1228.modelspec</v>
      </c>
      <c r="I102" s="14" t="str">
        <f t="shared" si="7"/>
        <v>iYL1228.py</v>
      </c>
      <c r="J102" s="14" t="str">
        <f t="shared" si="8"/>
        <v>iYL1228.py</v>
      </c>
      <c r="K102" s="1" t="s">
        <v>206</v>
      </c>
    </row>
    <row r="103" spans="1:11" x14ac:dyDescent="0.4">
      <c r="A103" s="4" t="s">
        <v>181</v>
      </c>
      <c r="B103" s="5" t="s">
        <v>182</v>
      </c>
      <c r="C103" s="6">
        <v>990</v>
      </c>
      <c r="D103" s="6">
        <v>1250</v>
      </c>
      <c r="E103" s="6">
        <v>844</v>
      </c>
      <c r="F103" s="7" t="s">
        <v>199</v>
      </c>
      <c r="G103" s="14" t="str">
        <f>HYPERLINK(_xlfn.CONCAT("https://github.com/mauriceling/kinmodre/blob/main/GSM/",A103,".xml"),_xlfn.CONCAT(A103,".xml"))</f>
        <v>iYO844.xml</v>
      </c>
      <c r="H103" s="14" t="str">
        <f t="shared" si="6"/>
        <v>iYO844.modelspec</v>
      </c>
      <c r="I103" s="14" t="str">
        <f t="shared" si="7"/>
        <v>iYO844.py</v>
      </c>
      <c r="J103" s="14" t="str">
        <f>HYPERLINK(_xlfn.CONCAT("https://github.com/mauriceling/kinmodre/tree/main/GSM-odescripts/",A103,".py"),_xlfn.CONCAT(A103,".py"))</f>
        <v>iYO844.py</v>
      </c>
      <c r="K103" s="1" t="s">
        <v>206</v>
      </c>
    </row>
    <row r="104" spans="1:11" x14ac:dyDescent="0.4">
      <c r="A104" s="4" t="s">
        <v>183</v>
      </c>
      <c r="B104" s="5" t="s">
        <v>184</v>
      </c>
      <c r="C104" s="6">
        <v>2436</v>
      </c>
      <c r="D104" s="6">
        <v>3357</v>
      </c>
      <c r="E104" s="6">
        <v>1707</v>
      </c>
      <c r="F104" s="7" t="s">
        <v>199</v>
      </c>
      <c r="G104" s="14" t="str">
        <f t="shared" si="5"/>
        <v>iYS1720.xml</v>
      </c>
      <c r="H104" s="14" t="str">
        <f t="shared" si="6"/>
        <v>iYS1720.modelspec</v>
      </c>
      <c r="I104" s="14" t="str">
        <f t="shared" si="7"/>
        <v>iYS1720.py</v>
      </c>
      <c r="J104" s="14" t="str">
        <f t="shared" si="8"/>
        <v>iYS1720.py</v>
      </c>
      <c r="K104" s="1" t="s">
        <v>206</v>
      </c>
    </row>
    <row r="105" spans="1:11" ht="32" x14ac:dyDescent="0.4">
      <c r="A105" s="4" t="s">
        <v>185</v>
      </c>
      <c r="B105" s="5" t="s">
        <v>186</v>
      </c>
      <c r="C105" s="6">
        <v>1335</v>
      </c>
      <c r="D105" s="6">
        <v>1455</v>
      </c>
      <c r="E105" s="6">
        <v>866</v>
      </c>
      <c r="F105" s="7" t="s">
        <v>199</v>
      </c>
      <c r="G105" s="14" t="str">
        <f t="shared" si="5"/>
        <v>iYS854.xml</v>
      </c>
      <c r="H105" s="14" t="str">
        <f>HYPERLINK(_xlfn.CONCAT("https://github.com/mauriceling/kinmodre/tree/main/asm/",A105,".modelspec"),_xlfn.CONCAT(A105,".modelspec"))</f>
        <v>iYS854.modelspec</v>
      </c>
      <c r="I105" s="14" t="str">
        <f t="shared" si="7"/>
        <v>iYS854.py</v>
      </c>
      <c r="J105" s="14" t="str">
        <f t="shared" si="8"/>
        <v>iYS854.py</v>
      </c>
      <c r="K105" s="1" t="s">
        <v>206</v>
      </c>
    </row>
    <row r="106" spans="1:11" x14ac:dyDescent="0.4">
      <c r="A106" s="4" t="s">
        <v>187</v>
      </c>
      <c r="B106" s="5" t="s">
        <v>188</v>
      </c>
      <c r="C106" s="6">
        <v>1923</v>
      </c>
      <c r="D106" s="6">
        <v>2721</v>
      </c>
      <c r="E106" s="6">
        <v>1308</v>
      </c>
      <c r="F106" s="7" t="s">
        <v>199</v>
      </c>
      <c r="G106" s="14" t="str">
        <f t="shared" si="5"/>
        <v>iZ_1308.xml</v>
      </c>
      <c r="H106" s="14" t="str">
        <f t="shared" si="6"/>
        <v>iZ_1308.modelspec</v>
      </c>
      <c r="I106" s="14" t="str">
        <f t="shared" si="7"/>
        <v>iZ_1308.py</v>
      </c>
      <c r="J106" s="14" t="str">
        <f t="shared" si="8"/>
        <v>iZ_1308.py</v>
      </c>
      <c r="K106" s="1" t="s">
        <v>206</v>
      </c>
    </row>
    <row r="107" spans="1:11" x14ac:dyDescent="0.4">
      <c r="A107" s="4" t="s">
        <v>189</v>
      </c>
      <c r="B107" s="5" t="s">
        <v>3</v>
      </c>
      <c r="C107" s="6">
        <v>2766</v>
      </c>
      <c r="D107" s="6">
        <v>3741</v>
      </c>
      <c r="E107" s="6">
        <v>1905</v>
      </c>
      <c r="F107" s="7" t="s">
        <v>199</v>
      </c>
      <c r="G107" s="14" t="str">
        <f t="shared" si="5"/>
        <v>RECON1.xml</v>
      </c>
      <c r="H107" s="14" t="str">
        <f>HYPERLINK(_xlfn.CONCAT("https://github.com/mauriceling/kinmodre/tree/main/asm/",A107,".modelspec"),_xlfn.CONCAT(A107,".modelspec"))</f>
        <v>RECON1.modelspec</v>
      </c>
      <c r="I107" s="14" t="str">
        <f t="shared" si="7"/>
        <v>RECON1.py</v>
      </c>
      <c r="J107" s="14" t="str">
        <f t="shared" si="8"/>
        <v>RECON1.py</v>
      </c>
      <c r="K107" s="1" t="s">
        <v>206</v>
      </c>
    </row>
    <row r="108" spans="1:11" x14ac:dyDescent="0.4">
      <c r="A108" s="4" t="s">
        <v>190</v>
      </c>
      <c r="B108" s="5" t="s">
        <v>3</v>
      </c>
      <c r="C108" s="6">
        <v>5835</v>
      </c>
      <c r="D108" s="6">
        <v>10600</v>
      </c>
      <c r="E108" s="6">
        <v>2248</v>
      </c>
      <c r="F108" s="7" t="s">
        <v>199</v>
      </c>
      <c r="G108" s="14" t="str">
        <f t="shared" si="5"/>
        <v>Recon3D.xml</v>
      </c>
      <c r="H108" s="14" t="str">
        <f t="shared" si="6"/>
        <v>Recon3D.modelspec</v>
      </c>
      <c r="I108" s="14" t="str">
        <f t="shared" si="7"/>
        <v>Recon3D.py</v>
      </c>
      <c r="J108" s="14" t="str">
        <f t="shared" si="8"/>
        <v>Recon3D.py</v>
      </c>
      <c r="K108" s="1" t="s">
        <v>206</v>
      </c>
    </row>
    <row r="109" spans="1:11" ht="32" x14ac:dyDescent="0.4">
      <c r="A109" s="4" t="s">
        <v>191</v>
      </c>
      <c r="B109" s="5" t="s">
        <v>192</v>
      </c>
      <c r="C109" s="6">
        <v>1802</v>
      </c>
      <c r="D109" s="6">
        <v>2545</v>
      </c>
      <c r="E109" s="6">
        <v>1271</v>
      </c>
      <c r="F109" s="7" t="s">
        <v>199</v>
      </c>
      <c r="G109" s="14" t="str">
        <f t="shared" si="5"/>
        <v>STM_v1_0.xml</v>
      </c>
      <c r="H109" s="14" t="str">
        <f>HYPERLINK(_xlfn.CONCAT("https://github.com/mauriceling/kinmodre/tree/main/asm/",A109,".modelspec"),_xlfn.CONCAT(A109,".modelspec"))</f>
        <v>STM_v1_0.modelspec</v>
      </c>
      <c r="I109" s="14" t="str">
        <f t="shared" si="7"/>
        <v>STM_v1_0.py</v>
      </c>
      <c r="J109" s="14" t="str">
        <f t="shared" si="8"/>
        <v>STM_v1_0.py</v>
      </c>
      <c r="K109" s="1" t="s">
        <v>206</v>
      </c>
    </row>
  </sheetData>
  <hyperlinks>
    <hyperlink ref="A2" r:id="rId1" display="http://bigg.ucsd.edu/models/e_coli_core" xr:uid="{81A6859A-3197-42C9-BD7F-0C2D7258D4B0}"/>
    <hyperlink ref="C2" r:id="rId2" display="http://bigg.ucsd.edu/models/e_coli_core/metabolites" xr:uid="{6A2B4F9E-DBF7-4FB2-87B1-C71AC8D6F10F}"/>
    <hyperlink ref="D2" r:id="rId3" display="http://bigg.ucsd.edu/models/e_coli_core/reactions" xr:uid="{C1B3F683-22B6-43D2-A0BA-0788080A09D1}"/>
    <hyperlink ref="E2" r:id="rId4" display="http://bigg.ucsd.edu/models/e_coli_core/genes" xr:uid="{4D9F6EEE-1D65-4D6D-9857-30F8E8474447}"/>
    <hyperlink ref="A3" r:id="rId5" display="http://bigg.ucsd.edu/models/iAB_RBC_283" xr:uid="{2955A9DD-9C2D-4C15-8CCC-086DA0900B0F}"/>
    <hyperlink ref="C3" r:id="rId6" display="http://bigg.ucsd.edu/models/iAB_RBC_283/metabolites" xr:uid="{D9EF677B-E982-4EFB-81C0-30A9A241C7F1}"/>
    <hyperlink ref="D3" r:id="rId7" display="http://bigg.ucsd.edu/models/iAB_RBC_283/reactions" xr:uid="{C939FDDD-409D-4B87-A15D-4638F799E7C1}"/>
    <hyperlink ref="E3" r:id="rId8" display="http://bigg.ucsd.edu/models/iAB_RBC_283/genes" xr:uid="{B2E0B11C-35C6-41B0-AFB9-44E7584C829B}"/>
    <hyperlink ref="A4" r:id="rId9" display="http://bigg.ucsd.edu/models/iAF1260" xr:uid="{44A05EB5-B1D3-4142-B8ED-FDECD70C25C5}"/>
    <hyperlink ref="C4" r:id="rId10" display="http://bigg.ucsd.edu/models/iAF1260/metabolites" xr:uid="{DC5762E0-CBCC-495D-BB98-E75D3C1B65DD}"/>
    <hyperlink ref="D4" r:id="rId11" display="http://bigg.ucsd.edu/models/iAF1260/reactions" xr:uid="{D16846C3-05AB-4717-B4DA-B75E15735A19}"/>
    <hyperlink ref="E4" r:id="rId12" display="http://bigg.ucsd.edu/models/iAF1260/genes" xr:uid="{FE5DCE7D-2FC1-4B3F-9B23-8875BD5F0C1F}"/>
    <hyperlink ref="A5" r:id="rId13" display="http://bigg.ucsd.edu/models/iAF1260b" xr:uid="{E4183AC9-6706-4C9D-A66D-90E940C03D78}"/>
    <hyperlink ref="C5" r:id="rId14" display="http://bigg.ucsd.edu/models/iAF1260b/metabolites" xr:uid="{A14E727C-2B0C-4993-8199-C5CFA3756F24}"/>
    <hyperlink ref="D5" r:id="rId15" display="http://bigg.ucsd.edu/models/iAF1260b/reactions" xr:uid="{AB0E8709-CEE0-47E0-957D-6423636D6645}"/>
    <hyperlink ref="E5" r:id="rId16" display="http://bigg.ucsd.edu/models/iAF1260b/genes" xr:uid="{48C46778-A6E5-413E-A6FE-74A430777AAE}"/>
    <hyperlink ref="A6" r:id="rId17" display="http://bigg.ucsd.edu/models/iAF692" xr:uid="{61E2952A-5339-46B9-89AC-65057C3D4FF9}"/>
    <hyperlink ref="C6" r:id="rId18" display="http://bigg.ucsd.edu/models/iAF692/metabolites" xr:uid="{9A5DBE50-4C5C-4437-B5EE-9AB5FABCF601}"/>
    <hyperlink ref="D6" r:id="rId19" display="http://bigg.ucsd.edu/models/iAF692/reactions" xr:uid="{E00BFE1C-919D-4193-BC99-9458898896FF}"/>
    <hyperlink ref="E6" r:id="rId20" display="http://bigg.ucsd.edu/models/iAF692/genes" xr:uid="{5AE8D158-2883-4ADE-90C8-04DFD0F56577}"/>
    <hyperlink ref="A7" r:id="rId21" display="http://bigg.ucsd.edu/models/iAF987" xr:uid="{11730BB4-A43A-4079-BC34-EAA498F74BEC}"/>
    <hyperlink ref="C7" r:id="rId22" display="http://bigg.ucsd.edu/models/iAF987/metabolites" xr:uid="{87B18C23-B282-4F41-99C9-0FCBA0513341}"/>
    <hyperlink ref="D7" r:id="rId23" display="http://bigg.ucsd.edu/models/iAF987/reactions" xr:uid="{A24D30D3-F2F2-4194-94FD-4DD69A98E936}"/>
    <hyperlink ref="E7" r:id="rId24" display="http://bigg.ucsd.edu/models/iAF987/genes" xr:uid="{4DEB48B1-CEDD-4C53-AE0E-F8825B25C4C2}"/>
    <hyperlink ref="A8" r:id="rId25" display="http://bigg.ucsd.edu/models/iAM_Pb448" xr:uid="{26C27C2E-6E63-4352-9CC3-D8E3FCBD3CF2}"/>
    <hyperlink ref="C8" r:id="rId26" display="http://bigg.ucsd.edu/models/iAM_Pb448/metabolites" xr:uid="{D7CEF677-942D-40F9-90DB-273E20B6154E}"/>
    <hyperlink ref="D8" r:id="rId27" display="http://bigg.ucsd.edu/models/iAM_Pb448/reactions" xr:uid="{72E15E48-D020-4AFF-9B82-B29530C5329A}"/>
    <hyperlink ref="E8" r:id="rId28" display="http://bigg.ucsd.edu/models/iAM_Pb448/genes" xr:uid="{5A779CC5-FD33-4EA9-AEA4-E6F7E68DC1DD}"/>
    <hyperlink ref="A9" r:id="rId29" display="http://bigg.ucsd.edu/models/iAM_Pc455" xr:uid="{D86A2071-D32C-4746-90C9-68F6B43F3FAD}"/>
    <hyperlink ref="C9" r:id="rId30" display="http://bigg.ucsd.edu/models/iAM_Pc455/metabolites" xr:uid="{E516090E-BFEC-4DFA-B4F4-DB12452DAC33}"/>
    <hyperlink ref="D9" r:id="rId31" display="http://bigg.ucsd.edu/models/iAM_Pc455/reactions" xr:uid="{9F851BD6-98FE-4474-9143-598041B2EA60}"/>
    <hyperlink ref="E9" r:id="rId32" display="http://bigg.ucsd.edu/models/iAM_Pc455/genes" xr:uid="{30230E26-DE54-479F-B2CF-4138A18F61CE}"/>
    <hyperlink ref="A10" r:id="rId33" display="http://bigg.ucsd.edu/models/iAM_Pf480" xr:uid="{9462E9E4-FE9B-46DA-85FC-5CFC8B29E7F9}"/>
    <hyperlink ref="C10" r:id="rId34" display="http://bigg.ucsd.edu/models/iAM_Pf480/metabolites" xr:uid="{98E3AD68-303F-4332-88E8-39C1AB5DC3F3}"/>
    <hyperlink ref="D10" r:id="rId35" display="http://bigg.ucsd.edu/models/iAM_Pf480/reactions" xr:uid="{B475F6DB-2AF2-453A-9F2A-D73D38CD1F63}"/>
    <hyperlink ref="E10" r:id="rId36" display="http://bigg.ucsd.edu/models/iAM_Pf480/genes" xr:uid="{81C9D36C-7690-40A6-8185-1EA74B92C16A}"/>
    <hyperlink ref="A11" r:id="rId37" display="http://bigg.ucsd.edu/models/iAM_Pk459" xr:uid="{B74A6F79-AE8E-43F7-8896-23A7C460D7E6}"/>
    <hyperlink ref="C11" r:id="rId38" display="http://bigg.ucsd.edu/models/iAM_Pk459/metabolites" xr:uid="{27F0F6C9-39FD-480F-B6D4-F1B564320967}"/>
    <hyperlink ref="D11" r:id="rId39" display="http://bigg.ucsd.edu/models/iAM_Pk459/reactions" xr:uid="{B2381CAF-2A9F-424D-9AD7-577C5E3E15AF}"/>
    <hyperlink ref="E11" r:id="rId40" display="http://bigg.ucsd.edu/models/iAM_Pk459/genes" xr:uid="{BC5D6DB8-60C6-44DA-9F7D-82147F11B503}"/>
    <hyperlink ref="A12" r:id="rId41" display="http://bigg.ucsd.edu/models/iAM_Pv461" xr:uid="{DB5DDC46-4E24-4AE9-B926-BC9EE5BD33A7}"/>
    <hyperlink ref="C12" r:id="rId42" display="http://bigg.ucsd.edu/models/iAM_Pv461/metabolites" xr:uid="{1DA55421-C6F4-4C34-B9C8-ABA368666DCC}"/>
    <hyperlink ref="D12" r:id="rId43" display="http://bigg.ucsd.edu/models/iAM_Pv461/reactions" xr:uid="{CF613B2B-D801-4127-AC48-72F747D1C0D4}"/>
    <hyperlink ref="E12" r:id="rId44" display="http://bigg.ucsd.edu/models/iAM_Pv461/genes" xr:uid="{473F1FB6-F346-48DD-9B5F-50B04772D051}"/>
    <hyperlink ref="A13" r:id="rId45" display="http://bigg.ucsd.edu/models/iAPECO1_1312" xr:uid="{6D988EA5-2FFD-4A3A-B173-571C95DDF503}"/>
    <hyperlink ref="C13" r:id="rId46" display="http://bigg.ucsd.edu/models/iAPECO1_1312/metabolites" xr:uid="{1EF6281D-A6FB-49F0-9818-4F6A9FFD0520}"/>
    <hyperlink ref="D13" r:id="rId47" display="http://bigg.ucsd.edu/models/iAPECO1_1312/reactions" xr:uid="{8FCC62F2-6D29-4E07-9C92-BDB5CC823CFB}"/>
    <hyperlink ref="E13" r:id="rId48" display="http://bigg.ucsd.edu/models/iAPECO1_1312/genes" xr:uid="{0E5C00BB-CF68-43C6-B56B-2EE3A789AE40}"/>
    <hyperlink ref="A14" r:id="rId49" display="http://bigg.ucsd.edu/models/iAT_PLT_636" xr:uid="{E1FD331F-C7E1-4EC4-BD9F-1DA1D6D20D9D}"/>
    <hyperlink ref="C14" r:id="rId50" display="http://bigg.ucsd.edu/models/iAT_PLT_636/metabolites" xr:uid="{ADC73138-9C78-4465-8375-E9817B630ED7}"/>
    <hyperlink ref="D14" r:id="rId51" display="http://bigg.ucsd.edu/models/iAT_PLT_636/reactions" xr:uid="{AA857FDB-D2B2-4A2C-AEE6-7C5D3B053832}"/>
    <hyperlink ref="E14" r:id="rId52" display="http://bigg.ucsd.edu/models/iAT_PLT_636/genes" xr:uid="{85C85BA0-B603-4223-845E-F7182F924721}"/>
    <hyperlink ref="A15" r:id="rId53" display="http://bigg.ucsd.edu/models/iB21_1397" xr:uid="{9290B52A-E19D-420A-8CFA-E880B09EEAF5}"/>
    <hyperlink ref="C15" r:id="rId54" display="http://bigg.ucsd.edu/models/iB21_1397/metabolites" xr:uid="{3AAD84EF-F481-4264-B096-5DDD9D134589}"/>
    <hyperlink ref="D15" r:id="rId55" display="http://bigg.ucsd.edu/models/iB21_1397/reactions" xr:uid="{EFE3D702-AD57-4742-AAF0-52A9B9418B0E}"/>
    <hyperlink ref="E15" r:id="rId56" display="http://bigg.ucsd.edu/models/iB21_1397/genes" xr:uid="{F566B377-1505-4086-AB96-AC90D21227AB}"/>
    <hyperlink ref="A16" r:id="rId57" display="http://bigg.ucsd.edu/models/iBWG_1329" xr:uid="{C63670BF-F270-4B0A-ACF8-FD6A751333CB}"/>
    <hyperlink ref="C16" r:id="rId58" display="http://bigg.ucsd.edu/models/iBWG_1329/metabolites" xr:uid="{557E6ED7-48A0-4847-A696-80DA95BC069D}"/>
    <hyperlink ref="D16" r:id="rId59" display="http://bigg.ucsd.edu/models/iBWG_1329/reactions" xr:uid="{14D35F0A-ED74-41AE-9250-864605DD1808}"/>
    <hyperlink ref="E16" r:id="rId60" display="http://bigg.ucsd.edu/models/iBWG_1329/genes" xr:uid="{F1996E37-EDE8-422B-9EB3-3FA6404664E8}"/>
    <hyperlink ref="A17" r:id="rId61" display="http://bigg.ucsd.edu/models/ic_1306" xr:uid="{4E049032-CB1F-430F-ADAB-EB4EB947840C}"/>
    <hyperlink ref="C17" r:id="rId62" display="http://bigg.ucsd.edu/models/ic_1306/metabolites" xr:uid="{CB2BDFA8-8076-4757-BAA5-3058CECA2D1C}"/>
    <hyperlink ref="D17" r:id="rId63" display="http://bigg.ucsd.edu/models/ic_1306/reactions" xr:uid="{E99944F9-A203-4255-84AA-09C241768DB4}"/>
    <hyperlink ref="E17" r:id="rId64" display="http://bigg.ucsd.edu/models/ic_1306/genes" xr:uid="{5A280157-5A48-415D-81D0-D77545F2D4FC}"/>
    <hyperlink ref="A18" r:id="rId65" display="http://bigg.ucsd.edu/models/iCHOv1" xr:uid="{47F4FC90-D386-4528-BFAB-53D6E382F792}"/>
    <hyperlink ref="C18" r:id="rId66" display="http://bigg.ucsd.edu/models/iCHOv1/metabolites" xr:uid="{4650FF0D-C9EA-40E8-9E08-BB74E2F99CCD}"/>
    <hyperlink ref="D18" r:id="rId67" display="http://bigg.ucsd.edu/models/iCHOv1/reactions" xr:uid="{721D2E69-BC77-4D13-87B8-D925C59C1885}"/>
    <hyperlink ref="E18" r:id="rId68" display="http://bigg.ucsd.edu/models/iCHOv1/genes" xr:uid="{851E03F8-51CE-4097-B583-5DD86321D5DC}"/>
    <hyperlink ref="A19" r:id="rId69" display="http://bigg.ucsd.edu/models/iCHOv1_DG44" xr:uid="{A3CE830B-BE7C-4FC6-B7B3-F6610A4A4F44}"/>
    <hyperlink ref="C19" r:id="rId70" display="http://bigg.ucsd.edu/models/iCHOv1_DG44/metabolites" xr:uid="{A77F3B4B-3581-42EF-9D02-7A7B5322A9A7}"/>
    <hyperlink ref="D19" r:id="rId71" display="http://bigg.ucsd.edu/models/iCHOv1_DG44/reactions" xr:uid="{AFC0E766-DC2F-49BA-8962-F73985982B7F}"/>
    <hyperlink ref="E19" r:id="rId72" display="http://bigg.ucsd.edu/models/iCHOv1_DG44/genes" xr:uid="{47100AA3-7242-4CAA-AEB5-DC3623B42C4B}"/>
    <hyperlink ref="A20" r:id="rId73" display="http://bigg.ucsd.edu/models/iCN718" xr:uid="{8BD1EFC2-1AC2-4E2D-8C96-84C456CCF770}"/>
    <hyperlink ref="C20" r:id="rId74" display="http://bigg.ucsd.edu/models/iCN718/metabolites" xr:uid="{CB2C4822-1977-4A99-89DB-7A09A591926B}"/>
    <hyperlink ref="D20" r:id="rId75" display="http://bigg.ucsd.edu/models/iCN718/reactions" xr:uid="{55CA91B8-627D-4A1F-AFA4-0D0E0C4C788B}"/>
    <hyperlink ref="E20" r:id="rId76" display="http://bigg.ucsd.edu/models/iCN718/genes" xr:uid="{528682AD-393F-4F8A-B40B-3970BC24F551}"/>
    <hyperlink ref="A21" r:id="rId77" display="http://bigg.ucsd.edu/models/iCN900" xr:uid="{313C3930-CD98-4891-8885-424A8AB42648}"/>
    <hyperlink ref="C21" r:id="rId78" display="http://bigg.ucsd.edu/models/iCN900/metabolites" xr:uid="{12DC700C-B959-4572-8446-58D20BCA8C0F}"/>
    <hyperlink ref="D21" r:id="rId79" display="http://bigg.ucsd.edu/models/iCN900/reactions" xr:uid="{80899079-3941-42E6-971F-42FEDFAE3A9C}"/>
    <hyperlink ref="E21" r:id="rId80" display="http://bigg.ucsd.edu/models/iCN900/genes" xr:uid="{708D49F2-ABE7-4D0F-91DB-FBAC81E2B5D4}"/>
    <hyperlink ref="A22" r:id="rId81" display="http://bigg.ucsd.edu/models/iE2348C_1286" xr:uid="{95317071-959C-46EF-9447-72C76A12C281}"/>
    <hyperlink ref="C22" r:id="rId82" display="http://bigg.ucsd.edu/models/iE2348C_1286/metabolites" xr:uid="{362328F3-8D0F-4826-BEBD-B5832BB6EAC4}"/>
    <hyperlink ref="D22" r:id="rId83" display="http://bigg.ucsd.edu/models/iE2348C_1286/reactions" xr:uid="{D398D60D-B42E-4ECE-9ED8-3EAC4EE8CBB3}"/>
    <hyperlink ref="E22" r:id="rId84" display="http://bigg.ucsd.edu/models/iE2348C_1286/genes" xr:uid="{6BE271EC-623A-4704-A739-C8CBDE747E71}"/>
    <hyperlink ref="A23" r:id="rId85" display="http://bigg.ucsd.edu/models/iEC042_1314" xr:uid="{D2FC0827-5598-4261-9E0A-57E4C68189BC}"/>
    <hyperlink ref="C23" r:id="rId86" display="http://bigg.ucsd.edu/models/iEC042_1314/metabolites" xr:uid="{D8F17952-6ECC-4149-AB4C-54A4DD9B29B1}"/>
    <hyperlink ref="D23" r:id="rId87" display="http://bigg.ucsd.edu/models/iEC042_1314/reactions" xr:uid="{7F5ED782-9409-43B1-96FC-2E0FA2718E66}"/>
    <hyperlink ref="E23" r:id="rId88" display="http://bigg.ucsd.edu/models/iEC042_1314/genes" xr:uid="{00446FB0-A4C7-4168-BE16-B639CC9C426E}"/>
    <hyperlink ref="A24" r:id="rId89" display="http://bigg.ucsd.edu/models/iEC1344_C" xr:uid="{DB52AB34-C782-4967-8887-BC4D7653E2EC}"/>
    <hyperlink ref="C24" r:id="rId90" display="http://bigg.ucsd.edu/models/iEC1344_C/metabolites" xr:uid="{0DE14DB7-E1D5-495A-A909-F57409C8A2D4}"/>
    <hyperlink ref="D24" r:id="rId91" display="http://bigg.ucsd.edu/models/iEC1344_C/reactions" xr:uid="{B6E382AC-B48A-4AD4-AD23-AFFAA714FA2E}"/>
    <hyperlink ref="E24" r:id="rId92" display="http://bigg.ucsd.edu/models/iEC1344_C/genes" xr:uid="{C1A970C3-878A-4EB6-ADF4-A72C3515E2BA}"/>
    <hyperlink ref="A25" r:id="rId93" display="http://bigg.ucsd.edu/models/iEC1349_Crooks" xr:uid="{23067DD5-81A8-4ECF-8E18-ED8F5BD16323}"/>
    <hyperlink ref="C25" r:id="rId94" display="http://bigg.ucsd.edu/models/iEC1349_Crooks/metabolites" xr:uid="{61F642BF-BD04-4973-940F-2A9CBF2D71D5}"/>
    <hyperlink ref="D25" r:id="rId95" display="http://bigg.ucsd.edu/models/iEC1349_Crooks/reactions" xr:uid="{082E7FB5-B502-499B-BF7C-BD43F49FD76D}"/>
    <hyperlink ref="E25" r:id="rId96" display="http://bigg.ucsd.edu/models/iEC1349_Crooks/genes" xr:uid="{C75657F9-0431-4FEB-B1E2-A44709EADBCD}"/>
    <hyperlink ref="A26" r:id="rId97" display="http://bigg.ucsd.edu/models/iEC1356_Bl21DE3" xr:uid="{26D8EC47-A30D-4663-8497-CB01C149A4F8}"/>
    <hyperlink ref="C26" r:id="rId98" display="http://bigg.ucsd.edu/models/iEC1356_Bl21DE3/metabolites" xr:uid="{746C64B0-DBBE-48F8-AC9A-8C8DE706D248}"/>
    <hyperlink ref="D26" r:id="rId99" display="http://bigg.ucsd.edu/models/iEC1356_Bl21DE3/reactions" xr:uid="{EF917ADA-7E07-4AAE-81E7-E0C11A83EB33}"/>
    <hyperlink ref="E26" r:id="rId100" display="http://bigg.ucsd.edu/models/iEC1356_Bl21DE3/genes" xr:uid="{933F486E-AE69-4D52-8F84-7C1C5529E55A}"/>
    <hyperlink ref="A27" r:id="rId101" display="http://bigg.ucsd.edu/models/iEC1364_W" xr:uid="{F24E9A9F-442F-47BD-8152-DD67113D521A}"/>
    <hyperlink ref="C27" r:id="rId102" display="http://bigg.ucsd.edu/models/iEC1364_W/metabolites" xr:uid="{C5E77DC2-BFF1-4C18-B43E-9A9DA4552108}"/>
    <hyperlink ref="D27" r:id="rId103" display="http://bigg.ucsd.edu/models/iEC1364_W/reactions" xr:uid="{ED9DBB20-97C6-4940-A45C-F2CD2B7B71C6}"/>
    <hyperlink ref="E27" r:id="rId104" display="http://bigg.ucsd.edu/models/iEC1364_W/genes" xr:uid="{43DC1551-6E0B-4B80-98BE-05EA87A70213}"/>
    <hyperlink ref="A28" r:id="rId105" display="http://bigg.ucsd.edu/models/iEC1368_DH5a" xr:uid="{EFAD3C9A-9EF4-4776-8783-DC40494385C3}"/>
    <hyperlink ref="C28" r:id="rId106" display="http://bigg.ucsd.edu/models/iEC1368_DH5a/metabolites" xr:uid="{2D541EE6-2957-41AA-BB05-1D33704226E5}"/>
    <hyperlink ref="D28" r:id="rId107" display="http://bigg.ucsd.edu/models/iEC1368_DH5a/reactions" xr:uid="{59EA4F13-A0A4-40B2-98BD-F4590A9118D4}"/>
    <hyperlink ref="E28" r:id="rId108" display="http://bigg.ucsd.edu/models/iEC1368_DH5a/genes" xr:uid="{D09ACA75-2E46-4EE8-911E-B0D75CBD72ED}"/>
    <hyperlink ref="A29" r:id="rId109" display="http://bigg.ucsd.edu/models/iEC1372_W3110" xr:uid="{15106014-E0CC-4FF9-A3AA-651DDC8C5896}"/>
    <hyperlink ref="C29" r:id="rId110" display="http://bigg.ucsd.edu/models/iEC1372_W3110/metabolites" xr:uid="{67D8B0BF-14E4-4671-8577-F47E9E80769B}"/>
    <hyperlink ref="D29" r:id="rId111" display="http://bigg.ucsd.edu/models/iEC1372_W3110/reactions" xr:uid="{D8082376-2D4C-47F3-AE08-8E2791A56120}"/>
    <hyperlink ref="E29" r:id="rId112" display="http://bigg.ucsd.edu/models/iEC1372_W3110/genes" xr:uid="{FAAD4901-97A2-4F56-A8D8-3720AD5FFA28}"/>
    <hyperlink ref="A30" r:id="rId113" display="http://bigg.ucsd.edu/models/iEC55989_1330" xr:uid="{88525B70-A962-47E9-8995-91435D55603B}"/>
    <hyperlink ref="C30" r:id="rId114" display="http://bigg.ucsd.edu/models/iEC55989_1330/metabolites" xr:uid="{DB0B7EBF-7758-476C-BA8B-1DDA79B99478}"/>
    <hyperlink ref="D30" r:id="rId115" display="http://bigg.ucsd.edu/models/iEC55989_1330/reactions" xr:uid="{BF89587F-D5BD-4BA1-9A80-831AACCC6AD6}"/>
    <hyperlink ref="E30" r:id="rId116" display="http://bigg.ucsd.edu/models/iEC55989_1330/genes" xr:uid="{F19065C4-C8AD-4DB4-B4C3-7C88BF5CB13D}"/>
    <hyperlink ref="A31" r:id="rId117" display="http://bigg.ucsd.edu/models/iECABU_c1320" xr:uid="{CE442078-6134-4CE0-B9B2-11867395B12E}"/>
    <hyperlink ref="C31" r:id="rId118" display="http://bigg.ucsd.edu/models/iECABU_c1320/metabolites" xr:uid="{A1B75ACE-93B4-4C96-9E66-BE6F97FE15EE}"/>
    <hyperlink ref="D31" r:id="rId119" display="http://bigg.ucsd.edu/models/iECABU_c1320/reactions" xr:uid="{C4A17A48-302B-49FE-8F10-69C27B86F4BA}"/>
    <hyperlink ref="E31" r:id="rId120" display="http://bigg.ucsd.edu/models/iECABU_c1320/genes" xr:uid="{F8FE87FD-F468-4179-A673-780131C67513}"/>
    <hyperlink ref="A32" r:id="rId121" display="http://bigg.ucsd.edu/models/iECB_1328" xr:uid="{085E0CBF-D278-4499-A00B-D0633A84B97F}"/>
    <hyperlink ref="C32" r:id="rId122" display="http://bigg.ucsd.edu/models/iECB_1328/metabolites" xr:uid="{72C6AFDE-13BF-4EE9-BEEE-4E7F99F06E75}"/>
    <hyperlink ref="D32" r:id="rId123" display="http://bigg.ucsd.edu/models/iECB_1328/reactions" xr:uid="{6E9F8F98-D2DD-45FE-9BF1-6E818D62B9BD}"/>
    <hyperlink ref="E32" r:id="rId124" display="http://bigg.ucsd.edu/models/iECB_1328/genes" xr:uid="{DBB3DED9-71E1-4E04-8D4B-D09FE22A784D}"/>
    <hyperlink ref="A33" r:id="rId125" display="http://bigg.ucsd.edu/models/iECBD_1354" xr:uid="{054573F8-390D-47E8-AEE2-3CDDD4F0EEAC}"/>
    <hyperlink ref="C33" r:id="rId126" display="http://bigg.ucsd.edu/models/iECBD_1354/metabolites" xr:uid="{9A240429-BCB9-4B75-9961-0281D046165B}"/>
    <hyperlink ref="D33" r:id="rId127" display="http://bigg.ucsd.edu/models/iECBD_1354/reactions" xr:uid="{2AFB3B4B-1C03-4851-BD68-408D0AB70C03}"/>
    <hyperlink ref="E33" r:id="rId128" display="http://bigg.ucsd.edu/models/iECBD_1354/genes" xr:uid="{FED24F47-2794-4509-B669-F497D2E2259C}"/>
    <hyperlink ref="A34" r:id="rId129" display="http://bigg.ucsd.edu/models/iECD_1391" xr:uid="{361654AB-B249-4279-A535-850FAFA5B422}"/>
    <hyperlink ref="C34" r:id="rId130" display="http://bigg.ucsd.edu/models/iECD_1391/metabolites" xr:uid="{F2B15EBF-B89A-404E-8EA8-0555346D075D}"/>
    <hyperlink ref="D34" r:id="rId131" display="http://bigg.ucsd.edu/models/iECD_1391/reactions" xr:uid="{13D43706-A512-4AC4-9C48-48A714DBBD39}"/>
    <hyperlink ref="E34" r:id="rId132" display="http://bigg.ucsd.edu/models/iECD_1391/genes" xr:uid="{C7098123-1CFB-4869-B64C-75E2D618183C}"/>
    <hyperlink ref="A35" r:id="rId133" display="http://bigg.ucsd.edu/models/iECDH10B_1368" xr:uid="{BA723E50-88C9-48D0-9A06-0796FFBE82D1}"/>
    <hyperlink ref="C35" r:id="rId134" display="http://bigg.ucsd.edu/models/iECDH10B_1368/metabolites" xr:uid="{F836C565-491F-46C2-9DD0-299110B3F5A4}"/>
    <hyperlink ref="D35" r:id="rId135" display="http://bigg.ucsd.edu/models/iECDH10B_1368/reactions" xr:uid="{F3188965-473C-4589-8DC7-25D17F0710CD}"/>
    <hyperlink ref="E35" r:id="rId136" display="http://bigg.ucsd.edu/models/iECDH10B_1368/genes" xr:uid="{317A67AA-9FD5-4A55-81CA-42421F40DEA6}"/>
    <hyperlink ref="A36" r:id="rId137" display="http://bigg.ucsd.edu/models/iEcDH1_1363" xr:uid="{21421124-53FC-4095-8D27-E9781531FCC3}"/>
    <hyperlink ref="C36" r:id="rId138" display="http://bigg.ucsd.edu/models/iEcDH1_1363/metabolites" xr:uid="{CC8CAD54-7E3F-4928-94D6-78373A516A32}"/>
    <hyperlink ref="D36" r:id="rId139" display="http://bigg.ucsd.edu/models/iEcDH1_1363/reactions" xr:uid="{92A5AF43-91EE-4D75-AD72-B0EE0B1116AE}"/>
    <hyperlink ref="E36" r:id="rId140" display="http://bigg.ucsd.edu/models/iEcDH1_1363/genes" xr:uid="{73834D01-087E-43B9-8B93-A663267BD12A}"/>
    <hyperlink ref="A37" r:id="rId141" display="http://bigg.ucsd.edu/models/iECDH1ME8569_1439" xr:uid="{57A1A199-87C4-435E-BB6E-8FAC1637658A}"/>
    <hyperlink ref="C37" r:id="rId142" display="http://bigg.ucsd.edu/models/iECDH1ME8569_1439/metabolites" xr:uid="{DF6353B9-DBE0-4ED4-9DA5-24EA5167979B}"/>
    <hyperlink ref="D37" r:id="rId143" display="http://bigg.ucsd.edu/models/iECDH1ME8569_1439/reactions" xr:uid="{C6FEBC96-634B-4D36-BC97-ADAEF2262F50}"/>
    <hyperlink ref="E37" r:id="rId144" display="http://bigg.ucsd.edu/models/iECDH1ME8569_1439/genes" xr:uid="{6631337E-377D-4080-AF5E-CB2024DAA8AB}"/>
    <hyperlink ref="A38" r:id="rId145" display="http://bigg.ucsd.edu/models/iEcE24377_1341" xr:uid="{EC72D88A-16C8-4D0C-A298-5BA2928FDF20}"/>
    <hyperlink ref="C38" r:id="rId146" display="http://bigg.ucsd.edu/models/iEcE24377_1341/metabolites" xr:uid="{B58B29C4-F43A-43A0-9FD3-56DE532B12E3}"/>
    <hyperlink ref="D38" r:id="rId147" display="http://bigg.ucsd.edu/models/iEcE24377_1341/reactions" xr:uid="{16029417-B215-4015-BDF3-459AC8F9B100}"/>
    <hyperlink ref="E38" r:id="rId148" display="http://bigg.ucsd.edu/models/iEcE24377_1341/genes" xr:uid="{C91C30F1-D82A-4098-A484-76007156E81B}"/>
    <hyperlink ref="A39" r:id="rId149" display="http://bigg.ucsd.edu/models/iECED1_1282" xr:uid="{15D96038-3B2A-46C5-BA34-F57656D9FB15}"/>
    <hyperlink ref="C39" r:id="rId150" display="http://bigg.ucsd.edu/models/iECED1_1282/metabolites" xr:uid="{FB10F52A-1FDD-4B1F-9296-4F312EB77206}"/>
    <hyperlink ref="D39" r:id="rId151" display="http://bigg.ucsd.edu/models/iECED1_1282/reactions" xr:uid="{0C94B96E-96B0-4785-A6F6-463199B12273}"/>
    <hyperlink ref="E39" r:id="rId152" display="http://bigg.ucsd.edu/models/iECED1_1282/genes" xr:uid="{E8D393CA-5959-45B7-956A-19CB3176E005}"/>
    <hyperlink ref="A40" r:id="rId153" display="http://bigg.ucsd.edu/models/iECH74115_1262" xr:uid="{667515DF-DDD1-4B55-BFFD-B6288663A9FA}"/>
    <hyperlink ref="C40" r:id="rId154" display="http://bigg.ucsd.edu/models/iECH74115_1262/metabolites" xr:uid="{081F2994-6491-4005-A120-1A4B0C749A5D}"/>
    <hyperlink ref="D40" r:id="rId155" display="http://bigg.ucsd.edu/models/iECH74115_1262/reactions" xr:uid="{2D3CA032-2BE4-48A5-B966-FD69F780411B}"/>
    <hyperlink ref="E40" r:id="rId156" display="http://bigg.ucsd.edu/models/iECH74115_1262/genes" xr:uid="{DC4FAE24-E8C5-44DA-A81A-63618AECF620}"/>
    <hyperlink ref="A41" r:id="rId157" display="http://bigg.ucsd.edu/models/iEcHS_1320" xr:uid="{6E4A05B6-753E-480D-9588-CBDA77A6B64E}"/>
    <hyperlink ref="C41" r:id="rId158" display="http://bigg.ucsd.edu/models/iEcHS_1320/metabolites" xr:uid="{1AFCF2C9-E283-411B-92C7-708B1BEC0E7F}"/>
    <hyperlink ref="D41" r:id="rId159" display="http://bigg.ucsd.edu/models/iEcHS_1320/reactions" xr:uid="{36371C63-BF11-4038-85A4-F91AC19AA96C}"/>
    <hyperlink ref="E41" r:id="rId160" display="http://bigg.ucsd.edu/models/iEcHS_1320/genes" xr:uid="{84CE318B-F3DF-40B0-A22B-D11537B9D0AB}"/>
    <hyperlink ref="A42" r:id="rId161" display="http://bigg.ucsd.edu/models/iECIAI1_1343" xr:uid="{1ED951B0-AFF8-48C0-8B45-9157233D3752}"/>
    <hyperlink ref="C42" r:id="rId162" display="http://bigg.ucsd.edu/models/iECIAI1_1343/metabolites" xr:uid="{59BFDD9D-24E5-478A-A74A-336395080FEE}"/>
    <hyperlink ref="D42" r:id="rId163" display="http://bigg.ucsd.edu/models/iECIAI1_1343/reactions" xr:uid="{FB2DF135-7265-4843-B85D-D557F4FAE5EA}"/>
    <hyperlink ref="E42" r:id="rId164" display="http://bigg.ucsd.edu/models/iECIAI1_1343/genes" xr:uid="{333C9C45-2E80-4534-92D8-32F4C1C7CDE0}"/>
    <hyperlink ref="A43" r:id="rId165" display="http://bigg.ucsd.edu/models/iECIAI39_1322" xr:uid="{3F443CA6-21CB-4049-AD03-A9FA5D5D867B}"/>
    <hyperlink ref="C43" r:id="rId166" display="http://bigg.ucsd.edu/models/iECIAI39_1322/metabolites" xr:uid="{EAA636BE-E3E0-4E48-B261-A6A411968755}"/>
    <hyperlink ref="D43" r:id="rId167" display="http://bigg.ucsd.edu/models/iECIAI39_1322/reactions" xr:uid="{63FE2CFE-FD7C-42C1-9ACE-FE0353D39CBD}"/>
    <hyperlink ref="E43" r:id="rId168" display="http://bigg.ucsd.edu/models/iECIAI39_1322/genes" xr:uid="{E2D87CBC-EEE7-481A-B1E9-B7FA4672C00C}"/>
    <hyperlink ref="A44" r:id="rId169" display="http://bigg.ucsd.edu/models/iECNA114_1301" xr:uid="{EFD13D23-237C-42DE-A7A4-8F84A68A8FCA}"/>
    <hyperlink ref="C44" r:id="rId170" display="http://bigg.ucsd.edu/models/iECNA114_1301/metabolites" xr:uid="{3EDA6487-FDEB-4922-A901-FF29FA7CF3DC}"/>
    <hyperlink ref="D44" r:id="rId171" display="http://bigg.ucsd.edu/models/iECNA114_1301/reactions" xr:uid="{00981FE9-A7AB-47F3-97C5-F134AD44F933}"/>
    <hyperlink ref="E44" r:id="rId172" display="http://bigg.ucsd.edu/models/iECNA114_1301/genes" xr:uid="{077DE284-4BB8-446A-BDD8-607AC0C2003F}"/>
    <hyperlink ref="A45" r:id="rId173" display="http://bigg.ucsd.edu/models/iECO103_1326" xr:uid="{4A2179FE-C74D-4838-82B5-C6D3EB143A60}"/>
    <hyperlink ref="C45" r:id="rId174" display="http://bigg.ucsd.edu/models/iECO103_1326/metabolites" xr:uid="{ADA76C57-758C-4D52-AFC1-62672CFB80C6}"/>
    <hyperlink ref="D45" r:id="rId175" display="http://bigg.ucsd.edu/models/iECO103_1326/reactions" xr:uid="{9A2396E3-C860-41DB-9D5A-A7C78EC3F87D}"/>
    <hyperlink ref="E45" r:id="rId176" display="http://bigg.ucsd.edu/models/iECO103_1326/genes" xr:uid="{6CF17CBD-536B-4817-BE2B-DBB56DFFA857}"/>
    <hyperlink ref="A46" r:id="rId177" display="http://bigg.ucsd.edu/models/iECO111_1330" xr:uid="{6CB0FECD-6800-429F-8C85-F04938DFD347}"/>
    <hyperlink ref="C46" r:id="rId178" display="http://bigg.ucsd.edu/models/iECO111_1330/metabolites" xr:uid="{EC7EFFBE-DE23-49BA-897B-F2B8CED9EF6B}"/>
    <hyperlink ref="D46" r:id="rId179" display="http://bigg.ucsd.edu/models/iECO111_1330/reactions" xr:uid="{BAA1961C-0E8E-4B1D-BB28-7BD3D6DD6D9F}"/>
    <hyperlink ref="E46" r:id="rId180" display="http://bigg.ucsd.edu/models/iECO111_1330/genes" xr:uid="{CD8F932E-912C-4521-9ED7-CAC7C2CED4C3}"/>
    <hyperlink ref="A47" r:id="rId181" display="http://bigg.ucsd.edu/models/iECO26_1355" xr:uid="{E25AEA16-65AE-4253-8370-48D4E3B65D13}"/>
    <hyperlink ref="C47" r:id="rId182" display="http://bigg.ucsd.edu/models/iECO26_1355/metabolites" xr:uid="{50D73FC8-D2C4-4035-A504-F75493BC2193}"/>
    <hyperlink ref="D47" r:id="rId183" display="http://bigg.ucsd.edu/models/iECO26_1355/reactions" xr:uid="{70442D1C-0682-4BD1-8DB8-DC47674C3FB3}"/>
    <hyperlink ref="E47" r:id="rId184" display="http://bigg.ucsd.edu/models/iECO26_1355/genes" xr:uid="{C86FD753-D04D-47A5-B4BA-078ECC60E629}"/>
    <hyperlink ref="A48" r:id="rId185" display="http://bigg.ucsd.edu/models/iECOK1_1307" xr:uid="{1363D611-5C1E-4F57-B5F9-D7617C698BEA}"/>
    <hyperlink ref="C48" r:id="rId186" display="http://bigg.ucsd.edu/models/iECOK1_1307/metabolites" xr:uid="{B63497D6-F930-47C2-A4AF-643C4A99D7B9}"/>
    <hyperlink ref="D48" r:id="rId187" display="http://bigg.ucsd.edu/models/iECOK1_1307/reactions" xr:uid="{4BD1CB73-7C74-4EA4-AB8E-493AF31335FA}"/>
    <hyperlink ref="E48" r:id="rId188" display="http://bigg.ucsd.edu/models/iECOK1_1307/genes" xr:uid="{FBDEBDA6-0846-4E3D-84DE-77A3B497352C}"/>
    <hyperlink ref="A49" r:id="rId189" display="http://bigg.ucsd.edu/models/iEcolC_1368" xr:uid="{38566BEA-5AC8-4BA3-81A1-B6F38B2E7167}"/>
    <hyperlink ref="C49" r:id="rId190" display="http://bigg.ucsd.edu/models/iEcolC_1368/metabolites" xr:uid="{B6970C83-B009-435B-ADF3-36F8F1A31AD5}"/>
    <hyperlink ref="D49" r:id="rId191" display="http://bigg.ucsd.edu/models/iEcolC_1368/reactions" xr:uid="{13CDF00F-CD7B-4BB6-AC12-B83F5CF6E5B0}"/>
    <hyperlink ref="E49" r:id="rId192" display="http://bigg.ucsd.edu/models/iEcolC_1368/genes" xr:uid="{2CE84168-97C6-485C-AE05-8DB40C9BA33F}"/>
    <hyperlink ref="A50" r:id="rId193" display="http://bigg.ucsd.edu/models/iECP_1309" xr:uid="{29764F16-9F61-4564-8CE6-197D50ABABDE}"/>
    <hyperlink ref="C50" r:id="rId194" display="http://bigg.ucsd.edu/models/iECP_1309/metabolites" xr:uid="{AFF132D5-F2C4-403F-8DF5-760E60534A48}"/>
    <hyperlink ref="D50" r:id="rId195" display="http://bigg.ucsd.edu/models/iECP_1309/reactions" xr:uid="{9F95E1DB-8357-49DB-AEAF-C1D0C68B657E}"/>
    <hyperlink ref="E50" r:id="rId196" display="http://bigg.ucsd.edu/models/iECP_1309/genes" xr:uid="{C08449AC-BA73-440A-94F2-21CB4B14E3E3}"/>
    <hyperlink ref="A51" r:id="rId197" display="http://bigg.ucsd.edu/models/iECs_1301" xr:uid="{203313E8-456E-40B4-A792-9A18D13F7E93}"/>
    <hyperlink ref="C51" r:id="rId198" display="http://bigg.ucsd.edu/models/iECs_1301/metabolites" xr:uid="{68EDDEDF-7CE7-4E1D-B599-CF534F3621B3}"/>
    <hyperlink ref="D51" r:id="rId199" display="http://bigg.ucsd.edu/models/iECs_1301/reactions" xr:uid="{B682094F-BE00-4C09-9F0E-81A0D1DD28B2}"/>
    <hyperlink ref="E51" r:id="rId200" display="http://bigg.ucsd.edu/models/iECs_1301/genes" xr:uid="{B4E3F480-BAF9-4653-AB57-18F942610768}"/>
    <hyperlink ref="A52" r:id="rId201" display="http://bigg.ucsd.edu/models/iECS88_1305" xr:uid="{DE5826F2-0CCF-4FD8-BDF9-DB63F4B85D07}"/>
    <hyperlink ref="C52" r:id="rId202" display="http://bigg.ucsd.edu/models/iECS88_1305/metabolites" xr:uid="{A7414CF1-C7FF-4D93-9686-2632310067CE}"/>
    <hyperlink ref="D52" r:id="rId203" display="http://bigg.ucsd.edu/models/iECS88_1305/reactions" xr:uid="{D160A69A-8A83-4855-B5D8-DBD330A72DF5}"/>
    <hyperlink ref="E52" r:id="rId204" display="http://bigg.ucsd.edu/models/iECS88_1305/genes" xr:uid="{837F01B5-CB74-44DA-83BC-D0D64EE13268}"/>
    <hyperlink ref="A53" r:id="rId205" display="http://bigg.ucsd.edu/models/iECSE_1348" xr:uid="{7A88FB13-F108-440E-A0AB-D2A8C84D664A}"/>
    <hyperlink ref="C53" r:id="rId206" display="http://bigg.ucsd.edu/models/iECSE_1348/metabolites" xr:uid="{33E45B3F-2D89-4B00-8ACB-5DFA2F8A886C}"/>
    <hyperlink ref="D53" r:id="rId207" display="http://bigg.ucsd.edu/models/iECSE_1348/reactions" xr:uid="{6A033DE3-CF88-4E2D-B660-040F0A808A00}"/>
    <hyperlink ref="E53" r:id="rId208" display="http://bigg.ucsd.edu/models/iECSE_1348/genes" xr:uid="{DAACA4E9-6B8D-4B39-844B-B4230FD1E91F}"/>
    <hyperlink ref="A54" r:id="rId209" display="http://bigg.ucsd.edu/models/iECSF_1327" xr:uid="{81494B03-142B-4223-9467-512B25C63294}"/>
    <hyperlink ref="C54" r:id="rId210" display="http://bigg.ucsd.edu/models/iECSF_1327/metabolites" xr:uid="{FB0F7AAD-8F89-42B0-92CC-A5F10DDC0E7E}"/>
    <hyperlink ref="D54" r:id="rId211" display="http://bigg.ucsd.edu/models/iECSF_1327/reactions" xr:uid="{6E37BD20-6E50-40E3-81B0-276287A1B9E8}"/>
    <hyperlink ref="E54" r:id="rId212" display="http://bigg.ucsd.edu/models/iECSF_1327/genes" xr:uid="{C6F54276-167A-49ED-8C27-A424768EFFB3}"/>
    <hyperlink ref="A55" r:id="rId213" display="http://bigg.ucsd.edu/models/iEcSMS35_1347" xr:uid="{254C9743-4C51-4126-83CF-66C0B3BF872B}"/>
    <hyperlink ref="C55" r:id="rId214" display="http://bigg.ucsd.edu/models/iEcSMS35_1347/metabolites" xr:uid="{8C47EFF7-75BA-45F2-A735-7BDFE5DBD306}"/>
    <hyperlink ref="D55" r:id="rId215" display="http://bigg.ucsd.edu/models/iEcSMS35_1347/reactions" xr:uid="{EF3E0AD3-A620-4C8B-A1E2-9D7BABA942E1}"/>
    <hyperlink ref="E55" r:id="rId216" display="http://bigg.ucsd.edu/models/iEcSMS35_1347/genes" xr:uid="{7EA967AB-CEF0-427B-92F5-2170BA920AE6}"/>
    <hyperlink ref="A56" r:id="rId217" display="http://bigg.ucsd.edu/models/iECSP_1301" xr:uid="{1A5E5A08-E28E-4928-8C68-306A82C3D7A5}"/>
    <hyperlink ref="C56" r:id="rId218" display="http://bigg.ucsd.edu/models/iECSP_1301/metabolites" xr:uid="{6CBADD85-882C-496E-9559-A8E3448496F1}"/>
    <hyperlink ref="D56" r:id="rId219" display="http://bigg.ucsd.edu/models/iECSP_1301/reactions" xr:uid="{94DE395C-CB8B-4C90-9104-D2A4B2DBD119}"/>
    <hyperlink ref="E56" r:id="rId220" display="http://bigg.ucsd.edu/models/iECSP_1301/genes" xr:uid="{9760FE20-868E-44E1-B5CC-7A576049DD8F}"/>
    <hyperlink ref="A57" r:id="rId221" display="http://bigg.ucsd.edu/models/iECUMN_1333" xr:uid="{CC5303EF-BD6F-48EA-9483-E23A91B15610}"/>
    <hyperlink ref="C57" r:id="rId222" display="http://bigg.ucsd.edu/models/iECUMN_1333/metabolites" xr:uid="{9C2A8A27-A7D5-471C-8051-3388187B1113}"/>
    <hyperlink ref="D57" r:id="rId223" display="http://bigg.ucsd.edu/models/iECUMN_1333/reactions" xr:uid="{9603A313-AA27-4178-B2BA-E3D70E1ABB1D}"/>
    <hyperlink ref="E57" r:id="rId224" display="http://bigg.ucsd.edu/models/iECUMN_1333/genes" xr:uid="{B979359B-AE90-426A-9F67-57AB199DEF12}"/>
    <hyperlink ref="A58" r:id="rId225" display="http://bigg.ucsd.edu/models/iECW_1372" xr:uid="{2ECF1F86-6E79-4E29-BA5B-FD2EEAEB9061}"/>
    <hyperlink ref="C58" r:id="rId226" display="http://bigg.ucsd.edu/models/iECW_1372/metabolites" xr:uid="{399BF03B-641D-478C-A885-5A46B8CE819F}"/>
    <hyperlink ref="D58" r:id="rId227" display="http://bigg.ucsd.edu/models/iECW_1372/reactions" xr:uid="{0E40F57F-9546-4A49-88C6-0F46E777B803}"/>
    <hyperlink ref="E58" r:id="rId228" display="http://bigg.ucsd.edu/models/iECW_1372/genes" xr:uid="{18B3AEE0-4C04-4C26-8592-8B8988ABBD5F}"/>
    <hyperlink ref="A59" r:id="rId229" display="http://bigg.ucsd.edu/models/iEK1008" xr:uid="{59FCA99D-CD84-4233-981A-714FA03C22F8}"/>
    <hyperlink ref="C59" r:id="rId230" display="http://bigg.ucsd.edu/models/iEK1008/metabolites" xr:uid="{F333574C-FC9D-41A8-B6AE-FAA8425B69EC}"/>
    <hyperlink ref="D59" r:id="rId231" display="http://bigg.ucsd.edu/models/iEK1008/reactions" xr:uid="{8DBC7B0E-2C54-47D2-869F-31816BD6A002}"/>
    <hyperlink ref="E59" r:id="rId232" display="http://bigg.ucsd.edu/models/iEK1008/genes" xr:uid="{7039C6C1-D17B-4C1A-B930-7F6C05904D4B}"/>
    <hyperlink ref="A60" r:id="rId233" display="http://bigg.ucsd.edu/models/iEKO11_1354" xr:uid="{ECC8AA42-E5A9-489C-B0C2-3DDD157F7324}"/>
    <hyperlink ref="C60" r:id="rId234" display="http://bigg.ucsd.edu/models/iEKO11_1354/metabolites" xr:uid="{579E525A-5C1E-4209-B993-A70D483DBD18}"/>
    <hyperlink ref="D60" r:id="rId235" display="http://bigg.ucsd.edu/models/iEKO11_1354/reactions" xr:uid="{0B918356-C895-4530-B6A7-240DE0306297}"/>
    <hyperlink ref="E60" r:id="rId236" display="http://bigg.ucsd.edu/models/iEKO11_1354/genes" xr:uid="{1A8503F5-36B9-4D5A-BCAF-F7C153EAA621}"/>
    <hyperlink ref="A61" r:id="rId237" display="http://bigg.ucsd.edu/models/iETEC_1333" xr:uid="{8D9C51E0-BCAD-4887-8056-E9F6F073DB37}"/>
    <hyperlink ref="C61" r:id="rId238" display="http://bigg.ucsd.edu/models/iETEC_1333/metabolites" xr:uid="{22C36ECF-E68D-4B25-9DA4-5358151918DC}"/>
    <hyperlink ref="D61" r:id="rId239" display="http://bigg.ucsd.edu/models/iETEC_1333/reactions" xr:uid="{A16CD487-520A-4909-9266-CFD034EFD565}"/>
    <hyperlink ref="E61" r:id="rId240" display="http://bigg.ucsd.edu/models/iETEC_1333/genes" xr:uid="{4CB44840-660A-4E13-AC1B-2EC4026EE02F}"/>
    <hyperlink ref="A62" r:id="rId241" display="http://bigg.ucsd.edu/models/iG2583_1286" xr:uid="{0121243F-732F-4A38-8DB4-F9F15C8101B9}"/>
    <hyperlink ref="C62" r:id="rId242" display="http://bigg.ucsd.edu/models/iG2583_1286/metabolites" xr:uid="{FDE42C37-A76E-442E-968D-37F4F9C30B94}"/>
    <hyperlink ref="D62" r:id="rId243" display="http://bigg.ucsd.edu/models/iG2583_1286/reactions" xr:uid="{C00627CA-45E2-4B87-9024-A1C274F1CCED}"/>
    <hyperlink ref="E62" r:id="rId244" display="http://bigg.ucsd.edu/models/iG2583_1286/genes" xr:uid="{FA1768C9-67F7-4B57-B164-032B8038776D}"/>
    <hyperlink ref="A63" r:id="rId245" display="http://bigg.ucsd.edu/models/iHN637" xr:uid="{5CB03D73-73FE-40FA-A302-AE19D2C2B403}"/>
    <hyperlink ref="C63" r:id="rId246" display="http://bigg.ucsd.edu/models/iHN637/metabolites" xr:uid="{D25E0761-8F8B-44B9-8CB4-6929DADB029A}"/>
    <hyperlink ref="D63" r:id="rId247" display="http://bigg.ucsd.edu/models/iHN637/reactions" xr:uid="{AEE2CE9B-F3C0-47E5-AEFA-B979411C2879}"/>
    <hyperlink ref="E63" r:id="rId248" display="http://bigg.ucsd.edu/models/iHN637/genes" xr:uid="{592AA038-1F42-4D26-83F2-B4D54DAD0D55}"/>
    <hyperlink ref="A64" r:id="rId249" display="http://bigg.ucsd.edu/models/iIS312" xr:uid="{CE465E30-4DCA-4309-B96B-FF33FF835C46}"/>
    <hyperlink ref="C64" r:id="rId250" display="http://bigg.ucsd.edu/models/iIS312/metabolites" xr:uid="{E61CF290-AAB4-4072-97CF-E43C9316538D}"/>
    <hyperlink ref="D64" r:id="rId251" display="http://bigg.ucsd.edu/models/iIS312/reactions" xr:uid="{693028E5-5247-44A7-89E5-339BCB5BF5EE}"/>
    <hyperlink ref="E64" r:id="rId252" display="http://bigg.ucsd.edu/models/iIS312/genes" xr:uid="{DAA53E95-DE90-4684-8CBA-B4E1BBA09E3F}"/>
    <hyperlink ref="A65" r:id="rId253" display="http://bigg.ucsd.edu/models/iIS312_Amastigote" xr:uid="{58CB91C7-BB2F-471F-991B-30461F3AB80C}"/>
    <hyperlink ref="C65" r:id="rId254" display="http://bigg.ucsd.edu/models/iIS312_Amastigote/metabolites" xr:uid="{86E9AC40-59D6-4733-9A07-342DD0151BF8}"/>
    <hyperlink ref="D65" r:id="rId255" display="http://bigg.ucsd.edu/models/iIS312_Amastigote/reactions" xr:uid="{6DDFC231-D886-44F0-ACEE-4F5A60740AD8}"/>
    <hyperlink ref="E65" r:id="rId256" display="http://bigg.ucsd.edu/models/iIS312_Amastigote/genes" xr:uid="{E43E4166-E73C-4D1F-8AE0-F31883967457}"/>
    <hyperlink ref="A66" r:id="rId257" display="http://bigg.ucsd.edu/models/iIS312_Epimastigote" xr:uid="{DA799053-5ADE-4C44-98AF-2CC724ECBAA1}"/>
    <hyperlink ref="C66" r:id="rId258" display="http://bigg.ucsd.edu/models/iIS312_Epimastigote/metabolites" xr:uid="{78219F83-D603-40FE-BFF3-E7C16F32805F}"/>
    <hyperlink ref="D66" r:id="rId259" display="http://bigg.ucsd.edu/models/iIS312_Epimastigote/reactions" xr:uid="{70C881E4-8B7D-465E-B54C-D59D255D987D}"/>
    <hyperlink ref="E66" r:id="rId260" display="http://bigg.ucsd.edu/models/iIS312_Epimastigote/genes" xr:uid="{5B486B20-D65C-42D4-BC14-BAA78DE72674}"/>
    <hyperlink ref="A67" r:id="rId261" display="http://bigg.ucsd.edu/models/iIS312_Trypomastigote" xr:uid="{91B7B2CC-A006-44FB-9B0F-3A04876D87B3}"/>
    <hyperlink ref="C67" r:id="rId262" display="http://bigg.ucsd.edu/models/iIS312_Trypomastigote/metabolites" xr:uid="{F235D5B7-0FF6-4CD3-B4C4-54B8EDFE17EA}"/>
    <hyperlink ref="D67" r:id="rId263" display="http://bigg.ucsd.edu/models/iIS312_Trypomastigote/reactions" xr:uid="{6C1CAB99-E5F7-4F5F-A4F2-6C6502448F33}"/>
    <hyperlink ref="E67" r:id="rId264" display="http://bigg.ucsd.edu/models/iIS312_Trypomastigote/genes" xr:uid="{C0C60372-C949-49C4-815A-E9195BDBAF08}"/>
    <hyperlink ref="A68" r:id="rId265" display="http://bigg.ucsd.edu/models/iIT341" xr:uid="{9F111BA0-3AF7-40CD-98F0-973F2483DAD1}"/>
    <hyperlink ref="C68" r:id="rId266" display="http://bigg.ucsd.edu/models/iIT341/metabolites" xr:uid="{3DDAAD64-D6C2-4279-A2CB-9BD2C66F456C}"/>
    <hyperlink ref="D68" r:id="rId267" display="http://bigg.ucsd.edu/models/iIT341/reactions" xr:uid="{F97849C3-3568-464E-ABF8-E6AEF9006A59}"/>
    <hyperlink ref="E68" r:id="rId268" display="http://bigg.ucsd.edu/models/iIT341/genes" xr:uid="{867BA3CD-A296-44CB-B9A8-6494278B5A92}"/>
    <hyperlink ref="A69" r:id="rId269" display="http://bigg.ucsd.edu/models/iJB785" xr:uid="{24B90D7B-A798-4339-8C61-366360A15D00}"/>
    <hyperlink ref="C69" r:id="rId270" display="http://bigg.ucsd.edu/models/iJB785/metabolites" xr:uid="{724829E2-5A8F-430F-99A7-1D3242CE6DF4}"/>
    <hyperlink ref="D69" r:id="rId271" display="http://bigg.ucsd.edu/models/iJB785/reactions" xr:uid="{EAF9B738-BEE4-4E66-95A5-6E89F99AB850}"/>
    <hyperlink ref="E69" r:id="rId272" display="http://bigg.ucsd.edu/models/iJB785/genes" xr:uid="{0E0DE841-5A07-455A-AE9E-A5648523F9F7}"/>
    <hyperlink ref="A70" r:id="rId273" display="http://bigg.ucsd.edu/models/iJN1463" xr:uid="{98477943-1A75-4D8F-8065-0ADE058A9927}"/>
    <hyperlink ref="C70" r:id="rId274" display="http://bigg.ucsd.edu/models/iJN1463/metabolites" xr:uid="{067C0030-10EA-4489-8CA3-3A6F687E03EC}"/>
    <hyperlink ref="D70" r:id="rId275" display="http://bigg.ucsd.edu/models/iJN1463/reactions" xr:uid="{716C8983-3E68-4BA0-B413-99CCA735D88A}"/>
    <hyperlink ref="E70" r:id="rId276" display="http://bigg.ucsd.edu/models/iJN1463/genes" xr:uid="{A94B831B-A528-46F5-AD13-C6BB02DD4E71}"/>
    <hyperlink ref="A71" r:id="rId277" display="http://bigg.ucsd.edu/models/iJN678" xr:uid="{C553365B-AA67-453B-9B35-644A22B2BC9F}"/>
    <hyperlink ref="C71" r:id="rId278" display="http://bigg.ucsd.edu/models/iJN678/metabolites" xr:uid="{0B1633F4-F823-408A-AF74-E25A377B9BF8}"/>
    <hyperlink ref="D71" r:id="rId279" display="http://bigg.ucsd.edu/models/iJN678/reactions" xr:uid="{ABB7D7A0-4C26-4D69-831B-254C292FCF5B}"/>
    <hyperlink ref="E71" r:id="rId280" display="http://bigg.ucsd.edu/models/iJN678/genes" xr:uid="{B98825F3-6BC2-462A-9C54-7FB527FAD2EC}"/>
    <hyperlink ref="A72" r:id="rId281" display="http://bigg.ucsd.edu/models/iJN746" xr:uid="{8FE62607-29BE-4FB8-887F-3697BAA875FC}"/>
    <hyperlink ref="C72" r:id="rId282" display="http://bigg.ucsd.edu/models/iJN746/metabolites" xr:uid="{C20C090A-85C7-4162-9DA7-E91F7F983BFA}"/>
    <hyperlink ref="D72" r:id="rId283" display="http://bigg.ucsd.edu/models/iJN746/reactions" xr:uid="{0EF134A2-89ED-4437-A31B-5E18BBF0D14B}"/>
    <hyperlink ref="E72" r:id="rId284" display="http://bigg.ucsd.edu/models/iJN746/genes" xr:uid="{51E2BE7E-4B4B-4608-A670-9A71A567D8E3}"/>
    <hyperlink ref="A73" r:id="rId285" display="http://bigg.ucsd.edu/models/iJO1366" xr:uid="{A514B0E1-C732-4FA5-8B1C-D8FFE6F904C0}"/>
    <hyperlink ref="C73" r:id="rId286" display="http://bigg.ucsd.edu/models/iJO1366/metabolites" xr:uid="{202D9E78-02F6-4645-A30C-27F4149603CF}"/>
    <hyperlink ref="D73" r:id="rId287" display="http://bigg.ucsd.edu/models/iJO1366/reactions" xr:uid="{2477B386-A6FB-456D-9EF0-2AB5BA20BBA7}"/>
    <hyperlink ref="E73" r:id="rId288" display="http://bigg.ucsd.edu/models/iJO1366/genes" xr:uid="{B6035C18-2D19-4B10-86A7-83CC75C3D813}"/>
    <hyperlink ref="A74" r:id="rId289" display="http://bigg.ucsd.edu/models/iJR904" xr:uid="{8BF040D1-FFFE-4495-ADDA-1F8ADC59BF16}"/>
    <hyperlink ref="C74" r:id="rId290" display="http://bigg.ucsd.edu/models/iJR904/metabolites" xr:uid="{FD483FCF-176F-4261-A1B1-E6A385B63C5F}"/>
    <hyperlink ref="D74" r:id="rId291" display="http://bigg.ucsd.edu/models/iJR904/reactions" xr:uid="{4A0BF142-305D-427D-9DC9-0D24E91C3037}"/>
    <hyperlink ref="E74" r:id="rId292" display="http://bigg.ucsd.edu/models/iJR904/genes" xr:uid="{D319FAD8-7A92-499E-BAC8-859887CEB78A}"/>
    <hyperlink ref="A75" r:id="rId293" display="http://bigg.ucsd.edu/models/iLB1027_lipid" xr:uid="{36EC621C-306D-4081-B57F-37817D9195BC}"/>
    <hyperlink ref="C75" r:id="rId294" display="http://bigg.ucsd.edu/models/iLB1027_lipid/metabolites" xr:uid="{0C5EFD8B-37BC-4565-B660-063A6B693EC5}"/>
    <hyperlink ref="D75" r:id="rId295" display="http://bigg.ucsd.edu/models/iLB1027_lipid/reactions" xr:uid="{2B970869-CABF-475A-8047-8F29798B4CD0}"/>
    <hyperlink ref="E75" r:id="rId296" display="http://bigg.ucsd.edu/models/iLB1027_lipid/genes" xr:uid="{4B6474A2-AE8A-44FE-BEAF-D64C56787E2A}"/>
    <hyperlink ref="A76" r:id="rId297" display="http://bigg.ucsd.edu/models/iLF82_1304" xr:uid="{89A5476E-2E3F-4CA0-8DC0-68467EED2AAE}"/>
    <hyperlink ref="C76" r:id="rId298" display="http://bigg.ucsd.edu/models/iLF82_1304/metabolites" xr:uid="{B2A6B851-272E-47BE-AF60-921CE36AF435}"/>
    <hyperlink ref="D76" r:id="rId299" display="http://bigg.ucsd.edu/models/iLF82_1304/reactions" xr:uid="{86491AB6-4277-46A8-B9FE-4AC7F1974291}"/>
    <hyperlink ref="E76" r:id="rId300" display="http://bigg.ucsd.edu/models/iLF82_1304/genes" xr:uid="{5AD5FB88-903C-4373-B38D-BB35BA3A5BC3}"/>
    <hyperlink ref="A77" r:id="rId301" display="http://bigg.ucsd.edu/models/iLJ478" xr:uid="{88E159E7-9E6B-4C56-AA26-525B920E73A1}"/>
    <hyperlink ref="C77" r:id="rId302" display="http://bigg.ucsd.edu/models/iLJ478/metabolites" xr:uid="{EE49CBBD-2D41-4E64-8F3A-83DA9939DAC1}"/>
    <hyperlink ref="D77" r:id="rId303" display="http://bigg.ucsd.edu/models/iLJ478/reactions" xr:uid="{051409E8-6302-4C72-916E-784A1EEF3666}"/>
    <hyperlink ref="E77" r:id="rId304" display="http://bigg.ucsd.edu/models/iLJ478/genes" xr:uid="{D31A67B1-6F56-4086-97E5-0FFE4B6C0DE4}"/>
    <hyperlink ref="A78" r:id="rId305" display="http://bigg.ucsd.edu/models/iML1515" xr:uid="{C78970D6-35F2-4931-B20B-DCE5440AF351}"/>
    <hyperlink ref="C78" r:id="rId306" display="http://bigg.ucsd.edu/models/iML1515/metabolites" xr:uid="{6D36B8A1-52DF-4175-8561-4FEC4C20535C}"/>
    <hyperlink ref="D78" r:id="rId307" display="http://bigg.ucsd.edu/models/iML1515/reactions" xr:uid="{2F607063-6FF6-4AC6-813F-C1759C1022BD}"/>
    <hyperlink ref="E78" r:id="rId308" display="http://bigg.ucsd.edu/models/iML1515/genes" xr:uid="{5BDC885C-F0FF-4A56-A8EF-0A19F5D390E8}"/>
    <hyperlink ref="A79" r:id="rId309" display="http://bigg.ucsd.edu/models/iMM1415" xr:uid="{542A5351-CD97-4CB7-B033-5750BA1AC7F6}"/>
    <hyperlink ref="C79" r:id="rId310" display="http://bigg.ucsd.edu/models/iMM1415/metabolites" xr:uid="{79A34E86-DEAB-4411-90E3-EEC960EF5A68}"/>
    <hyperlink ref="D79" r:id="rId311" display="http://bigg.ucsd.edu/models/iMM1415/reactions" xr:uid="{9955BBCB-4A06-4ECA-BF83-4A68A5C63B13}"/>
    <hyperlink ref="E79" r:id="rId312" display="http://bigg.ucsd.edu/models/iMM1415/genes" xr:uid="{C4162AE8-6A53-493E-B106-50A4F433619B}"/>
    <hyperlink ref="A80" r:id="rId313" display="http://bigg.ucsd.edu/models/iMM904" xr:uid="{C33C0B7E-32FB-446C-AB5F-9A52339E529D}"/>
    <hyperlink ref="C80" r:id="rId314" display="http://bigg.ucsd.edu/models/iMM904/metabolites" xr:uid="{92BF00CA-A6DB-4206-8D5B-11FD738FE1CE}"/>
    <hyperlink ref="D80" r:id="rId315" display="http://bigg.ucsd.edu/models/iMM904/reactions" xr:uid="{BA764207-FC9E-4A13-839F-66F71DFCD360}"/>
    <hyperlink ref="E80" r:id="rId316" display="http://bigg.ucsd.edu/models/iMM904/genes" xr:uid="{FA3C9E92-8DB3-4B3E-864C-7818A24F1CD7}"/>
    <hyperlink ref="A81" r:id="rId317" display="http://bigg.ucsd.edu/models/iND750" xr:uid="{D32ADBC3-F0B2-446F-9B6E-5A46DA1D2CC7}"/>
    <hyperlink ref="C81" r:id="rId318" display="http://bigg.ucsd.edu/models/iND750/metabolites" xr:uid="{8663759A-840B-4A17-9C57-54AD5111E85C}"/>
    <hyperlink ref="D81" r:id="rId319" display="http://bigg.ucsd.edu/models/iND750/reactions" xr:uid="{7195BC26-FA94-40E7-A79A-DA7238909F5D}"/>
    <hyperlink ref="E81" r:id="rId320" display="http://bigg.ucsd.edu/models/iND750/genes" xr:uid="{D7783E1C-39CE-45CA-82FF-E177538430F7}"/>
    <hyperlink ref="A82" r:id="rId321" display="http://bigg.ucsd.edu/models/iNF517" xr:uid="{3C8FECFB-030B-4E98-BA13-BA40E92D5DBD}"/>
    <hyperlink ref="C82" r:id="rId322" display="http://bigg.ucsd.edu/models/iNF517/metabolites" xr:uid="{46D8380D-8088-4F8A-82D8-47A291B39491}"/>
    <hyperlink ref="D82" r:id="rId323" display="http://bigg.ucsd.edu/models/iNF517/reactions" xr:uid="{4129C595-7D1B-4089-8A3F-394BDB59F8BB}"/>
    <hyperlink ref="E82" r:id="rId324" display="http://bigg.ucsd.edu/models/iNF517/genes" xr:uid="{04D5B40E-CA91-42C6-A782-D87772785EF9}"/>
    <hyperlink ref="A83" r:id="rId325" display="http://bigg.ucsd.edu/models/iNJ661" xr:uid="{FECDFAAA-A53A-487B-96A6-3054FF2FC427}"/>
    <hyperlink ref="C83" r:id="rId326" display="http://bigg.ucsd.edu/models/iNJ661/metabolites" xr:uid="{CD16DB06-32D2-44CD-B7EB-DC461EB87F85}"/>
    <hyperlink ref="D83" r:id="rId327" display="http://bigg.ucsd.edu/models/iNJ661/reactions" xr:uid="{2D28589E-9DE0-4EF0-A5AB-FFCB5CDA2D78}"/>
    <hyperlink ref="E83" r:id="rId328" display="http://bigg.ucsd.edu/models/iNJ661/genes" xr:uid="{05D3302B-C924-4E73-A50F-53A5FA3CB90A}"/>
    <hyperlink ref="A84" r:id="rId329" display="http://bigg.ucsd.edu/models/iNRG857_1313" xr:uid="{01E55CB3-7B70-4227-AB0B-3DB539CAF76F}"/>
    <hyperlink ref="C84" r:id="rId330" display="http://bigg.ucsd.edu/models/iNRG857_1313/metabolites" xr:uid="{AE52A49D-DA67-46EC-804C-025D34C6744C}"/>
    <hyperlink ref="D84" r:id="rId331" display="http://bigg.ucsd.edu/models/iNRG857_1313/reactions" xr:uid="{0D6BEDC3-0B88-4C4B-9E53-8C58870E345D}"/>
    <hyperlink ref="E84" r:id="rId332" display="http://bigg.ucsd.edu/models/iNRG857_1313/genes" xr:uid="{B3346C0F-3035-4993-95C3-2D910E2D98F2}"/>
    <hyperlink ref="A85" r:id="rId333" display="http://bigg.ucsd.edu/models/iPC815" xr:uid="{19ED6D97-49A7-4F7D-B811-6AB2A16CC1F5}"/>
    <hyperlink ref="C85" r:id="rId334" display="http://bigg.ucsd.edu/models/iPC815/metabolites" xr:uid="{42D1F679-82DE-49CF-8728-40A6449A966A}"/>
    <hyperlink ref="D85" r:id="rId335" display="http://bigg.ucsd.edu/models/iPC815/reactions" xr:uid="{0749966C-96CB-4F22-AE9B-30907DDBF4BA}"/>
    <hyperlink ref="E85" r:id="rId336" display="http://bigg.ucsd.edu/models/iPC815/genes" xr:uid="{22987A95-6EC6-4708-AFA8-EF45D80250D0}"/>
    <hyperlink ref="A86" r:id="rId337" display="http://bigg.ucsd.edu/models/iRC1080" xr:uid="{5B97EFA5-5720-42E1-85FC-CC879E5B40A5}"/>
    <hyperlink ref="C86" r:id="rId338" display="http://bigg.ucsd.edu/models/iRC1080/metabolites" xr:uid="{FE32A485-19BC-4BE1-A231-BEBFE6346404}"/>
    <hyperlink ref="D86" r:id="rId339" display="http://bigg.ucsd.edu/models/iRC1080/reactions" xr:uid="{A363D9D4-1558-4008-BF4E-8482A2C9E450}"/>
    <hyperlink ref="E86" r:id="rId340" display="http://bigg.ucsd.edu/models/iRC1080/genes" xr:uid="{9E18AC59-DB2D-4CA2-9CFE-1EB63566C73C}"/>
    <hyperlink ref="A87" r:id="rId341" display="http://bigg.ucsd.edu/models/iS_1188" xr:uid="{C181C40A-FFB7-44E7-B1EA-5AB2B51F02D2}"/>
    <hyperlink ref="C87" r:id="rId342" display="http://bigg.ucsd.edu/models/iS_1188/metabolites" xr:uid="{D1B129AF-0C3F-45C5-9D9A-D0E068BEBDB1}"/>
    <hyperlink ref="D87" r:id="rId343" display="http://bigg.ucsd.edu/models/iS_1188/reactions" xr:uid="{B0F8ABE5-A38A-44F9-9FCD-CF39C2C3094C}"/>
    <hyperlink ref="E87" r:id="rId344" display="http://bigg.ucsd.edu/models/iS_1188/genes" xr:uid="{A41E5FCC-ECE8-4C5B-9E18-CE7B6A2BB4CC}"/>
    <hyperlink ref="A88" r:id="rId345" display="http://bigg.ucsd.edu/models/iSB619" xr:uid="{F56E947A-92CE-4A67-A940-229D5370D811}"/>
    <hyperlink ref="C88" r:id="rId346" display="http://bigg.ucsd.edu/models/iSB619/metabolites" xr:uid="{564C535E-38B6-439D-853E-341DC0AB2D03}"/>
    <hyperlink ref="D88" r:id="rId347" display="http://bigg.ucsd.edu/models/iSB619/reactions" xr:uid="{35B7B7BB-D416-4F47-9EC8-CDF721693DC1}"/>
    <hyperlink ref="E88" r:id="rId348" display="http://bigg.ucsd.edu/models/iSB619/genes" xr:uid="{B2FB123E-06E1-4CFD-8028-E6A870E20D5F}"/>
    <hyperlink ref="A89" r:id="rId349" display="http://bigg.ucsd.edu/models/iSbBS512_1146" xr:uid="{7519A040-3F99-4F0C-B3BE-47C3FC921690}"/>
    <hyperlink ref="C89" r:id="rId350" display="http://bigg.ucsd.edu/models/iSbBS512_1146/metabolites" xr:uid="{B73A30F1-8532-43FD-BE11-0504084F9683}"/>
    <hyperlink ref="D89" r:id="rId351" display="http://bigg.ucsd.edu/models/iSbBS512_1146/reactions" xr:uid="{D3DE1BBD-0605-4B75-BF89-67A575A05362}"/>
    <hyperlink ref="E89" r:id="rId352" display="http://bigg.ucsd.edu/models/iSbBS512_1146/genes" xr:uid="{9D427DAE-2EA0-4C99-A37C-7E17BC09E6F7}"/>
    <hyperlink ref="A90" r:id="rId353" display="http://bigg.ucsd.edu/models/iSBO_1134" xr:uid="{0EC70B59-3749-492F-AA65-CCD9CC019D81}"/>
    <hyperlink ref="C90" r:id="rId354" display="http://bigg.ucsd.edu/models/iSBO_1134/metabolites" xr:uid="{D44A75C6-07A6-41D4-8730-B1E19DC6D316}"/>
    <hyperlink ref="D90" r:id="rId355" display="http://bigg.ucsd.edu/models/iSBO_1134/reactions" xr:uid="{B1735E9E-6E0A-454C-A75B-A4B7278F68A1}"/>
    <hyperlink ref="E90" r:id="rId356" display="http://bigg.ucsd.edu/models/iSBO_1134/genes" xr:uid="{C0AFDA90-3854-476E-838D-F3F717826323}"/>
    <hyperlink ref="A91" r:id="rId357" display="http://bigg.ucsd.edu/models/iSDY_1059" xr:uid="{7FE45BCB-474A-4692-8645-61D3453C871A}"/>
    <hyperlink ref="C91" r:id="rId358" display="http://bigg.ucsd.edu/models/iSDY_1059/metabolites" xr:uid="{553D6345-2440-43C7-AA91-0EC4898244B4}"/>
    <hyperlink ref="D91" r:id="rId359" display="http://bigg.ucsd.edu/models/iSDY_1059/reactions" xr:uid="{30B81CFD-03DC-4D52-A362-8A818A34C9FB}"/>
    <hyperlink ref="E91" r:id="rId360" display="http://bigg.ucsd.edu/models/iSDY_1059/genes" xr:uid="{FFBBC244-E7C6-4DE4-B27D-408A15F8CD69}"/>
    <hyperlink ref="A92" r:id="rId361" display="http://bigg.ucsd.edu/models/iSF_1195" xr:uid="{1B01D144-932D-4CB9-9BB2-26A0815C6E6D}"/>
    <hyperlink ref="C92" r:id="rId362" display="http://bigg.ucsd.edu/models/iSF_1195/metabolites" xr:uid="{D546E238-B622-4CDD-8A1C-E0D5F71165F0}"/>
    <hyperlink ref="D92" r:id="rId363" display="http://bigg.ucsd.edu/models/iSF_1195/reactions" xr:uid="{4FC6D62A-DC69-49C8-A95C-F642AEAE9241}"/>
    <hyperlink ref="E92" r:id="rId364" display="http://bigg.ucsd.edu/models/iSF_1195/genes" xr:uid="{5EDACF93-93A3-42F5-A5D3-120218BA0B55}"/>
    <hyperlink ref="A93" r:id="rId365" display="http://bigg.ucsd.edu/models/iSFV_1184" xr:uid="{D38B98D7-20A8-44C2-9BEC-B836DB2829E6}"/>
    <hyperlink ref="C93" r:id="rId366" display="http://bigg.ucsd.edu/models/iSFV_1184/metabolites" xr:uid="{4B812FBD-CA8E-49D9-8DCA-57F97C586B81}"/>
    <hyperlink ref="D93" r:id="rId367" display="http://bigg.ucsd.edu/models/iSFV_1184/reactions" xr:uid="{B2D31F03-C516-4FDD-B2C8-08A1B75FD540}"/>
    <hyperlink ref="E93" r:id="rId368" display="http://bigg.ucsd.edu/models/iSFV_1184/genes" xr:uid="{EC9A4504-B2A2-4CE8-A29C-D8C2311A86A9}"/>
    <hyperlink ref="A94" r:id="rId369" display="http://bigg.ucsd.edu/models/iSFxv_1172" xr:uid="{DE6D4ED8-70A0-4D70-8DA9-9D57CD27F4BA}"/>
    <hyperlink ref="C94" r:id="rId370" display="http://bigg.ucsd.edu/models/iSFxv_1172/metabolites" xr:uid="{7C3F9833-83A7-4658-B0D1-8326C41009B8}"/>
    <hyperlink ref="D94" r:id="rId371" display="http://bigg.ucsd.edu/models/iSFxv_1172/reactions" xr:uid="{AEF18E4B-F491-466E-BC16-FAA13D84D333}"/>
    <hyperlink ref="E94" r:id="rId372" display="http://bigg.ucsd.edu/models/iSFxv_1172/genes" xr:uid="{C8C5068C-0909-43F4-9E9C-9B49E65976AF}"/>
    <hyperlink ref="A95" r:id="rId373" display="http://bigg.ucsd.edu/models/iSSON_1240" xr:uid="{D3F14CA0-B346-4751-83FF-0B9B33B7F0A6}"/>
    <hyperlink ref="C95" r:id="rId374" display="http://bigg.ucsd.edu/models/iSSON_1240/metabolites" xr:uid="{F244A278-B0CE-451C-8519-852C8411E500}"/>
    <hyperlink ref="D95" r:id="rId375" display="http://bigg.ucsd.edu/models/iSSON_1240/reactions" xr:uid="{6388520F-C2AF-4560-B833-94539D1591E2}"/>
    <hyperlink ref="E95" r:id="rId376" display="http://bigg.ucsd.edu/models/iSSON_1240/genes" xr:uid="{C91C62A8-224F-42BD-A964-A0FC0709DDAF}"/>
    <hyperlink ref="A96" r:id="rId377" display="http://bigg.ucsd.edu/models/iSynCJ816" xr:uid="{9D1D352F-A62B-4BE2-AC4B-EFD97159FCE7}"/>
    <hyperlink ref="C96" r:id="rId378" display="http://bigg.ucsd.edu/models/iSynCJ816/metabolites" xr:uid="{4AB80848-D50B-4E5C-95D7-6EC2C19D0934}"/>
    <hyperlink ref="D96" r:id="rId379" display="http://bigg.ucsd.edu/models/iSynCJ816/reactions" xr:uid="{372F57B5-D9E3-4413-9324-7EE5AD7BDE56}"/>
    <hyperlink ref="E96" r:id="rId380" display="http://bigg.ucsd.edu/models/iSynCJ816/genes" xr:uid="{B5F02C77-4863-4842-9A0C-FF2704DA318A}"/>
    <hyperlink ref="A97" r:id="rId381" display="http://bigg.ucsd.edu/models/iUMN146_1321" xr:uid="{C8B422BD-CB01-4BA7-9C0E-35FE648C01AB}"/>
    <hyperlink ref="C97" r:id="rId382" display="http://bigg.ucsd.edu/models/iUMN146_1321/metabolites" xr:uid="{F9D6677A-C907-454A-AAD4-55A465FAFEF5}"/>
    <hyperlink ref="D97" r:id="rId383" display="http://bigg.ucsd.edu/models/iUMN146_1321/reactions" xr:uid="{CFBC9D0E-02B3-49D0-97CD-41FB8FD59692}"/>
    <hyperlink ref="E97" r:id="rId384" display="http://bigg.ucsd.edu/models/iUMN146_1321/genes" xr:uid="{A6927647-8B36-4795-93C8-7FAFE26447AC}"/>
    <hyperlink ref="A98" r:id="rId385" display="http://bigg.ucsd.edu/models/iUMNK88_1353" xr:uid="{EF2742C9-FCA8-4478-A0F8-594F9711ACBC}"/>
    <hyperlink ref="C98" r:id="rId386" display="http://bigg.ucsd.edu/models/iUMNK88_1353/metabolites" xr:uid="{5EA24F1B-32C1-4B5B-AC0D-9489F2B97433}"/>
    <hyperlink ref="D98" r:id="rId387" display="http://bigg.ucsd.edu/models/iUMNK88_1353/reactions" xr:uid="{6C061557-CF7A-4901-9D2D-2FAB806E098B}"/>
    <hyperlink ref="E98" r:id="rId388" display="http://bigg.ucsd.edu/models/iUMNK88_1353/genes" xr:uid="{3824932C-6F0B-4CC0-BA94-A9C7AA40AE1B}"/>
    <hyperlink ref="A99" r:id="rId389" display="http://bigg.ucsd.edu/models/iUTI89_1310" xr:uid="{7D0F39E2-4433-4181-BBD0-5B62E2F68CD8}"/>
    <hyperlink ref="C99" r:id="rId390" display="http://bigg.ucsd.edu/models/iUTI89_1310/metabolites" xr:uid="{79C05523-39DB-418C-843C-38FCE63EFED9}"/>
    <hyperlink ref="D99" r:id="rId391" display="http://bigg.ucsd.edu/models/iUTI89_1310/reactions" xr:uid="{6481B890-DE45-498A-92B7-C3E9BC10CC9B}"/>
    <hyperlink ref="E99" r:id="rId392" display="http://bigg.ucsd.edu/models/iUTI89_1310/genes" xr:uid="{A4A9F15A-D6BA-4932-A36E-B71F6EE1A7B9}"/>
    <hyperlink ref="A100" r:id="rId393" display="http://bigg.ucsd.edu/models/iWFL_1372" xr:uid="{B302E518-49EA-4940-9A25-F584CBE1A961}"/>
    <hyperlink ref="C100" r:id="rId394" display="http://bigg.ucsd.edu/models/iWFL_1372/metabolites" xr:uid="{CDF209F7-A9DA-43A8-9898-BE9012831EC8}"/>
    <hyperlink ref="D100" r:id="rId395" display="http://bigg.ucsd.edu/models/iWFL_1372/reactions" xr:uid="{F31C4CCC-BEDB-4B19-89BB-55C236532C6C}"/>
    <hyperlink ref="E100" r:id="rId396" display="http://bigg.ucsd.edu/models/iWFL_1372/genes" xr:uid="{B696D1D1-7B10-47F7-A2DA-E5D01268DC12}"/>
    <hyperlink ref="A101" r:id="rId397" display="http://bigg.ucsd.edu/models/iY75_1357" xr:uid="{2EAE1CC7-81CD-4C7A-A50D-F31C0D86C47B}"/>
    <hyperlink ref="C101" r:id="rId398" display="http://bigg.ucsd.edu/models/iY75_1357/metabolites" xr:uid="{7AE760D7-0A18-44E3-A209-FD5A11BB1FC3}"/>
    <hyperlink ref="D101" r:id="rId399" display="http://bigg.ucsd.edu/models/iY75_1357/reactions" xr:uid="{92843D28-D81B-4F6E-92F4-F1941537B22D}"/>
    <hyperlink ref="E101" r:id="rId400" display="http://bigg.ucsd.edu/models/iY75_1357/genes" xr:uid="{562D0C32-8D64-4E9A-83FA-56D0D55F98F5}"/>
    <hyperlink ref="A102" r:id="rId401" display="http://bigg.ucsd.edu/models/iYL1228" xr:uid="{DB1B22CC-0BF2-4BED-A382-97E8688A4617}"/>
    <hyperlink ref="C102" r:id="rId402" display="http://bigg.ucsd.edu/models/iYL1228/metabolites" xr:uid="{D4A3B2B3-3CA9-4E8A-A65C-7B6F8739F681}"/>
    <hyperlink ref="D102" r:id="rId403" display="http://bigg.ucsd.edu/models/iYL1228/reactions" xr:uid="{0F97CBF2-136D-4054-AA8D-35CEAA775C20}"/>
    <hyperlink ref="E102" r:id="rId404" display="http://bigg.ucsd.edu/models/iYL1228/genes" xr:uid="{72E41699-82B7-4C72-B1F4-4DC1A625937F}"/>
    <hyperlink ref="A103" r:id="rId405" display="http://bigg.ucsd.edu/models/iYO844" xr:uid="{9E960762-6505-44F3-A605-9056A224E4F7}"/>
    <hyperlink ref="C103" r:id="rId406" display="http://bigg.ucsd.edu/models/iYO844/metabolites" xr:uid="{54A14904-66EE-466C-98F1-634F088DA6A7}"/>
    <hyperlink ref="D103" r:id="rId407" display="http://bigg.ucsd.edu/models/iYO844/reactions" xr:uid="{C11A0792-9897-45B4-9D92-3E8EFC0B7371}"/>
    <hyperlink ref="E103" r:id="rId408" display="http://bigg.ucsd.edu/models/iYO844/genes" xr:uid="{59A3106D-412D-492B-A4AA-5B95F90ABCF5}"/>
    <hyperlink ref="A104" r:id="rId409" display="http://bigg.ucsd.edu/models/iYS1720" xr:uid="{9C8FF4C7-4E5D-4481-92B7-BD5FBACA9581}"/>
    <hyperlink ref="C104" r:id="rId410" display="http://bigg.ucsd.edu/models/iYS1720/metabolites" xr:uid="{14B2D254-4DA1-4287-8A89-F0CA37435462}"/>
    <hyperlink ref="D104" r:id="rId411" display="http://bigg.ucsd.edu/models/iYS1720/reactions" xr:uid="{9551715D-38AD-4B68-BA76-F8D9CE9587E0}"/>
    <hyperlink ref="E104" r:id="rId412" display="http://bigg.ucsd.edu/models/iYS1720/genes" xr:uid="{DFCEB972-9F11-468C-A29D-37176E7B2C3A}"/>
    <hyperlink ref="A105" r:id="rId413" display="http://bigg.ucsd.edu/models/iYS854" xr:uid="{FE979791-ED1E-41F4-ADD6-FE944C172CF4}"/>
    <hyperlink ref="C105" r:id="rId414" display="http://bigg.ucsd.edu/models/iYS854/metabolites" xr:uid="{0C5931C4-EBBC-4690-9CC4-38EE0BE26B32}"/>
    <hyperlink ref="D105" r:id="rId415" display="http://bigg.ucsd.edu/models/iYS854/reactions" xr:uid="{9BD30B47-FA6B-4F84-9330-98AD39174D21}"/>
    <hyperlink ref="E105" r:id="rId416" display="http://bigg.ucsd.edu/models/iYS854/genes" xr:uid="{E2660579-5D9D-48FE-B0F0-2FA429EB69AF}"/>
    <hyperlink ref="A106" r:id="rId417" display="http://bigg.ucsd.edu/models/iZ_1308" xr:uid="{150458E9-3ECC-4D1E-AEAF-E277A147830D}"/>
    <hyperlink ref="C106" r:id="rId418" display="http://bigg.ucsd.edu/models/iZ_1308/metabolites" xr:uid="{66B4BF50-9022-4AE0-A557-F880BE4A11F1}"/>
    <hyperlink ref="D106" r:id="rId419" display="http://bigg.ucsd.edu/models/iZ_1308/reactions" xr:uid="{E8CA8E8D-3F7B-4029-9FBF-3D7F07C0205E}"/>
    <hyperlink ref="E106" r:id="rId420" display="http://bigg.ucsd.edu/models/iZ_1308/genes" xr:uid="{6F9741DB-1EA0-4D54-8CBB-73F170797A9F}"/>
    <hyperlink ref="A107" r:id="rId421" display="http://bigg.ucsd.edu/models/RECON1" xr:uid="{4B3BE637-6E23-4213-B280-AD25151A2A09}"/>
    <hyperlink ref="C107" r:id="rId422" display="http://bigg.ucsd.edu/models/RECON1/metabolites" xr:uid="{95E1B239-1541-4827-BE94-741A1B3E71AA}"/>
    <hyperlink ref="D107" r:id="rId423" display="http://bigg.ucsd.edu/models/RECON1/reactions" xr:uid="{189F95DF-3ABB-4CB7-B795-AA8F0AB615E0}"/>
    <hyperlink ref="E107" r:id="rId424" display="http://bigg.ucsd.edu/models/RECON1/genes" xr:uid="{2E63ED1A-A10E-4F9F-8AD0-FF7291CB0F8D}"/>
    <hyperlink ref="A108" r:id="rId425" display="http://bigg.ucsd.edu/models/Recon3D" xr:uid="{A0DE624C-D50B-4FD7-924B-AEFCCA395FD9}"/>
    <hyperlink ref="C108" r:id="rId426" display="http://bigg.ucsd.edu/models/Recon3D/metabolites" xr:uid="{D8B4F632-878C-4923-A4C9-D124E9053C29}"/>
    <hyperlink ref="D108" r:id="rId427" display="http://bigg.ucsd.edu/models/Recon3D/reactions" xr:uid="{527DB28C-1909-42CA-B24A-D8DC047D2065}"/>
    <hyperlink ref="E108" r:id="rId428" display="http://bigg.ucsd.edu/models/Recon3D/genes" xr:uid="{F2E6C36D-0FCD-4170-9CC9-365BBCC5E2BF}"/>
    <hyperlink ref="A109" r:id="rId429" display="http://bigg.ucsd.edu/models/STM_v1_0" xr:uid="{A95A431C-C361-4400-8395-8BABE3672BAB}"/>
    <hyperlink ref="C109" r:id="rId430" display="http://bigg.ucsd.edu/models/STM_v1_0/metabolites" xr:uid="{3EA7FB2D-E386-4E39-A037-C9E2AC1F94EB}"/>
    <hyperlink ref="D109" r:id="rId431" display="http://bigg.ucsd.edu/models/STM_v1_0/reactions" xr:uid="{E9B79209-D196-48A3-BEAE-73A5F2523A35}"/>
    <hyperlink ref="E109" r:id="rId432" display="http://bigg.ucsd.edu/models/STM_v1_0/genes" xr:uid="{9EB534EF-0084-4888-B63B-D8895C44DA9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60247-B928-4747-9107-0C9885D1EF4D}">
  <dimension ref="A1:B2"/>
  <sheetViews>
    <sheetView workbookViewId="0">
      <selection activeCell="B14" sqref="B14"/>
    </sheetView>
  </sheetViews>
  <sheetFormatPr defaultRowHeight="14.5" x14ac:dyDescent="0.35"/>
  <cols>
    <col min="1" max="1" width="11.81640625" style="12" customWidth="1"/>
    <col min="2" max="2" width="120.54296875" style="12" customWidth="1"/>
    <col min="3" max="16384" width="8.7265625" style="12"/>
  </cols>
  <sheetData>
    <row r="1" spans="1:2" s="10" customFormat="1" x14ac:dyDescent="0.35">
      <c r="A1" s="9" t="s">
        <v>198</v>
      </c>
      <c r="B1" s="9" t="s">
        <v>201</v>
      </c>
    </row>
    <row r="2" spans="1:2" ht="29" x14ac:dyDescent="0.35">
      <c r="A2" s="11" t="s">
        <v>199</v>
      </c>
      <c r="B2" s="1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Models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</dc:creator>
  <cp:lastModifiedBy>Maurice Ling</cp:lastModifiedBy>
  <dcterms:created xsi:type="dcterms:W3CDTF">2025-10-18T12:10:04Z</dcterms:created>
  <dcterms:modified xsi:type="dcterms:W3CDTF">2026-03-08T10:46:36Z</dcterms:modified>
</cp:coreProperties>
</file>