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data_packages\cglTY26\"/>
    </mc:Choice>
  </mc:AlternateContent>
  <xr:revisionPtr revIDLastSave="0" documentId="13_ncr:1_{8078D895-8DF8-4FE8-BD70-8A9D9C8E9F49}" xr6:coauthVersionLast="47" xr6:coauthVersionMax="47" xr10:uidLastSave="{00000000-0000-0000-0000-000000000000}"/>
  <bookViews>
    <workbookView xWindow="-110" yWindow="-110" windowWidth="19420" windowHeight="11500" activeTab="4" xr2:uid="{933564EE-2108-4F6D-8351-8DC1C5EEFFFF}"/>
  </bookViews>
  <sheets>
    <sheet name="Information" sheetId="2" r:id="rId1"/>
    <sheet name="Peptides" sheetId="1" r:id="rId2"/>
    <sheet name="EC number" sheetId="3" r:id="rId3"/>
    <sheet name="Metabolites" sheetId="4" r:id="rId4"/>
    <sheet name="Enzymes" sheetId="5" r:id="rId5"/>
    <sheet name="Reactions" sheetId="6" r:id="rId6"/>
  </sheets>
  <definedNames>
    <definedName name="_xlnm._FilterDatabase" localSheetId="4" hidden="1">Enzymes!$A$1:$N$512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4" l="1"/>
  <c r="C131" i="4"/>
  <c r="C134" i="4"/>
  <c r="C92" i="4"/>
  <c r="C78" i="4"/>
  <c r="C50" i="4"/>
  <c r="C39" i="4"/>
  <c r="C15" i="4"/>
  <c r="J3" i="6"/>
  <c r="K3" i="6" s="1"/>
  <c r="J4" i="6"/>
  <c r="K4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 s="1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 s="1"/>
  <c r="J23" i="6"/>
  <c r="K23" i="6"/>
  <c r="J24" i="6"/>
  <c r="K24" i="6"/>
  <c r="J25" i="6"/>
  <c r="K25" i="6" s="1"/>
  <c r="J26" i="6"/>
  <c r="K26" i="6" s="1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 s="1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 s="1"/>
  <c r="J48" i="6"/>
  <c r="K48" i="6"/>
  <c r="J49" i="6"/>
  <c r="K49" i="6" s="1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 s="1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 s="1"/>
  <c r="J70" i="6"/>
  <c r="K70" i="6"/>
  <c r="J71" i="6"/>
  <c r="K71" i="6"/>
  <c r="J72" i="6"/>
  <c r="K72" i="6" s="1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 s="1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 s="1"/>
  <c r="J92" i="6"/>
  <c r="K92" i="6"/>
  <c r="J93" i="6"/>
  <c r="K93" i="6"/>
  <c r="J94" i="6"/>
  <c r="K94" i="6"/>
  <c r="J95" i="6"/>
  <c r="K95" i="6" s="1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 s="1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 s="1"/>
  <c r="J114" i="6"/>
  <c r="K114" i="6"/>
  <c r="J115" i="6"/>
  <c r="K115" i="6"/>
  <c r="J116" i="6"/>
  <c r="K116" i="6"/>
  <c r="J117" i="6"/>
  <c r="K117" i="6"/>
  <c r="J118" i="6"/>
  <c r="K118" i="6" s="1"/>
  <c r="J119" i="6"/>
  <c r="K119" i="6"/>
  <c r="J120" i="6"/>
  <c r="K120" i="6"/>
  <c r="J121" i="6"/>
  <c r="K121" i="6"/>
  <c r="J122" i="6"/>
  <c r="K122" i="6"/>
  <c r="J123" i="6"/>
  <c r="K123" i="6"/>
  <c r="J124" i="6"/>
  <c r="K124" i="6" s="1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 s="1"/>
  <c r="J136" i="6"/>
  <c r="K136" i="6"/>
  <c r="J137" i="6"/>
  <c r="K137" i="6"/>
  <c r="J138" i="6"/>
  <c r="K138" i="6"/>
  <c r="J139" i="6"/>
  <c r="K139" i="6"/>
  <c r="J140" i="6"/>
  <c r="K140" i="6"/>
  <c r="J141" i="6"/>
  <c r="K141" i="6" s="1"/>
  <c r="J142" i="6"/>
  <c r="K142" i="6"/>
  <c r="J143" i="6"/>
  <c r="K143" i="6"/>
  <c r="J144" i="6"/>
  <c r="K144" i="6"/>
  <c r="J145" i="6"/>
  <c r="K145" i="6"/>
  <c r="J146" i="6"/>
  <c r="K146" i="6" s="1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J157" i="6"/>
  <c r="K157" i="6" s="1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 s="1"/>
  <c r="J165" i="6"/>
  <c r="K165" i="6"/>
  <c r="J166" i="6"/>
  <c r="K166" i="6"/>
  <c r="J167" i="6"/>
  <c r="K167" i="6"/>
  <c r="J168" i="6"/>
  <c r="K168" i="6" s="1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 s="1"/>
  <c r="J180" i="6"/>
  <c r="K180" i="6"/>
  <c r="J181" i="6"/>
  <c r="K181" i="6"/>
  <c r="J182" i="6"/>
  <c r="K182" i="6"/>
  <c r="J183" i="6"/>
  <c r="K183" i="6"/>
  <c r="J184" i="6"/>
  <c r="K184" i="6" s="1"/>
  <c r="J185" i="6"/>
  <c r="K185" i="6"/>
  <c r="J186" i="6"/>
  <c r="K186" i="6"/>
  <c r="J187" i="6"/>
  <c r="K187" i="6" s="1"/>
  <c r="J188" i="6"/>
  <c r="K188" i="6"/>
  <c r="J189" i="6"/>
  <c r="K189" i="6"/>
  <c r="J190" i="6"/>
  <c r="K190" i="6" s="1"/>
  <c r="J191" i="6"/>
  <c r="K191" i="6"/>
  <c r="J192" i="6"/>
  <c r="K192" i="6"/>
  <c r="J193" i="6"/>
  <c r="K193" i="6" s="1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 s="1"/>
  <c r="J202" i="6"/>
  <c r="K202" i="6"/>
  <c r="J203" i="6"/>
  <c r="K203" i="6"/>
  <c r="J204" i="6"/>
  <c r="K204" i="6"/>
  <c r="J205" i="6"/>
  <c r="K205" i="6"/>
  <c r="J206" i="6"/>
  <c r="K206" i="6"/>
  <c r="J207" i="6"/>
  <c r="K207" i="6" s="1"/>
  <c r="J208" i="6"/>
  <c r="K208" i="6"/>
  <c r="J209" i="6"/>
  <c r="K209" i="6"/>
  <c r="J210" i="6"/>
  <c r="K210" i="6" s="1"/>
  <c r="J211" i="6"/>
  <c r="K211" i="6"/>
  <c r="J212" i="6"/>
  <c r="K212" i="6" s="1"/>
  <c r="J213" i="6"/>
  <c r="K213" i="6"/>
  <c r="J214" i="6"/>
  <c r="K214" i="6"/>
  <c r="J215" i="6"/>
  <c r="K215" i="6"/>
  <c r="J216" i="6"/>
  <c r="K216" i="6" s="1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 s="1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 s="1"/>
  <c r="J231" i="6"/>
  <c r="K231" i="6"/>
  <c r="J232" i="6"/>
  <c r="K232" i="6"/>
  <c r="J233" i="6"/>
  <c r="K233" i="6" s="1"/>
  <c r="J234" i="6"/>
  <c r="K234" i="6" s="1"/>
  <c r="J235" i="6"/>
  <c r="K235" i="6"/>
  <c r="J236" i="6"/>
  <c r="K236" i="6"/>
  <c r="J237" i="6"/>
  <c r="K237" i="6"/>
  <c r="J238" i="6"/>
  <c r="K238" i="6"/>
  <c r="J239" i="6"/>
  <c r="K239" i="6" s="1"/>
  <c r="J240" i="6"/>
  <c r="K240" i="6"/>
  <c r="J241" i="6"/>
  <c r="K241" i="6"/>
  <c r="J242" i="6"/>
  <c r="K242" i="6"/>
  <c r="J243" i="6"/>
  <c r="K243" i="6"/>
  <c r="J244" i="6"/>
  <c r="K244" i="6"/>
  <c r="J245" i="6"/>
  <c r="K245" i="6" s="1"/>
  <c r="J246" i="6"/>
  <c r="K246" i="6"/>
  <c r="J247" i="6"/>
  <c r="K247" i="6"/>
  <c r="J248" i="6"/>
  <c r="K248" i="6"/>
  <c r="J249" i="6"/>
  <c r="K249" i="6"/>
  <c r="J250" i="6"/>
  <c r="K250" i="6"/>
  <c r="J251" i="6"/>
  <c r="K251" i="6"/>
  <c r="J252" i="6"/>
  <c r="K252" i="6"/>
  <c r="J253" i="6"/>
  <c r="K253" i="6" s="1"/>
  <c r="J254" i="6"/>
  <c r="K254" i="6"/>
  <c r="J255" i="6"/>
  <c r="K255" i="6"/>
  <c r="J256" i="6"/>
  <c r="K256" i="6" s="1"/>
  <c r="J257" i="6"/>
  <c r="K257" i="6"/>
  <c r="J258" i="6"/>
  <c r="K258" i="6"/>
  <c r="J259" i="6"/>
  <c r="K259" i="6"/>
  <c r="J260" i="6"/>
  <c r="K260" i="6"/>
  <c r="J261" i="6"/>
  <c r="K261" i="6"/>
  <c r="J262" i="6"/>
  <c r="K262" i="6" s="1"/>
  <c r="J263" i="6"/>
  <c r="K263" i="6"/>
  <c r="J264" i="6"/>
  <c r="K264" i="6"/>
  <c r="J265" i="6"/>
  <c r="K265" i="6"/>
  <c r="J266" i="6"/>
  <c r="K266" i="6"/>
  <c r="J267" i="6"/>
  <c r="K267" i="6" s="1"/>
  <c r="J268" i="6"/>
  <c r="K268" i="6" s="1"/>
  <c r="J269" i="6"/>
  <c r="K269" i="6"/>
  <c r="J270" i="6"/>
  <c r="K270" i="6"/>
  <c r="J271" i="6"/>
  <c r="K271" i="6"/>
  <c r="J272" i="6"/>
  <c r="K272" i="6"/>
  <c r="J273" i="6"/>
  <c r="K273" i="6"/>
  <c r="J274" i="6"/>
  <c r="K274" i="6"/>
  <c r="J275" i="6"/>
  <c r="K275" i="6"/>
  <c r="J276" i="6"/>
  <c r="K276" i="6" s="1"/>
  <c r="J277" i="6"/>
  <c r="K277" i="6"/>
  <c r="J278" i="6"/>
  <c r="K278" i="6" s="1"/>
  <c r="J279" i="6"/>
  <c r="K279" i="6"/>
  <c r="J280" i="6"/>
  <c r="K280" i="6"/>
  <c r="J281" i="6"/>
  <c r="K281" i="6"/>
  <c r="J282" i="6"/>
  <c r="K282" i="6"/>
  <c r="J283" i="6"/>
  <c r="K283" i="6"/>
  <c r="J284" i="6"/>
  <c r="K284" i="6"/>
  <c r="J285" i="6"/>
  <c r="K285" i="6" s="1"/>
  <c r="J286" i="6"/>
  <c r="K286" i="6"/>
  <c r="J287" i="6"/>
  <c r="K287" i="6"/>
  <c r="J288" i="6"/>
  <c r="K288" i="6"/>
  <c r="J289" i="6"/>
  <c r="K289" i="6" s="1"/>
  <c r="J290" i="6"/>
  <c r="K290" i="6"/>
  <c r="J291" i="6"/>
  <c r="K291" i="6" s="1"/>
  <c r="J292" i="6"/>
  <c r="K292" i="6"/>
  <c r="J293" i="6"/>
  <c r="K293" i="6"/>
  <c r="J294" i="6"/>
  <c r="K294" i="6"/>
  <c r="J295" i="6"/>
  <c r="K295" i="6"/>
  <c r="J296" i="6"/>
  <c r="K296" i="6"/>
  <c r="J297" i="6"/>
  <c r="K297" i="6"/>
  <c r="J298" i="6"/>
  <c r="K298" i="6"/>
  <c r="J299" i="6"/>
  <c r="K299" i="6" s="1"/>
  <c r="J300" i="6"/>
  <c r="K300" i="6" s="1"/>
  <c r="J301" i="6"/>
  <c r="K301" i="6"/>
  <c r="J302" i="6"/>
  <c r="K302" i="6"/>
  <c r="J303" i="6"/>
  <c r="K303" i="6"/>
  <c r="J304" i="6"/>
  <c r="K304" i="6"/>
  <c r="J305" i="6"/>
  <c r="K305" i="6"/>
  <c r="J306" i="6"/>
  <c r="K306" i="6"/>
  <c r="J307" i="6"/>
  <c r="K307" i="6"/>
  <c r="J308" i="6"/>
  <c r="K308" i="6"/>
  <c r="J309" i="6"/>
  <c r="K309" i="6"/>
  <c r="J310" i="6"/>
  <c r="K310" i="6"/>
  <c r="J311" i="6"/>
  <c r="K311" i="6" s="1"/>
  <c r="J312" i="6"/>
  <c r="K312" i="6"/>
  <c r="J313" i="6"/>
  <c r="K313" i="6"/>
  <c r="J314" i="6"/>
  <c r="K314" i="6" s="1"/>
  <c r="J315" i="6"/>
  <c r="K315" i="6"/>
  <c r="J316" i="6"/>
  <c r="K316" i="6"/>
  <c r="J317" i="6"/>
  <c r="K317" i="6"/>
  <c r="J318" i="6"/>
  <c r="K318" i="6"/>
  <c r="J319" i="6"/>
  <c r="K319" i="6"/>
  <c r="J320" i="6"/>
  <c r="K320" i="6"/>
  <c r="J321" i="6"/>
  <c r="K321" i="6"/>
  <c r="J322" i="6"/>
  <c r="K322" i="6" s="1"/>
  <c r="J323" i="6"/>
  <c r="K323" i="6"/>
  <c r="J324" i="6"/>
  <c r="K324" i="6"/>
  <c r="J325" i="6"/>
  <c r="K325" i="6"/>
  <c r="J326" i="6"/>
  <c r="K326" i="6"/>
  <c r="J327" i="6"/>
  <c r="K327" i="6"/>
  <c r="J328" i="6"/>
  <c r="K328" i="6"/>
  <c r="J329" i="6"/>
  <c r="K329" i="6"/>
  <c r="J330" i="6"/>
  <c r="K330" i="6"/>
  <c r="J331" i="6"/>
  <c r="K331" i="6"/>
  <c r="J332" i="6"/>
  <c r="K332" i="6"/>
  <c r="J333" i="6"/>
  <c r="K333" i="6" s="1"/>
  <c r="J334" i="6"/>
  <c r="K334" i="6"/>
  <c r="J335" i="6"/>
  <c r="K335" i="6"/>
  <c r="J336" i="6"/>
  <c r="K336" i="6"/>
  <c r="J337" i="6"/>
  <c r="K337" i="6" s="1"/>
  <c r="J338" i="6"/>
  <c r="K338" i="6"/>
  <c r="J339" i="6"/>
  <c r="K339" i="6"/>
  <c r="J340" i="6"/>
  <c r="K340" i="6"/>
  <c r="J341" i="6"/>
  <c r="K341" i="6"/>
  <c r="J342" i="6"/>
  <c r="K342" i="6"/>
  <c r="J343" i="6"/>
  <c r="K343" i="6"/>
  <c r="J344" i="6"/>
  <c r="K344" i="6" s="1"/>
  <c r="J345" i="6"/>
  <c r="K345" i="6"/>
  <c r="J346" i="6"/>
  <c r="K346" i="6"/>
  <c r="J347" i="6"/>
  <c r="K347" i="6"/>
  <c r="J348" i="6"/>
  <c r="K348" i="6"/>
  <c r="J349" i="6"/>
  <c r="K349" i="6"/>
  <c r="J350" i="6"/>
  <c r="K350" i="6"/>
  <c r="J351" i="6"/>
  <c r="K351" i="6"/>
  <c r="J352" i="6"/>
  <c r="K352" i="6"/>
  <c r="J353" i="6"/>
  <c r="K353" i="6"/>
  <c r="J354" i="6"/>
  <c r="K354" i="6"/>
  <c r="J355" i="6"/>
  <c r="K355" i="6" s="1"/>
  <c r="J356" i="6"/>
  <c r="K356" i="6"/>
  <c r="J357" i="6"/>
  <c r="K357" i="6"/>
  <c r="J358" i="6"/>
  <c r="K358" i="6"/>
  <c r="J359" i="6"/>
  <c r="K359" i="6"/>
  <c r="J360" i="6"/>
  <c r="K360" i="6" s="1"/>
  <c r="J361" i="6"/>
  <c r="K361" i="6"/>
  <c r="J362" i="6"/>
  <c r="K362" i="6"/>
  <c r="J363" i="6"/>
  <c r="K363" i="6"/>
  <c r="J364" i="6"/>
  <c r="K364" i="6"/>
  <c r="J365" i="6"/>
  <c r="K365" i="6"/>
  <c r="J366" i="6"/>
  <c r="K366" i="6" s="1"/>
  <c r="J367" i="6"/>
  <c r="K367" i="6"/>
  <c r="J368" i="6"/>
  <c r="K368" i="6"/>
  <c r="J369" i="6"/>
  <c r="K369" i="6"/>
  <c r="J370" i="6"/>
  <c r="K370" i="6"/>
  <c r="J371" i="6"/>
  <c r="K371" i="6"/>
  <c r="J372" i="6"/>
  <c r="K372" i="6"/>
  <c r="J373" i="6"/>
  <c r="K373" i="6"/>
  <c r="J374" i="6"/>
  <c r="K374" i="6"/>
  <c r="J375" i="6"/>
  <c r="K375" i="6"/>
  <c r="J376" i="6"/>
  <c r="K376" i="6"/>
  <c r="J377" i="6"/>
  <c r="K377" i="6" s="1"/>
  <c r="J378" i="6"/>
  <c r="K378" i="6"/>
  <c r="J379" i="6"/>
  <c r="K379" i="6"/>
  <c r="J380" i="6"/>
  <c r="K380" i="6"/>
  <c r="J381" i="6"/>
  <c r="K381" i="6"/>
  <c r="J382" i="6"/>
  <c r="K382" i="6"/>
  <c r="J383" i="6"/>
  <c r="K383" i="6" s="1"/>
  <c r="J384" i="6"/>
  <c r="K384" i="6"/>
  <c r="J385" i="6"/>
  <c r="K385" i="6"/>
  <c r="J386" i="6"/>
  <c r="K386" i="6" s="1"/>
  <c r="J387" i="6"/>
  <c r="K387" i="6"/>
  <c r="J388" i="6"/>
  <c r="K388" i="6" s="1"/>
  <c r="J389" i="6"/>
  <c r="K389" i="6"/>
  <c r="J390" i="6"/>
  <c r="K390" i="6"/>
  <c r="J391" i="6"/>
  <c r="K391" i="6"/>
  <c r="J392" i="6"/>
  <c r="K392" i="6"/>
  <c r="J393" i="6"/>
  <c r="K393" i="6"/>
  <c r="J394" i="6"/>
  <c r="K394" i="6"/>
  <c r="J395" i="6"/>
  <c r="K395" i="6"/>
  <c r="J396" i="6"/>
  <c r="K396" i="6"/>
  <c r="J397" i="6"/>
  <c r="K397" i="6"/>
  <c r="J398" i="6"/>
  <c r="K398" i="6"/>
  <c r="J399" i="6"/>
  <c r="K399" i="6" s="1"/>
  <c r="J400" i="6"/>
  <c r="K400" i="6"/>
  <c r="J401" i="6"/>
  <c r="K401" i="6"/>
  <c r="J402" i="6"/>
  <c r="K402" i="6"/>
  <c r="J403" i="6"/>
  <c r="K403" i="6"/>
  <c r="J404" i="6"/>
  <c r="K404" i="6"/>
  <c r="J405" i="6"/>
  <c r="K405" i="6"/>
  <c r="J406" i="6"/>
  <c r="K406" i="6" s="1"/>
  <c r="J407" i="6"/>
  <c r="K407" i="6"/>
  <c r="J408" i="6"/>
  <c r="K408" i="6"/>
  <c r="J409" i="6"/>
  <c r="K409" i="6" s="1"/>
  <c r="J410" i="6"/>
  <c r="K410" i="6" s="1"/>
  <c r="J411" i="6"/>
  <c r="K411" i="6"/>
  <c r="J412" i="6"/>
  <c r="K412" i="6"/>
  <c r="J413" i="6"/>
  <c r="K413" i="6"/>
  <c r="J414" i="6"/>
  <c r="K414" i="6"/>
  <c r="J415" i="6"/>
  <c r="K415" i="6"/>
  <c r="J416" i="6"/>
  <c r="K416" i="6"/>
  <c r="J417" i="6"/>
  <c r="K417" i="6"/>
  <c r="J418" i="6"/>
  <c r="K418" i="6"/>
  <c r="J419" i="6"/>
  <c r="K419" i="6"/>
  <c r="J420" i="6"/>
  <c r="K420" i="6"/>
  <c r="J421" i="6"/>
  <c r="K421" i="6" s="1"/>
  <c r="J422" i="6"/>
  <c r="K422" i="6"/>
  <c r="J423" i="6"/>
  <c r="K423" i="6"/>
  <c r="J424" i="6"/>
  <c r="K424" i="6"/>
  <c r="J425" i="6"/>
  <c r="K425" i="6"/>
  <c r="J426" i="6"/>
  <c r="K426" i="6"/>
  <c r="J427" i="6"/>
  <c r="K427" i="6"/>
  <c r="J428" i="6"/>
  <c r="K428" i="6"/>
  <c r="J429" i="6"/>
  <c r="K429" i="6" s="1"/>
  <c r="J430" i="6"/>
  <c r="K430" i="6"/>
  <c r="J431" i="6"/>
  <c r="K431" i="6"/>
  <c r="J432" i="6"/>
  <c r="K432" i="6" s="1"/>
  <c r="J433" i="6"/>
  <c r="K433" i="6"/>
  <c r="J434" i="6"/>
  <c r="K434" i="6"/>
  <c r="J435" i="6"/>
  <c r="K435" i="6"/>
  <c r="J436" i="6"/>
  <c r="K436" i="6"/>
  <c r="J437" i="6"/>
  <c r="K437" i="6"/>
  <c r="J438" i="6"/>
  <c r="K438" i="6"/>
  <c r="J439" i="6"/>
  <c r="K439" i="6"/>
  <c r="J440" i="6"/>
  <c r="K440" i="6"/>
  <c r="J441" i="6"/>
  <c r="K441" i="6"/>
  <c r="J442" i="6"/>
  <c r="K442" i="6"/>
  <c r="J443" i="6"/>
  <c r="K443" i="6" s="1"/>
  <c r="J444" i="6"/>
  <c r="K444" i="6"/>
  <c r="J445" i="6"/>
  <c r="K445" i="6"/>
  <c r="J446" i="6"/>
  <c r="K446" i="6"/>
  <c r="J447" i="6"/>
  <c r="K447" i="6"/>
  <c r="J448" i="6"/>
  <c r="K448" i="6"/>
  <c r="J449" i="6"/>
  <c r="K449" i="6"/>
  <c r="J450" i="6"/>
  <c r="K450" i="6"/>
  <c r="J451" i="6"/>
  <c r="K451" i="6"/>
  <c r="J452" i="6"/>
  <c r="K452" i="6" s="1"/>
  <c r="J453" i="6"/>
  <c r="K453" i="6"/>
  <c r="J454" i="6"/>
  <c r="K454" i="6" s="1"/>
  <c r="J455" i="6"/>
  <c r="K455" i="6"/>
  <c r="J456" i="6"/>
  <c r="K456" i="6"/>
  <c r="J457" i="6"/>
  <c r="K457" i="6"/>
  <c r="J458" i="6"/>
  <c r="K458" i="6"/>
  <c r="J459" i="6"/>
  <c r="K459" i="6"/>
  <c r="J460" i="6"/>
  <c r="K460" i="6"/>
  <c r="J461" i="6"/>
  <c r="K461" i="6"/>
  <c r="J462" i="6"/>
  <c r="K462" i="6"/>
  <c r="J463" i="6"/>
  <c r="K463" i="6"/>
  <c r="J464" i="6"/>
  <c r="K464" i="6"/>
  <c r="J465" i="6"/>
  <c r="K465" i="6" s="1"/>
  <c r="J466" i="6"/>
  <c r="K466" i="6"/>
  <c r="J467" i="6"/>
  <c r="K467" i="6"/>
  <c r="J468" i="6"/>
  <c r="K468" i="6"/>
  <c r="J469" i="6"/>
  <c r="K469" i="6"/>
  <c r="J470" i="6"/>
  <c r="K470" i="6"/>
  <c r="J471" i="6"/>
  <c r="K471" i="6"/>
  <c r="J472" i="6"/>
  <c r="K472" i="6"/>
  <c r="J473" i="6"/>
  <c r="K473" i="6"/>
  <c r="J474" i="6"/>
  <c r="K474" i="6"/>
  <c r="J475" i="6"/>
  <c r="K475" i="6" s="1"/>
  <c r="J476" i="6"/>
  <c r="K476" i="6" s="1"/>
  <c r="J477" i="6"/>
  <c r="K477" i="6"/>
  <c r="J478" i="6"/>
  <c r="K478" i="6"/>
  <c r="J479" i="6"/>
  <c r="K479" i="6"/>
  <c r="J480" i="6"/>
  <c r="K480" i="6"/>
  <c r="J481" i="6"/>
  <c r="K481" i="6"/>
  <c r="J482" i="6"/>
  <c r="K482" i="6"/>
  <c r="J483" i="6"/>
  <c r="K483" i="6"/>
  <c r="J484" i="6"/>
  <c r="K484" i="6"/>
  <c r="J485" i="6"/>
  <c r="K485" i="6"/>
  <c r="J486" i="6"/>
  <c r="K486" i="6"/>
  <c r="J487" i="6"/>
  <c r="K487" i="6" s="1"/>
  <c r="J488" i="6"/>
  <c r="K488" i="6"/>
  <c r="J489" i="6"/>
  <c r="K489" i="6"/>
  <c r="J490" i="6"/>
  <c r="K490" i="6"/>
  <c r="J491" i="6"/>
  <c r="K491" i="6"/>
  <c r="J492" i="6"/>
  <c r="K492" i="6"/>
  <c r="J493" i="6"/>
  <c r="K493" i="6"/>
  <c r="J494" i="6"/>
  <c r="K494" i="6"/>
  <c r="J495" i="6"/>
  <c r="K495" i="6"/>
  <c r="J496" i="6"/>
  <c r="K496" i="6"/>
  <c r="J497" i="6"/>
  <c r="K497" i="6"/>
  <c r="J498" i="6"/>
  <c r="K498" i="6" s="1"/>
  <c r="J499" i="6"/>
  <c r="K499" i="6"/>
  <c r="J500" i="6"/>
  <c r="K500" i="6"/>
  <c r="J501" i="6"/>
  <c r="K501" i="6"/>
  <c r="J502" i="6"/>
  <c r="K502" i="6"/>
  <c r="J503" i="6"/>
  <c r="K503" i="6"/>
  <c r="J504" i="6"/>
  <c r="K504" i="6"/>
  <c r="J505" i="6"/>
  <c r="K505" i="6"/>
  <c r="J506" i="6"/>
  <c r="K506" i="6"/>
  <c r="J507" i="6"/>
  <c r="K507" i="6"/>
  <c r="J508" i="6"/>
  <c r="K508" i="6"/>
  <c r="J509" i="6"/>
  <c r="K509" i="6" s="1"/>
  <c r="J510" i="6"/>
  <c r="K510" i="6" s="1"/>
  <c r="J511" i="6"/>
  <c r="K511" i="6"/>
  <c r="J512" i="6"/>
  <c r="K512" i="6"/>
  <c r="J513" i="6"/>
  <c r="K513" i="6"/>
  <c r="J514" i="6"/>
  <c r="K514" i="6"/>
  <c r="J515" i="6"/>
  <c r="K515" i="6"/>
  <c r="J516" i="6"/>
  <c r="K516" i="6"/>
  <c r="J517" i="6"/>
  <c r="K517" i="6"/>
  <c r="J518" i="6"/>
  <c r="K518" i="6"/>
  <c r="J519" i="6"/>
  <c r="K519" i="6"/>
  <c r="J520" i="6"/>
  <c r="K520" i="6" s="1"/>
  <c r="J521" i="6"/>
  <c r="K521" i="6"/>
  <c r="J522" i="6"/>
  <c r="K522" i="6"/>
  <c r="J523" i="6"/>
  <c r="K523" i="6"/>
  <c r="J524" i="6"/>
  <c r="K524" i="6"/>
  <c r="J525" i="6"/>
  <c r="K525" i="6"/>
  <c r="J526" i="6"/>
  <c r="K526" i="6"/>
  <c r="J527" i="6"/>
  <c r="K527" i="6"/>
  <c r="J528" i="6"/>
  <c r="K528" i="6"/>
  <c r="J529" i="6"/>
  <c r="K529" i="6"/>
  <c r="J530" i="6"/>
  <c r="K530" i="6"/>
  <c r="J531" i="6"/>
  <c r="K531" i="6" s="1"/>
  <c r="J532" i="6"/>
  <c r="K532" i="6"/>
  <c r="J533" i="6"/>
  <c r="K533" i="6" s="1"/>
  <c r="J534" i="6"/>
  <c r="K534" i="6"/>
  <c r="J535" i="6"/>
  <c r="K535" i="6"/>
  <c r="J536" i="6"/>
  <c r="K536" i="6"/>
  <c r="J537" i="6"/>
  <c r="K537" i="6"/>
  <c r="J538" i="6"/>
  <c r="K538" i="6"/>
  <c r="J539" i="6"/>
  <c r="K539" i="6"/>
  <c r="J540" i="6"/>
  <c r="K540" i="6"/>
  <c r="J541" i="6"/>
  <c r="K541" i="6"/>
  <c r="J542" i="6"/>
  <c r="K542" i="6" s="1"/>
  <c r="J543" i="6"/>
  <c r="K543" i="6"/>
  <c r="J544" i="6"/>
  <c r="K544" i="6"/>
  <c r="J545" i="6"/>
  <c r="K545" i="6"/>
  <c r="J546" i="6"/>
  <c r="K546" i="6"/>
  <c r="J547" i="6"/>
  <c r="K547" i="6"/>
  <c r="J548" i="6"/>
  <c r="K548" i="6"/>
  <c r="J549" i="6"/>
  <c r="K549" i="6"/>
  <c r="J550" i="6"/>
  <c r="K550" i="6"/>
  <c r="J551" i="6"/>
  <c r="K551" i="6"/>
  <c r="J552" i="6"/>
  <c r="K552" i="6"/>
  <c r="J553" i="6"/>
  <c r="K553" i="6" s="1"/>
  <c r="J554" i="6"/>
  <c r="K554" i="6"/>
  <c r="J555" i="6"/>
  <c r="K555" i="6"/>
  <c r="J556" i="6"/>
  <c r="K556" i="6" s="1"/>
  <c r="J557" i="6"/>
  <c r="K557" i="6"/>
  <c r="J558" i="6"/>
  <c r="K558" i="6"/>
  <c r="J559" i="6"/>
  <c r="K559" i="6"/>
  <c r="J560" i="6"/>
  <c r="K560" i="6"/>
  <c r="J561" i="6"/>
  <c r="K561" i="6"/>
  <c r="J562" i="6"/>
  <c r="K562" i="6"/>
  <c r="J563" i="6"/>
  <c r="K563" i="6"/>
  <c r="J564" i="6"/>
  <c r="K564" i="6" s="1"/>
  <c r="J565" i="6"/>
  <c r="K565" i="6"/>
  <c r="J566" i="6"/>
  <c r="K566" i="6"/>
  <c r="J567" i="6"/>
  <c r="K567" i="6"/>
  <c r="J568" i="6"/>
  <c r="K568" i="6"/>
  <c r="J569" i="6"/>
  <c r="K569" i="6"/>
  <c r="J570" i="6"/>
  <c r="K570" i="6"/>
  <c r="J571" i="6"/>
  <c r="K571" i="6"/>
  <c r="J572" i="6"/>
  <c r="K572" i="6"/>
  <c r="J573" i="6"/>
  <c r="K573" i="6"/>
  <c r="J574" i="6"/>
  <c r="K574" i="6"/>
  <c r="J575" i="6"/>
  <c r="K575" i="6" s="1"/>
  <c r="J576" i="6"/>
  <c r="K576" i="6"/>
  <c r="J577" i="6"/>
  <c r="K577" i="6"/>
  <c r="J578" i="6"/>
  <c r="K578" i="6"/>
  <c r="J579" i="6"/>
  <c r="K579" i="6" s="1"/>
  <c r="J580" i="6"/>
  <c r="K580" i="6"/>
  <c r="J581" i="6"/>
  <c r="K581" i="6"/>
  <c r="J582" i="6"/>
  <c r="K582" i="6"/>
  <c r="J583" i="6"/>
  <c r="K583" i="6"/>
  <c r="J584" i="6"/>
  <c r="K584" i="6"/>
  <c r="J585" i="6"/>
  <c r="K585" i="6"/>
  <c r="J586" i="6"/>
  <c r="K586" i="6" s="1"/>
  <c r="J587" i="6"/>
  <c r="K587" i="6"/>
  <c r="J588" i="6"/>
  <c r="K588" i="6"/>
  <c r="J589" i="6"/>
  <c r="K589" i="6"/>
  <c r="J590" i="6"/>
  <c r="K590" i="6"/>
  <c r="J591" i="6"/>
  <c r="K591" i="6"/>
  <c r="J592" i="6"/>
  <c r="K592" i="6"/>
  <c r="J593" i="6"/>
  <c r="K593" i="6"/>
  <c r="J594" i="6"/>
  <c r="K594" i="6"/>
  <c r="J595" i="6"/>
  <c r="K595" i="6"/>
  <c r="J596" i="6"/>
  <c r="K596" i="6"/>
  <c r="J597" i="6"/>
  <c r="K597" i="6" s="1"/>
  <c r="J598" i="6"/>
  <c r="K598" i="6"/>
  <c r="J599" i="6"/>
  <c r="K599" i="6"/>
  <c r="J600" i="6"/>
  <c r="K600" i="6"/>
  <c r="J601" i="6"/>
  <c r="K601" i="6"/>
  <c r="J602" i="6"/>
  <c r="K602" i="6" s="1"/>
  <c r="J603" i="6"/>
  <c r="K603" i="6"/>
  <c r="J604" i="6"/>
  <c r="K604" i="6"/>
  <c r="J605" i="6"/>
  <c r="K605" i="6"/>
  <c r="J606" i="6"/>
  <c r="K606" i="6"/>
  <c r="J607" i="6"/>
  <c r="K607" i="6"/>
  <c r="J608" i="6"/>
  <c r="K608" i="6" s="1"/>
  <c r="J609" i="6"/>
  <c r="K609" i="6"/>
  <c r="J610" i="6"/>
  <c r="K610" i="6"/>
  <c r="J611" i="6"/>
  <c r="K611" i="6"/>
  <c r="J612" i="6"/>
  <c r="K612" i="6"/>
  <c r="J613" i="6"/>
  <c r="K613" i="6"/>
  <c r="J614" i="6"/>
  <c r="K614" i="6"/>
  <c r="J615" i="6"/>
  <c r="K615" i="6"/>
  <c r="J616" i="6"/>
  <c r="K616" i="6"/>
  <c r="J617" i="6"/>
  <c r="K617" i="6"/>
  <c r="J618" i="6"/>
  <c r="K618" i="6"/>
  <c r="J619" i="6"/>
  <c r="K619" i="6" s="1"/>
  <c r="J620" i="6"/>
  <c r="K620" i="6"/>
  <c r="J621" i="6"/>
  <c r="K621" i="6"/>
  <c r="J622" i="6"/>
  <c r="K622" i="6"/>
  <c r="J623" i="6"/>
  <c r="K623" i="6"/>
  <c r="J624" i="6"/>
  <c r="K624" i="6"/>
  <c r="J625" i="6"/>
  <c r="K625" i="6" s="1"/>
  <c r="J626" i="6"/>
  <c r="K626" i="6"/>
  <c r="J627" i="6"/>
  <c r="K627" i="6"/>
  <c r="J628" i="6"/>
  <c r="K628" i="6"/>
  <c r="J629" i="6"/>
  <c r="K629" i="6"/>
  <c r="J630" i="6"/>
  <c r="K630" i="6" s="1"/>
  <c r="J631" i="6"/>
  <c r="K631" i="6"/>
  <c r="J632" i="6"/>
  <c r="K632" i="6"/>
  <c r="J633" i="6"/>
  <c r="K633" i="6"/>
  <c r="J634" i="6"/>
  <c r="K634" i="6"/>
  <c r="J635" i="6"/>
  <c r="K635" i="6"/>
  <c r="J636" i="6"/>
  <c r="K636" i="6"/>
  <c r="J637" i="6"/>
  <c r="K637" i="6"/>
  <c r="J638" i="6"/>
  <c r="K638" i="6"/>
  <c r="J639" i="6"/>
  <c r="K639" i="6"/>
  <c r="J640" i="6"/>
  <c r="K640" i="6"/>
  <c r="J641" i="6"/>
  <c r="K641" i="6" s="1"/>
  <c r="J642" i="6"/>
  <c r="K642" i="6"/>
  <c r="J643" i="6"/>
  <c r="K643" i="6"/>
  <c r="J644" i="6"/>
  <c r="K644" i="6"/>
  <c r="J645" i="6"/>
  <c r="K645" i="6"/>
  <c r="J646" i="6"/>
  <c r="K646" i="6"/>
  <c r="J647" i="6"/>
  <c r="K647" i="6"/>
  <c r="J648" i="6"/>
  <c r="K648" i="6" s="1"/>
  <c r="J649" i="6"/>
  <c r="K649" i="6"/>
  <c r="J650" i="6"/>
  <c r="K650" i="6"/>
  <c r="J651" i="6"/>
  <c r="K651" i="6"/>
  <c r="J652" i="6"/>
  <c r="K652" i="6" s="1"/>
  <c r="J653" i="6"/>
  <c r="K653" i="6"/>
  <c r="J654" i="6"/>
  <c r="K654" i="6"/>
  <c r="J655" i="6"/>
  <c r="K655" i="6"/>
  <c r="J656" i="6"/>
  <c r="K656" i="6"/>
  <c r="J657" i="6"/>
  <c r="K657" i="6"/>
  <c r="J658" i="6"/>
  <c r="K658" i="6"/>
  <c r="J659" i="6"/>
  <c r="K659" i="6"/>
  <c r="J660" i="6"/>
  <c r="K660" i="6"/>
  <c r="J661" i="6"/>
  <c r="K661" i="6"/>
  <c r="J662" i="6"/>
  <c r="K662" i="6"/>
  <c r="J663" i="6"/>
  <c r="K663" i="6" s="1"/>
  <c r="J664" i="6"/>
  <c r="K664" i="6"/>
  <c r="J665" i="6"/>
  <c r="K665" i="6"/>
  <c r="J666" i="6"/>
  <c r="K666" i="6"/>
  <c r="J667" i="6"/>
  <c r="K667" i="6"/>
  <c r="J668" i="6"/>
  <c r="K668" i="6"/>
  <c r="J669" i="6"/>
  <c r="K669" i="6"/>
  <c r="J670" i="6"/>
  <c r="K670" i="6"/>
  <c r="J671" i="6"/>
  <c r="K671" i="6" s="1"/>
  <c r="J672" i="6"/>
  <c r="K672" i="6"/>
  <c r="J673" i="6"/>
  <c r="K673" i="6"/>
  <c r="J674" i="6"/>
  <c r="K674" i="6" s="1"/>
  <c r="J675" i="6"/>
  <c r="K675" i="6"/>
  <c r="J676" i="6"/>
  <c r="K676" i="6"/>
  <c r="J677" i="6"/>
  <c r="K677" i="6"/>
  <c r="J678" i="6"/>
  <c r="K678" i="6"/>
  <c r="J679" i="6"/>
  <c r="K679" i="6"/>
  <c r="J680" i="6"/>
  <c r="K680" i="6"/>
  <c r="J681" i="6"/>
  <c r="K681" i="6"/>
  <c r="J682" i="6"/>
  <c r="K682" i="6"/>
  <c r="J683" i="6"/>
  <c r="K683" i="6"/>
  <c r="J684" i="6"/>
  <c r="K684" i="6"/>
  <c r="J685" i="6"/>
  <c r="K685" i="6" s="1"/>
  <c r="J686" i="6"/>
  <c r="K686" i="6"/>
  <c r="J687" i="6"/>
  <c r="K687" i="6"/>
  <c r="J688" i="6"/>
  <c r="K688" i="6"/>
  <c r="J689" i="6"/>
  <c r="K689" i="6"/>
  <c r="J690" i="6"/>
  <c r="K690" i="6"/>
  <c r="J691" i="6"/>
  <c r="K691" i="6"/>
  <c r="J692" i="6"/>
  <c r="K692" i="6"/>
  <c r="J693" i="6"/>
  <c r="K693" i="6"/>
  <c r="J694" i="6"/>
  <c r="K694" i="6" s="1"/>
  <c r="J695" i="6"/>
  <c r="K695" i="6"/>
  <c r="J696" i="6"/>
  <c r="K696" i="6" s="1"/>
  <c r="J697" i="6"/>
  <c r="K697" i="6"/>
  <c r="J698" i="6"/>
  <c r="K698" i="6"/>
  <c r="J699" i="6"/>
  <c r="K699" i="6"/>
  <c r="J700" i="6"/>
  <c r="K700" i="6"/>
  <c r="J701" i="6"/>
  <c r="K701" i="6"/>
  <c r="J702" i="6"/>
  <c r="K702" i="6"/>
  <c r="J703" i="6"/>
  <c r="K703" i="6"/>
  <c r="J704" i="6"/>
  <c r="K704" i="6"/>
  <c r="J705" i="6"/>
  <c r="K705" i="6"/>
  <c r="J706" i="6"/>
  <c r="K706" i="6"/>
  <c r="J707" i="6"/>
  <c r="K707" i="6" s="1"/>
  <c r="J708" i="6"/>
  <c r="K708" i="6"/>
  <c r="J709" i="6"/>
  <c r="K709" i="6"/>
  <c r="J710" i="6"/>
  <c r="K710" i="6"/>
  <c r="J711" i="6"/>
  <c r="K711" i="6"/>
  <c r="J712" i="6"/>
  <c r="K712" i="6"/>
  <c r="J713" i="6"/>
  <c r="K713" i="6"/>
  <c r="J714" i="6"/>
  <c r="K714" i="6"/>
  <c r="J715" i="6"/>
  <c r="K715" i="6"/>
  <c r="J716" i="6"/>
  <c r="K716" i="6"/>
  <c r="J717" i="6"/>
  <c r="K717" i="6" s="1"/>
  <c r="J718" i="6"/>
  <c r="K718" i="6" s="1"/>
  <c r="J719" i="6"/>
  <c r="K719" i="6"/>
  <c r="J720" i="6"/>
  <c r="K720" i="6"/>
  <c r="J721" i="6"/>
  <c r="K721" i="6"/>
  <c r="J722" i="6"/>
  <c r="K722" i="6"/>
  <c r="J723" i="6"/>
  <c r="K723" i="6"/>
  <c r="J724" i="6"/>
  <c r="K724" i="6"/>
  <c r="J725" i="6"/>
  <c r="K725" i="6"/>
  <c r="J726" i="6"/>
  <c r="K726" i="6"/>
  <c r="J727" i="6"/>
  <c r="K727" i="6"/>
  <c r="J728" i="6"/>
  <c r="K728" i="6"/>
  <c r="J729" i="6"/>
  <c r="K729" i="6" s="1"/>
  <c r="J730" i="6"/>
  <c r="K730" i="6"/>
  <c r="J731" i="6"/>
  <c r="K731" i="6"/>
  <c r="J732" i="6"/>
  <c r="K732" i="6"/>
  <c r="J733" i="6"/>
  <c r="K733" i="6"/>
  <c r="J734" i="6"/>
  <c r="K734" i="6"/>
  <c r="J735" i="6"/>
  <c r="K735" i="6"/>
  <c r="J736" i="6"/>
  <c r="K736" i="6"/>
  <c r="J737" i="6"/>
  <c r="K737" i="6"/>
  <c r="J738" i="6"/>
  <c r="K738" i="6"/>
  <c r="J739" i="6"/>
  <c r="K739" i="6"/>
  <c r="J740" i="6"/>
  <c r="K740" i="6" s="1"/>
  <c r="J741" i="6"/>
  <c r="K741" i="6"/>
  <c r="J742" i="6"/>
  <c r="K742" i="6"/>
  <c r="J743" i="6"/>
  <c r="K743" i="6"/>
  <c r="J744" i="6"/>
  <c r="K744" i="6"/>
  <c r="J745" i="6"/>
  <c r="K745" i="6"/>
  <c r="J746" i="6"/>
  <c r="K746" i="6"/>
  <c r="J747" i="6"/>
  <c r="K747" i="6"/>
  <c r="J748" i="6"/>
  <c r="K748" i="6"/>
  <c r="J749" i="6"/>
  <c r="K749" i="6"/>
  <c r="J750" i="6"/>
  <c r="K750" i="6"/>
  <c r="J751" i="6"/>
  <c r="K751" i="6" s="1"/>
  <c r="J752" i="6"/>
  <c r="K752" i="6" s="1"/>
  <c r="J753" i="6"/>
  <c r="K753" i="6"/>
  <c r="J754" i="6"/>
  <c r="K754" i="6"/>
  <c r="J755" i="6"/>
  <c r="K755" i="6"/>
  <c r="J756" i="6"/>
  <c r="K756" i="6"/>
  <c r="J757" i="6"/>
  <c r="K757" i="6"/>
  <c r="J758" i="6"/>
  <c r="K758" i="6"/>
  <c r="J759" i="6"/>
  <c r="K759" i="6"/>
  <c r="J760" i="6"/>
  <c r="K760" i="6"/>
  <c r="J761" i="6"/>
  <c r="K761" i="6"/>
  <c r="J762" i="6"/>
  <c r="K762" i="6" s="1"/>
  <c r="J763" i="6"/>
  <c r="K763" i="6"/>
  <c r="J764" i="6"/>
  <c r="K764" i="6"/>
  <c r="J765" i="6"/>
  <c r="K765" i="6"/>
  <c r="J766" i="6"/>
  <c r="K766" i="6"/>
  <c r="J767" i="6"/>
  <c r="K767" i="6"/>
  <c r="J768" i="6"/>
  <c r="K768" i="6"/>
  <c r="J769" i="6"/>
  <c r="K769" i="6"/>
  <c r="J770" i="6"/>
  <c r="K770" i="6"/>
  <c r="J771" i="6"/>
  <c r="K771" i="6"/>
  <c r="J772" i="6"/>
  <c r="K772" i="6"/>
  <c r="J773" i="6"/>
  <c r="K773" i="6" s="1"/>
  <c r="J774" i="6"/>
  <c r="K774" i="6"/>
  <c r="J775" i="6"/>
  <c r="K775" i="6" s="1"/>
  <c r="J776" i="6"/>
  <c r="K776" i="6"/>
  <c r="J777" i="6"/>
  <c r="K777" i="6"/>
  <c r="J778" i="6"/>
  <c r="K778" i="6"/>
  <c r="J779" i="6"/>
  <c r="K779" i="6"/>
  <c r="J780" i="6"/>
  <c r="K780" i="6"/>
  <c r="J781" i="6"/>
  <c r="K781" i="6"/>
  <c r="J782" i="6"/>
  <c r="K782" i="6"/>
  <c r="J783" i="6"/>
  <c r="K783" i="6"/>
  <c r="J784" i="6"/>
  <c r="K784" i="6" s="1"/>
  <c r="J785" i="6"/>
  <c r="K785" i="6"/>
  <c r="J786" i="6"/>
  <c r="K786" i="6"/>
  <c r="J787" i="6"/>
  <c r="K787" i="6"/>
  <c r="J788" i="6"/>
  <c r="K788" i="6"/>
  <c r="J789" i="6"/>
  <c r="K789" i="6"/>
  <c r="J790" i="6"/>
  <c r="K790" i="6"/>
  <c r="J791" i="6"/>
  <c r="K791" i="6"/>
  <c r="J792" i="6"/>
  <c r="K792" i="6"/>
  <c r="J793" i="6"/>
  <c r="K793" i="6"/>
  <c r="J794" i="6"/>
  <c r="K794" i="6"/>
  <c r="J795" i="6"/>
  <c r="K795" i="6" s="1"/>
  <c r="J796" i="6"/>
  <c r="K796" i="6"/>
  <c r="J797" i="6"/>
  <c r="K797" i="6"/>
  <c r="J798" i="6"/>
  <c r="K798" i="6" s="1"/>
  <c r="J799" i="6"/>
  <c r="K799" i="6"/>
  <c r="J800" i="6"/>
  <c r="K800" i="6"/>
  <c r="J801" i="6"/>
  <c r="K801" i="6"/>
  <c r="J802" i="6"/>
  <c r="K802" i="6"/>
  <c r="J803" i="6"/>
  <c r="K803" i="6"/>
  <c r="J804" i="6"/>
  <c r="K804" i="6"/>
  <c r="J805" i="6"/>
  <c r="K805" i="6"/>
  <c r="J806" i="6"/>
  <c r="K806" i="6" s="1"/>
  <c r="J807" i="6"/>
  <c r="K807" i="6"/>
  <c r="J808" i="6"/>
  <c r="K808" i="6"/>
  <c r="J809" i="6"/>
  <c r="K809" i="6"/>
  <c r="J810" i="6"/>
  <c r="K810" i="6"/>
  <c r="J811" i="6"/>
  <c r="K811" i="6"/>
  <c r="J812" i="6"/>
  <c r="K812" i="6"/>
  <c r="J813" i="6"/>
  <c r="K813" i="6"/>
  <c r="J814" i="6"/>
  <c r="K814" i="6"/>
  <c r="J815" i="6"/>
  <c r="K815" i="6"/>
  <c r="J816" i="6"/>
  <c r="K816" i="6"/>
  <c r="J817" i="6"/>
  <c r="K817" i="6" s="1"/>
  <c r="J818" i="6"/>
  <c r="K818" i="6"/>
  <c r="J819" i="6"/>
  <c r="K819" i="6"/>
  <c r="J820" i="6"/>
  <c r="K820" i="6"/>
  <c r="J821" i="6"/>
  <c r="K821" i="6" s="1"/>
  <c r="J822" i="6"/>
  <c r="K822" i="6"/>
  <c r="J823" i="6"/>
  <c r="K823" i="6"/>
  <c r="J824" i="6"/>
  <c r="K824" i="6"/>
  <c r="J825" i="6"/>
  <c r="K825" i="6"/>
  <c r="J826" i="6"/>
  <c r="K826" i="6"/>
  <c r="J827" i="6"/>
  <c r="K827" i="6"/>
  <c r="J828" i="6"/>
  <c r="K828" i="6" s="1"/>
  <c r="J829" i="6"/>
  <c r="K829" i="6"/>
  <c r="J830" i="6"/>
  <c r="K830" i="6"/>
  <c r="J831" i="6"/>
  <c r="K831" i="6"/>
  <c r="J832" i="6"/>
  <c r="K832" i="6"/>
  <c r="J833" i="6"/>
  <c r="K833" i="6"/>
  <c r="J834" i="6"/>
  <c r="K834" i="6"/>
  <c r="J835" i="6"/>
  <c r="K835" i="6"/>
  <c r="J836" i="6"/>
  <c r="K836" i="6"/>
  <c r="J837" i="6"/>
  <c r="K837" i="6"/>
  <c r="J838" i="6"/>
  <c r="K838" i="6"/>
  <c r="J839" i="6"/>
  <c r="K839" i="6" s="1"/>
  <c r="J840" i="6"/>
  <c r="K840" i="6"/>
  <c r="J841" i="6"/>
  <c r="K841" i="6"/>
  <c r="J842" i="6"/>
  <c r="K842" i="6"/>
  <c r="J843" i="6"/>
  <c r="K843" i="6"/>
  <c r="J844" i="6"/>
  <c r="K844" i="6" s="1"/>
  <c r="J845" i="6"/>
  <c r="K845" i="6"/>
  <c r="J846" i="6"/>
  <c r="K846" i="6"/>
  <c r="J847" i="6"/>
  <c r="K847" i="6"/>
  <c r="J848" i="6"/>
  <c r="K848" i="6"/>
  <c r="J849" i="6"/>
  <c r="K849" i="6"/>
  <c r="J850" i="6"/>
  <c r="K850" i="6" s="1"/>
  <c r="J851" i="6"/>
  <c r="K851" i="6"/>
  <c r="J852" i="6"/>
  <c r="K852" i="6"/>
  <c r="J853" i="6"/>
  <c r="K853" i="6"/>
  <c r="J854" i="6"/>
  <c r="K854" i="6"/>
  <c r="J855" i="6"/>
  <c r="K855" i="6"/>
  <c r="J856" i="6"/>
  <c r="K856" i="6"/>
  <c r="J857" i="6"/>
  <c r="K857" i="6"/>
  <c r="J858" i="6"/>
  <c r="K858" i="6"/>
  <c r="J859" i="6"/>
  <c r="K859" i="6"/>
  <c r="J860" i="6"/>
  <c r="K860" i="6"/>
  <c r="J861" i="6"/>
  <c r="K861" i="6" s="1"/>
  <c r="J862" i="6"/>
  <c r="K862" i="6"/>
  <c r="J863" i="6"/>
  <c r="K863" i="6"/>
  <c r="J864" i="6"/>
  <c r="K864" i="6"/>
  <c r="J865" i="6"/>
  <c r="K865" i="6"/>
  <c r="J866" i="6"/>
  <c r="K866" i="6"/>
  <c r="J867" i="6"/>
  <c r="K867" i="6" s="1"/>
  <c r="J868" i="6"/>
  <c r="K868" i="6"/>
  <c r="J869" i="6"/>
  <c r="K869" i="6"/>
  <c r="J870" i="6"/>
  <c r="K870" i="6"/>
  <c r="J871" i="6"/>
  <c r="K871" i="6"/>
  <c r="J872" i="6"/>
  <c r="K872" i="6" s="1"/>
  <c r="J873" i="6"/>
  <c r="K873" i="6"/>
  <c r="J874" i="6"/>
  <c r="K874" i="6"/>
  <c r="J875" i="6"/>
  <c r="K875" i="6"/>
  <c r="J876" i="6"/>
  <c r="K876" i="6"/>
  <c r="J877" i="6"/>
  <c r="K877" i="6"/>
  <c r="J878" i="6"/>
  <c r="K878" i="6"/>
  <c r="J879" i="6"/>
  <c r="K879" i="6"/>
  <c r="J880" i="6"/>
  <c r="K880" i="6"/>
  <c r="J881" i="6"/>
  <c r="K881" i="6"/>
  <c r="J882" i="6"/>
  <c r="K882" i="6"/>
  <c r="J883" i="6"/>
  <c r="K883" i="6" s="1"/>
  <c r="J884" i="6"/>
  <c r="K884" i="6"/>
  <c r="J885" i="6"/>
  <c r="K885" i="6"/>
  <c r="J886" i="6"/>
  <c r="K886" i="6"/>
  <c r="J887" i="6"/>
  <c r="K887" i="6"/>
  <c r="J888" i="6"/>
  <c r="K888" i="6"/>
  <c r="J889" i="6"/>
  <c r="K889" i="6"/>
  <c r="J890" i="6"/>
  <c r="K890" i="6" s="1"/>
  <c r="J891" i="6"/>
  <c r="K891" i="6"/>
  <c r="J892" i="6"/>
  <c r="K892" i="6"/>
  <c r="J893" i="6"/>
  <c r="K893" i="6"/>
  <c r="J894" i="6"/>
  <c r="K894" i="6" s="1"/>
  <c r="J895" i="6"/>
  <c r="K895" i="6"/>
  <c r="J896" i="6"/>
  <c r="K896" i="6"/>
  <c r="J897" i="6"/>
  <c r="K897" i="6"/>
  <c r="J898" i="6"/>
  <c r="K898" i="6"/>
  <c r="J899" i="6"/>
  <c r="K899" i="6"/>
  <c r="J900" i="6"/>
  <c r="K900" i="6"/>
  <c r="J901" i="6"/>
  <c r="K901" i="6"/>
  <c r="J902" i="6"/>
  <c r="K902" i="6"/>
  <c r="J903" i="6"/>
  <c r="K903" i="6"/>
  <c r="J904" i="6"/>
  <c r="K904" i="6"/>
  <c r="J905" i="6"/>
  <c r="K905" i="6" s="1"/>
  <c r="J906" i="6"/>
  <c r="K906" i="6"/>
  <c r="J907" i="6"/>
  <c r="K907" i="6"/>
  <c r="J908" i="6"/>
  <c r="K908" i="6"/>
  <c r="J909" i="6"/>
  <c r="K909" i="6"/>
  <c r="J910" i="6"/>
  <c r="K910" i="6"/>
  <c r="J911" i="6"/>
  <c r="K911" i="6"/>
  <c r="J912" i="6"/>
  <c r="K912" i="6"/>
  <c r="J913" i="6"/>
  <c r="K913" i="6" s="1"/>
  <c r="J914" i="6"/>
  <c r="K914" i="6"/>
  <c r="J915" i="6"/>
  <c r="K915" i="6"/>
  <c r="J916" i="6"/>
  <c r="K916" i="6" s="1"/>
  <c r="J917" i="6"/>
  <c r="K917" i="6"/>
  <c r="J918" i="6"/>
  <c r="K918" i="6"/>
  <c r="J919" i="6"/>
  <c r="K919" i="6"/>
  <c r="J920" i="6"/>
  <c r="K920" i="6"/>
  <c r="J921" i="6"/>
  <c r="K921" i="6"/>
  <c r="J922" i="6"/>
  <c r="K922" i="6"/>
  <c r="J923" i="6"/>
  <c r="K923" i="6"/>
  <c r="J924" i="6"/>
  <c r="K924" i="6"/>
  <c r="J925" i="6"/>
  <c r="K925" i="6"/>
  <c r="J926" i="6"/>
  <c r="K926" i="6"/>
  <c r="J927" i="6"/>
  <c r="K927" i="6" s="1"/>
  <c r="J928" i="6"/>
  <c r="K928" i="6"/>
  <c r="J929" i="6"/>
  <c r="K929" i="6"/>
  <c r="J930" i="6"/>
  <c r="K930" i="6"/>
  <c r="J931" i="6"/>
  <c r="K931" i="6"/>
  <c r="J932" i="6"/>
  <c r="K932" i="6"/>
  <c r="J933" i="6"/>
  <c r="K933" i="6"/>
  <c r="J934" i="6"/>
  <c r="K934" i="6"/>
  <c r="J935" i="6"/>
  <c r="K935" i="6"/>
  <c r="J936" i="6"/>
  <c r="K936" i="6" s="1"/>
  <c r="J937" i="6"/>
  <c r="K937" i="6"/>
  <c r="J938" i="6"/>
  <c r="K938" i="6"/>
  <c r="J939" i="6"/>
  <c r="K939" i="6"/>
  <c r="J940" i="6"/>
  <c r="K940" i="6"/>
  <c r="J941" i="6"/>
  <c r="K941" i="6"/>
  <c r="J942" i="6"/>
  <c r="K942" i="6"/>
  <c r="J943" i="6"/>
  <c r="K943" i="6"/>
  <c r="J944" i="6"/>
  <c r="K944" i="6"/>
  <c r="J945" i="6"/>
  <c r="K945" i="6"/>
  <c r="J946" i="6"/>
  <c r="K946" i="6"/>
  <c r="J947" i="6"/>
  <c r="K947" i="6" s="1"/>
  <c r="J948" i="6"/>
  <c r="K948" i="6"/>
  <c r="J949" i="6"/>
  <c r="K949" i="6"/>
  <c r="J950" i="6"/>
  <c r="K950" i="6"/>
  <c r="J951" i="6"/>
  <c r="K951" i="6"/>
  <c r="J952" i="6"/>
  <c r="K952" i="6"/>
  <c r="J953" i="6"/>
  <c r="K953" i="6"/>
  <c r="J954" i="6"/>
  <c r="K954" i="6"/>
  <c r="J955" i="6"/>
  <c r="K955" i="6"/>
  <c r="J956" i="6"/>
  <c r="K956" i="6"/>
  <c r="J957" i="6"/>
  <c r="K957" i="6"/>
  <c r="J958" i="6"/>
  <c r="K958" i="6" s="1"/>
  <c r="J959" i="6"/>
  <c r="K959" i="6"/>
  <c r="J960" i="6"/>
  <c r="K960" i="6"/>
  <c r="J961" i="6"/>
  <c r="K961" i="6"/>
  <c r="J962" i="6"/>
  <c r="K962" i="6"/>
  <c r="J963" i="6"/>
  <c r="K963" i="6"/>
  <c r="J964" i="6"/>
  <c r="K964" i="6"/>
  <c r="J965" i="6"/>
  <c r="K965" i="6"/>
  <c r="J966" i="6"/>
  <c r="K966" i="6"/>
  <c r="J967" i="6"/>
  <c r="K967" i="6"/>
  <c r="J968" i="6"/>
  <c r="K968" i="6"/>
  <c r="J969" i="6"/>
  <c r="K969" i="6" s="1"/>
  <c r="J970" i="6"/>
  <c r="K970" i="6"/>
  <c r="J971" i="6"/>
  <c r="K971" i="6"/>
  <c r="J972" i="6"/>
  <c r="K972" i="6"/>
  <c r="J973" i="6"/>
  <c r="K973" i="6"/>
  <c r="J974" i="6"/>
  <c r="K974" i="6"/>
  <c r="J975" i="6"/>
  <c r="K975" i="6"/>
  <c r="J976" i="6"/>
  <c r="K976" i="6"/>
  <c r="J977" i="6"/>
  <c r="K977" i="6"/>
  <c r="J978" i="6"/>
  <c r="K978" i="6"/>
  <c r="J979" i="6"/>
  <c r="K979" i="6"/>
  <c r="J980" i="6"/>
  <c r="K980" i="6" s="1"/>
  <c r="J981" i="6"/>
  <c r="K981" i="6"/>
  <c r="J982" i="6"/>
  <c r="K982" i="6"/>
  <c r="J983" i="6"/>
  <c r="K983" i="6"/>
  <c r="J984" i="6"/>
  <c r="K984" i="6"/>
  <c r="J985" i="6"/>
  <c r="K985" i="6"/>
  <c r="J986" i="6"/>
  <c r="K986" i="6"/>
  <c r="J987" i="6"/>
  <c r="K987" i="6"/>
  <c r="J988" i="6"/>
  <c r="K988" i="6"/>
  <c r="J989" i="6"/>
  <c r="K989" i="6"/>
  <c r="J990" i="6"/>
  <c r="K990" i="6"/>
  <c r="J991" i="6"/>
  <c r="K991" i="6" s="1"/>
  <c r="J992" i="6"/>
  <c r="K992" i="6"/>
  <c r="J993" i="6"/>
  <c r="K993" i="6"/>
  <c r="J994" i="6"/>
  <c r="K994" i="6"/>
  <c r="J995" i="6"/>
  <c r="K995" i="6"/>
  <c r="J996" i="6"/>
  <c r="K996" i="6"/>
  <c r="J997" i="6"/>
  <c r="K997" i="6"/>
  <c r="J998" i="6"/>
  <c r="K998" i="6"/>
  <c r="J999" i="6"/>
  <c r="K999" i="6"/>
  <c r="J1000" i="6"/>
  <c r="K1000" i="6"/>
  <c r="J1001" i="6"/>
  <c r="K1001" i="6"/>
  <c r="J1002" i="6"/>
  <c r="K1002" i="6" s="1"/>
  <c r="J1003" i="6"/>
  <c r="K1003" i="6"/>
  <c r="J1004" i="6"/>
  <c r="K1004" i="6"/>
  <c r="J1005" i="6"/>
  <c r="K1005" i="6"/>
  <c r="J1006" i="6"/>
  <c r="K1006" i="6"/>
  <c r="J1007" i="6"/>
  <c r="K1007" i="6"/>
  <c r="J1008" i="6"/>
  <c r="K1008" i="6"/>
  <c r="J1009" i="6"/>
  <c r="K1009" i="6"/>
  <c r="J1010" i="6"/>
  <c r="K1010" i="6"/>
  <c r="J1011" i="6"/>
  <c r="K1011" i="6"/>
  <c r="J1012" i="6"/>
  <c r="K1012" i="6"/>
  <c r="J1013" i="6"/>
  <c r="K1013" i="6" s="1"/>
  <c r="J1014" i="6"/>
  <c r="K1014" i="6"/>
  <c r="J1015" i="6"/>
  <c r="K1015" i="6"/>
  <c r="J1016" i="6"/>
  <c r="K1016" i="6"/>
  <c r="J1017" i="6"/>
  <c r="K1017" i="6"/>
  <c r="J1018" i="6"/>
  <c r="K1018" i="6"/>
  <c r="J1019" i="6"/>
  <c r="K1019" i="6"/>
  <c r="J1020" i="6"/>
  <c r="K1020" i="6"/>
  <c r="J1021" i="6"/>
  <c r="K1021" i="6"/>
  <c r="J1022" i="6"/>
  <c r="K1022" i="6"/>
  <c r="J1023" i="6"/>
  <c r="K1023" i="6"/>
  <c r="J1024" i="6"/>
  <c r="K1024" i="6" s="1"/>
  <c r="J1025" i="6"/>
  <c r="K1025" i="6"/>
  <c r="J1026" i="6"/>
  <c r="K1026" i="6"/>
  <c r="J1027" i="6"/>
  <c r="K1027" i="6"/>
  <c r="J1028" i="6"/>
  <c r="K1028" i="6"/>
  <c r="J1029" i="6"/>
  <c r="K1029" i="6"/>
  <c r="J1030" i="6"/>
  <c r="K1030" i="6"/>
  <c r="J1031" i="6"/>
  <c r="K1031" i="6"/>
  <c r="J1032" i="6"/>
  <c r="K1032" i="6"/>
  <c r="J1033" i="6"/>
  <c r="K1033" i="6"/>
  <c r="J1034" i="6"/>
  <c r="K1034" i="6"/>
  <c r="J1035" i="6"/>
  <c r="K1035" i="6" s="1"/>
  <c r="J1036" i="6"/>
  <c r="K1036" i="6"/>
  <c r="J1037" i="6"/>
  <c r="K1037" i="6"/>
  <c r="J1038" i="6"/>
  <c r="K1038" i="6"/>
  <c r="J1039" i="6"/>
  <c r="K1039" i="6"/>
  <c r="J1040" i="6"/>
  <c r="K1040" i="6"/>
  <c r="J1041" i="6"/>
  <c r="K1041" i="6"/>
  <c r="J1042" i="6"/>
  <c r="K1042" i="6"/>
  <c r="J1043" i="6"/>
  <c r="K1043" i="6"/>
  <c r="J1044" i="6"/>
  <c r="K1044" i="6"/>
  <c r="J1045" i="6"/>
  <c r="K1045" i="6"/>
  <c r="J1046" i="6"/>
  <c r="K1046" i="6" s="1"/>
  <c r="J1047" i="6"/>
  <c r="K1047" i="6"/>
  <c r="J1048" i="6"/>
  <c r="K1048" i="6"/>
  <c r="J1049" i="6"/>
  <c r="K1049" i="6"/>
  <c r="J1050" i="6"/>
  <c r="K1050" i="6"/>
  <c r="J1051" i="6"/>
  <c r="K1051" i="6"/>
  <c r="J1052" i="6"/>
  <c r="K1052" i="6"/>
  <c r="J1053" i="6"/>
  <c r="K1053" i="6"/>
  <c r="J1054" i="6"/>
  <c r="K1054" i="6"/>
  <c r="J1055" i="6"/>
  <c r="K1055" i="6"/>
  <c r="J1056" i="6"/>
  <c r="K1056" i="6"/>
  <c r="J1057" i="6"/>
  <c r="K1057" i="6" s="1"/>
  <c r="J1058" i="6"/>
  <c r="K1058" i="6"/>
  <c r="J1059" i="6"/>
  <c r="K1059" i="6"/>
  <c r="J1060" i="6"/>
  <c r="K1060" i="6"/>
  <c r="J1061" i="6"/>
  <c r="K1061" i="6"/>
  <c r="J1062" i="6"/>
  <c r="K1062" i="6"/>
  <c r="J1063" i="6"/>
  <c r="K1063" i="6"/>
  <c r="J1064" i="6"/>
  <c r="K1064" i="6"/>
  <c r="J1065" i="6"/>
  <c r="K1065" i="6"/>
  <c r="J1066" i="6"/>
  <c r="K1066" i="6"/>
  <c r="J1067" i="6"/>
  <c r="K1067" i="6"/>
  <c r="J1068" i="6"/>
  <c r="K1068" i="6" s="1"/>
  <c r="J1069" i="6"/>
  <c r="K1069" i="6"/>
  <c r="J1070" i="6"/>
  <c r="K1070" i="6"/>
  <c r="J1071" i="6"/>
  <c r="K1071" i="6"/>
  <c r="J1072" i="6"/>
  <c r="K1072" i="6"/>
  <c r="J1073" i="6"/>
  <c r="K1073" i="6"/>
  <c r="J1074" i="6"/>
  <c r="K1074" i="6"/>
  <c r="J1075" i="6"/>
  <c r="K1075" i="6"/>
  <c r="J1076" i="6"/>
  <c r="K1076" i="6"/>
  <c r="J1077" i="6"/>
  <c r="K1077" i="6"/>
  <c r="J1078" i="6"/>
  <c r="K1078" i="6"/>
  <c r="J1079" i="6"/>
  <c r="K1079" i="6" s="1"/>
  <c r="J1080" i="6"/>
  <c r="K1080" i="6"/>
  <c r="J1081" i="6"/>
  <c r="K1081" i="6"/>
  <c r="J1082" i="6"/>
  <c r="K1082" i="6"/>
  <c r="J1083" i="6"/>
  <c r="K1083" i="6"/>
  <c r="J1084" i="6"/>
  <c r="K1084" i="6"/>
  <c r="J1085" i="6"/>
  <c r="K1085" i="6"/>
  <c r="J1086" i="6"/>
  <c r="K1086" i="6"/>
  <c r="J1087" i="6"/>
  <c r="K1087" i="6"/>
  <c r="J1088" i="6"/>
  <c r="K1088" i="6"/>
  <c r="J1089" i="6"/>
  <c r="K1089" i="6"/>
  <c r="J1090" i="6"/>
  <c r="K1090" i="6" s="1"/>
  <c r="J1091" i="6"/>
  <c r="K1091" i="6"/>
  <c r="J1092" i="6"/>
  <c r="K1092" i="6"/>
  <c r="J1093" i="6"/>
  <c r="K1093" i="6"/>
  <c r="J1094" i="6"/>
  <c r="K1094" i="6"/>
  <c r="J1095" i="6"/>
  <c r="K1095" i="6"/>
  <c r="J1096" i="6"/>
  <c r="K1096" i="6"/>
  <c r="J1097" i="6"/>
  <c r="K1097" i="6"/>
  <c r="J1098" i="6"/>
  <c r="K1098" i="6"/>
  <c r="J1099" i="6"/>
  <c r="K1099" i="6"/>
  <c r="J1100" i="6"/>
  <c r="K1100" i="6"/>
  <c r="J1101" i="6"/>
  <c r="K1101" i="6" s="1"/>
  <c r="J1102" i="6"/>
  <c r="K1102" i="6"/>
  <c r="J1103" i="6"/>
  <c r="K1103" i="6"/>
  <c r="J1104" i="6"/>
  <c r="K1104" i="6"/>
  <c r="J1105" i="6"/>
  <c r="K1105" i="6"/>
  <c r="J1106" i="6"/>
  <c r="K1106" i="6"/>
  <c r="J1107" i="6"/>
  <c r="K1107" i="6"/>
  <c r="J1108" i="6"/>
  <c r="K1108" i="6"/>
  <c r="J1109" i="6"/>
  <c r="K1109" i="6"/>
  <c r="J1110" i="6"/>
  <c r="K1110" i="6"/>
  <c r="J1111" i="6"/>
  <c r="K1111" i="6"/>
  <c r="J1112" i="6"/>
  <c r="K1112" i="6" s="1"/>
  <c r="J1113" i="6"/>
  <c r="K1113" i="6"/>
  <c r="J1114" i="6"/>
  <c r="K1114" i="6"/>
  <c r="J1115" i="6"/>
  <c r="K1115" i="6"/>
  <c r="J1116" i="6"/>
  <c r="K1116" i="6"/>
  <c r="J1117" i="6"/>
  <c r="K1117" i="6"/>
  <c r="J1118" i="6"/>
  <c r="K1118" i="6"/>
  <c r="J1119" i="6"/>
  <c r="K1119" i="6"/>
  <c r="J1120" i="6"/>
  <c r="K1120" i="6"/>
  <c r="J1121" i="6"/>
  <c r="K1121" i="6"/>
  <c r="J1122" i="6"/>
  <c r="K1122" i="6"/>
  <c r="J1123" i="6"/>
  <c r="K1123" i="6" s="1"/>
  <c r="J1124" i="6"/>
  <c r="K1124" i="6"/>
  <c r="J1125" i="6"/>
  <c r="K1125" i="6"/>
  <c r="J1126" i="6"/>
  <c r="K1126" i="6"/>
  <c r="J1127" i="6"/>
  <c r="K1127" i="6"/>
  <c r="J1128" i="6"/>
  <c r="K1128" i="6"/>
  <c r="J1129" i="6"/>
  <c r="K1129" i="6"/>
  <c r="J1130" i="6"/>
  <c r="K1130" i="6"/>
  <c r="J1131" i="6"/>
  <c r="K1131" i="6"/>
  <c r="J1132" i="6"/>
  <c r="K1132" i="6"/>
  <c r="J1133" i="6"/>
  <c r="K1133" i="6"/>
  <c r="J1134" i="6"/>
  <c r="K1134" i="6" s="1"/>
  <c r="J1135" i="6"/>
  <c r="K1135" i="6"/>
  <c r="J1136" i="6"/>
  <c r="K1136" i="6"/>
  <c r="J1137" i="6"/>
  <c r="K1137" i="6"/>
  <c r="J1138" i="6"/>
  <c r="K1138" i="6"/>
  <c r="J1139" i="6"/>
  <c r="K1139" i="6"/>
  <c r="J1140" i="6"/>
  <c r="K1140" i="6"/>
  <c r="J1141" i="6"/>
  <c r="K1141" i="6"/>
  <c r="J1142" i="6"/>
  <c r="K1142" i="6"/>
  <c r="J1143" i="6"/>
  <c r="K1143" i="6"/>
  <c r="J1144" i="6"/>
  <c r="K1144" i="6"/>
  <c r="J1145" i="6"/>
  <c r="K1145" i="6" s="1"/>
  <c r="J1146" i="6"/>
  <c r="K1146" i="6"/>
  <c r="J1147" i="6"/>
  <c r="K1147" i="6"/>
  <c r="J1148" i="6"/>
  <c r="K1148" i="6"/>
  <c r="J1149" i="6"/>
  <c r="K1149" i="6"/>
  <c r="J1150" i="6"/>
  <c r="K1150" i="6"/>
  <c r="J1151" i="6"/>
  <c r="K1151" i="6"/>
  <c r="J1152" i="6"/>
  <c r="K1152" i="6"/>
  <c r="J1153" i="6"/>
  <c r="K1153" i="6"/>
  <c r="J1154" i="6"/>
  <c r="K1154" i="6"/>
  <c r="J1155" i="6"/>
  <c r="K1155" i="6"/>
  <c r="J1156" i="6"/>
  <c r="K1156" i="6" s="1"/>
  <c r="J1157" i="6"/>
  <c r="K1157" i="6"/>
  <c r="J1158" i="6"/>
  <c r="K1158" i="6"/>
  <c r="J1159" i="6"/>
  <c r="K1159" i="6"/>
  <c r="J1160" i="6"/>
  <c r="K1160" i="6"/>
  <c r="J1161" i="6"/>
  <c r="K1161" i="6"/>
  <c r="J1162" i="6"/>
  <c r="K1162" i="6"/>
  <c r="J1163" i="6"/>
  <c r="K1163" i="6"/>
  <c r="J1164" i="6"/>
  <c r="K1164" i="6"/>
  <c r="J1165" i="6"/>
  <c r="K1165" i="6"/>
  <c r="J1166" i="6"/>
  <c r="K1166" i="6"/>
  <c r="J1167" i="6"/>
  <c r="K1167" i="6" s="1"/>
  <c r="J1168" i="6"/>
  <c r="K1168" i="6"/>
  <c r="J1169" i="6"/>
  <c r="K1169" i="6"/>
  <c r="J1170" i="6"/>
  <c r="K1170" i="6"/>
  <c r="J1171" i="6"/>
  <c r="K1171" i="6"/>
  <c r="J1172" i="6"/>
  <c r="K1172" i="6"/>
  <c r="J1173" i="6"/>
  <c r="K1173" i="6"/>
  <c r="J1174" i="6"/>
  <c r="K1174" i="6"/>
  <c r="J1175" i="6"/>
  <c r="K1175" i="6"/>
  <c r="J1176" i="6"/>
  <c r="K1176" i="6"/>
  <c r="J1177" i="6"/>
  <c r="K1177" i="6"/>
  <c r="J1178" i="6"/>
  <c r="K1178" i="6" s="1"/>
  <c r="J1179" i="6"/>
  <c r="K1179" i="6"/>
  <c r="J1180" i="6"/>
  <c r="K1180" i="6"/>
  <c r="J1181" i="6"/>
  <c r="K1181" i="6"/>
  <c r="J1182" i="6"/>
  <c r="K1182" i="6"/>
  <c r="J1183" i="6"/>
  <c r="K1183" i="6"/>
  <c r="J1184" i="6"/>
  <c r="K1184" i="6"/>
  <c r="J1185" i="6"/>
  <c r="K1185" i="6"/>
  <c r="J1186" i="6"/>
  <c r="K1186" i="6"/>
  <c r="J1187" i="6"/>
  <c r="K1187" i="6"/>
  <c r="J1188" i="6"/>
  <c r="K1188" i="6"/>
  <c r="J1189" i="6"/>
  <c r="K1189" i="6" s="1"/>
  <c r="J1190" i="6"/>
  <c r="K1190" i="6"/>
  <c r="J1191" i="6"/>
  <c r="K1191" i="6"/>
  <c r="J1192" i="6"/>
  <c r="K1192" i="6"/>
  <c r="J1193" i="6"/>
  <c r="K1193" i="6"/>
  <c r="J1194" i="6"/>
  <c r="K1194" i="6"/>
  <c r="J1195" i="6"/>
  <c r="K1195" i="6"/>
  <c r="F512" i="5" l="1"/>
  <c r="E512" i="5"/>
  <c r="D512" i="5"/>
  <c r="C512" i="5"/>
  <c r="N512" i="5" s="1"/>
  <c r="F511" i="5"/>
  <c r="E511" i="5"/>
  <c r="D511" i="5"/>
  <c r="C511" i="5"/>
  <c r="N511" i="5" s="1"/>
  <c r="F510" i="5"/>
  <c r="E510" i="5"/>
  <c r="D510" i="5"/>
  <c r="F509" i="5"/>
  <c r="E509" i="5"/>
  <c r="D509" i="5"/>
  <c r="C509" i="5"/>
  <c r="F508" i="5"/>
  <c r="E508" i="5"/>
  <c r="D508" i="5"/>
  <c r="C508" i="5"/>
  <c r="N508" i="5" s="1"/>
  <c r="F507" i="5"/>
  <c r="E507" i="5"/>
  <c r="D507" i="5"/>
  <c r="C507" i="5"/>
  <c r="F506" i="5"/>
  <c r="E506" i="5"/>
  <c r="D506" i="5"/>
  <c r="C506" i="5"/>
  <c r="N506" i="5" s="1"/>
  <c r="F505" i="5"/>
  <c r="E505" i="5"/>
  <c r="D505" i="5"/>
  <c r="F504" i="5"/>
  <c r="E504" i="5"/>
  <c r="D504" i="5"/>
  <c r="C504" i="5"/>
  <c r="N504" i="5" s="1"/>
  <c r="F503" i="5"/>
  <c r="E503" i="5"/>
  <c r="D503" i="5"/>
  <c r="C503" i="5" s="1"/>
  <c r="N503" i="5" s="1"/>
  <c r="F502" i="5"/>
  <c r="E502" i="5"/>
  <c r="D502" i="5"/>
  <c r="C502" i="5"/>
  <c r="N502" i="5" s="1"/>
  <c r="F501" i="5"/>
  <c r="E501" i="5"/>
  <c r="D501" i="5"/>
  <c r="F500" i="5"/>
  <c r="E500" i="5"/>
  <c r="D500" i="5"/>
  <c r="C500" i="5"/>
  <c r="F499" i="5"/>
  <c r="E499" i="5"/>
  <c r="D499" i="5"/>
  <c r="C499" i="5"/>
  <c r="F498" i="5"/>
  <c r="E498" i="5"/>
  <c r="D498" i="5"/>
  <c r="C498" i="5"/>
  <c r="F497" i="5"/>
  <c r="E497" i="5"/>
  <c r="D497" i="5"/>
  <c r="F496" i="5"/>
  <c r="E496" i="5"/>
  <c r="D496" i="5"/>
  <c r="F495" i="5"/>
  <c r="E495" i="5"/>
  <c r="D495" i="5"/>
  <c r="F494" i="5"/>
  <c r="E494" i="5"/>
  <c r="D494" i="5"/>
  <c r="J494" i="5" s="1"/>
  <c r="C494" i="5"/>
  <c r="F493" i="5"/>
  <c r="E493" i="5"/>
  <c r="D493" i="5"/>
  <c r="J493" i="5" s="1"/>
  <c r="C493" i="5"/>
  <c r="N493" i="5" s="1"/>
  <c r="F492" i="5"/>
  <c r="E492" i="5"/>
  <c r="D492" i="5"/>
  <c r="F491" i="5"/>
  <c r="E491" i="5"/>
  <c r="D491" i="5"/>
  <c r="C491" i="5"/>
  <c r="F490" i="5"/>
  <c r="E490" i="5"/>
  <c r="D490" i="5"/>
  <c r="C490" i="5"/>
  <c r="F489" i="5"/>
  <c r="E489" i="5"/>
  <c r="D489" i="5"/>
  <c r="C489" i="5"/>
  <c r="F488" i="5"/>
  <c r="E488" i="5"/>
  <c r="D488" i="5"/>
  <c r="J488" i="5" s="1"/>
  <c r="C488" i="5"/>
  <c r="N488" i="5" s="1"/>
  <c r="F487" i="5"/>
  <c r="E487" i="5"/>
  <c r="D487" i="5"/>
  <c r="C487" i="5"/>
  <c r="N487" i="5" s="1"/>
  <c r="F486" i="5"/>
  <c r="E486" i="5"/>
  <c r="D486" i="5"/>
  <c r="C486" i="5"/>
  <c r="N486" i="5" s="1"/>
  <c r="F485" i="5"/>
  <c r="E485" i="5"/>
  <c r="D485" i="5"/>
  <c r="F484" i="5"/>
  <c r="E484" i="5"/>
  <c r="D484" i="5"/>
  <c r="C484" i="5"/>
  <c r="F483" i="5"/>
  <c r="E483" i="5"/>
  <c r="D483" i="5"/>
  <c r="C483" i="5"/>
  <c r="F482" i="5"/>
  <c r="E482" i="5"/>
  <c r="D482" i="5"/>
  <c r="C482" i="5"/>
  <c r="N482" i="5" s="1"/>
  <c r="F481" i="5"/>
  <c r="E481" i="5"/>
  <c r="D481" i="5"/>
  <c r="C481" i="5" s="1"/>
  <c r="F480" i="5"/>
  <c r="E480" i="5"/>
  <c r="D480" i="5"/>
  <c r="F479" i="5"/>
  <c r="E479" i="5"/>
  <c r="D479" i="5"/>
  <c r="C479" i="5"/>
  <c r="N479" i="5" s="1"/>
  <c r="F478" i="5"/>
  <c r="E478" i="5"/>
  <c r="D478" i="5"/>
  <c r="C478" i="5"/>
  <c r="F477" i="5"/>
  <c r="E477" i="5"/>
  <c r="D477" i="5"/>
  <c r="C477" i="5"/>
  <c r="F476" i="5"/>
  <c r="E476" i="5"/>
  <c r="D476" i="5"/>
  <c r="C476" i="5"/>
  <c r="F475" i="5"/>
  <c r="E475" i="5"/>
  <c r="D475" i="5"/>
  <c r="C475" i="5"/>
  <c r="N475" i="5" s="1"/>
  <c r="F474" i="5"/>
  <c r="E474" i="5"/>
  <c r="D474" i="5"/>
  <c r="F473" i="5"/>
  <c r="E473" i="5"/>
  <c r="D473" i="5"/>
  <c r="F472" i="5"/>
  <c r="E472" i="5"/>
  <c r="D472" i="5"/>
  <c r="F471" i="5"/>
  <c r="E471" i="5"/>
  <c r="D471" i="5"/>
  <c r="C471" i="5"/>
  <c r="F470" i="5"/>
  <c r="E470" i="5"/>
  <c r="D470" i="5"/>
  <c r="F469" i="5"/>
  <c r="E469" i="5"/>
  <c r="D469" i="5"/>
  <c r="C469" i="5"/>
  <c r="F468" i="5"/>
  <c r="E468" i="5"/>
  <c r="D468" i="5"/>
  <c r="F467" i="5"/>
  <c r="E467" i="5"/>
  <c r="D467" i="5"/>
  <c r="C467" i="5"/>
  <c r="F466" i="5"/>
  <c r="E466" i="5"/>
  <c r="D466" i="5"/>
  <c r="H466" i="5" s="1"/>
  <c r="F465" i="5"/>
  <c r="E465" i="5"/>
  <c r="D465" i="5"/>
  <c r="F464" i="5"/>
  <c r="E464" i="5"/>
  <c r="D464" i="5"/>
  <c r="C464" i="5"/>
  <c r="N464" i="5" s="1"/>
  <c r="F463" i="5"/>
  <c r="E463" i="5"/>
  <c r="D463" i="5"/>
  <c r="F462" i="5"/>
  <c r="E462" i="5"/>
  <c r="D462" i="5"/>
  <c r="C462" i="5"/>
  <c r="F461" i="5"/>
  <c r="E461" i="5"/>
  <c r="D461" i="5"/>
  <c r="H461" i="5" s="1"/>
  <c r="F460" i="5"/>
  <c r="E460" i="5"/>
  <c r="D460" i="5"/>
  <c r="F459" i="5"/>
  <c r="E459" i="5"/>
  <c r="D459" i="5"/>
  <c r="F458" i="5"/>
  <c r="E458" i="5"/>
  <c r="D458" i="5"/>
  <c r="F457" i="5"/>
  <c r="E457" i="5"/>
  <c r="D457" i="5"/>
  <c r="F456" i="5"/>
  <c r="E456" i="5"/>
  <c r="D456" i="5"/>
  <c r="F455" i="5"/>
  <c r="E455" i="5"/>
  <c r="D455" i="5"/>
  <c r="H455" i="5" s="1"/>
  <c r="F454" i="5"/>
  <c r="E454" i="5"/>
  <c r="D454" i="5"/>
  <c r="C454" i="5"/>
  <c r="F453" i="5"/>
  <c r="E453" i="5"/>
  <c r="D453" i="5"/>
  <c r="F452" i="5"/>
  <c r="E452" i="5"/>
  <c r="D452" i="5"/>
  <c r="C452" i="5"/>
  <c r="M452" i="5" s="1"/>
  <c r="F451" i="5"/>
  <c r="E451" i="5"/>
  <c r="D451" i="5"/>
  <c r="F450" i="5"/>
  <c r="E450" i="5"/>
  <c r="D450" i="5"/>
  <c r="C450" i="5"/>
  <c r="F449" i="5"/>
  <c r="E449" i="5"/>
  <c r="D449" i="5"/>
  <c r="F448" i="5"/>
  <c r="E448" i="5"/>
  <c r="D448" i="5"/>
  <c r="C448" i="5" s="1"/>
  <c r="N448" i="5" s="1"/>
  <c r="F447" i="5"/>
  <c r="E447" i="5"/>
  <c r="D447" i="5"/>
  <c r="F446" i="5"/>
  <c r="E446" i="5"/>
  <c r="D446" i="5"/>
  <c r="C446" i="5" s="1"/>
  <c r="N446" i="5" s="1"/>
  <c r="F445" i="5"/>
  <c r="E445" i="5"/>
  <c r="D445" i="5"/>
  <c r="C445" i="5" s="1"/>
  <c r="N445" i="5" s="1"/>
  <c r="F444" i="5"/>
  <c r="E444" i="5"/>
  <c r="D444" i="5"/>
  <c r="C444" i="5" s="1"/>
  <c r="F443" i="5"/>
  <c r="E443" i="5"/>
  <c r="D443" i="5"/>
  <c r="C443" i="5"/>
  <c r="N443" i="5" s="1"/>
  <c r="F442" i="5"/>
  <c r="E442" i="5"/>
  <c r="D442" i="5"/>
  <c r="F441" i="5"/>
  <c r="E441" i="5"/>
  <c r="D441" i="5"/>
  <c r="J441" i="5" s="1"/>
  <c r="F440" i="5"/>
  <c r="E440" i="5"/>
  <c r="D440" i="5"/>
  <c r="C440" i="5"/>
  <c r="N440" i="5" s="1"/>
  <c r="F439" i="5"/>
  <c r="E439" i="5"/>
  <c r="D439" i="5"/>
  <c r="C439" i="5"/>
  <c r="N439" i="5" s="1"/>
  <c r="F438" i="5"/>
  <c r="E438" i="5"/>
  <c r="D438" i="5"/>
  <c r="F437" i="5"/>
  <c r="E437" i="5"/>
  <c r="D437" i="5"/>
  <c r="F436" i="5"/>
  <c r="E436" i="5"/>
  <c r="D436" i="5"/>
  <c r="C436" i="5"/>
  <c r="F435" i="5"/>
  <c r="E435" i="5"/>
  <c r="D435" i="5"/>
  <c r="C435" i="5"/>
  <c r="F434" i="5"/>
  <c r="E434" i="5"/>
  <c r="D434" i="5"/>
  <c r="C434" i="5"/>
  <c r="F433" i="5"/>
  <c r="E433" i="5"/>
  <c r="D433" i="5"/>
  <c r="C433" i="5"/>
  <c r="F432" i="5"/>
  <c r="E432" i="5"/>
  <c r="D432" i="5"/>
  <c r="C432" i="5"/>
  <c r="F431" i="5"/>
  <c r="E431" i="5"/>
  <c r="D431" i="5"/>
  <c r="H431" i="5" s="1"/>
  <c r="F430" i="5"/>
  <c r="E430" i="5"/>
  <c r="D430" i="5"/>
  <c r="C430" i="5"/>
  <c r="N430" i="5" s="1"/>
  <c r="F429" i="5"/>
  <c r="E429" i="5"/>
  <c r="D429" i="5"/>
  <c r="F428" i="5"/>
  <c r="E428" i="5"/>
  <c r="D428" i="5"/>
  <c r="C428" i="5"/>
  <c r="F427" i="5"/>
  <c r="E427" i="5"/>
  <c r="D427" i="5"/>
  <c r="C427" i="5" s="1"/>
  <c r="N427" i="5" s="1"/>
  <c r="F426" i="5"/>
  <c r="E426" i="5"/>
  <c r="D426" i="5"/>
  <c r="C426" i="5" s="1"/>
  <c r="N426" i="5" s="1"/>
  <c r="F425" i="5"/>
  <c r="E425" i="5"/>
  <c r="D425" i="5"/>
  <c r="F424" i="5"/>
  <c r="E424" i="5"/>
  <c r="D424" i="5"/>
  <c r="C424" i="5"/>
  <c r="F423" i="5"/>
  <c r="E423" i="5"/>
  <c r="D423" i="5"/>
  <c r="C423" i="5"/>
  <c r="F422" i="5"/>
  <c r="E422" i="5"/>
  <c r="D422" i="5"/>
  <c r="C422" i="5"/>
  <c r="N422" i="5" s="1"/>
  <c r="F421" i="5"/>
  <c r="E421" i="5"/>
  <c r="D421" i="5"/>
  <c r="J421" i="5" s="1"/>
  <c r="F420" i="5"/>
  <c r="E420" i="5"/>
  <c r="D420" i="5"/>
  <c r="J420" i="5" s="1"/>
  <c r="C420" i="5"/>
  <c r="N420" i="5" s="1"/>
  <c r="F419" i="5"/>
  <c r="E419" i="5"/>
  <c r="D419" i="5"/>
  <c r="C419" i="5"/>
  <c r="F418" i="5"/>
  <c r="E418" i="5"/>
  <c r="D418" i="5"/>
  <c r="C418" i="5" s="1"/>
  <c r="F417" i="5"/>
  <c r="E417" i="5"/>
  <c r="D417" i="5"/>
  <c r="C417" i="5" s="1"/>
  <c r="F416" i="5"/>
  <c r="E416" i="5"/>
  <c r="D416" i="5"/>
  <c r="C416" i="5"/>
  <c r="F415" i="5"/>
  <c r="E415" i="5"/>
  <c r="D415" i="5"/>
  <c r="C415" i="5"/>
  <c r="F414" i="5"/>
  <c r="E414" i="5"/>
  <c r="D414" i="5"/>
  <c r="C414" i="5" s="1"/>
  <c r="F413" i="5"/>
  <c r="E413" i="5"/>
  <c r="D413" i="5"/>
  <c r="C413" i="5" s="1"/>
  <c r="F412" i="5"/>
  <c r="E412" i="5"/>
  <c r="D412" i="5"/>
  <c r="C412" i="5"/>
  <c r="F411" i="5"/>
  <c r="E411" i="5"/>
  <c r="D411" i="5"/>
  <c r="C411" i="5"/>
  <c r="F410" i="5"/>
  <c r="E410" i="5"/>
  <c r="D410" i="5"/>
  <c r="J410" i="5" s="1"/>
  <c r="C410" i="5"/>
  <c r="N410" i="5" s="1"/>
  <c r="F409" i="5"/>
  <c r="E409" i="5"/>
  <c r="D409" i="5"/>
  <c r="J409" i="5" s="1"/>
  <c r="C409" i="5"/>
  <c r="F408" i="5"/>
  <c r="E408" i="5"/>
  <c r="D408" i="5"/>
  <c r="F407" i="5"/>
  <c r="E407" i="5"/>
  <c r="D407" i="5"/>
  <c r="F406" i="5"/>
  <c r="E406" i="5"/>
  <c r="D406" i="5"/>
  <c r="C406" i="5"/>
  <c r="N406" i="5" s="1"/>
  <c r="F405" i="5"/>
  <c r="E405" i="5"/>
  <c r="D405" i="5"/>
  <c r="C405" i="5"/>
  <c r="F404" i="5"/>
  <c r="E404" i="5"/>
  <c r="D404" i="5"/>
  <c r="C404" i="5"/>
  <c r="F403" i="5"/>
  <c r="E403" i="5"/>
  <c r="D403" i="5"/>
  <c r="F402" i="5"/>
  <c r="E402" i="5"/>
  <c r="D402" i="5"/>
  <c r="C402" i="5"/>
  <c r="F401" i="5"/>
  <c r="E401" i="5"/>
  <c r="D401" i="5"/>
  <c r="C401" i="5"/>
  <c r="N401" i="5" s="1"/>
  <c r="F400" i="5"/>
  <c r="E400" i="5"/>
  <c r="D400" i="5"/>
  <c r="C400" i="5"/>
  <c r="F399" i="5"/>
  <c r="E399" i="5"/>
  <c r="D399" i="5"/>
  <c r="C399" i="5"/>
  <c r="F398" i="5"/>
  <c r="E398" i="5"/>
  <c r="D398" i="5"/>
  <c r="C398" i="5"/>
  <c r="N398" i="5" s="1"/>
  <c r="F397" i="5"/>
  <c r="E397" i="5"/>
  <c r="D397" i="5"/>
  <c r="F396" i="5"/>
  <c r="E396" i="5"/>
  <c r="D396" i="5"/>
  <c r="C396" i="5"/>
  <c r="F395" i="5"/>
  <c r="E395" i="5"/>
  <c r="D395" i="5"/>
  <c r="C395" i="5"/>
  <c r="N395" i="5" s="1"/>
  <c r="F394" i="5"/>
  <c r="E394" i="5"/>
  <c r="D394" i="5"/>
  <c r="C394" i="5"/>
  <c r="N394" i="5" s="1"/>
  <c r="F393" i="5"/>
  <c r="E393" i="5"/>
  <c r="D393" i="5"/>
  <c r="J393" i="5" s="1"/>
  <c r="C393" i="5"/>
  <c r="F392" i="5"/>
  <c r="E392" i="5"/>
  <c r="D392" i="5"/>
  <c r="C392" i="5"/>
  <c r="F391" i="5"/>
  <c r="E391" i="5"/>
  <c r="D391" i="5"/>
  <c r="F390" i="5"/>
  <c r="E390" i="5"/>
  <c r="D390" i="5"/>
  <c r="C390" i="5"/>
  <c r="F389" i="5"/>
  <c r="E389" i="5"/>
  <c r="D389" i="5"/>
  <c r="C389" i="5"/>
  <c r="N389" i="5" s="1"/>
  <c r="F388" i="5"/>
  <c r="E388" i="5"/>
  <c r="D388" i="5"/>
  <c r="C388" i="5"/>
  <c r="F387" i="5"/>
  <c r="E387" i="5"/>
  <c r="D387" i="5"/>
  <c r="C387" i="5"/>
  <c r="N387" i="5" s="1"/>
  <c r="F386" i="5"/>
  <c r="E386" i="5"/>
  <c r="D386" i="5"/>
  <c r="C386" i="5"/>
  <c r="F385" i="5"/>
  <c r="E385" i="5"/>
  <c r="D385" i="5"/>
  <c r="C385" i="5" s="1"/>
  <c r="N385" i="5" s="1"/>
  <c r="F384" i="5"/>
  <c r="E384" i="5"/>
  <c r="D384" i="5"/>
  <c r="H384" i="5" s="1"/>
  <c r="F383" i="5"/>
  <c r="E383" i="5"/>
  <c r="D383" i="5"/>
  <c r="C383" i="5"/>
  <c r="F382" i="5"/>
  <c r="E382" i="5"/>
  <c r="D382" i="5"/>
  <c r="F381" i="5"/>
  <c r="E381" i="5"/>
  <c r="D381" i="5"/>
  <c r="F380" i="5"/>
  <c r="E380" i="5"/>
  <c r="D380" i="5"/>
  <c r="F379" i="5"/>
  <c r="E379" i="5"/>
  <c r="D379" i="5"/>
  <c r="C379" i="5"/>
  <c r="N379" i="5" s="1"/>
  <c r="F378" i="5"/>
  <c r="E378" i="5"/>
  <c r="D378" i="5"/>
  <c r="C378" i="5"/>
  <c r="N378" i="5" s="1"/>
  <c r="F377" i="5"/>
  <c r="E377" i="5"/>
  <c r="D377" i="5"/>
  <c r="J377" i="5" s="1"/>
  <c r="C377" i="5"/>
  <c r="F376" i="5"/>
  <c r="E376" i="5"/>
  <c r="D376" i="5"/>
  <c r="C376" i="5"/>
  <c r="F375" i="5"/>
  <c r="E375" i="5"/>
  <c r="D375" i="5"/>
  <c r="C375" i="5"/>
  <c r="F374" i="5"/>
  <c r="E374" i="5"/>
  <c r="D374" i="5"/>
  <c r="F373" i="5"/>
  <c r="E373" i="5"/>
  <c r="D373" i="5"/>
  <c r="C373" i="5"/>
  <c r="N373" i="5" s="1"/>
  <c r="F372" i="5"/>
  <c r="E372" i="5"/>
  <c r="D372" i="5"/>
  <c r="F371" i="5"/>
  <c r="E371" i="5"/>
  <c r="D371" i="5"/>
  <c r="F370" i="5"/>
  <c r="E370" i="5"/>
  <c r="D370" i="5"/>
  <c r="C370" i="5"/>
  <c r="N370" i="5" s="1"/>
  <c r="F369" i="5"/>
  <c r="E369" i="5"/>
  <c r="D369" i="5"/>
  <c r="C369" i="5"/>
  <c r="F368" i="5"/>
  <c r="E368" i="5"/>
  <c r="D368" i="5"/>
  <c r="C368" i="5"/>
  <c r="N368" i="5" s="1"/>
  <c r="F367" i="5"/>
  <c r="E367" i="5"/>
  <c r="D367" i="5"/>
  <c r="C367" i="5"/>
  <c r="F366" i="5"/>
  <c r="E366" i="5"/>
  <c r="D366" i="5"/>
  <c r="C366" i="5"/>
  <c r="F365" i="5"/>
  <c r="E365" i="5"/>
  <c r="D365" i="5"/>
  <c r="C365" i="5"/>
  <c r="N365" i="5" s="1"/>
  <c r="F364" i="5"/>
  <c r="E364" i="5"/>
  <c r="D364" i="5"/>
  <c r="C364" i="5"/>
  <c r="N364" i="5" s="1"/>
  <c r="F363" i="5"/>
  <c r="E363" i="5"/>
  <c r="D363" i="5"/>
  <c r="C363" i="5"/>
  <c r="F362" i="5"/>
  <c r="E362" i="5"/>
  <c r="D362" i="5"/>
  <c r="C362" i="5"/>
  <c r="F361" i="5"/>
  <c r="E361" i="5"/>
  <c r="D361" i="5"/>
  <c r="F360" i="5"/>
  <c r="E360" i="5"/>
  <c r="D360" i="5"/>
  <c r="C360" i="5"/>
  <c r="N360" i="5" s="1"/>
  <c r="F359" i="5"/>
  <c r="E359" i="5"/>
  <c r="D359" i="5"/>
  <c r="F358" i="5"/>
  <c r="E358" i="5"/>
  <c r="D358" i="5"/>
  <c r="C358" i="5"/>
  <c r="F357" i="5"/>
  <c r="E357" i="5"/>
  <c r="D357" i="5"/>
  <c r="F356" i="5"/>
  <c r="E356" i="5"/>
  <c r="D356" i="5"/>
  <c r="F355" i="5"/>
  <c r="E355" i="5"/>
  <c r="D355" i="5"/>
  <c r="F354" i="5"/>
  <c r="E354" i="5"/>
  <c r="D354" i="5"/>
  <c r="F353" i="5"/>
  <c r="E353" i="5"/>
  <c r="D353" i="5"/>
  <c r="F352" i="5"/>
  <c r="E352" i="5"/>
  <c r="D352" i="5"/>
  <c r="J352" i="5" s="1"/>
  <c r="C352" i="5"/>
  <c r="N352" i="5" s="1"/>
  <c r="F351" i="5"/>
  <c r="E351" i="5"/>
  <c r="D351" i="5"/>
  <c r="C351" i="5" s="1"/>
  <c r="F350" i="5"/>
  <c r="E350" i="5"/>
  <c r="D350" i="5"/>
  <c r="C350" i="5" s="1"/>
  <c r="N350" i="5" s="1"/>
  <c r="F349" i="5"/>
  <c r="E349" i="5"/>
  <c r="D349" i="5"/>
  <c r="F348" i="5"/>
  <c r="E348" i="5"/>
  <c r="D348" i="5"/>
  <c r="C348" i="5" s="1"/>
  <c r="F347" i="5"/>
  <c r="E347" i="5"/>
  <c r="D347" i="5"/>
  <c r="F346" i="5"/>
  <c r="E346" i="5"/>
  <c r="D346" i="5"/>
  <c r="C346" i="5" s="1"/>
  <c r="F345" i="5"/>
  <c r="E345" i="5"/>
  <c r="D345" i="5"/>
  <c r="F344" i="5"/>
  <c r="E344" i="5"/>
  <c r="D344" i="5"/>
  <c r="F343" i="5"/>
  <c r="E343" i="5"/>
  <c r="D343" i="5"/>
  <c r="C343" i="5"/>
  <c r="F342" i="5"/>
  <c r="E342" i="5"/>
  <c r="D342" i="5"/>
  <c r="C342" i="5"/>
  <c r="N342" i="5" s="1"/>
  <c r="F341" i="5"/>
  <c r="E341" i="5"/>
  <c r="D341" i="5"/>
  <c r="C341" i="5"/>
  <c r="N341" i="5" s="1"/>
  <c r="F340" i="5"/>
  <c r="E340" i="5"/>
  <c r="D340" i="5"/>
  <c r="C340" i="5"/>
  <c r="N340" i="5" s="1"/>
  <c r="F339" i="5"/>
  <c r="E339" i="5"/>
  <c r="D339" i="5"/>
  <c r="C339" i="5"/>
  <c r="F338" i="5"/>
  <c r="E338" i="5"/>
  <c r="D338" i="5"/>
  <c r="C338" i="5"/>
  <c r="F337" i="5"/>
  <c r="E337" i="5"/>
  <c r="D337" i="5"/>
  <c r="F336" i="5"/>
  <c r="E336" i="5"/>
  <c r="D336" i="5"/>
  <c r="C336" i="5"/>
  <c r="N336" i="5" s="1"/>
  <c r="F335" i="5"/>
  <c r="E335" i="5"/>
  <c r="D335" i="5"/>
  <c r="C335" i="5"/>
  <c r="F334" i="5"/>
  <c r="E334" i="5"/>
  <c r="D334" i="5"/>
  <c r="F333" i="5"/>
  <c r="E333" i="5"/>
  <c r="D333" i="5"/>
  <c r="C333" i="5"/>
  <c r="F332" i="5"/>
  <c r="E332" i="5"/>
  <c r="D332" i="5"/>
  <c r="H332" i="5" s="1"/>
  <c r="C332" i="5"/>
  <c r="N332" i="5" s="1"/>
  <c r="F331" i="5"/>
  <c r="E331" i="5"/>
  <c r="D331" i="5"/>
  <c r="C331" i="5" s="1"/>
  <c r="N331" i="5" s="1"/>
  <c r="F330" i="5"/>
  <c r="E330" i="5"/>
  <c r="D330" i="5"/>
  <c r="F329" i="5"/>
  <c r="E329" i="5"/>
  <c r="D329" i="5"/>
  <c r="C329" i="5" s="1"/>
  <c r="N329" i="5" s="1"/>
  <c r="F328" i="5"/>
  <c r="E328" i="5"/>
  <c r="D328" i="5"/>
  <c r="C328" i="5" s="1"/>
  <c r="N328" i="5" s="1"/>
  <c r="F327" i="5"/>
  <c r="E327" i="5"/>
  <c r="D327" i="5"/>
  <c r="F326" i="5"/>
  <c r="E326" i="5"/>
  <c r="D326" i="5"/>
  <c r="F325" i="5"/>
  <c r="E325" i="5"/>
  <c r="D325" i="5"/>
  <c r="C325" i="5" s="1"/>
  <c r="N325" i="5" s="1"/>
  <c r="F324" i="5"/>
  <c r="E324" i="5"/>
  <c r="D324" i="5"/>
  <c r="F323" i="5"/>
  <c r="E323" i="5"/>
  <c r="D323" i="5"/>
  <c r="C323" i="5" s="1"/>
  <c r="N323" i="5" s="1"/>
  <c r="F322" i="5"/>
  <c r="E322" i="5"/>
  <c r="D322" i="5"/>
  <c r="F321" i="5"/>
  <c r="E321" i="5"/>
  <c r="D321" i="5"/>
  <c r="C321" i="5"/>
  <c r="N321" i="5" s="1"/>
  <c r="F320" i="5"/>
  <c r="E320" i="5"/>
  <c r="D320" i="5"/>
  <c r="J320" i="5" s="1"/>
  <c r="F319" i="5"/>
  <c r="E319" i="5"/>
  <c r="D319" i="5"/>
  <c r="F318" i="5"/>
  <c r="E318" i="5"/>
  <c r="D318" i="5"/>
  <c r="C318" i="5"/>
  <c r="F317" i="5"/>
  <c r="E317" i="5"/>
  <c r="D317" i="5"/>
  <c r="F316" i="5"/>
  <c r="E316" i="5"/>
  <c r="D316" i="5"/>
  <c r="C316" i="5" s="1"/>
  <c r="N316" i="5" s="1"/>
  <c r="F315" i="5"/>
  <c r="E315" i="5"/>
  <c r="D315" i="5"/>
  <c r="C315" i="5" s="1"/>
  <c r="F314" i="5"/>
  <c r="E314" i="5"/>
  <c r="D314" i="5"/>
  <c r="F313" i="5"/>
  <c r="E313" i="5"/>
  <c r="D313" i="5"/>
  <c r="C313" i="5" s="1"/>
  <c r="F312" i="5"/>
  <c r="E312" i="5"/>
  <c r="D312" i="5"/>
  <c r="C312" i="5" s="1"/>
  <c r="F311" i="5"/>
  <c r="E311" i="5"/>
  <c r="D311" i="5"/>
  <c r="C311" i="5"/>
  <c r="N311" i="5" s="1"/>
  <c r="F310" i="5"/>
  <c r="E310" i="5"/>
  <c r="D310" i="5"/>
  <c r="H310" i="5" s="1"/>
  <c r="F309" i="5"/>
  <c r="E309" i="5"/>
  <c r="D309" i="5"/>
  <c r="C309" i="5"/>
  <c r="F308" i="5"/>
  <c r="E308" i="5"/>
  <c r="D308" i="5"/>
  <c r="F307" i="5"/>
  <c r="E307" i="5"/>
  <c r="D307" i="5"/>
  <c r="F306" i="5"/>
  <c r="E306" i="5"/>
  <c r="D306" i="5"/>
  <c r="F305" i="5"/>
  <c r="E305" i="5"/>
  <c r="D305" i="5"/>
  <c r="F304" i="5"/>
  <c r="E304" i="5"/>
  <c r="D304" i="5"/>
  <c r="F303" i="5"/>
  <c r="E303" i="5"/>
  <c r="D303" i="5"/>
  <c r="F302" i="5"/>
  <c r="E302" i="5"/>
  <c r="D302" i="5"/>
  <c r="C302" i="5"/>
  <c r="F301" i="5"/>
  <c r="E301" i="5"/>
  <c r="D301" i="5"/>
  <c r="C301" i="5"/>
  <c r="F300" i="5"/>
  <c r="E300" i="5"/>
  <c r="D300" i="5"/>
  <c r="F299" i="5"/>
  <c r="E299" i="5"/>
  <c r="D299" i="5"/>
  <c r="F298" i="5"/>
  <c r="E298" i="5"/>
  <c r="D298" i="5"/>
  <c r="C298" i="5"/>
  <c r="N298" i="5" s="1"/>
  <c r="F297" i="5"/>
  <c r="E297" i="5"/>
  <c r="D297" i="5"/>
  <c r="J297" i="5" s="1"/>
  <c r="C297" i="5"/>
  <c r="F296" i="5"/>
  <c r="E296" i="5"/>
  <c r="D296" i="5"/>
  <c r="C296" i="5"/>
  <c r="F295" i="5"/>
  <c r="E295" i="5"/>
  <c r="D295" i="5"/>
  <c r="C295" i="5"/>
  <c r="F294" i="5"/>
  <c r="E294" i="5"/>
  <c r="D294" i="5"/>
  <c r="C294" i="5"/>
  <c r="F293" i="5"/>
  <c r="E293" i="5"/>
  <c r="D293" i="5"/>
  <c r="C293" i="5"/>
  <c r="N293" i="5" s="1"/>
  <c r="F292" i="5"/>
  <c r="E292" i="5"/>
  <c r="D292" i="5"/>
  <c r="C292" i="5"/>
  <c r="F291" i="5"/>
  <c r="E291" i="5"/>
  <c r="D291" i="5"/>
  <c r="C291" i="5"/>
  <c r="F290" i="5"/>
  <c r="E290" i="5"/>
  <c r="D290" i="5"/>
  <c r="C290" i="5"/>
  <c r="F289" i="5"/>
  <c r="E289" i="5"/>
  <c r="D289" i="5"/>
  <c r="J289" i="5" s="1"/>
  <c r="F288" i="5"/>
  <c r="E288" i="5"/>
  <c r="D288" i="5"/>
  <c r="J288" i="5" s="1"/>
  <c r="C288" i="5"/>
  <c r="N288" i="5" s="1"/>
  <c r="F287" i="5"/>
  <c r="E287" i="5"/>
  <c r="D287" i="5"/>
  <c r="C287" i="5"/>
  <c r="F286" i="5"/>
  <c r="E286" i="5"/>
  <c r="D286" i="5"/>
  <c r="C286" i="5" s="1"/>
  <c r="F285" i="5"/>
  <c r="E285" i="5"/>
  <c r="D285" i="5"/>
  <c r="C285" i="5"/>
  <c r="N285" i="5" s="1"/>
  <c r="F284" i="5"/>
  <c r="E284" i="5"/>
  <c r="D284" i="5"/>
  <c r="C284" i="5" s="1"/>
  <c r="F283" i="5"/>
  <c r="E283" i="5"/>
  <c r="D283" i="5"/>
  <c r="C283" i="5" s="1"/>
  <c r="N283" i="5" s="1"/>
  <c r="F282" i="5"/>
  <c r="E282" i="5"/>
  <c r="D282" i="5"/>
  <c r="C282" i="5" s="1"/>
  <c r="F281" i="5"/>
  <c r="E281" i="5"/>
  <c r="D281" i="5"/>
  <c r="C281" i="5" s="1"/>
  <c r="N281" i="5" s="1"/>
  <c r="F280" i="5"/>
  <c r="E280" i="5"/>
  <c r="D280" i="5"/>
  <c r="C280" i="5" s="1"/>
  <c r="F279" i="5"/>
  <c r="E279" i="5"/>
  <c r="D279" i="5"/>
  <c r="F278" i="5"/>
  <c r="E278" i="5"/>
  <c r="D278" i="5"/>
  <c r="C278" i="5"/>
  <c r="N278" i="5" s="1"/>
  <c r="F277" i="5"/>
  <c r="E277" i="5"/>
  <c r="D277" i="5"/>
  <c r="C277" i="5"/>
  <c r="F276" i="5"/>
  <c r="E276" i="5"/>
  <c r="D276" i="5"/>
  <c r="C276" i="5"/>
  <c r="F275" i="5"/>
  <c r="E275" i="5"/>
  <c r="D275" i="5"/>
  <c r="C275" i="5"/>
  <c r="N275" i="5" s="1"/>
  <c r="F274" i="5"/>
  <c r="E274" i="5"/>
  <c r="D274" i="5"/>
  <c r="F273" i="5"/>
  <c r="E273" i="5"/>
  <c r="D273" i="5"/>
  <c r="C273" i="5"/>
  <c r="F272" i="5"/>
  <c r="E272" i="5"/>
  <c r="D272" i="5"/>
  <c r="J272" i="5" s="1"/>
  <c r="C272" i="5"/>
  <c r="N272" i="5" s="1"/>
  <c r="F271" i="5"/>
  <c r="E271" i="5"/>
  <c r="D271" i="5"/>
  <c r="C271" i="5"/>
  <c r="F270" i="5"/>
  <c r="E270" i="5"/>
  <c r="D270" i="5"/>
  <c r="F269" i="5"/>
  <c r="E269" i="5"/>
  <c r="D269" i="5"/>
  <c r="C269" i="5"/>
  <c r="N269" i="5" s="1"/>
  <c r="F268" i="5"/>
  <c r="E268" i="5"/>
  <c r="D268" i="5"/>
  <c r="C268" i="5"/>
  <c r="F267" i="5"/>
  <c r="E267" i="5"/>
  <c r="D267" i="5"/>
  <c r="C267" i="5"/>
  <c r="F266" i="5"/>
  <c r="E266" i="5"/>
  <c r="D266" i="5"/>
  <c r="C266" i="5"/>
  <c r="N266" i="5" s="1"/>
  <c r="F265" i="5"/>
  <c r="E265" i="5"/>
  <c r="D265" i="5"/>
  <c r="C265" i="5"/>
  <c r="F264" i="5"/>
  <c r="E264" i="5"/>
  <c r="D264" i="5"/>
  <c r="C264" i="5"/>
  <c r="N264" i="5" s="1"/>
  <c r="F263" i="5"/>
  <c r="E263" i="5"/>
  <c r="D263" i="5"/>
  <c r="C263" i="5" s="1"/>
  <c r="N263" i="5" s="1"/>
  <c r="F262" i="5"/>
  <c r="E262" i="5"/>
  <c r="D262" i="5"/>
  <c r="C262" i="5"/>
  <c r="N262" i="5" s="1"/>
  <c r="F261" i="5"/>
  <c r="E261" i="5"/>
  <c r="D261" i="5"/>
  <c r="C261" i="5"/>
  <c r="N261" i="5" s="1"/>
  <c r="F260" i="5"/>
  <c r="E260" i="5"/>
  <c r="D260" i="5"/>
  <c r="C260" i="5"/>
  <c r="F259" i="5"/>
  <c r="E259" i="5"/>
  <c r="D259" i="5"/>
  <c r="C259" i="5"/>
  <c r="N259" i="5" s="1"/>
  <c r="F258" i="5"/>
  <c r="E258" i="5"/>
  <c r="D258" i="5"/>
  <c r="F257" i="5"/>
  <c r="E257" i="5"/>
  <c r="D257" i="5"/>
  <c r="F256" i="5"/>
  <c r="E256" i="5"/>
  <c r="D256" i="5"/>
  <c r="F255" i="5"/>
  <c r="E255" i="5"/>
  <c r="D255" i="5"/>
  <c r="C255" i="5"/>
  <c r="F254" i="5"/>
  <c r="E254" i="5"/>
  <c r="D254" i="5"/>
  <c r="F253" i="5"/>
  <c r="E253" i="5"/>
  <c r="D253" i="5"/>
  <c r="F252" i="5"/>
  <c r="E252" i="5"/>
  <c r="D252" i="5"/>
  <c r="C252" i="5"/>
  <c r="L252" i="5" s="1"/>
  <c r="F251" i="5"/>
  <c r="E251" i="5"/>
  <c r="D251" i="5"/>
  <c r="F250" i="5"/>
  <c r="E250" i="5"/>
  <c r="D250" i="5"/>
  <c r="C250" i="5"/>
  <c r="F249" i="5"/>
  <c r="E249" i="5"/>
  <c r="D249" i="5"/>
  <c r="C249" i="5" s="1"/>
  <c r="F248" i="5"/>
  <c r="E248" i="5"/>
  <c r="D248" i="5"/>
  <c r="F247" i="5"/>
  <c r="E247" i="5"/>
  <c r="D247" i="5"/>
  <c r="F246" i="5"/>
  <c r="E246" i="5"/>
  <c r="D246" i="5"/>
  <c r="F245" i="5"/>
  <c r="E245" i="5"/>
  <c r="D245" i="5"/>
  <c r="F244" i="5"/>
  <c r="E244" i="5"/>
  <c r="D244" i="5"/>
  <c r="F243" i="5"/>
  <c r="E243" i="5"/>
  <c r="D243" i="5"/>
  <c r="C243" i="5"/>
  <c r="N243" i="5" s="1"/>
  <c r="F242" i="5"/>
  <c r="E242" i="5"/>
  <c r="D242" i="5"/>
  <c r="C242" i="5"/>
  <c r="F241" i="5"/>
  <c r="E241" i="5"/>
  <c r="D241" i="5"/>
  <c r="C241" i="5"/>
  <c r="N241" i="5" s="1"/>
  <c r="F240" i="5"/>
  <c r="E240" i="5"/>
  <c r="D240" i="5"/>
  <c r="C240" i="5"/>
  <c r="F239" i="5"/>
  <c r="E239" i="5"/>
  <c r="D239" i="5"/>
  <c r="H239" i="5" s="1"/>
  <c r="C239" i="5"/>
  <c r="F238" i="5"/>
  <c r="E238" i="5"/>
  <c r="D238" i="5"/>
  <c r="C238" i="5"/>
  <c r="N238" i="5" s="1"/>
  <c r="F237" i="5"/>
  <c r="E237" i="5"/>
  <c r="D237" i="5"/>
  <c r="C237" i="5"/>
  <c r="F236" i="5"/>
  <c r="E236" i="5"/>
  <c r="D236" i="5"/>
  <c r="F235" i="5"/>
  <c r="E235" i="5"/>
  <c r="D235" i="5"/>
  <c r="C235" i="5"/>
  <c r="F234" i="5"/>
  <c r="E234" i="5"/>
  <c r="D234" i="5"/>
  <c r="C234" i="5"/>
  <c r="F233" i="5"/>
  <c r="E233" i="5"/>
  <c r="D233" i="5"/>
  <c r="F232" i="5"/>
  <c r="E232" i="5"/>
  <c r="D232" i="5"/>
  <c r="F231" i="5"/>
  <c r="E231" i="5"/>
  <c r="D231" i="5"/>
  <c r="F230" i="5"/>
  <c r="E230" i="5"/>
  <c r="D230" i="5"/>
  <c r="F229" i="5"/>
  <c r="E229" i="5"/>
  <c r="D229" i="5"/>
  <c r="F228" i="5"/>
  <c r="E228" i="5"/>
  <c r="D228" i="5"/>
  <c r="C228" i="5"/>
  <c r="F227" i="5"/>
  <c r="E227" i="5"/>
  <c r="D227" i="5"/>
  <c r="F226" i="5"/>
  <c r="E226" i="5"/>
  <c r="D226" i="5"/>
  <c r="C226" i="5"/>
  <c r="F225" i="5"/>
  <c r="E225" i="5"/>
  <c r="D225" i="5"/>
  <c r="C225" i="5" s="1"/>
  <c r="N225" i="5" s="1"/>
  <c r="F224" i="5"/>
  <c r="E224" i="5"/>
  <c r="D224" i="5"/>
  <c r="F223" i="5"/>
  <c r="E223" i="5"/>
  <c r="D223" i="5"/>
  <c r="F222" i="5"/>
  <c r="E222" i="5"/>
  <c r="D222" i="5"/>
  <c r="F221" i="5"/>
  <c r="E221" i="5"/>
  <c r="D221" i="5"/>
  <c r="C221" i="5"/>
  <c r="F220" i="5"/>
  <c r="E220" i="5"/>
  <c r="D220" i="5"/>
  <c r="C220" i="5"/>
  <c r="F219" i="5"/>
  <c r="E219" i="5"/>
  <c r="D219" i="5"/>
  <c r="C219" i="5" s="1"/>
  <c r="N219" i="5" s="1"/>
  <c r="F218" i="5"/>
  <c r="E218" i="5"/>
  <c r="D218" i="5"/>
  <c r="C218" i="5"/>
  <c r="F217" i="5"/>
  <c r="E217" i="5"/>
  <c r="D217" i="5"/>
  <c r="C217" i="5" s="1"/>
  <c r="N217" i="5" s="1"/>
  <c r="F216" i="5"/>
  <c r="E216" i="5"/>
  <c r="D216" i="5"/>
  <c r="J216" i="5" s="1"/>
  <c r="F215" i="5"/>
  <c r="E215" i="5"/>
  <c r="D215" i="5"/>
  <c r="C215" i="5"/>
  <c r="N215" i="5" s="1"/>
  <c r="F214" i="5"/>
  <c r="E214" i="5"/>
  <c r="D214" i="5"/>
  <c r="H214" i="5" s="1"/>
  <c r="F213" i="5"/>
  <c r="E213" i="5"/>
  <c r="D213" i="5"/>
  <c r="C213" i="5"/>
  <c r="N213" i="5" s="1"/>
  <c r="F212" i="5"/>
  <c r="E212" i="5"/>
  <c r="D212" i="5"/>
  <c r="J212" i="5" s="1"/>
  <c r="C212" i="5"/>
  <c r="N212" i="5" s="1"/>
  <c r="F211" i="5"/>
  <c r="E211" i="5"/>
  <c r="D211" i="5"/>
  <c r="H211" i="5" s="1"/>
  <c r="C211" i="5"/>
  <c r="N211" i="5" s="1"/>
  <c r="F210" i="5"/>
  <c r="E210" i="5"/>
  <c r="D210" i="5"/>
  <c r="J210" i="5" s="1"/>
  <c r="C210" i="5"/>
  <c r="N210" i="5" s="1"/>
  <c r="F209" i="5"/>
  <c r="E209" i="5"/>
  <c r="D209" i="5"/>
  <c r="C209" i="5"/>
  <c r="N209" i="5" s="1"/>
  <c r="F208" i="5"/>
  <c r="E208" i="5"/>
  <c r="D208" i="5"/>
  <c r="C208" i="5"/>
  <c r="F207" i="5"/>
  <c r="E207" i="5"/>
  <c r="D207" i="5"/>
  <c r="J207" i="5" s="1"/>
  <c r="C207" i="5"/>
  <c r="N207" i="5" s="1"/>
  <c r="F206" i="5"/>
  <c r="E206" i="5"/>
  <c r="D206" i="5"/>
  <c r="J206" i="5" s="1"/>
  <c r="C206" i="5"/>
  <c r="N206" i="5" s="1"/>
  <c r="F205" i="5"/>
  <c r="E205" i="5"/>
  <c r="D205" i="5"/>
  <c r="C205" i="5" s="1"/>
  <c r="F204" i="5"/>
  <c r="E204" i="5"/>
  <c r="D204" i="5"/>
  <c r="F203" i="5"/>
  <c r="E203" i="5"/>
  <c r="D203" i="5"/>
  <c r="F202" i="5"/>
  <c r="E202" i="5"/>
  <c r="D202" i="5"/>
  <c r="F201" i="5"/>
  <c r="E201" i="5"/>
  <c r="D201" i="5"/>
  <c r="F200" i="5"/>
  <c r="E200" i="5"/>
  <c r="D200" i="5"/>
  <c r="F199" i="5"/>
  <c r="E199" i="5"/>
  <c r="D199" i="5"/>
  <c r="F198" i="5"/>
  <c r="E198" i="5"/>
  <c r="D198" i="5"/>
  <c r="F197" i="5"/>
  <c r="E197" i="5"/>
  <c r="D197" i="5"/>
  <c r="C197" i="5" s="1"/>
  <c r="F196" i="5"/>
  <c r="E196" i="5"/>
  <c r="D196" i="5"/>
  <c r="F195" i="5"/>
  <c r="E195" i="5"/>
  <c r="D195" i="5"/>
  <c r="F194" i="5"/>
  <c r="E194" i="5"/>
  <c r="D194" i="5"/>
  <c r="F193" i="5"/>
  <c r="E193" i="5"/>
  <c r="D193" i="5"/>
  <c r="F192" i="5"/>
  <c r="E192" i="5"/>
  <c r="D192" i="5"/>
  <c r="F191" i="5"/>
  <c r="E191" i="5"/>
  <c r="D191" i="5"/>
  <c r="F190" i="5"/>
  <c r="E190" i="5"/>
  <c r="D190" i="5"/>
  <c r="C190" i="5" s="1"/>
  <c r="N190" i="5" s="1"/>
  <c r="F189" i="5"/>
  <c r="E189" i="5"/>
  <c r="D189" i="5"/>
  <c r="F188" i="5"/>
  <c r="E188" i="5"/>
  <c r="D188" i="5"/>
  <c r="C188" i="5" s="1"/>
  <c r="N188" i="5" s="1"/>
  <c r="F187" i="5"/>
  <c r="E187" i="5"/>
  <c r="D187" i="5"/>
  <c r="C187" i="5"/>
  <c r="F186" i="5"/>
  <c r="E186" i="5"/>
  <c r="D186" i="5"/>
  <c r="H186" i="5" s="1"/>
  <c r="C186" i="5"/>
  <c r="N186" i="5" s="1"/>
  <c r="F185" i="5"/>
  <c r="E185" i="5"/>
  <c r="D185" i="5"/>
  <c r="F184" i="5"/>
  <c r="E184" i="5"/>
  <c r="D184" i="5"/>
  <c r="C184" i="5"/>
  <c r="F183" i="5"/>
  <c r="E183" i="5"/>
  <c r="D183" i="5"/>
  <c r="F182" i="5"/>
  <c r="E182" i="5"/>
  <c r="D182" i="5"/>
  <c r="C182" i="5"/>
  <c r="F181" i="5"/>
  <c r="E181" i="5"/>
  <c r="D181" i="5"/>
  <c r="F180" i="5"/>
  <c r="E180" i="5"/>
  <c r="D180" i="5"/>
  <c r="C180" i="5"/>
  <c r="F179" i="5"/>
  <c r="E179" i="5"/>
  <c r="D179" i="5"/>
  <c r="C179" i="5" s="1"/>
  <c r="N179" i="5" s="1"/>
  <c r="F178" i="5"/>
  <c r="E178" i="5"/>
  <c r="D178" i="5"/>
  <c r="C178" i="5"/>
  <c r="F177" i="5"/>
  <c r="E177" i="5"/>
  <c r="D177" i="5"/>
  <c r="F176" i="5"/>
  <c r="E176" i="5"/>
  <c r="D176" i="5"/>
  <c r="J176" i="5" s="1"/>
  <c r="C176" i="5"/>
  <c r="N176" i="5" s="1"/>
  <c r="F175" i="5"/>
  <c r="E175" i="5"/>
  <c r="D175" i="5"/>
  <c r="F174" i="5"/>
  <c r="E174" i="5"/>
  <c r="D174" i="5"/>
  <c r="H174" i="5" s="1"/>
  <c r="F173" i="5"/>
  <c r="E173" i="5"/>
  <c r="D173" i="5"/>
  <c r="C173" i="5" s="1"/>
  <c r="F172" i="5"/>
  <c r="E172" i="5"/>
  <c r="D172" i="5"/>
  <c r="F171" i="5"/>
  <c r="E171" i="5"/>
  <c r="D171" i="5"/>
  <c r="C171" i="5"/>
  <c r="F170" i="5"/>
  <c r="E170" i="5"/>
  <c r="D170" i="5"/>
  <c r="J170" i="5" s="1"/>
  <c r="C170" i="5"/>
  <c r="N170" i="5" s="1"/>
  <c r="F169" i="5"/>
  <c r="E169" i="5"/>
  <c r="D169" i="5"/>
  <c r="J169" i="5" s="1"/>
  <c r="C169" i="5"/>
  <c r="N169" i="5" s="1"/>
  <c r="F168" i="5"/>
  <c r="E168" i="5"/>
  <c r="D168" i="5"/>
  <c r="C168" i="5"/>
  <c r="N168" i="5" s="1"/>
  <c r="F167" i="5"/>
  <c r="E167" i="5"/>
  <c r="D167" i="5"/>
  <c r="J167" i="5" s="1"/>
  <c r="C167" i="5"/>
  <c r="N167" i="5" s="1"/>
  <c r="F166" i="5"/>
  <c r="E166" i="5"/>
  <c r="D166" i="5"/>
  <c r="C166" i="5"/>
  <c r="F165" i="5"/>
  <c r="E165" i="5"/>
  <c r="D165" i="5"/>
  <c r="J165" i="5" s="1"/>
  <c r="C165" i="5"/>
  <c r="N165" i="5" s="1"/>
  <c r="F164" i="5"/>
  <c r="E164" i="5"/>
  <c r="D164" i="5"/>
  <c r="C164" i="5"/>
  <c r="F163" i="5"/>
  <c r="E163" i="5"/>
  <c r="D163" i="5"/>
  <c r="F162" i="5"/>
  <c r="E162" i="5"/>
  <c r="D162" i="5"/>
  <c r="J162" i="5" s="1"/>
  <c r="C162" i="5"/>
  <c r="N162" i="5" s="1"/>
  <c r="F161" i="5"/>
  <c r="E161" i="5"/>
  <c r="D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J157" i="5" s="1"/>
  <c r="C157" i="5"/>
  <c r="N157" i="5" s="1"/>
  <c r="F156" i="5"/>
  <c r="E156" i="5"/>
  <c r="D156" i="5"/>
  <c r="C156" i="5"/>
  <c r="N156" i="5" s="1"/>
  <c r="F155" i="5"/>
  <c r="E155" i="5"/>
  <c r="D155" i="5"/>
  <c r="C155" i="5"/>
  <c r="F154" i="5"/>
  <c r="E154" i="5"/>
  <c r="D154" i="5"/>
  <c r="C154" i="5" s="1"/>
  <c r="N154" i="5" s="1"/>
  <c r="F153" i="5"/>
  <c r="E153" i="5"/>
  <c r="D153" i="5"/>
  <c r="J153" i="5" s="1"/>
  <c r="C153" i="5"/>
  <c r="N153" i="5" s="1"/>
  <c r="F152" i="5"/>
  <c r="E152" i="5"/>
  <c r="D152" i="5"/>
  <c r="F151" i="5"/>
  <c r="E151" i="5"/>
  <c r="D151" i="5"/>
  <c r="C151" i="5"/>
  <c r="N151" i="5" s="1"/>
  <c r="F150" i="5"/>
  <c r="E150" i="5"/>
  <c r="D150" i="5"/>
  <c r="C150" i="5" s="1"/>
  <c r="N150" i="5" s="1"/>
  <c r="F149" i="5"/>
  <c r="E149" i="5"/>
  <c r="D149" i="5"/>
  <c r="J149" i="5" s="1"/>
  <c r="C149" i="5"/>
  <c r="N149" i="5" s="1"/>
  <c r="F148" i="5"/>
  <c r="E148" i="5"/>
  <c r="D148" i="5"/>
  <c r="C148" i="5"/>
  <c r="N148" i="5" s="1"/>
  <c r="F147" i="5"/>
  <c r="E147" i="5"/>
  <c r="D147" i="5"/>
  <c r="C147" i="5"/>
  <c r="F146" i="5"/>
  <c r="E146" i="5"/>
  <c r="D146" i="5"/>
  <c r="J146" i="5" s="1"/>
  <c r="C146" i="5"/>
  <c r="F145" i="5"/>
  <c r="E145" i="5"/>
  <c r="D145" i="5"/>
  <c r="C145" i="5"/>
  <c r="F144" i="5"/>
  <c r="E144" i="5"/>
  <c r="D144" i="5"/>
  <c r="H144" i="5" s="1"/>
  <c r="F143" i="5"/>
  <c r="E143" i="5"/>
  <c r="D143" i="5"/>
  <c r="J143" i="5" s="1"/>
  <c r="C143" i="5"/>
  <c r="N143" i="5" s="1"/>
  <c r="F142" i="5"/>
  <c r="E142" i="5"/>
  <c r="D142" i="5"/>
  <c r="C142" i="5"/>
  <c r="N142" i="5" s="1"/>
  <c r="F141" i="5"/>
  <c r="E141" i="5"/>
  <c r="D141" i="5"/>
  <c r="F140" i="5"/>
  <c r="E140" i="5"/>
  <c r="D140" i="5"/>
  <c r="C140" i="5"/>
  <c r="F139" i="5"/>
  <c r="E139" i="5"/>
  <c r="D139" i="5"/>
  <c r="C139" i="5" s="1"/>
  <c r="N139" i="5" s="1"/>
  <c r="F138" i="5"/>
  <c r="E138" i="5"/>
  <c r="D138" i="5"/>
  <c r="H138" i="5" s="1"/>
  <c r="C138" i="5"/>
  <c r="F137" i="5"/>
  <c r="E137" i="5"/>
  <c r="D137" i="5"/>
  <c r="C137" i="5"/>
  <c r="N137" i="5" s="1"/>
  <c r="F136" i="5"/>
  <c r="E136" i="5"/>
  <c r="D136" i="5"/>
  <c r="H136" i="5" s="1"/>
  <c r="C136" i="5"/>
  <c r="N136" i="5" s="1"/>
  <c r="F135" i="5"/>
  <c r="E135" i="5"/>
  <c r="D135" i="5"/>
  <c r="H135" i="5" s="1"/>
  <c r="C135" i="5"/>
  <c r="N135" i="5" s="1"/>
  <c r="F134" i="5"/>
  <c r="E134" i="5"/>
  <c r="D134" i="5"/>
  <c r="C134" i="5"/>
  <c r="N134" i="5" s="1"/>
  <c r="F133" i="5"/>
  <c r="E133" i="5"/>
  <c r="D133" i="5"/>
  <c r="C133" i="5"/>
  <c r="F132" i="5"/>
  <c r="E132" i="5"/>
  <c r="D132" i="5"/>
  <c r="C132" i="5"/>
  <c r="N132" i="5" s="1"/>
  <c r="F131" i="5"/>
  <c r="E131" i="5"/>
  <c r="D131" i="5"/>
  <c r="C131" i="5" s="1"/>
  <c r="N131" i="5" s="1"/>
  <c r="F130" i="5"/>
  <c r="E130" i="5"/>
  <c r="D130" i="5"/>
  <c r="F129" i="5"/>
  <c r="E129" i="5"/>
  <c r="D129" i="5"/>
  <c r="J129" i="5" s="1"/>
  <c r="C129" i="5"/>
  <c r="N129" i="5" s="1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C120" i="5"/>
  <c r="N120" i="5" s="1"/>
  <c r="F119" i="5"/>
  <c r="E119" i="5"/>
  <c r="D119" i="5"/>
  <c r="F118" i="5"/>
  <c r="E118" i="5"/>
  <c r="D118" i="5"/>
  <c r="C118" i="5"/>
  <c r="F117" i="5"/>
  <c r="E117" i="5"/>
  <c r="D117" i="5"/>
  <c r="H117" i="5" s="1"/>
  <c r="F116" i="5"/>
  <c r="E116" i="5"/>
  <c r="D116" i="5"/>
  <c r="C116" i="5" s="1"/>
  <c r="N116" i="5" s="1"/>
  <c r="F115" i="5"/>
  <c r="E115" i="5"/>
  <c r="D115" i="5"/>
  <c r="J115" i="5" s="1"/>
  <c r="C115" i="5"/>
  <c r="N115" i="5" s="1"/>
  <c r="F114" i="5"/>
  <c r="E114" i="5"/>
  <c r="D114" i="5"/>
  <c r="C114" i="5"/>
  <c r="N114" i="5" s="1"/>
  <c r="F113" i="5"/>
  <c r="E113" i="5"/>
  <c r="D113" i="5"/>
  <c r="C113" i="5"/>
  <c r="N113" i="5" s="1"/>
  <c r="F112" i="5"/>
  <c r="E112" i="5"/>
  <c r="D112" i="5"/>
  <c r="C112" i="5"/>
  <c r="N112" i="5" s="1"/>
  <c r="F111" i="5"/>
  <c r="E111" i="5"/>
  <c r="D111" i="5"/>
  <c r="C111" i="5"/>
  <c r="N111" i="5" s="1"/>
  <c r="F110" i="5"/>
  <c r="E110" i="5"/>
  <c r="D110" i="5"/>
  <c r="C110" i="5"/>
  <c r="F109" i="5"/>
  <c r="E109" i="5"/>
  <c r="D109" i="5"/>
  <c r="J109" i="5" s="1"/>
  <c r="C109" i="5"/>
  <c r="N109" i="5" s="1"/>
  <c r="F108" i="5"/>
  <c r="E108" i="5"/>
  <c r="D108" i="5"/>
  <c r="F107" i="5"/>
  <c r="E107" i="5"/>
  <c r="D107" i="5"/>
  <c r="C107" i="5"/>
  <c r="N107" i="5" s="1"/>
  <c r="F106" i="5"/>
  <c r="E106" i="5"/>
  <c r="D106" i="5"/>
  <c r="F105" i="5"/>
  <c r="E105" i="5"/>
  <c r="D105" i="5"/>
  <c r="C105" i="5"/>
  <c r="F104" i="5"/>
  <c r="E104" i="5"/>
  <c r="D104" i="5"/>
  <c r="F103" i="5"/>
  <c r="E103" i="5"/>
  <c r="D103" i="5"/>
  <c r="C103" i="5"/>
  <c r="N103" i="5" s="1"/>
  <c r="F102" i="5"/>
  <c r="E102" i="5"/>
  <c r="D102" i="5"/>
  <c r="J102" i="5" s="1"/>
  <c r="C102" i="5"/>
  <c r="N102" i="5" s="1"/>
  <c r="F101" i="5"/>
  <c r="E101" i="5"/>
  <c r="D101" i="5"/>
  <c r="C101" i="5"/>
  <c r="F100" i="5"/>
  <c r="E100" i="5"/>
  <c r="D100" i="5"/>
  <c r="J100" i="5" s="1"/>
  <c r="C100" i="5"/>
  <c r="F99" i="5"/>
  <c r="E99" i="5"/>
  <c r="D99" i="5"/>
  <c r="C99" i="5"/>
  <c r="F98" i="5"/>
  <c r="E98" i="5"/>
  <c r="D98" i="5"/>
  <c r="C98" i="5"/>
  <c r="F97" i="5"/>
  <c r="E97" i="5"/>
  <c r="D97" i="5"/>
  <c r="F96" i="5"/>
  <c r="E96" i="5"/>
  <c r="D96" i="5"/>
  <c r="C96" i="5"/>
  <c r="F95" i="5"/>
  <c r="E95" i="5"/>
  <c r="D95" i="5"/>
  <c r="F94" i="5"/>
  <c r="E94" i="5"/>
  <c r="D94" i="5"/>
  <c r="C94" i="5"/>
  <c r="N94" i="5" s="1"/>
  <c r="F93" i="5"/>
  <c r="E93" i="5"/>
  <c r="D93" i="5"/>
  <c r="C93" i="5"/>
  <c r="F92" i="5"/>
  <c r="E92" i="5"/>
  <c r="D92" i="5"/>
  <c r="C92" i="5"/>
  <c r="N92" i="5" s="1"/>
  <c r="F91" i="5"/>
  <c r="E91" i="5"/>
  <c r="D91" i="5"/>
  <c r="J91" i="5" s="1"/>
  <c r="C91" i="5"/>
  <c r="N91" i="5" s="1"/>
  <c r="F90" i="5"/>
  <c r="E90" i="5"/>
  <c r="D90" i="5"/>
  <c r="F89" i="5"/>
  <c r="E89" i="5"/>
  <c r="D89" i="5"/>
  <c r="F88" i="5"/>
  <c r="E88" i="5"/>
  <c r="D88" i="5"/>
  <c r="F87" i="5"/>
  <c r="E87" i="5"/>
  <c r="D87" i="5"/>
  <c r="C87" i="5"/>
  <c r="F86" i="5"/>
  <c r="E86" i="5"/>
  <c r="D86" i="5"/>
  <c r="F85" i="5"/>
  <c r="E85" i="5"/>
  <c r="D85" i="5"/>
  <c r="C85" i="5"/>
  <c r="N85" i="5" s="1"/>
  <c r="F84" i="5"/>
  <c r="E84" i="5"/>
  <c r="D84" i="5"/>
  <c r="F83" i="5"/>
  <c r="E83" i="5"/>
  <c r="D83" i="5"/>
  <c r="C83" i="5"/>
  <c r="F82" i="5"/>
  <c r="E82" i="5"/>
  <c r="D82" i="5"/>
  <c r="H82" i="5" s="1"/>
  <c r="C82" i="5"/>
  <c r="N82" i="5" s="1"/>
  <c r="F81" i="5"/>
  <c r="E81" i="5"/>
  <c r="D81" i="5"/>
  <c r="C81" i="5" s="1"/>
  <c r="F80" i="5"/>
  <c r="E80" i="5"/>
  <c r="D80" i="5"/>
  <c r="H80" i="5" s="1"/>
  <c r="C80" i="5"/>
  <c r="N80" i="5" s="1"/>
  <c r="F79" i="5"/>
  <c r="E79" i="5"/>
  <c r="D79" i="5"/>
  <c r="C79" i="5"/>
  <c r="F78" i="5"/>
  <c r="E78" i="5"/>
  <c r="D78" i="5"/>
  <c r="C78" i="5"/>
  <c r="N78" i="5" s="1"/>
  <c r="F77" i="5"/>
  <c r="E77" i="5"/>
  <c r="D77" i="5"/>
  <c r="C77" i="5"/>
  <c r="F76" i="5"/>
  <c r="E76" i="5"/>
  <c r="D76" i="5"/>
  <c r="C76" i="5"/>
  <c r="F75" i="5"/>
  <c r="E75" i="5"/>
  <c r="D75" i="5"/>
  <c r="C75" i="5" s="1"/>
  <c r="F74" i="5"/>
  <c r="E74" i="5"/>
  <c r="D74" i="5"/>
  <c r="C74" i="5"/>
  <c r="F73" i="5"/>
  <c r="E73" i="5"/>
  <c r="D73" i="5"/>
  <c r="C73" i="5" s="1"/>
  <c r="N73" i="5" s="1"/>
  <c r="F72" i="5"/>
  <c r="E72" i="5"/>
  <c r="D72" i="5"/>
  <c r="C72" i="5"/>
  <c r="F71" i="5"/>
  <c r="E71" i="5"/>
  <c r="D71" i="5"/>
  <c r="J71" i="5" s="1"/>
  <c r="C71" i="5"/>
  <c r="N71" i="5" s="1"/>
  <c r="F70" i="5"/>
  <c r="E70" i="5"/>
  <c r="D70" i="5"/>
  <c r="F69" i="5"/>
  <c r="E69" i="5"/>
  <c r="D69" i="5"/>
  <c r="C69" i="5"/>
  <c r="N69" i="5" s="1"/>
  <c r="F68" i="5"/>
  <c r="E68" i="5"/>
  <c r="D68" i="5"/>
  <c r="C68" i="5"/>
  <c r="F67" i="5"/>
  <c r="E67" i="5"/>
  <c r="D67" i="5"/>
  <c r="C67" i="5"/>
  <c r="N67" i="5" s="1"/>
  <c r="F66" i="5"/>
  <c r="E66" i="5"/>
  <c r="D66" i="5"/>
  <c r="C66" i="5"/>
  <c r="F65" i="5"/>
  <c r="E65" i="5"/>
  <c r="D65" i="5"/>
  <c r="J65" i="5" s="1"/>
  <c r="C65" i="5"/>
  <c r="N65" i="5" s="1"/>
  <c r="F64" i="5"/>
  <c r="E64" i="5"/>
  <c r="D64" i="5"/>
  <c r="F63" i="5"/>
  <c r="E63" i="5"/>
  <c r="D63" i="5"/>
  <c r="F62" i="5"/>
  <c r="E62" i="5"/>
  <c r="D62" i="5"/>
  <c r="C62" i="5"/>
  <c r="I62" i="5" s="1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C57" i="5"/>
  <c r="F56" i="5"/>
  <c r="E56" i="5"/>
  <c r="D56" i="5"/>
  <c r="F55" i="5"/>
  <c r="E55" i="5"/>
  <c r="D55" i="5"/>
  <c r="F54" i="5"/>
  <c r="E54" i="5"/>
  <c r="D54" i="5"/>
  <c r="C54" i="5" s="1"/>
  <c r="F53" i="5"/>
  <c r="E53" i="5"/>
  <c r="D53" i="5"/>
  <c r="C53" i="5"/>
  <c r="N53" i="5" s="1"/>
  <c r="F52" i="5"/>
  <c r="E52" i="5"/>
  <c r="D52" i="5"/>
  <c r="H52" i="5" s="1"/>
  <c r="F51" i="5"/>
  <c r="E51" i="5"/>
  <c r="D51" i="5"/>
  <c r="C51" i="5"/>
  <c r="N51" i="5" s="1"/>
  <c r="F50" i="5"/>
  <c r="E50" i="5"/>
  <c r="D50" i="5"/>
  <c r="J50" i="5" s="1"/>
  <c r="C50" i="5"/>
  <c r="N50" i="5" s="1"/>
  <c r="F49" i="5"/>
  <c r="E49" i="5"/>
  <c r="D49" i="5"/>
  <c r="C49" i="5"/>
  <c r="F48" i="5"/>
  <c r="E48" i="5"/>
  <c r="D48" i="5"/>
  <c r="J48" i="5" s="1"/>
  <c r="C48" i="5"/>
  <c r="N48" i="5" s="1"/>
  <c r="F47" i="5"/>
  <c r="E47" i="5"/>
  <c r="D47" i="5"/>
  <c r="F46" i="5"/>
  <c r="E46" i="5"/>
  <c r="D46" i="5"/>
  <c r="C46" i="5"/>
  <c r="F45" i="5"/>
  <c r="E45" i="5"/>
  <c r="D45" i="5"/>
  <c r="C45" i="5"/>
  <c r="F44" i="5"/>
  <c r="E44" i="5"/>
  <c r="D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J38" i="5" s="1"/>
  <c r="C38" i="5"/>
  <c r="F37" i="5"/>
  <c r="E37" i="5"/>
  <c r="D37" i="5"/>
  <c r="F36" i="5"/>
  <c r="E36" i="5"/>
  <c r="D36" i="5"/>
  <c r="C36" i="5"/>
  <c r="N36" i="5" s="1"/>
  <c r="F35" i="5"/>
  <c r="E35" i="5"/>
  <c r="D35" i="5"/>
  <c r="C35" i="5"/>
  <c r="F34" i="5"/>
  <c r="E34" i="5"/>
  <c r="D34" i="5"/>
  <c r="C34" i="5"/>
  <c r="N34" i="5" s="1"/>
  <c r="F33" i="5"/>
  <c r="E33" i="5"/>
  <c r="D33" i="5"/>
  <c r="F32" i="5"/>
  <c r="E32" i="5"/>
  <c r="D32" i="5"/>
  <c r="C32" i="5"/>
  <c r="F31" i="5"/>
  <c r="E31" i="5"/>
  <c r="D31" i="5"/>
  <c r="J31" i="5" s="1"/>
  <c r="C31" i="5"/>
  <c r="N31" i="5" s="1"/>
  <c r="F30" i="5"/>
  <c r="E30" i="5"/>
  <c r="D30" i="5"/>
  <c r="H30" i="5" s="1"/>
  <c r="C30" i="5"/>
  <c r="N30" i="5" s="1"/>
  <c r="F29" i="5"/>
  <c r="E29" i="5"/>
  <c r="D29" i="5"/>
  <c r="C29" i="5"/>
  <c r="F28" i="5"/>
  <c r="E28" i="5"/>
  <c r="D28" i="5"/>
  <c r="F27" i="5"/>
  <c r="E27" i="5"/>
  <c r="D27" i="5"/>
  <c r="C27" i="5"/>
  <c r="F26" i="5"/>
  <c r="E26" i="5"/>
  <c r="D26" i="5"/>
  <c r="C26" i="5"/>
  <c r="F25" i="5"/>
  <c r="E25" i="5"/>
  <c r="D25" i="5"/>
  <c r="J25" i="5" s="1"/>
  <c r="C25" i="5"/>
  <c r="N25" i="5" s="1"/>
  <c r="F24" i="5"/>
  <c r="E24" i="5"/>
  <c r="D24" i="5"/>
  <c r="C24" i="5"/>
  <c r="F23" i="5"/>
  <c r="E23" i="5"/>
  <c r="D23" i="5"/>
  <c r="J23" i="5" s="1"/>
  <c r="C23" i="5"/>
  <c r="N23" i="5" s="1"/>
  <c r="F22" i="5"/>
  <c r="E22" i="5"/>
  <c r="D22" i="5"/>
  <c r="F21" i="5"/>
  <c r="E21" i="5"/>
  <c r="D21" i="5"/>
  <c r="F20" i="5"/>
  <c r="E20" i="5"/>
  <c r="D20" i="5"/>
  <c r="C20" i="5"/>
  <c r="F19" i="5"/>
  <c r="E19" i="5"/>
  <c r="D19" i="5"/>
  <c r="J19" i="5" s="1"/>
  <c r="C19" i="5"/>
  <c r="F18" i="5"/>
  <c r="E18" i="5"/>
  <c r="D18" i="5"/>
  <c r="C18" i="5" s="1"/>
  <c r="F17" i="5"/>
  <c r="E17" i="5"/>
  <c r="D17" i="5"/>
  <c r="C17" i="5" s="1"/>
  <c r="F16" i="5"/>
  <c r="E16" i="5"/>
  <c r="D16" i="5"/>
  <c r="F15" i="5"/>
  <c r="E15" i="5"/>
  <c r="D15" i="5"/>
  <c r="F14" i="5"/>
  <c r="E14" i="5"/>
  <c r="D14" i="5"/>
  <c r="J14" i="5" s="1"/>
  <c r="F13" i="5"/>
  <c r="E13" i="5"/>
  <c r="D13" i="5"/>
  <c r="C13" i="5"/>
  <c r="F12" i="5"/>
  <c r="E12" i="5"/>
  <c r="D12" i="5"/>
  <c r="C12" i="5" s="1"/>
  <c r="N12" i="5" s="1"/>
  <c r="F11" i="5"/>
  <c r="E11" i="5"/>
  <c r="D11" i="5"/>
  <c r="F10" i="5"/>
  <c r="E10" i="5"/>
  <c r="D10" i="5"/>
  <c r="C10" i="5" s="1"/>
  <c r="F9" i="5"/>
  <c r="E9" i="5"/>
  <c r="D9" i="5"/>
  <c r="C9" i="5" s="1"/>
  <c r="F8" i="5"/>
  <c r="E8" i="5"/>
  <c r="D8" i="5"/>
  <c r="F7" i="5"/>
  <c r="E7" i="5"/>
  <c r="D7" i="5"/>
  <c r="F6" i="5"/>
  <c r="E6" i="5"/>
  <c r="D6" i="5"/>
  <c r="F5" i="5"/>
  <c r="E5" i="5"/>
  <c r="D5" i="5"/>
  <c r="H5" i="5" s="1"/>
  <c r="C5" i="5"/>
  <c r="N5" i="5" s="1"/>
  <c r="F4" i="5"/>
  <c r="E4" i="5"/>
  <c r="D4" i="5"/>
  <c r="F3" i="5"/>
  <c r="E3" i="5"/>
  <c r="D3" i="5"/>
  <c r="C3" i="5" s="1"/>
  <c r="E1071" i="6"/>
  <c r="D873" i="4"/>
  <c r="C873" i="4"/>
  <c r="D207" i="4"/>
  <c r="C207" i="4"/>
  <c r="J415" i="5" l="1"/>
  <c r="H415" i="5"/>
  <c r="M415" i="5"/>
  <c r="I415" i="5"/>
  <c r="G415" i="5"/>
  <c r="K415" i="5"/>
  <c r="H287" i="5"/>
  <c r="J287" i="5"/>
  <c r="L287" i="5"/>
  <c r="K287" i="5"/>
  <c r="J247" i="5"/>
  <c r="C247" i="5"/>
  <c r="N247" i="5" s="1"/>
  <c r="H228" i="5"/>
  <c r="J228" i="5"/>
  <c r="H221" i="5"/>
  <c r="J221" i="5"/>
  <c r="N221" i="5"/>
  <c r="M221" i="5"/>
  <c r="L221" i="5"/>
  <c r="K221" i="5"/>
  <c r="I221" i="5"/>
  <c r="J187" i="5"/>
  <c r="H187" i="5"/>
  <c r="N187" i="5"/>
  <c r="I187" i="5"/>
  <c r="M187" i="5"/>
  <c r="L187" i="5"/>
  <c r="K187" i="5"/>
  <c r="G187" i="5"/>
  <c r="M155" i="5"/>
  <c r="L155" i="5"/>
  <c r="J27" i="5"/>
  <c r="H27" i="5"/>
  <c r="N27" i="5"/>
  <c r="K27" i="5"/>
  <c r="G27" i="5"/>
  <c r="J21" i="5"/>
  <c r="C21" i="5"/>
  <c r="N21" i="5" s="1"/>
  <c r="J15" i="5"/>
  <c r="C15" i="5"/>
  <c r="N15" i="5" s="1"/>
  <c r="J8" i="5"/>
  <c r="C8" i="5"/>
  <c r="J7" i="5"/>
  <c r="C7" i="5"/>
  <c r="N7" i="5" s="1"/>
  <c r="J4" i="5"/>
  <c r="C4" i="5"/>
  <c r="J511" i="5"/>
  <c r="H511" i="5"/>
  <c r="C510" i="5"/>
  <c r="J510" i="5"/>
  <c r="H510" i="5"/>
  <c r="J509" i="5"/>
  <c r="H509" i="5"/>
  <c r="M509" i="5"/>
  <c r="L509" i="5"/>
  <c r="K509" i="5"/>
  <c r="I509" i="5"/>
  <c r="G509" i="5"/>
  <c r="N509" i="5"/>
  <c r="H507" i="5"/>
  <c r="J507" i="5"/>
  <c r="G507" i="5"/>
  <c r="N507" i="5"/>
  <c r="J500" i="5"/>
  <c r="H500" i="5"/>
  <c r="M500" i="5"/>
  <c r="L500" i="5"/>
  <c r="K500" i="5"/>
  <c r="N500" i="5"/>
  <c r="J499" i="5"/>
  <c r="H499" i="5"/>
  <c r="G499" i="5"/>
  <c r="M499" i="5"/>
  <c r="L499" i="5"/>
  <c r="K499" i="5"/>
  <c r="N499" i="5"/>
  <c r="M498" i="5"/>
  <c r="L498" i="5"/>
  <c r="N498" i="5"/>
  <c r="C497" i="5"/>
  <c r="J497" i="5"/>
  <c r="H497" i="5"/>
  <c r="H496" i="5"/>
  <c r="J496" i="5"/>
  <c r="C495" i="5"/>
  <c r="J495" i="5"/>
  <c r="K494" i="5"/>
  <c r="N494" i="5"/>
  <c r="L494" i="5"/>
  <c r="I494" i="5"/>
  <c r="C492" i="5"/>
  <c r="H492" i="5"/>
  <c r="J492" i="5"/>
  <c r="L491" i="5"/>
  <c r="N491" i="5"/>
  <c r="H490" i="5"/>
  <c r="J490" i="5"/>
  <c r="M490" i="5"/>
  <c r="L490" i="5"/>
  <c r="K490" i="5"/>
  <c r="I490" i="5"/>
  <c r="G490" i="5"/>
  <c r="N490" i="5"/>
  <c r="J489" i="5"/>
  <c r="H489" i="5"/>
  <c r="M489" i="5"/>
  <c r="L489" i="5"/>
  <c r="N489" i="5"/>
  <c r="H486" i="5"/>
  <c r="J486" i="5"/>
  <c r="H485" i="5"/>
  <c r="J485" i="5"/>
  <c r="J484" i="5"/>
  <c r="H484" i="5"/>
  <c r="M484" i="5"/>
  <c r="L484" i="5"/>
  <c r="K484" i="5"/>
  <c r="N484" i="5"/>
  <c r="L483" i="5"/>
  <c r="I483" i="5"/>
  <c r="G483" i="5"/>
  <c r="N483" i="5"/>
  <c r="J482" i="5"/>
  <c r="H482" i="5"/>
  <c r="M481" i="5"/>
  <c r="I481" i="5"/>
  <c r="N481" i="5"/>
  <c r="H480" i="5"/>
  <c r="C480" i="5"/>
  <c r="J480" i="5"/>
  <c r="J478" i="5"/>
  <c r="H478" i="5"/>
  <c r="L478" i="5"/>
  <c r="K478" i="5"/>
  <c r="N478" i="5"/>
  <c r="I478" i="5"/>
  <c r="G478" i="5"/>
  <c r="M478" i="5"/>
  <c r="H477" i="5"/>
  <c r="J477" i="5"/>
  <c r="N477" i="5"/>
  <c r="G477" i="5"/>
  <c r="H476" i="5"/>
  <c r="J476" i="5"/>
  <c r="M476" i="5"/>
  <c r="K476" i="5"/>
  <c r="L476" i="5"/>
  <c r="N476" i="5"/>
  <c r="G476" i="5"/>
  <c r="I476" i="5"/>
  <c r="H475" i="5"/>
  <c r="J475" i="5"/>
  <c r="H471" i="5"/>
  <c r="J471" i="5"/>
  <c r="I471" i="5"/>
  <c r="N471" i="5"/>
  <c r="M471" i="5"/>
  <c r="K471" i="5"/>
  <c r="H469" i="5"/>
  <c r="J469" i="5"/>
  <c r="K469" i="5"/>
  <c r="N469" i="5"/>
  <c r="I469" i="5"/>
  <c r="L469" i="5"/>
  <c r="J467" i="5"/>
  <c r="H467" i="5"/>
  <c r="M467" i="5"/>
  <c r="K467" i="5"/>
  <c r="N467" i="5"/>
  <c r="G467" i="5"/>
  <c r="L467" i="5"/>
  <c r="I467" i="5"/>
  <c r="H464" i="5"/>
  <c r="J464" i="5"/>
  <c r="J462" i="5"/>
  <c r="H462" i="5"/>
  <c r="L462" i="5"/>
  <c r="N462" i="5"/>
  <c r="H460" i="5"/>
  <c r="C460" i="5"/>
  <c r="J460" i="5"/>
  <c r="C459" i="5"/>
  <c r="J459" i="5"/>
  <c r="H459" i="5"/>
  <c r="C458" i="5"/>
  <c r="H458" i="5"/>
  <c r="J458" i="5"/>
  <c r="C456" i="5"/>
  <c r="N456" i="5" s="1"/>
  <c r="H456" i="5"/>
  <c r="J456" i="5"/>
  <c r="H454" i="5"/>
  <c r="J454" i="5"/>
  <c r="K454" i="5"/>
  <c r="G454" i="5"/>
  <c r="I454" i="5"/>
  <c r="L454" i="5"/>
  <c r="N454" i="5"/>
  <c r="M454" i="5"/>
  <c r="J453" i="5"/>
  <c r="H453" i="5"/>
  <c r="C453" i="5"/>
  <c r="N453" i="5" s="1"/>
  <c r="G452" i="5"/>
  <c r="L452" i="5"/>
  <c r="N452" i="5"/>
  <c r="M450" i="5"/>
  <c r="G450" i="5"/>
  <c r="K450" i="5"/>
  <c r="L450" i="5"/>
  <c r="N450" i="5"/>
  <c r="H449" i="5"/>
  <c r="J449" i="5"/>
  <c r="C449" i="5"/>
  <c r="C447" i="5"/>
  <c r="J447" i="5"/>
  <c r="H447" i="5"/>
  <c r="H445" i="5"/>
  <c r="J445" i="5"/>
  <c r="H444" i="5"/>
  <c r="J444" i="5"/>
  <c r="M444" i="5"/>
  <c r="N444" i="5"/>
  <c r="J443" i="5"/>
  <c r="H443" i="5"/>
  <c r="J439" i="5"/>
  <c r="H439" i="5"/>
  <c r="C438" i="5"/>
  <c r="J438" i="5"/>
  <c r="J436" i="5"/>
  <c r="H436" i="5"/>
  <c r="L436" i="5"/>
  <c r="I436" i="5"/>
  <c r="M436" i="5"/>
  <c r="G436" i="5"/>
  <c r="K436" i="5"/>
  <c r="N436" i="5"/>
  <c r="H435" i="5"/>
  <c r="J435" i="5"/>
  <c r="G435" i="5"/>
  <c r="L435" i="5"/>
  <c r="K435" i="5"/>
  <c r="I435" i="5"/>
  <c r="N435" i="5"/>
  <c r="H434" i="5"/>
  <c r="J434" i="5"/>
  <c r="L434" i="5"/>
  <c r="I434" i="5"/>
  <c r="N434" i="5"/>
  <c r="G434" i="5"/>
  <c r="H433" i="5"/>
  <c r="J433" i="5"/>
  <c r="M433" i="5"/>
  <c r="N433" i="5"/>
  <c r="G433" i="5"/>
  <c r="I433" i="5"/>
  <c r="L433" i="5"/>
  <c r="K433" i="5"/>
  <c r="H432" i="5"/>
  <c r="J432" i="5"/>
  <c r="I432" i="5"/>
  <c r="N432" i="5"/>
  <c r="C429" i="5"/>
  <c r="J429" i="5"/>
  <c r="H429" i="5"/>
  <c r="J428" i="5"/>
  <c r="H428" i="5"/>
  <c r="M428" i="5"/>
  <c r="L428" i="5"/>
  <c r="G428" i="5"/>
  <c r="K428" i="5"/>
  <c r="N428" i="5"/>
  <c r="I428" i="5"/>
  <c r="J424" i="5"/>
  <c r="H424" i="5"/>
  <c r="N424" i="5"/>
  <c r="M424" i="5"/>
  <c r="K424" i="5"/>
  <c r="I424" i="5"/>
  <c r="H423" i="5"/>
  <c r="J423" i="5"/>
  <c r="I423" i="5"/>
  <c r="N423" i="5"/>
  <c r="G423" i="5"/>
  <c r="K423" i="5"/>
  <c r="L423" i="5"/>
  <c r="M423" i="5"/>
  <c r="J422" i="5"/>
  <c r="H422" i="5"/>
  <c r="H419" i="5"/>
  <c r="J419" i="5"/>
  <c r="I419" i="5"/>
  <c r="N419" i="5"/>
  <c r="L419" i="5"/>
  <c r="K419" i="5"/>
  <c r="G419" i="5"/>
  <c r="M419" i="5"/>
  <c r="L418" i="5"/>
  <c r="N418" i="5"/>
  <c r="J417" i="5"/>
  <c r="H417" i="5"/>
  <c r="G417" i="5"/>
  <c r="N417" i="5"/>
  <c r="M417" i="5"/>
  <c r="L417" i="5"/>
  <c r="K417" i="5"/>
  <c r="I417" i="5"/>
  <c r="H416" i="5"/>
  <c r="J416" i="5"/>
  <c r="N416" i="5"/>
  <c r="K416" i="5"/>
  <c r="L416" i="5"/>
  <c r="L415" i="5"/>
  <c r="N415" i="5"/>
  <c r="H414" i="5"/>
  <c r="J414" i="5"/>
  <c r="N414" i="5"/>
  <c r="G414" i="5"/>
  <c r="K414" i="5"/>
  <c r="L414" i="5"/>
  <c r="H413" i="5"/>
  <c r="J413" i="5"/>
  <c r="N413" i="5"/>
  <c r="G413" i="5"/>
  <c r="I413" i="5"/>
  <c r="K413" i="5"/>
  <c r="L413" i="5"/>
  <c r="M413" i="5"/>
  <c r="H412" i="5"/>
  <c r="J412" i="5"/>
  <c r="K412" i="5"/>
  <c r="N412" i="5"/>
  <c r="L412" i="5"/>
  <c r="I412" i="5"/>
  <c r="N411" i="5"/>
  <c r="K411" i="5"/>
  <c r="I411" i="5"/>
  <c r="N409" i="5"/>
  <c r="K409" i="5"/>
  <c r="M409" i="5"/>
  <c r="L409" i="5"/>
  <c r="C407" i="5"/>
  <c r="H407" i="5"/>
  <c r="J407" i="5"/>
  <c r="H405" i="5"/>
  <c r="J405" i="5"/>
  <c r="M405" i="5"/>
  <c r="K405" i="5"/>
  <c r="N405" i="5"/>
  <c r="J404" i="5"/>
  <c r="H404" i="5"/>
  <c r="I404" i="5"/>
  <c r="K404" i="5"/>
  <c r="G404" i="5"/>
  <c r="M404" i="5"/>
  <c r="N404" i="5"/>
  <c r="H402" i="5"/>
  <c r="J402" i="5"/>
  <c r="K402" i="5"/>
  <c r="M402" i="5"/>
  <c r="N402" i="5"/>
  <c r="H401" i="5"/>
  <c r="J401" i="5"/>
  <c r="H400" i="5"/>
  <c r="J400" i="5"/>
  <c r="I400" i="5"/>
  <c r="G400" i="5"/>
  <c r="M400" i="5"/>
  <c r="K400" i="5"/>
  <c r="N400" i="5"/>
  <c r="H399" i="5"/>
  <c r="J399" i="5"/>
  <c r="L399" i="5"/>
  <c r="N399" i="5"/>
  <c r="H396" i="5"/>
  <c r="J396" i="5"/>
  <c r="G396" i="5"/>
  <c r="N396" i="5"/>
  <c r="H394" i="5"/>
  <c r="J394" i="5"/>
  <c r="M393" i="5"/>
  <c r="N393" i="5"/>
  <c r="J392" i="5"/>
  <c r="H392" i="5"/>
  <c r="G392" i="5"/>
  <c r="I392" i="5"/>
  <c r="K392" i="5"/>
  <c r="L392" i="5"/>
  <c r="M392" i="5"/>
  <c r="N392" i="5"/>
  <c r="H390" i="5"/>
  <c r="J390" i="5"/>
  <c r="K390" i="5"/>
  <c r="I390" i="5"/>
  <c r="N390" i="5"/>
  <c r="M390" i="5"/>
  <c r="G390" i="5"/>
  <c r="L390" i="5"/>
  <c r="H388" i="5"/>
  <c r="J388" i="5"/>
  <c r="M388" i="5"/>
  <c r="L388" i="5"/>
  <c r="I388" i="5"/>
  <c r="K388" i="5"/>
  <c r="G388" i="5"/>
  <c r="N388" i="5"/>
  <c r="H386" i="5"/>
  <c r="J386" i="5"/>
  <c r="M386" i="5"/>
  <c r="I386" i="5"/>
  <c r="G386" i="5"/>
  <c r="L386" i="5"/>
  <c r="K386" i="5"/>
  <c r="N386" i="5"/>
  <c r="H385" i="5"/>
  <c r="J385" i="5"/>
  <c r="H383" i="5"/>
  <c r="J383" i="5"/>
  <c r="M383" i="5"/>
  <c r="L383" i="5"/>
  <c r="G383" i="5"/>
  <c r="N383" i="5"/>
  <c r="I383" i="5"/>
  <c r="K383" i="5"/>
  <c r="C381" i="5"/>
  <c r="J381" i="5"/>
  <c r="H379" i="5"/>
  <c r="J379" i="5"/>
  <c r="J378" i="5"/>
  <c r="H378" i="5"/>
  <c r="N377" i="5"/>
  <c r="M377" i="5"/>
  <c r="J376" i="5"/>
  <c r="H376" i="5"/>
  <c r="N376" i="5"/>
  <c r="K376" i="5"/>
  <c r="I376" i="5"/>
  <c r="M376" i="5"/>
  <c r="H375" i="5"/>
  <c r="J375" i="5"/>
  <c r="I375" i="5"/>
  <c r="N375" i="5"/>
  <c r="G375" i="5"/>
  <c r="J373" i="5"/>
  <c r="H373" i="5"/>
  <c r="C372" i="5"/>
  <c r="J372" i="5"/>
  <c r="J369" i="5"/>
  <c r="H369" i="5"/>
  <c r="I369" i="5"/>
  <c r="N369" i="5"/>
  <c r="M369" i="5"/>
  <c r="L369" i="5"/>
  <c r="G369" i="5"/>
  <c r="H368" i="5"/>
  <c r="J368" i="5"/>
  <c r="J367" i="5"/>
  <c r="H367" i="5"/>
  <c r="N367" i="5"/>
  <c r="G367" i="5"/>
  <c r="I367" i="5"/>
  <c r="K367" i="5"/>
  <c r="N366" i="5"/>
  <c r="I366" i="5"/>
  <c r="K366" i="5"/>
  <c r="L366" i="5"/>
  <c r="M366" i="5"/>
  <c r="J363" i="5"/>
  <c r="H363" i="5"/>
  <c r="N363" i="5"/>
  <c r="K363" i="5"/>
  <c r="L363" i="5"/>
  <c r="M363" i="5"/>
  <c r="K362" i="5"/>
  <c r="G362" i="5"/>
  <c r="N362" i="5"/>
  <c r="L362" i="5"/>
  <c r="I362" i="5"/>
  <c r="M362" i="5"/>
  <c r="J361" i="5"/>
  <c r="C361" i="5"/>
  <c r="H361" i="5"/>
  <c r="M358" i="5"/>
  <c r="L358" i="5"/>
  <c r="I358" i="5"/>
  <c r="K358" i="5"/>
  <c r="N358" i="5"/>
  <c r="J357" i="5"/>
  <c r="H357" i="5"/>
  <c r="C357" i="5"/>
  <c r="J356" i="5"/>
  <c r="C356" i="5"/>
  <c r="N356" i="5" s="1"/>
  <c r="J355" i="5"/>
  <c r="C355" i="5"/>
  <c r="N355" i="5" s="1"/>
  <c r="H355" i="5"/>
  <c r="C354" i="5"/>
  <c r="J354" i="5"/>
  <c r="H354" i="5"/>
  <c r="H353" i="5"/>
  <c r="J353" i="5"/>
  <c r="C353" i="5"/>
  <c r="J351" i="5"/>
  <c r="H351" i="5"/>
  <c r="L351" i="5"/>
  <c r="N351" i="5"/>
  <c r="M351" i="5"/>
  <c r="K351" i="5"/>
  <c r="I351" i="5"/>
  <c r="G351" i="5"/>
  <c r="K348" i="5"/>
  <c r="N348" i="5"/>
  <c r="I348" i="5"/>
  <c r="L348" i="5"/>
  <c r="C347" i="5"/>
  <c r="H347" i="5"/>
  <c r="J347" i="5"/>
  <c r="H346" i="5"/>
  <c r="J346" i="5"/>
  <c r="M346" i="5"/>
  <c r="G346" i="5"/>
  <c r="N346" i="5"/>
  <c r="I346" i="5"/>
  <c r="L346" i="5"/>
  <c r="K346" i="5"/>
  <c r="C345" i="5"/>
  <c r="H345" i="5"/>
  <c r="J345" i="5"/>
  <c r="H343" i="5"/>
  <c r="J343" i="5"/>
  <c r="K343" i="5"/>
  <c r="G343" i="5"/>
  <c r="I343" i="5"/>
  <c r="L343" i="5"/>
  <c r="M343" i="5"/>
  <c r="N343" i="5"/>
  <c r="J341" i="5"/>
  <c r="H341" i="5"/>
  <c r="H339" i="5"/>
  <c r="J339" i="5"/>
  <c r="N339" i="5"/>
  <c r="M339" i="5"/>
  <c r="L339" i="5"/>
  <c r="H338" i="5"/>
  <c r="J338" i="5"/>
  <c r="N338" i="5"/>
  <c r="M338" i="5"/>
  <c r="I338" i="5"/>
  <c r="G338" i="5"/>
  <c r="C337" i="5"/>
  <c r="H337" i="5"/>
  <c r="J337" i="5"/>
  <c r="J335" i="5"/>
  <c r="H335" i="5"/>
  <c r="G335" i="5"/>
  <c r="N335" i="5"/>
  <c r="M335" i="5"/>
  <c r="H333" i="5"/>
  <c r="J333" i="5"/>
  <c r="G333" i="5"/>
  <c r="M333" i="5"/>
  <c r="L333" i="5"/>
  <c r="N333" i="5"/>
  <c r="K333" i="5"/>
  <c r="I333" i="5"/>
  <c r="H327" i="5"/>
  <c r="J327" i="5"/>
  <c r="C327" i="5"/>
  <c r="H326" i="5"/>
  <c r="J326" i="5"/>
  <c r="C326" i="5"/>
  <c r="C324" i="5"/>
  <c r="H324" i="5"/>
  <c r="J324" i="5"/>
  <c r="H322" i="5"/>
  <c r="J322" i="5"/>
  <c r="C322" i="5"/>
  <c r="J318" i="5"/>
  <c r="H318" i="5"/>
  <c r="N318" i="5"/>
  <c r="I318" i="5"/>
  <c r="M318" i="5"/>
  <c r="L318" i="5"/>
  <c r="K318" i="5"/>
  <c r="J315" i="5"/>
  <c r="H315" i="5"/>
  <c r="N315" i="5"/>
  <c r="K315" i="5"/>
  <c r="G315" i="5"/>
  <c r="H313" i="5"/>
  <c r="J313" i="5"/>
  <c r="G313" i="5"/>
  <c r="N313" i="5"/>
  <c r="H312" i="5"/>
  <c r="J312" i="5"/>
  <c r="G312" i="5"/>
  <c r="L312" i="5"/>
  <c r="K312" i="5"/>
  <c r="I312" i="5"/>
  <c r="N312" i="5"/>
  <c r="M312" i="5"/>
  <c r="I309" i="5"/>
  <c r="N309" i="5"/>
  <c r="C306" i="5"/>
  <c r="J306" i="5"/>
  <c r="H306" i="5"/>
  <c r="C305" i="5"/>
  <c r="H305" i="5"/>
  <c r="J305" i="5"/>
  <c r="C303" i="5"/>
  <c r="J303" i="5"/>
  <c r="J302" i="5"/>
  <c r="H302" i="5"/>
  <c r="L302" i="5"/>
  <c r="K302" i="5"/>
  <c r="I302" i="5"/>
  <c r="G302" i="5"/>
  <c r="M302" i="5"/>
  <c r="N302" i="5"/>
  <c r="J301" i="5"/>
  <c r="H301" i="5"/>
  <c r="M301" i="5"/>
  <c r="L301" i="5"/>
  <c r="K301" i="5"/>
  <c r="I301" i="5"/>
  <c r="G301" i="5"/>
  <c r="N301" i="5"/>
  <c r="H298" i="5"/>
  <c r="J298" i="5"/>
  <c r="G297" i="5"/>
  <c r="N297" i="5"/>
  <c r="J296" i="5"/>
  <c r="H296" i="5"/>
  <c r="N296" i="5"/>
  <c r="M296" i="5"/>
  <c r="K296" i="5"/>
  <c r="G296" i="5"/>
  <c r="H295" i="5"/>
  <c r="J295" i="5"/>
  <c r="L295" i="5"/>
  <c r="K295" i="5"/>
  <c r="N295" i="5"/>
  <c r="H294" i="5"/>
  <c r="J294" i="5"/>
  <c r="N294" i="5"/>
  <c r="M294" i="5"/>
  <c r="I294" i="5"/>
  <c r="J292" i="5"/>
  <c r="H292" i="5"/>
  <c r="N292" i="5"/>
  <c r="L292" i="5"/>
  <c r="I292" i="5"/>
  <c r="H291" i="5"/>
  <c r="J291" i="5"/>
  <c r="N291" i="5"/>
  <c r="M291" i="5"/>
  <c r="L291" i="5"/>
  <c r="K291" i="5"/>
  <c r="G291" i="5"/>
  <c r="I291" i="5"/>
  <c r="H290" i="5"/>
  <c r="J290" i="5"/>
  <c r="M290" i="5"/>
  <c r="N290" i="5"/>
  <c r="L290" i="5"/>
  <c r="K290" i="5"/>
  <c r="I290" i="5"/>
  <c r="I287" i="5"/>
  <c r="G287" i="5"/>
  <c r="N287" i="5"/>
  <c r="L286" i="5"/>
  <c r="N286" i="5"/>
  <c r="J284" i="5"/>
  <c r="H284" i="5"/>
  <c r="N284" i="5"/>
  <c r="M284" i="5"/>
  <c r="L284" i="5"/>
  <c r="I282" i="5"/>
  <c r="L282" i="5"/>
  <c r="M282" i="5"/>
  <c r="K282" i="5"/>
  <c r="G282" i="5"/>
  <c r="N282" i="5"/>
  <c r="J281" i="5"/>
  <c r="H281" i="5"/>
  <c r="J280" i="5"/>
  <c r="H280" i="5"/>
  <c r="L280" i="5"/>
  <c r="N280" i="5"/>
  <c r="M280" i="5"/>
  <c r="H278" i="5"/>
  <c r="J278" i="5"/>
  <c r="J277" i="5"/>
  <c r="H277" i="5"/>
  <c r="K277" i="5"/>
  <c r="G277" i="5"/>
  <c r="I277" i="5"/>
  <c r="N277" i="5"/>
  <c r="J276" i="5"/>
  <c r="H276" i="5"/>
  <c r="I276" i="5"/>
  <c r="N276" i="5"/>
  <c r="H275" i="5"/>
  <c r="J275" i="5"/>
  <c r="J273" i="5"/>
  <c r="H273" i="5"/>
  <c r="M273" i="5"/>
  <c r="I273" i="5"/>
  <c r="N273" i="5"/>
  <c r="G271" i="5"/>
  <c r="N271" i="5"/>
  <c r="K268" i="5"/>
  <c r="N268" i="5"/>
  <c r="J267" i="5"/>
  <c r="H267" i="5"/>
  <c r="L267" i="5"/>
  <c r="N267" i="5"/>
  <c r="M267" i="5"/>
  <c r="I267" i="5"/>
  <c r="K267" i="5"/>
  <c r="G267" i="5"/>
  <c r="H265" i="5"/>
  <c r="J265" i="5"/>
  <c r="M265" i="5"/>
  <c r="I265" i="5"/>
  <c r="G265" i="5"/>
  <c r="N265" i="5"/>
  <c r="K265" i="5"/>
  <c r="J264" i="5"/>
  <c r="H264" i="5"/>
  <c r="J262" i="5"/>
  <c r="H262" i="5"/>
  <c r="H261" i="5"/>
  <c r="J261" i="5"/>
  <c r="N260" i="5"/>
  <c r="G260" i="5"/>
  <c r="J257" i="5"/>
  <c r="C257" i="5"/>
  <c r="H257" i="5"/>
  <c r="J256" i="5"/>
  <c r="C256" i="5"/>
  <c r="H256" i="5"/>
  <c r="N255" i="5"/>
  <c r="K255" i="5"/>
  <c r="C254" i="5"/>
  <c r="J254" i="5"/>
  <c r="J253" i="5"/>
  <c r="C253" i="5"/>
  <c r="H253" i="5"/>
  <c r="J252" i="5"/>
  <c r="H252" i="5"/>
  <c r="M252" i="5"/>
  <c r="I252" i="5"/>
  <c r="K252" i="5"/>
  <c r="G252" i="5"/>
  <c r="N252" i="5"/>
  <c r="C251" i="5"/>
  <c r="J251" i="5"/>
  <c r="H251" i="5"/>
  <c r="H250" i="5"/>
  <c r="J250" i="5"/>
  <c r="N250" i="5"/>
  <c r="M250" i="5"/>
  <c r="G250" i="5"/>
  <c r="I250" i="5"/>
  <c r="K250" i="5"/>
  <c r="L250" i="5"/>
  <c r="H249" i="5"/>
  <c r="J249" i="5"/>
  <c r="I249" i="5"/>
  <c r="N249" i="5"/>
  <c r="K249" i="5"/>
  <c r="L249" i="5"/>
  <c r="G249" i="5"/>
  <c r="C248" i="5"/>
  <c r="H248" i="5"/>
  <c r="J248" i="5"/>
  <c r="H242" i="5"/>
  <c r="J242" i="5"/>
  <c r="N242" i="5"/>
  <c r="L242" i="5"/>
  <c r="K242" i="5"/>
  <c r="G242" i="5"/>
  <c r="I242" i="5"/>
  <c r="M242" i="5"/>
  <c r="H240" i="5"/>
  <c r="J240" i="5"/>
  <c r="K240" i="5"/>
  <c r="N240" i="5"/>
  <c r="I240" i="5"/>
  <c r="L239" i="5"/>
  <c r="N239" i="5"/>
  <c r="J237" i="5"/>
  <c r="H237" i="5"/>
  <c r="G237" i="5"/>
  <c r="I237" i="5"/>
  <c r="M237" i="5"/>
  <c r="N237" i="5"/>
  <c r="J235" i="5"/>
  <c r="H235" i="5"/>
  <c r="M235" i="5"/>
  <c r="G235" i="5"/>
  <c r="I235" i="5"/>
  <c r="L235" i="5"/>
  <c r="K235" i="5"/>
  <c r="N235" i="5"/>
  <c r="H234" i="5"/>
  <c r="J234" i="5"/>
  <c r="I234" i="5"/>
  <c r="N234" i="5"/>
  <c r="J231" i="5"/>
  <c r="H231" i="5"/>
  <c r="C231" i="5"/>
  <c r="H230" i="5"/>
  <c r="J230" i="5"/>
  <c r="C230" i="5"/>
  <c r="N230" i="5" s="1"/>
  <c r="C229" i="5"/>
  <c r="H229" i="5"/>
  <c r="J229" i="5"/>
  <c r="N228" i="5"/>
  <c r="K228" i="5"/>
  <c r="L228" i="5"/>
  <c r="H227" i="5"/>
  <c r="C227" i="5"/>
  <c r="J227" i="5"/>
  <c r="I226" i="5"/>
  <c r="N226" i="5"/>
  <c r="G226" i="5"/>
  <c r="H223" i="5"/>
  <c r="C223" i="5"/>
  <c r="J223" i="5"/>
  <c r="J222" i="5"/>
  <c r="C222" i="5"/>
  <c r="N222" i="5" s="1"/>
  <c r="J220" i="5"/>
  <c r="H220" i="5"/>
  <c r="N220" i="5"/>
  <c r="I220" i="5"/>
  <c r="G220" i="5"/>
  <c r="L220" i="5"/>
  <c r="H218" i="5"/>
  <c r="J218" i="5"/>
  <c r="M218" i="5"/>
  <c r="K218" i="5"/>
  <c r="G218" i="5"/>
  <c r="L218" i="5"/>
  <c r="I218" i="5"/>
  <c r="N218" i="5"/>
  <c r="H215" i="5"/>
  <c r="J215" i="5"/>
  <c r="J209" i="5"/>
  <c r="H209" i="5"/>
  <c r="H208" i="5"/>
  <c r="J208" i="5"/>
  <c r="K208" i="5"/>
  <c r="N208" i="5"/>
  <c r="I208" i="5"/>
  <c r="G205" i="5"/>
  <c r="N205" i="5"/>
  <c r="H204" i="5"/>
  <c r="C204" i="5"/>
  <c r="N204" i="5" s="1"/>
  <c r="J203" i="5"/>
  <c r="C203" i="5"/>
  <c r="N203" i="5" s="1"/>
  <c r="H203" i="5"/>
  <c r="C202" i="5"/>
  <c r="J202" i="5"/>
  <c r="H202" i="5"/>
  <c r="H200" i="5"/>
  <c r="J200" i="5"/>
  <c r="C200" i="5"/>
  <c r="C198" i="5"/>
  <c r="J198" i="5"/>
  <c r="H198" i="5"/>
  <c r="M197" i="5"/>
  <c r="N197" i="5"/>
  <c r="H195" i="5"/>
  <c r="C195" i="5"/>
  <c r="N195" i="5" s="1"/>
  <c r="H194" i="5"/>
  <c r="C194" i="5"/>
  <c r="H193" i="5"/>
  <c r="C193" i="5"/>
  <c r="J193" i="5"/>
  <c r="J192" i="5"/>
  <c r="C192" i="5"/>
  <c r="H192" i="5"/>
  <c r="H191" i="5"/>
  <c r="C191" i="5"/>
  <c r="N191" i="5" s="1"/>
  <c r="C189" i="5"/>
  <c r="J189" i="5"/>
  <c r="H189" i="5"/>
  <c r="C185" i="5"/>
  <c r="J185" i="5"/>
  <c r="H185" i="5"/>
  <c r="H184" i="5"/>
  <c r="J184" i="5"/>
  <c r="K184" i="5"/>
  <c r="L184" i="5"/>
  <c r="N184" i="5"/>
  <c r="C183" i="5"/>
  <c r="J183" i="5"/>
  <c r="H183" i="5"/>
  <c r="H182" i="5"/>
  <c r="J182" i="5"/>
  <c r="K182" i="5"/>
  <c r="N182" i="5"/>
  <c r="I182" i="5"/>
  <c r="L182" i="5"/>
  <c r="C181" i="5"/>
  <c r="H181" i="5"/>
  <c r="J181" i="5"/>
  <c r="J180" i="5"/>
  <c r="H180" i="5"/>
  <c r="K180" i="5"/>
  <c r="I180" i="5"/>
  <c r="N180" i="5"/>
  <c r="G180" i="5"/>
  <c r="L180" i="5"/>
  <c r="J178" i="5"/>
  <c r="H178" i="5"/>
  <c r="N178" i="5"/>
  <c r="G178" i="5"/>
  <c r="C175" i="5"/>
  <c r="H175" i="5"/>
  <c r="J175" i="5"/>
  <c r="M173" i="5"/>
  <c r="N173" i="5"/>
  <c r="H171" i="5"/>
  <c r="J171" i="5"/>
  <c r="I171" i="5"/>
  <c r="K171" i="5"/>
  <c r="L171" i="5"/>
  <c r="M171" i="5"/>
  <c r="N171" i="5"/>
  <c r="G171" i="5"/>
  <c r="J168" i="5"/>
  <c r="H168" i="5"/>
  <c r="J166" i="5"/>
  <c r="H166" i="5"/>
  <c r="G166" i="5"/>
  <c r="N166" i="5"/>
  <c r="N164" i="5"/>
  <c r="G164" i="5"/>
  <c r="C161" i="5"/>
  <c r="J161" i="5"/>
  <c r="J160" i="5"/>
  <c r="H160" i="5"/>
  <c r="G160" i="5"/>
  <c r="M160" i="5"/>
  <c r="I160" i="5"/>
  <c r="N160" i="5"/>
  <c r="H159" i="5"/>
  <c r="J159" i="5"/>
  <c r="G159" i="5"/>
  <c r="I159" i="5"/>
  <c r="K159" i="5"/>
  <c r="L159" i="5"/>
  <c r="N159" i="5"/>
  <c r="M159" i="5"/>
  <c r="J158" i="5"/>
  <c r="H158" i="5"/>
  <c r="I158" i="5"/>
  <c r="N158" i="5"/>
  <c r="G158" i="5"/>
  <c r="H155" i="5"/>
  <c r="J155" i="5"/>
  <c r="N155" i="5"/>
  <c r="G155" i="5"/>
  <c r="H154" i="5"/>
  <c r="J154" i="5"/>
  <c r="C152" i="5"/>
  <c r="J152" i="5"/>
  <c r="H152" i="5"/>
  <c r="M147" i="5"/>
  <c r="N147" i="5"/>
  <c r="K146" i="5"/>
  <c r="N146" i="5"/>
  <c r="J145" i="5"/>
  <c r="H145" i="5"/>
  <c r="G145" i="5"/>
  <c r="K145" i="5"/>
  <c r="M145" i="5"/>
  <c r="L145" i="5"/>
  <c r="I145" i="5"/>
  <c r="N145" i="5"/>
  <c r="C141" i="5"/>
  <c r="J141" i="5"/>
  <c r="H140" i="5"/>
  <c r="J140" i="5"/>
  <c r="L140" i="5"/>
  <c r="K140" i="5"/>
  <c r="N140" i="5"/>
  <c r="M138" i="5"/>
  <c r="N138" i="5"/>
  <c r="H133" i="5"/>
  <c r="J133" i="5"/>
  <c r="M133" i="5"/>
  <c r="L133" i="5"/>
  <c r="N133" i="5"/>
  <c r="H132" i="5"/>
  <c r="J132" i="5"/>
  <c r="C130" i="5"/>
  <c r="H130" i="5"/>
  <c r="J130" i="5"/>
  <c r="C128" i="5"/>
  <c r="H128" i="5"/>
  <c r="J128" i="5"/>
  <c r="H127" i="5"/>
  <c r="C127" i="5"/>
  <c r="N127" i="5" s="1"/>
  <c r="C126" i="5"/>
  <c r="H126" i="5"/>
  <c r="J126" i="5"/>
  <c r="J125" i="5"/>
  <c r="C125" i="5"/>
  <c r="N125" i="5" s="1"/>
  <c r="J123" i="5"/>
  <c r="C123" i="5"/>
  <c r="H122" i="5"/>
  <c r="C122" i="5"/>
  <c r="J122" i="5"/>
  <c r="C121" i="5"/>
  <c r="J121" i="5"/>
  <c r="H121" i="5"/>
  <c r="H118" i="5"/>
  <c r="J118" i="5"/>
  <c r="M118" i="5"/>
  <c r="I118" i="5"/>
  <c r="K118" i="5"/>
  <c r="L118" i="5"/>
  <c r="N118" i="5"/>
  <c r="H110" i="5"/>
  <c r="J110" i="5"/>
  <c r="G110" i="5"/>
  <c r="I110" i="5"/>
  <c r="K110" i="5"/>
  <c r="N110" i="5"/>
  <c r="M110" i="5"/>
  <c r="L110" i="5"/>
  <c r="C108" i="5"/>
  <c r="H108" i="5"/>
  <c r="J108" i="5"/>
  <c r="H107" i="5"/>
  <c r="J107" i="5"/>
  <c r="C106" i="5"/>
  <c r="J106" i="5"/>
  <c r="H106" i="5"/>
  <c r="J105" i="5"/>
  <c r="H105" i="5"/>
  <c r="I105" i="5"/>
  <c r="N105" i="5"/>
  <c r="G105" i="5"/>
  <c r="J103" i="5"/>
  <c r="H103" i="5"/>
  <c r="J101" i="5"/>
  <c r="H101" i="5"/>
  <c r="K101" i="5"/>
  <c r="M101" i="5"/>
  <c r="L101" i="5"/>
  <c r="I101" i="5"/>
  <c r="G101" i="5"/>
  <c r="N101" i="5"/>
  <c r="N100" i="5"/>
  <c r="M100" i="5"/>
  <c r="H99" i="5"/>
  <c r="J99" i="5"/>
  <c r="K99" i="5"/>
  <c r="I99" i="5"/>
  <c r="G99" i="5"/>
  <c r="M99" i="5"/>
  <c r="N99" i="5"/>
  <c r="L99" i="5"/>
  <c r="H98" i="5"/>
  <c r="J98" i="5"/>
  <c r="I98" i="5"/>
  <c r="N98" i="5"/>
  <c r="L98" i="5"/>
  <c r="J96" i="5"/>
  <c r="H96" i="5"/>
  <c r="I96" i="5"/>
  <c r="G96" i="5"/>
  <c r="N96" i="5"/>
  <c r="C95" i="5"/>
  <c r="J95" i="5"/>
  <c r="H95" i="5"/>
  <c r="H93" i="5"/>
  <c r="J93" i="5"/>
  <c r="K93" i="5"/>
  <c r="N93" i="5"/>
  <c r="I93" i="5"/>
  <c r="M93" i="5"/>
  <c r="J90" i="5"/>
  <c r="C90" i="5"/>
  <c r="H90" i="5"/>
  <c r="J89" i="5"/>
  <c r="C89" i="5"/>
  <c r="G87" i="5"/>
  <c r="N87" i="5"/>
  <c r="H85" i="5"/>
  <c r="J85" i="5"/>
  <c r="H83" i="5"/>
  <c r="J83" i="5"/>
  <c r="L83" i="5"/>
  <c r="N83" i="5"/>
  <c r="G83" i="5"/>
  <c r="I83" i="5"/>
  <c r="K83" i="5"/>
  <c r="M83" i="5"/>
  <c r="M81" i="5"/>
  <c r="N81" i="5"/>
  <c r="H79" i="5"/>
  <c r="J79" i="5"/>
  <c r="M79" i="5"/>
  <c r="G79" i="5"/>
  <c r="I79" i="5"/>
  <c r="K79" i="5"/>
  <c r="L79" i="5"/>
  <c r="N79" i="5"/>
  <c r="H78" i="5"/>
  <c r="J78" i="5"/>
  <c r="H77" i="5"/>
  <c r="J77" i="5"/>
  <c r="M77" i="5"/>
  <c r="L77" i="5"/>
  <c r="G77" i="5"/>
  <c r="I77" i="5"/>
  <c r="K77" i="5"/>
  <c r="N77" i="5"/>
  <c r="J76" i="5"/>
  <c r="H76" i="5"/>
  <c r="L76" i="5"/>
  <c r="N76" i="5"/>
  <c r="G76" i="5"/>
  <c r="I76" i="5"/>
  <c r="M75" i="5"/>
  <c r="N75" i="5"/>
  <c r="J74" i="5"/>
  <c r="H74" i="5"/>
  <c r="M74" i="5"/>
  <c r="N74" i="5"/>
  <c r="L74" i="5"/>
  <c r="K74" i="5"/>
  <c r="I74" i="5"/>
  <c r="G74" i="5"/>
  <c r="J72" i="5"/>
  <c r="H72" i="5"/>
  <c r="K72" i="5"/>
  <c r="L72" i="5"/>
  <c r="N72" i="5"/>
  <c r="M72" i="5"/>
  <c r="G72" i="5"/>
  <c r="I72" i="5"/>
  <c r="C70" i="5"/>
  <c r="H70" i="5"/>
  <c r="J70" i="5"/>
  <c r="J68" i="5"/>
  <c r="H68" i="5"/>
  <c r="I68" i="5"/>
  <c r="L68" i="5"/>
  <c r="M68" i="5"/>
  <c r="G68" i="5"/>
  <c r="K68" i="5"/>
  <c r="N68" i="5"/>
  <c r="J66" i="5"/>
  <c r="H66" i="5"/>
  <c r="K66" i="5"/>
  <c r="L66" i="5"/>
  <c r="I66" i="5"/>
  <c r="M66" i="5"/>
  <c r="N66" i="5"/>
  <c r="G66" i="5"/>
  <c r="C64" i="5"/>
  <c r="H64" i="5"/>
  <c r="J64" i="5"/>
  <c r="J63" i="5"/>
  <c r="C63" i="5"/>
  <c r="I63" i="5" s="1"/>
  <c r="J62" i="5"/>
  <c r="H62" i="5"/>
  <c r="G62" i="5"/>
  <c r="M62" i="5"/>
  <c r="K62" i="5"/>
  <c r="L62" i="5"/>
  <c r="N62" i="5"/>
  <c r="J61" i="5"/>
  <c r="C61" i="5"/>
  <c r="J60" i="5"/>
  <c r="H60" i="5"/>
  <c r="C60" i="5"/>
  <c r="J59" i="5"/>
  <c r="C59" i="5"/>
  <c r="G59" i="5" s="1"/>
  <c r="H58" i="5"/>
  <c r="C58" i="5"/>
  <c r="J58" i="5"/>
  <c r="H57" i="5"/>
  <c r="J57" i="5"/>
  <c r="L57" i="5"/>
  <c r="K57" i="5"/>
  <c r="I57" i="5"/>
  <c r="N57" i="5"/>
  <c r="C55" i="5"/>
  <c r="J55" i="5"/>
  <c r="I54" i="5"/>
  <c r="N54" i="5"/>
  <c r="M54" i="5"/>
  <c r="N49" i="5"/>
  <c r="L49" i="5"/>
  <c r="M49" i="5"/>
  <c r="K49" i="5"/>
  <c r="C47" i="5"/>
  <c r="H47" i="5"/>
  <c r="J47" i="5"/>
  <c r="H46" i="5"/>
  <c r="J46" i="5"/>
  <c r="N46" i="5"/>
  <c r="K46" i="5"/>
  <c r="H45" i="5"/>
  <c r="J45" i="5"/>
  <c r="M45" i="5"/>
  <c r="G45" i="5"/>
  <c r="I45" i="5"/>
  <c r="L45" i="5"/>
  <c r="K45" i="5"/>
  <c r="N45" i="5"/>
  <c r="C44" i="5"/>
  <c r="J44" i="5"/>
  <c r="H44" i="5"/>
  <c r="J43" i="5"/>
  <c r="H43" i="5"/>
  <c r="G43" i="5"/>
  <c r="I43" i="5"/>
  <c r="K43" i="5"/>
  <c r="L43" i="5"/>
  <c r="N43" i="5"/>
  <c r="M43" i="5"/>
  <c r="H42" i="5"/>
  <c r="J42" i="5"/>
  <c r="I42" i="5"/>
  <c r="K42" i="5"/>
  <c r="L42" i="5"/>
  <c r="G42" i="5"/>
  <c r="N42" i="5"/>
  <c r="J41" i="5"/>
  <c r="H41" i="5"/>
  <c r="G41" i="5"/>
  <c r="M41" i="5"/>
  <c r="L41" i="5"/>
  <c r="N41" i="5"/>
  <c r="K41" i="5"/>
  <c r="I41" i="5"/>
  <c r="J40" i="5"/>
  <c r="H40" i="5"/>
  <c r="N40" i="5"/>
  <c r="I40" i="5"/>
  <c r="L40" i="5"/>
  <c r="M40" i="5"/>
  <c r="K40" i="5"/>
  <c r="H39" i="5"/>
  <c r="J39" i="5"/>
  <c r="G39" i="5"/>
  <c r="L39" i="5"/>
  <c r="N39" i="5"/>
  <c r="K39" i="5"/>
  <c r="I39" i="5"/>
  <c r="M39" i="5"/>
  <c r="N38" i="5"/>
  <c r="L38" i="5"/>
  <c r="I35" i="5"/>
  <c r="G35" i="5"/>
  <c r="N35" i="5"/>
  <c r="K35" i="5"/>
  <c r="M35" i="5"/>
  <c r="L35" i="5"/>
  <c r="M32" i="5"/>
  <c r="L32" i="5"/>
  <c r="K32" i="5"/>
  <c r="N32" i="5"/>
  <c r="H29" i="5"/>
  <c r="J29" i="5"/>
  <c r="N29" i="5"/>
  <c r="K29" i="5"/>
  <c r="C28" i="5"/>
  <c r="J28" i="5"/>
  <c r="H28" i="5"/>
  <c r="H26" i="5"/>
  <c r="J26" i="5"/>
  <c r="K26" i="5"/>
  <c r="M26" i="5"/>
  <c r="N26" i="5"/>
  <c r="G26" i="5"/>
  <c r="I26" i="5"/>
  <c r="L26" i="5"/>
  <c r="J24" i="5"/>
  <c r="H24" i="5"/>
  <c r="G24" i="5"/>
  <c r="L24" i="5"/>
  <c r="N24" i="5"/>
  <c r="K24" i="5"/>
  <c r="I24" i="5"/>
  <c r="M24" i="5"/>
  <c r="C22" i="5"/>
  <c r="J22" i="5"/>
  <c r="H22" i="5"/>
  <c r="H20" i="5"/>
  <c r="J20" i="5"/>
  <c r="G20" i="5"/>
  <c r="N20" i="5"/>
  <c r="K20" i="5"/>
  <c r="I20" i="5"/>
  <c r="L20" i="5"/>
  <c r="M20" i="5"/>
  <c r="N19" i="5"/>
  <c r="L19" i="5"/>
  <c r="H18" i="5"/>
  <c r="J18" i="5"/>
  <c r="M18" i="5"/>
  <c r="N18" i="5"/>
  <c r="K18" i="5"/>
  <c r="L18" i="5"/>
  <c r="J17" i="5"/>
  <c r="H17" i="5"/>
  <c r="G17" i="5"/>
  <c r="I17" i="5"/>
  <c r="N17" i="5"/>
  <c r="J13" i="5"/>
  <c r="H13" i="5"/>
  <c r="N13" i="5"/>
  <c r="G13" i="5"/>
  <c r="I13" i="5"/>
  <c r="H10" i="5"/>
  <c r="J10" i="5"/>
  <c r="N10" i="5"/>
  <c r="K10" i="5"/>
  <c r="L10" i="5"/>
  <c r="H9" i="5"/>
  <c r="J9" i="5"/>
  <c r="G9" i="5"/>
  <c r="N9" i="5"/>
  <c r="K9" i="5"/>
  <c r="M9" i="5"/>
  <c r="I9" i="5"/>
  <c r="L9" i="5"/>
  <c r="K8" i="5"/>
  <c r="L8" i="5"/>
  <c r="M8" i="5"/>
  <c r="N8" i="5"/>
  <c r="C6" i="5"/>
  <c r="H6" i="5"/>
  <c r="J6" i="5"/>
  <c r="L4" i="5"/>
  <c r="K4" i="5"/>
  <c r="M4" i="5"/>
  <c r="N4" i="5"/>
  <c r="M3" i="5"/>
  <c r="N3" i="5"/>
  <c r="C382" i="5"/>
  <c r="N382" i="5" s="1"/>
  <c r="J382" i="5"/>
  <c r="H382" i="5"/>
  <c r="I394" i="5"/>
  <c r="G394" i="5"/>
  <c r="K111" i="5"/>
  <c r="I111" i="5"/>
  <c r="G111" i="5"/>
  <c r="M111" i="5"/>
  <c r="L111" i="5"/>
  <c r="M131" i="5"/>
  <c r="K131" i="5"/>
  <c r="G131" i="5"/>
  <c r="G134" i="5"/>
  <c r="M134" i="5"/>
  <c r="L134" i="5"/>
  <c r="K134" i="5"/>
  <c r="J196" i="5"/>
  <c r="H196" i="5"/>
  <c r="G219" i="5"/>
  <c r="J224" i="5"/>
  <c r="H224" i="5"/>
  <c r="M255" i="5"/>
  <c r="I255" i="5"/>
  <c r="G255" i="5"/>
  <c r="J258" i="5"/>
  <c r="H258" i="5"/>
  <c r="C258" i="5"/>
  <c r="N258" i="5" s="1"/>
  <c r="K271" i="5"/>
  <c r="I271" i="5"/>
  <c r="J274" i="5"/>
  <c r="H274" i="5"/>
  <c r="G331" i="5"/>
  <c r="M331" i="5"/>
  <c r="L331" i="5"/>
  <c r="J334" i="5"/>
  <c r="H334" i="5"/>
  <c r="M422" i="5"/>
  <c r="G422" i="5"/>
  <c r="L422" i="5"/>
  <c r="K422" i="5"/>
  <c r="H501" i="5"/>
  <c r="C501" i="5"/>
  <c r="N501" i="5" s="1"/>
  <c r="J501" i="5"/>
  <c r="J111" i="5"/>
  <c r="H111" i="5"/>
  <c r="M116" i="5"/>
  <c r="C119" i="5"/>
  <c r="N119" i="5" s="1"/>
  <c r="H119" i="5"/>
  <c r="J119" i="5"/>
  <c r="H134" i="5"/>
  <c r="J134" i="5"/>
  <c r="M206" i="5"/>
  <c r="I206" i="5"/>
  <c r="L206" i="5"/>
  <c r="K206" i="5"/>
  <c r="J255" i="5"/>
  <c r="H255" i="5"/>
  <c r="H271" i="5"/>
  <c r="J271" i="5"/>
  <c r="H331" i="5"/>
  <c r="J331" i="5"/>
  <c r="I440" i="5"/>
  <c r="M440" i="5"/>
  <c r="K440" i="5"/>
  <c r="L440" i="5"/>
  <c r="C470" i="5"/>
  <c r="N470" i="5" s="1"/>
  <c r="J470" i="5"/>
  <c r="H56" i="5"/>
  <c r="C56" i="5"/>
  <c r="N56" i="5" s="1"/>
  <c r="J56" i="5"/>
  <c r="G148" i="5"/>
  <c r="M148" i="5"/>
  <c r="L148" i="5"/>
  <c r="K148" i="5"/>
  <c r="I148" i="5"/>
  <c r="I293" i="5"/>
  <c r="L293" i="5"/>
  <c r="K293" i="5"/>
  <c r="M293" i="5"/>
  <c r="G293" i="5"/>
  <c r="H408" i="5"/>
  <c r="J408" i="5"/>
  <c r="C408" i="5"/>
  <c r="N408" i="5" s="1"/>
  <c r="J440" i="5"/>
  <c r="H440" i="5"/>
  <c r="H463" i="5"/>
  <c r="C463" i="5"/>
  <c r="N463" i="5" s="1"/>
  <c r="J463" i="5"/>
  <c r="M65" i="5"/>
  <c r="L65" i="5"/>
  <c r="K65" i="5"/>
  <c r="I65" i="5"/>
  <c r="G65" i="5"/>
  <c r="M73" i="5"/>
  <c r="L73" i="5"/>
  <c r="G75" i="5"/>
  <c r="M129" i="5"/>
  <c r="G129" i="5"/>
  <c r="L129" i="5"/>
  <c r="H131" i="5"/>
  <c r="J148" i="5"/>
  <c r="H148" i="5"/>
  <c r="H219" i="5"/>
  <c r="M275" i="5"/>
  <c r="L275" i="5"/>
  <c r="K275" i="5"/>
  <c r="I275" i="5"/>
  <c r="G275" i="5"/>
  <c r="J293" i="5"/>
  <c r="H293" i="5"/>
  <c r="L448" i="5"/>
  <c r="I448" i="5"/>
  <c r="M448" i="5"/>
  <c r="K448" i="5"/>
  <c r="G448" i="5"/>
  <c r="I487" i="5"/>
  <c r="G487" i="5"/>
  <c r="I502" i="5"/>
  <c r="G502" i="5"/>
  <c r="K502" i="5"/>
  <c r="M502" i="5"/>
  <c r="L502" i="5"/>
  <c r="C11" i="5"/>
  <c r="N11" i="5" s="1"/>
  <c r="J11" i="5"/>
  <c r="H14" i="5"/>
  <c r="H75" i="5"/>
  <c r="I80" i="5"/>
  <c r="G80" i="5"/>
  <c r="L80" i="5"/>
  <c r="K80" i="5"/>
  <c r="M80" i="5"/>
  <c r="G116" i="5"/>
  <c r="M120" i="5"/>
  <c r="K120" i="5"/>
  <c r="L120" i="5"/>
  <c r="I120" i="5"/>
  <c r="G120" i="5"/>
  <c r="I131" i="5"/>
  <c r="I134" i="5"/>
  <c r="G217" i="5"/>
  <c r="M217" i="5"/>
  <c r="L217" i="5"/>
  <c r="I219" i="5"/>
  <c r="H245" i="5"/>
  <c r="C245" i="5"/>
  <c r="N245" i="5" s="1"/>
  <c r="I331" i="5"/>
  <c r="H437" i="5"/>
  <c r="C437" i="5"/>
  <c r="N437" i="5" s="1"/>
  <c r="H448" i="5"/>
  <c r="J448" i="5"/>
  <c r="J487" i="5"/>
  <c r="H487" i="5"/>
  <c r="J502" i="5"/>
  <c r="H502" i="5"/>
  <c r="I75" i="5"/>
  <c r="M94" i="5"/>
  <c r="L94" i="5"/>
  <c r="K94" i="5"/>
  <c r="I94" i="5"/>
  <c r="K103" i="5"/>
  <c r="L103" i="5"/>
  <c r="M103" i="5"/>
  <c r="H116" i="5"/>
  <c r="J120" i="5"/>
  <c r="H120" i="5"/>
  <c r="J131" i="5"/>
  <c r="G206" i="5"/>
  <c r="J219" i="5"/>
  <c r="L255" i="5"/>
  <c r="M259" i="5"/>
  <c r="L259" i="5"/>
  <c r="K259" i="5"/>
  <c r="I259" i="5"/>
  <c r="G259" i="5"/>
  <c r="L271" i="5"/>
  <c r="K325" i="5"/>
  <c r="M325" i="5"/>
  <c r="K331" i="5"/>
  <c r="M341" i="5"/>
  <c r="L341" i="5"/>
  <c r="K341" i="5"/>
  <c r="G341" i="5"/>
  <c r="I341" i="5"/>
  <c r="I422" i="5"/>
  <c r="G440" i="5"/>
  <c r="L445" i="5"/>
  <c r="M445" i="5"/>
  <c r="K445" i="5"/>
  <c r="I445" i="5"/>
  <c r="G445" i="5"/>
  <c r="H470" i="5"/>
  <c r="K36" i="5"/>
  <c r="M36" i="5"/>
  <c r="L36" i="5"/>
  <c r="I36" i="5"/>
  <c r="G71" i="5"/>
  <c r="M71" i="5"/>
  <c r="L71" i="5"/>
  <c r="K71" i="5"/>
  <c r="G73" i="5"/>
  <c r="J75" i="5"/>
  <c r="J94" i="5"/>
  <c r="H94" i="5"/>
  <c r="C97" i="5"/>
  <c r="N97" i="5" s="1"/>
  <c r="J97" i="5"/>
  <c r="H97" i="5"/>
  <c r="I116" i="5"/>
  <c r="L131" i="5"/>
  <c r="L190" i="5"/>
  <c r="G190" i="5"/>
  <c r="M190" i="5"/>
  <c r="K190" i="5"/>
  <c r="I190" i="5"/>
  <c r="L203" i="5"/>
  <c r="I203" i="5"/>
  <c r="G203" i="5"/>
  <c r="H206" i="5"/>
  <c r="K219" i="5"/>
  <c r="J259" i="5"/>
  <c r="H259" i="5"/>
  <c r="J268" i="5"/>
  <c r="H268" i="5"/>
  <c r="M271" i="5"/>
  <c r="I288" i="5"/>
  <c r="G288" i="5"/>
  <c r="M288" i="5"/>
  <c r="L288" i="5"/>
  <c r="J325" i="5"/>
  <c r="H325" i="5"/>
  <c r="J344" i="5"/>
  <c r="H344" i="5"/>
  <c r="C344" i="5"/>
  <c r="N344" i="5" s="1"/>
  <c r="G493" i="5"/>
  <c r="L493" i="5"/>
  <c r="I493" i="5"/>
  <c r="K493" i="5"/>
  <c r="M493" i="5"/>
  <c r="J36" i="5"/>
  <c r="H36" i="5"/>
  <c r="M53" i="5"/>
  <c r="K53" i="5"/>
  <c r="I53" i="5"/>
  <c r="L53" i="5"/>
  <c r="G53" i="5"/>
  <c r="H73" i="5"/>
  <c r="K75" i="5"/>
  <c r="I91" i="5"/>
  <c r="G91" i="5"/>
  <c r="M91" i="5"/>
  <c r="L91" i="5"/>
  <c r="K91" i="5"/>
  <c r="J116" i="5"/>
  <c r="C124" i="5"/>
  <c r="N124" i="5" s="1"/>
  <c r="H124" i="5"/>
  <c r="J124" i="5"/>
  <c r="M127" i="5"/>
  <c r="L127" i="5"/>
  <c r="K127" i="5"/>
  <c r="H129" i="5"/>
  <c r="G139" i="5"/>
  <c r="M139" i="5"/>
  <c r="J190" i="5"/>
  <c r="H190" i="5"/>
  <c r="H217" i="5"/>
  <c r="L219" i="5"/>
  <c r="L222" i="5"/>
  <c r="G222" i="5"/>
  <c r="M222" i="5"/>
  <c r="K222" i="5"/>
  <c r="I222" i="5"/>
  <c r="M238" i="5"/>
  <c r="L238" i="5"/>
  <c r="K238" i="5"/>
  <c r="I238" i="5"/>
  <c r="G238" i="5"/>
  <c r="J285" i="5"/>
  <c r="H285" i="5"/>
  <c r="J403" i="5"/>
  <c r="H403" i="5"/>
  <c r="C403" i="5"/>
  <c r="N403" i="5" s="1"/>
  <c r="M464" i="5"/>
  <c r="G464" i="5"/>
  <c r="I464" i="5"/>
  <c r="L464" i="5"/>
  <c r="K464" i="5"/>
  <c r="K487" i="5"/>
  <c r="H11" i="5"/>
  <c r="J53" i="5"/>
  <c r="H53" i="5"/>
  <c r="I73" i="5"/>
  <c r="L75" i="5"/>
  <c r="J80" i="5"/>
  <c r="K116" i="5"/>
  <c r="I129" i="5"/>
  <c r="G132" i="5"/>
  <c r="M132" i="5"/>
  <c r="L132" i="5"/>
  <c r="K132" i="5"/>
  <c r="I132" i="5"/>
  <c r="K207" i="5"/>
  <c r="I207" i="5"/>
  <c r="M207" i="5"/>
  <c r="L207" i="5"/>
  <c r="G207" i="5"/>
  <c r="I217" i="5"/>
  <c r="M219" i="5"/>
  <c r="H238" i="5"/>
  <c r="J238" i="5"/>
  <c r="I272" i="5"/>
  <c r="G272" i="5"/>
  <c r="M272" i="5"/>
  <c r="L272" i="5"/>
  <c r="K272" i="5"/>
  <c r="C349" i="5"/>
  <c r="N349" i="5" s="1"/>
  <c r="H349" i="5"/>
  <c r="J349" i="5"/>
  <c r="C374" i="5"/>
  <c r="N374" i="5" s="1"/>
  <c r="J374" i="5"/>
  <c r="H374" i="5"/>
  <c r="J437" i="5"/>
  <c r="L475" i="5"/>
  <c r="M475" i="5"/>
  <c r="I475" i="5"/>
  <c r="K475" i="5"/>
  <c r="L487" i="5"/>
  <c r="M508" i="5"/>
  <c r="C33" i="5"/>
  <c r="N33" i="5" s="1"/>
  <c r="J33" i="5"/>
  <c r="J73" i="5"/>
  <c r="K78" i="5"/>
  <c r="I78" i="5"/>
  <c r="M78" i="5"/>
  <c r="G78" i="5"/>
  <c r="L78" i="5"/>
  <c r="J88" i="5"/>
  <c r="C88" i="5"/>
  <c r="N88" i="5" s="1"/>
  <c r="G94" i="5"/>
  <c r="G103" i="5"/>
  <c r="I113" i="5"/>
  <c r="G113" i="5"/>
  <c r="K113" i="5"/>
  <c r="L113" i="5"/>
  <c r="L116" i="5"/>
  <c r="M153" i="5"/>
  <c r="K153" i="5"/>
  <c r="L153" i="5"/>
  <c r="G169" i="5"/>
  <c r="G211" i="5"/>
  <c r="M211" i="5"/>
  <c r="L211" i="5"/>
  <c r="I211" i="5"/>
  <c r="J217" i="5"/>
  <c r="J245" i="5"/>
  <c r="G268" i="5"/>
  <c r="J307" i="5"/>
  <c r="C307" i="5"/>
  <c r="N307" i="5" s="1"/>
  <c r="H307" i="5"/>
  <c r="G325" i="5"/>
  <c r="I328" i="5"/>
  <c r="G328" i="5"/>
  <c r="M328" i="5"/>
  <c r="L328" i="5"/>
  <c r="K328" i="5"/>
  <c r="G370" i="5"/>
  <c r="L370" i="5"/>
  <c r="K370" i="5"/>
  <c r="I370" i="5"/>
  <c r="M487" i="5"/>
  <c r="M12" i="5"/>
  <c r="L12" i="5"/>
  <c r="K12" i="5"/>
  <c r="I12" i="5"/>
  <c r="G12" i="5"/>
  <c r="K25" i="5"/>
  <c r="L25" i="5"/>
  <c r="M25" i="5"/>
  <c r="I30" i="5"/>
  <c r="G30" i="5"/>
  <c r="G36" i="5"/>
  <c r="H71" i="5"/>
  <c r="K73" i="5"/>
  <c r="J113" i="5"/>
  <c r="H113" i="5"/>
  <c r="K129" i="5"/>
  <c r="I136" i="5"/>
  <c r="G136" i="5"/>
  <c r="H139" i="5"/>
  <c r="M142" i="5"/>
  <c r="K142" i="5"/>
  <c r="I142" i="5"/>
  <c r="L142" i="5"/>
  <c r="G142" i="5"/>
  <c r="M156" i="5"/>
  <c r="L156" i="5"/>
  <c r="K156" i="5"/>
  <c r="I156" i="5"/>
  <c r="G156" i="5"/>
  <c r="H169" i="5"/>
  <c r="C172" i="5"/>
  <c r="N172" i="5" s="1"/>
  <c r="J172" i="5"/>
  <c r="H172" i="5"/>
  <c r="G191" i="5"/>
  <c r="M191" i="5"/>
  <c r="L191" i="5"/>
  <c r="K191" i="5"/>
  <c r="I191" i="5"/>
  <c r="K217" i="5"/>
  <c r="C246" i="5"/>
  <c r="N246" i="5" s="1"/>
  <c r="J246" i="5"/>
  <c r="G263" i="5"/>
  <c r="I268" i="5"/>
  <c r="G285" i="5"/>
  <c r="H288" i="5"/>
  <c r="C304" i="5"/>
  <c r="N304" i="5" s="1"/>
  <c r="J304" i="5"/>
  <c r="H304" i="5"/>
  <c r="I325" i="5"/>
  <c r="J328" i="5"/>
  <c r="H328" i="5"/>
  <c r="K364" i="5"/>
  <c r="I364" i="5"/>
  <c r="M364" i="5"/>
  <c r="G364" i="5"/>
  <c r="L364" i="5"/>
  <c r="J370" i="5"/>
  <c r="H370" i="5"/>
  <c r="L378" i="5"/>
  <c r="I378" i="5"/>
  <c r="G378" i="5"/>
  <c r="K378" i="5"/>
  <c r="H397" i="5"/>
  <c r="J397" i="5"/>
  <c r="C397" i="5"/>
  <c r="N397" i="5" s="1"/>
  <c r="G406" i="5"/>
  <c r="L406" i="5"/>
  <c r="K406" i="5"/>
  <c r="I406" i="5"/>
  <c r="M504" i="5"/>
  <c r="K504" i="5"/>
  <c r="I504" i="5"/>
  <c r="G504" i="5"/>
  <c r="L504" i="5"/>
  <c r="J12" i="5"/>
  <c r="H12" i="5"/>
  <c r="M23" i="5"/>
  <c r="L23" i="5"/>
  <c r="M50" i="5"/>
  <c r="L50" i="5"/>
  <c r="K50" i="5"/>
  <c r="I50" i="5"/>
  <c r="I71" i="5"/>
  <c r="H91" i="5"/>
  <c r="I103" i="5"/>
  <c r="G127" i="5"/>
  <c r="I139" i="5"/>
  <c r="J142" i="5"/>
  <c r="H142" i="5"/>
  <c r="M150" i="5"/>
  <c r="L150" i="5"/>
  <c r="K150" i="5"/>
  <c r="J156" i="5"/>
  <c r="H156" i="5"/>
  <c r="I169" i="5"/>
  <c r="K203" i="5"/>
  <c r="H263" i="5"/>
  <c r="G266" i="5"/>
  <c r="M266" i="5"/>
  <c r="L266" i="5"/>
  <c r="L268" i="5"/>
  <c r="I285" i="5"/>
  <c r="L298" i="5"/>
  <c r="M298" i="5"/>
  <c r="K298" i="5"/>
  <c r="I298" i="5"/>
  <c r="G298" i="5"/>
  <c r="L325" i="5"/>
  <c r="K336" i="5"/>
  <c r="M336" i="5"/>
  <c r="L336" i="5"/>
  <c r="L342" i="5"/>
  <c r="I342" i="5"/>
  <c r="M342" i="5"/>
  <c r="K342" i="5"/>
  <c r="K356" i="5"/>
  <c r="I356" i="5"/>
  <c r="M356" i="5"/>
  <c r="H364" i="5"/>
  <c r="J364" i="5"/>
  <c r="J406" i="5"/>
  <c r="H406" i="5"/>
  <c r="L427" i="5"/>
  <c r="K427" i="5"/>
  <c r="I427" i="5"/>
  <c r="J504" i="5"/>
  <c r="H504" i="5"/>
  <c r="M21" i="5"/>
  <c r="G82" i="5"/>
  <c r="I82" i="5"/>
  <c r="M82" i="5"/>
  <c r="I125" i="5"/>
  <c r="M125" i="5"/>
  <c r="L125" i="5"/>
  <c r="K125" i="5"/>
  <c r="I127" i="5"/>
  <c r="J139" i="5"/>
  <c r="M203" i="5"/>
  <c r="G215" i="5"/>
  <c r="M215" i="5"/>
  <c r="L215" i="5"/>
  <c r="K215" i="5"/>
  <c r="I215" i="5"/>
  <c r="I263" i="5"/>
  <c r="J266" i="5"/>
  <c r="H266" i="5"/>
  <c r="M268" i="5"/>
  <c r="K285" i="5"/>
  <c r="K288" i="5"/>
  <c r="H336" i="5"/>
  <c r="J336" i="5"/>
  <c r="H342" i="5"/>
  <c r="J342" i="5"/>
  <c r="G475" i="5"/>
  <c r="G508" i="5"/>
  <c r="M19" i="5"/>
  <c r="H33" i="5"/>
  <c r="I69" i="5"/>
  <c r="M69" i="5"/>
  <c r="L69" i="5"/>
  <c r="K69" i="5"/>
  <c r="G69" i="5"/>
  <c r="H88" i="5"/>
  <c r="C104" i="5"/>
  <c r="N104" i="5" s="1"/>
  <c r="J104" i="5"/>
  <c r="H104" i="5"/>
  <c r="M113" i="5"/>
  <c r="J127" i="5"/>
  <c r="K139" i="5"/>
  <c r="G153" i="5"/>
  <c r="K169" i="5"/>
  <c r="I204" i="5"/>
  <c r="G204" i="5"/>
  <c r="M204" i="5"/>
  <c r="L204" i="5"/>
  <c r="K204" i="5"/>
  <c r="K211" i="5"/>
  <c r="J263" i="5"/>
  <c r="L285" i="5"/>
  <c r="M370" i="5"/>
  <c r="J391" i="5"/>
  <c r="C391" i="5"/>
  <c r="N391" i="5" s="1"/>
  <c r="I508" i="5"/>
  <c r="G25" i="5"/>
  <c r="J30" i="5"/>
  <c r="I38" i="5"/>
  <c r="M38" i="5"/>
  <c r="J69" i="5"/>
  <c r="H69" i="5"/>
  <c r="J136" i="5"/>
  <c r="L139" i="5"/>
  <c r="G143" i="5"/>
  <c r="M143" i="5"/>
  <c r="L143" i="5"/>
  <c r="K143" i="5"/>
  <c r="I143" i="5"/>
  <c r="G150" i="5"/>
  <c r="H153" i="5"/>
  <c r="C163" i="5"/>
  <c r="N163" i="5" s="1"/>
  <c r="J163" i="5"/>
  <c r="H163" i="5"/>
  <c r="M167" i="5"/>
  <c r="L167" i="5"/>
  <c r="K167" i="5"/>
  <c r="I167" i="5"/>
  <c r="L169" i="5"/>
  <c r="C177" i="5"/>
  <c r="N177" i="5" s="1"/>
  <c r="J177" i="5"/>
  <c r="H177" i="5"/>
  <c r="I195" i="5"/>
  <c r="G195" i="5"/>
  <c r="K195" i="5"/>
  <c r="C201" i="5"/>
  <c r="N201" i="5" s="1"/>
  <c r="H201" i="5"/>
  <c r="J201" i="5"/>
  <c r="L212" i="5"/>
  <c r="M212" i="5"/>
  <c r="K212" i="5"/>
  <c r="I212" i="5"/>
  <c r="C232" i="5"/>
  <c r="N232" i="5" s="1"/>
  <c r="J232" i="5"/>
  <c r="H232" i="5"/>
  <c r="H246" i="5"/>
  <c r="K263" i="5"/>
  <c r="G269" i="5"/>
  <c r="L269" i="5"/>
  <c r="M269" i="5"/>
  <c r="K269" i="5"/>
  <c r="I269" i="5"/>
  <c r="M285" i="5"/>
  <c r="M406" i="5"/>
  <c r="G427" i="5"/>
  <c r="M430" i="5"/>
  <c r="K430" i="5"/>
  <c r="G430" i="5"/>
  <c r="L430" i="5"/>
  <c r="L453" i="5"/>
  <c r="K453" i="5"/>
  <c r="I453" i="5"/>
  <c r="M453" i="5"/>
  <c r="K508" i="5"/>
  <c r="G23" i="5"/>
  <c r="H25" i="5"/>
  <c r="K30" i="5"/>
  <c r="G50" i="5"/>
  <c r="M85" i="5"/>
  <c r="K85" i="5"/>
  <c r="G85" i="5"/>
  <c r="L114" i="5"/>
  <c r="K114" i="5"/>
  <c r="M114" i="5"/>
  <c r="I114" i="5"/>
  <c r="G114" i="5"/>
  <c r="K136" i="5"/>
  <c r="H150" i="5"/>
  <c r="I153" i="5"/>
  <c r="M169" i="5"/>
  <c r="M261" i="5"/>
  <c r="L261" i="5"/>
  <c r="K261" i="5"/>
  <c r="L263" i="5"/>
  <c r="I266" i="5"/>
  <c r="L283" i="5"/>
  <c r="K283" i="5"/>
  <c r="M283" i="5"/>
  <c r="I283" i="5"/>
  <c r="G283" i="5"/>
  <c r="G336" i="5"/>
  <c r="G342" i="5"/>
  <c r="G356" i="5"/>
  <c r="L365" i="5"/>
  <c r="I365" i="5"/>
  <c r="M365" i="5"/>
  <c r="K365" i="5"/>
  <c r="K368" i="5"/>
  <c r="G368" i="5"/>
  <c r="I368" i="5"/>
  <c r="M368" i="5"/>
  <c r="L368" i="5"/>
  <c r="M378" i="5"/>
  <c r="H427" i="5"/>
  <c r="H430" i="5"/>
  <c r="J430" i="5"/>
  <c r="J472" i="5"/>
  <c r="C472" i="5"/>
  <c r="N472" i="5" s="1"/>
  <c r="J505" i="5"/>
  <c r="C505" i="5"/>
  <c r="N505" i="5" s="1"/>
  <c r="H505" i="5"/>
  <c r="L508" i="5"/>
  <c r="G21" i="5"/>
  <c r="H23" i="5"/>
  <c r="I25" i="5"/>
  <c r="L30" i="5"/>
  <c r="H50" i="5"/>
  <c r="J82" i="5"/>
  <c r="J114" i="5"/>
  <c r="H114" i="5"/>
  <c r="G125" i="5"/>
  <c r="L136" i="5"/>
  <c r="I150" i="5"/>
  <c r="M240" i="5"/>
  <c r="L240" i="5"/>
  <c r="M263" i="5"/>
  <c r="K266" i="5"/>
  <c r="J283" i="5"/>
  <c r="H283" i="5"/>
  <c r="C299" i="5"/>
  <c r="N299" i="5" s="1"/>
  <c r="J299" i="5"/>
  <c r="I336" i="5"/>
  <c r="H356" i="5"/>
  <c r="H365" i="5"/>
  <c r="J365" i="5"/>
  <c r="K401" i="5"/>
  <c r="I401" i="5"/>
  <c r="M401" i="5"/>
  <c r="L401" i="5"/>
  <c r="G401" i="5"/>
  <c r="J427" i="5"/>
  <c r="M456" i="5"/>
  <c r="I456" i="5"/>
  <c r="G456" i="5"/>
  <c r="L456" i="5"/>
  <c r="K456" i="5"/>
  <c r="G7" i="5"/>
  <c r="M7" i="5"/>
  <c r="L7" i="5"/>
  <c r="K7" i="5"/>
  <c r="I7" i="5"/>
  <c r="G19" i="5"/>
  <c r="H21" i="5"/>
  <c r="I23" i="5"/>
  <c r="M30" i="5"/>
  <c r="K82" i="5"/>
  <c r="H125" i="5"/>
  <c r="M136" i="5"/>
  <c r="G147" i="5"/>
  <c r="K147" i="5"/>
  <c r="I147" i="5"/>
  <c r="J150" i="5"/>
  <c r="K227" i="5"/>
  <c r="M227" i="5"/>
  <c r="L227" i="5"/>
  <c r="G264" i="5"/>
  <c r="M264" i="5"/>
  <c r="L264" i="5"/>
  <c r="K264" i="5"/>
  <c r="I264" i="5"/>
  <c r="L316" i="5"/>
  <c r="K316" i="5"/>
  <c r="M316" i="5"/>
  <c r="I316" i="5"/>
  <c r="G316" i="5"/>
  <c r="J330" i="5"/>
  <c r="H330" i="5"/>
  <c r="C330" i="5"/>
  <c r="N330" i="5" s="1"/>
  <c r="C359" i="5"/>
  <c r="N359" i="5" s="1"/>
  <c r="J359" i="5"/>
  <c r="M379" i="5"/>
  <c r="K379" i="5"/>
  <c r="L379" i="5"/>
  <c r="I379" i="5"/>
  <c r="G379" i="5"/>
  <c r="H391" i="5"/>
  <c r="M398" i="5"/>
  <c r="K398" i="5"/>
  <c r="L398" i="5"/>
  <c r="I398" i="5"/>
  <c r="G398" i="5"/>
  <c r="M427" i="5"/>
  <c r="I498" i="5"/>
  <c r="G498" i="5"/>
  <c r="G4" i="5"/>
  <c r="H19" i="5"/>
  <c r="I21" i="5"/>
  <c r="G38" i="5"/>
  <c r="L82" i="5"/>
  <c r="J144" i="5"/>
  <c r="C144" i="5"/>
  <c r="N144" i="5" s="1"/>
  <c r="J147" i="5"/>
  <c r="H147" i="5"/>
  <c r="M158" i="5"/>
  <c r="L158" i="5"/>
  <c r="K158" i="5"/>
  <c r="G167" i="5"/>
  <c r="M178" i="5"/>
  <c r="L178" i="5"/>
  <c r="K178" i="5"/>
  <c r="I178" i="5"/>
  <c r="L195" i="5"/>
  <c r="G212" i="5"/>
  <c r="J233" i="5"/>
  <c r="C233" i="5"/>
  <c r="N233" i="5" s="1"/>
  <c r="H233" i="5"/>
  <c r="J316" i="5"/>
  <c r="H316" i="5"/>
  <c r="L356" i="5"/>
  <c r="K394" i="5"/>
  <c r="J398" i="5"/>
  <c r="H398" i="5"/>
  <c r="L424" i="5"/>
  <c r="G424" i="5"/>
  <c r="I430" i="5"/>
  <c r="I450" i="5"/>
  <c r="G453" i="5"/>
  <c r="M495" i="5"/>
  <c r="G495" i="5"/>
  <c r="J498" i="5"/>
  <c r="H498" i="5"/>
  <c r="H4" i="5"/>
  <c r="M17" i="5"/>
  <c r="L17" i="5"/>
  <c r="K17" i="5"/>
  <c r="I19" i="5"/>
  <c r="K23" i="5"/>
  <c r="L31" i="5"/>
  <c r="K31" i="5"/>
  <c r="M31" i="5"/>
  <c r="I31" i="5"/>
  <c r="G31" i="5"/>
  <c r="H38" i="5"/>
  <c r="K67" i="5"/>
  <c r="L67" i="5"/>
  <c r="M67" i="5"/>
  <c r="I67" i="5"/>
  <c r="G67" i="5"/>
  <c r="I85" i="5"/>
  <c r="G137" i="5"/>
  <c r="M137" i="5"/>
  <c r="L137" i="5"/>
  <c r="K137" i="5"/>
  <c r="I137" i="5"/>
  <c r="M151" i="5"/>
  <c r="L151" i="5"/>
  <c r="K151" i="5"/>
  <c r="I151" i="5"/>
  <c r="G151" i="5"/>
  <c r="H167" i="5"/>
  <c r="M195" i="5"/>
  <c r="H212" i="5"/>
  <c r="G221" i="5"/>
  <c r="G230" i="5"/>
  <c r="M230" i="5"/>
  <c r="I230" i="5"/>
  <c r="L230" i="5"/>
  <c r="K230" i="5"/>
  <c r="I243" i="5"/>
  <c r="G243" i="5"/>
  <c r="L243" i="5"/>
  <c r="K243" i="5"/>
  <c r="M243" i="5"/>
  <c r="G261" i="5"/>
  <c r="G365" i="5"/>
  <c r="M389" i="5"/>
  <c r="K389" i="5"/>
  <c r="L389" i="5"/>
  <c r="I389" i="5"/>
  <c r="G389" i="5"/>
  <c r="L394" i="5"/>
  <c r="J450" i="5"/>
  <c r="H450" i="5"/>
  <c r="H472" i="5"/>
  <c r="I4" i="5"/>
  <c r="K21" i="5"/>
  <c r="G55" i="5"/>
  <c r="J67" i="5"/>
  <c r="H67" i="5"/>
  <c r="M96" i="5"/>
  <c r="L96" i="5"/>
  <c r="K96" i="5"/>
  <c r="J151" i="5"/>
  <c r="H151" i="5"/>
  <c r="M164" i="5"/>
  <c r="K164" i="5"/>
  <c r="L164" i="5"/>
  <c r="I164" i="5"/>
  <c r="G240" i="5"/>
  <c r="J243" i="5"/>
  <c r="H243" i="5"/>
  <c r="H299" i="5"/>
  <c r="H389" i="5"/>
  <c r="J389" i="5"/>
  <c r="M394" i="5"/>
  <c r="H7" i="5"/>
  <c r="C14" i="5"/>
  <c r="N14" i="5" s="1"/>
  <c r="K19" i="5"/>
  <c r="L21" i="5"/>
  <c r="K38" i="5"/>
  <c r="M48" i="5"/>
  <c r="L48" i="5"/>
  <c r="K48" i="5"/>
  <c r="I48" i="5"/>
  <c r="G48" i="5"/>
  <c r="J52" i="5"/>
  <c r="C52" i="5"/>
  <c r="N52" i="5" s="1"/>
  <c r="H55" i="5"/>
  <c r="L85" i="5"/>
  <c r="L147" i="5"/>
  <c r="J164" i="5"/>
  <c r="H164" i="5"/>
  <c r="C196" i="5"/>
  <c r="N196" i="5" s="1"/>
  <c r="C224" i="5"/>
  <c r="N224" i="5" s="1"/>
  <c r="G227" i="5"/>
  <c r="I261" i="5"/>
  <c r="C274" i="5"/>
  <c r="N274" i="5" s="1"/>
  <c r="M313" i="5"/>
  <c r="K313" i="5"/>
  <c r="L313" i="5"/>
  <c r="I313" i="5"/>
  <c r="C317" i="5"/>
  <c r="N317" i="5" s="1"/>
  <c r="J317" i="5"/>
  <c r="H317" i="5"/>
  <c r="C334" i="5"/>
  <c r="N334" i="5" s="1"/>
  <c r="H359" i="5"/>
  <c r="M416" i="5"/>
  <c r="I416" i="5"/>
  <c r="G416" i="5"/>
  <c r="L444" i="5"/>
  <c r="I444" i="5"/>
  <c r="G444" i="5"/>
  <c r="K444" i="5"/>
  <c r="H495" i="5"/>
  <c r="K498" i="5"/>
  <c r="M511" i="5"/>
  <c r="G511" i="5"/>
  <c r="I511" i="5"/>
  <c r="I135" i="5"/>
  <c r="G135" i="5"/>
  <c r="K135" i="5"/>
  <c r="M109" i="5"/>
  <c r="K109" i="5"/>
  <c r="I109" i="5"/>
  <c r="G109" i="5"/>
  <c r="H137" i="5"/>
  <c r="J137" i="5"/>
  <c r="K188" i="5"/>
  <c r="I188" i="5"/>
  <c r="G188" i="5"/>
  <c r="I225" i="5"/>
  <c r="K225" i="5"/>
  <c r="G225" i="5"/>
  <c r="J269" i="5"/>
  <c r="H269" i="5"/>
  <c r="M352" i="5"/>
  <c r="K352" i="5"/>
  <c r="L352" i="5"/>
  <c r="M387" i="5"/>
  <c r="G387" i="5"/>
  <c r="I387" i="5"/>
  <c r="K395" i="5"/>
  <c r="L395" i="5"/>
  <c r="M395" i="5"/>
  <c r="I395" i="5"/>
  <c r="G420" i="5"/>
  <c r="L420" i="5"/>
  <c r="K420" i="5"/>
  <c r="M420" i="5"/>
  <c r="M482" i="5"/>
  <c r="L482" i="5"/>
  <c r="I482" i="5"/>
  <c r="K482" i="5"/>
  <c r="G488" i="5"/>
  <c r="M488" i="5"/>
  <c r="K488" i="5"/>
  <c r="K15" i="5"/>
  <c r="M15" i="5"/>
  <c r="L15" i="5"/>
  <c r="M63" i="5"/>
  <c r="C86" i="5"/>
  <c r="N86" i="5" s="1"/>
  <c r="J86" i="5"/>
  <c r="H86" i="5"/>
  <c r="I157" i="5"/>
  <c r="G157" i="5"/>
  <c r="G170" i="5"/>
  <c r="L170" i="5"/>
  <c r="K170" i="5"/>
  <c r="I170" i="5"/>
  <c r="J188" i="5"/>
  <c r="H188" i="5"/>
  <c r="J225" i="5"/>
  <c r="H225" i="5"/>
  <c r="J236" i="5"/>
  <c r="C236" i="5"/>
  <c r="N236" i="5" s="1"/>
  <c r="G247" i="5"/>
  <c r="M247" i="5"/>
  <c r="M278" i="5"/>
  <c r="K278" i="5"/>
  <c r="L311" i="5"/>
  <c r="I311" i="5"/>
  <c r="G311" i="5"/>
  <c r="K311" i="5"/>
  <c r="H314" i="5"/>
  <c r="C314" i="5"/>
  <c r="N314" i="5" s="1"/>
  <c r="L360" i="5"/>
  <c r="M360" i="5"/>
  <c r="I360" i="5"/>
  <c r="K360" i="5"/>
  <c r="C371" i="5"/>
  <c r="N371" i="5" s="1"/>
  <c r="H371" i="5"/>
  <c r="H387" i="5"/>
  <c r="J387" i="5"/>
  <c r="J395" i="5"/>
  <c r="H395" i="5"/>
  <c r="J442" i="5"/>
  <c r="H442" i="5"/>
  <c r="C442" i="5"/>
  <c r="N442" i="5" s="1"/>
  <c r="H474" i="5"/>
  <c r="C474" i="5"/>
  <c r="N474" i="5" s="1"/>
  <c r="J506" i="5"/>
  <c r="H506" i="5"/>
  <c r="I5" i="5"/>
  <c r="G5" i="5"/>
  <c r="M5" i="5"/>
  <c r="K5" i="5"/>
  <c r="L5" i="5"/>
  <c r="I102" i="5"/>
  <c r="G102" i="5"/>
  <c r="I123" i="5"/>
  <c r="M123" i="5"/>
  <c r="M154" i="5"/>
  <c r="L154" i="5"/>
  <c r="K154" i="5"/>
  <c r="G154" i="5"/>
  <c r="K165" i="5"/>
  <c r="M165" i="5"/>
  <c r="L165" i="5"/>
  <c r="M281" i="5"/>
  <c r="K281" i="5"/>
  <c r="L281" i="5"/>
  <c r="I281" i="5"/>
  <c r="J311" i="5"/>
  <c r="H311" i="5"/>
  <c r="J360" i="5"/>
  <c r="H360" i="5"/>
  <c r="L377" i="5"/>
  <c r="L410" i="5"/>
  <c r="M410" i="5"/>
  <c r="K410" i="5"/>
  <c r="K479" i="5"/>
  <c r="G479" i="5"/>
  <c r="I479" i="5"/>
  <c r="M34" i="5"/>
  <c r="L34" i="5"/>
  <c r="I34" i="5"/>
  <c r="K34" i="5"/>
  <c r="H37" i="5"/>
  <c r="C37" i="5"/>
  <c r="N37" i="5" s="1"/>
  <c r="K100" i="5"/>
  <c r="I100" i="5"/>
  <c r="G115" i="5"/>
  <c r="L115" i="5"/>
  <c r="K115" i="5"/>
  <c r="I115" i="5"/>
  <c r="H143" i="5"/>
  <c r="M162" i="5"/>
  <c r="K162" i="5"/>
  <c r="I162" i="5"/>
  <c r="G173" i="5"/>
  <c r="M176" i="5"/>
  <c r="L176" i="5"/>
  <c r="K176" i="5"/>
  <c r="I179" i="5"/>
  <c r="G179" i="5"/>
  <c r="M179" i="5"/>
  <c r="M186" i="5"/>
  <c r="K186" i="5"/>
  <c r="I186" i="5"/>
  <c r="G186" i="5"/>
  <c r="J204" i="5"/>
  <c r="H222" i="5"/>
  <c r="K241" i="5"/>
  <c r="I241" i="5"/>
  <c r="G241" i="5"/>
  <c r="M241" i="5"/>
  <c r="L241" i="5"/>
  <c r="C244" i="5"/>
  <c r="N244" i="5" s="1"/>
  <c r="J244" i="5"/>
  <c r="H244" i="5"/>
  <c r="C308" i="5"/>
  <c r="N308" i="5" s="1"/>
  <c r="J308" i="5"/>
  <c r="L323" i="5"/>
  <c r="I323" i="5"/>
  <c r="G323" i="5"/>
  <c r="M323" i="5"/>
  <c r="K323" i="5"/>
  <c r="K332" i="5"/>
  <c r="I332" i="5"/>
  <c r="G332" i="5"/>
  <c r="M340" i="5"/>
  <c r="L426" i="5"/>
  <c r="M426" i="5"/>
  <c r="K426" i="5"/>
  <c r="L439" i="5"/>
  <c r="K439" i="5"/>
  <c r="I439" i="5"/>
  <c r="C457" i="5"/>
  <c r="N457" i="5" s="1"/>
  <c r="J457" i="5"/>
  <c r="M462" i="5"/>
  <c r="G462" i="5"/>
  <c r="J479" i="5"/>
  <c r="H479" i="5"/>
  <c r="H493" i="5"/>
  <c r="M10" i="5"/>
  <c r="H34" i="5"/>
  <c r="J34" i="5"/>
  <c r="M46" i="5"/>
  <c r="L46" i="5"/>
  <c r="G51" i="5"/>
  <c r="L51" i="5"/>
  <c r="K51" i="5"/>
  <c r="I51" i="5"/>
  <c r="G81" i="5"/>
  <c r="M92" i="5"/>
  <c r="L92" i="5"/>
  <c r="K92" i="5"/>
  <c r="G92" i="5"/>
  <c r="I92" i="5"/>
  <c r="M107" i="5"/>
  <c r="I107" i="5"/>
  <c r="K107" i="5"/>
  <c r="L107" i="5"/>
  <c r="H109" i="5"/>
  <c r="I112" i="5"/>
  <c r="G112" i="5"/>
  <c r="I138" i="5"/>
  <c r="G138" i="5"/>
  <c r="H173" i="5"/>
  <c r="L188" i="5"/>
  <c r="J191" i="5"/>
  <c r="H207" i="5"/>
  <c r="G210" i="5"/>
  <c r="L225" i="5"/>
  <c r="J241" i="5"/>
  <c r="H241" i="5"/>
  <c r="K262" i="5"/>
  <c r="I262" i="5"/>
  <c r="M262" i="5"/>
  <c r="L262" i="5"/>
  <c r="G262" i="5"/>
  <c r="J270" i="5"/>
  <c r="H270" i="5"/>
  <c r="C270" i="5"/>
  <c r="N270" i="5" s="1"/>
  <c r="H297" i="5"/>
  <c r="J314" i="5"/>
  <c r="H323" i="5"/>
  <c r="J323" i="5"/>
  <c r="J340" i="5"/>
  <c r="H340" i="5"/>
  <c r="G352" i="5"/>
  <c r="J371" i="5"/>
  <c r="K387" i="5"/>
  <c r="G395" i="5"/>
  <c r="L402" i="5"/>
  <c r="H420" i="5"/>
  <c r="C468" i="5"/>
  <c r="N468" i="5" s="1"/>
  <c r="J468" i="5"/>
  <c r="H468" i="5"/>
  <c r="G482" i="5"/>
  <c r="H488" i="5"/>
  <c r="L503" i="5"/>
  <c r="G503" i="5"/>
  <c r="K503" i="5"/>
  <c r="I503" i="5"/>
  <c r="G506" i="5"/>
  <c r="G15" i="5"/>
  <c r="G29" i="5"/>
  <c r="L29" i="5"/>
  <c r="M29" i="5"/>
  <c r="H31" i="5"/>
  <c r="H48" i="5"/>
  <c r="J51" i="5"/>
  <c r="H51" i="5"/>
  <c r="J54" i="5"/>
  <c r="H54" i="5"/>
  <c r="M57" i="5"/>
  <c r="H65" i="5"/>
  <c r="H81" i="5"/>
  <c r="H89" i="5"/>
  <c r="J92" i="5"/>
  <c r="H92" i="5"/>
  <c r="M98" i="5"/>
  <c r="K98" i="5"/>
  <c r="J112" i="5"/>
  <c r="H112" i="5"/>
  <c r="I146" i="5"/>
  <c r="G146" i="5"/>
  <c r="M146" i="5"/>
  <c r="L146" i="5"/>
  <c r="M149" i="5"/>
  <c r="L149" i="5"/>
  <c r="K149" i="5"/>
  <c r="I149" i="5"/>
  <c r="H157" i="5"/>
  <c r="M170" i="5"/>
  <c r="I173" i="5"/>
  <c r="M188" i="5"/>
  <c r="C199" i="5"/>
  <c r="N199" i="5" s="1"/>
  <c r="J199" i="5"/>
  <c r="H199" i="5"/>
  <c r="H210" i="5"/>
  <c r="G213" i="5"/>
  <c r="M213" i="5"/>
  <c r="L213" i="5"/>
  <c r="K213" i="5"/>
  <c r="M225" i="5"/>
  <c r="L234" i="5"/>
  <c r="K234" i="5"/>
  <c r="M234" i="5"/>
  <c r="H236" i="5"/>
  <c r="H247" i="5"/>
  <c r="L273" i="5"/>
  <c r="K273" i="5"/>
  <c r="G278" i="5"/>
  <c r="M295" i="5"/>
  <c r="I297" i="5"/>
  <c r="C300" i="5"/>
  <c r="N300" i="5" s="1"/>
  <c r="H300" i="5"/>
  <c r="M311" i="5"/>
  <c r="I329" i="5"/>
  <c r="M329" i="5"/>
  <c r="K329" i="5"/>
  <c r="L329" i="5"/>
  <c r="G329" i="5"/>
  <c r="H352" i="5"/>
  <c r="G355" i="5"/>
  <c r="M355" i="5"/>
  <c r="K355" i="5"/>
  <c r="I355" i="5"/>
  <c r="L355" i="5"/>
  <c r="G360" i="5"/>
  <c r="M385" i="5"/>
  <c r="G385" i="5"/>
  <c r="L385" i="5"/>
  <c r="K385" i="5"/>
  <c r="L387" i="5"/>
  <c r="I420" i="5"/>
  <c r="J465" i="5"/>
  <c r="C465" i="5"/>
  <c r="N465" i="5" s="1"/>
  <c r="I488" i="5"/>
  <c r="I506" i="5"/>
  <c r="K511" i="5"/>
  <c r="J5" i="5"/>
  <c r="G8" i="5"/>
  <c r="H15" i="5"/>
  <c r="J37" i="5"/>
  <c r="H61" i="5"/>
  <c r="H63" i="5"/>
  <c r="I81" i="5"/>
  <c r="H102" i="5"/>
  <c r="L109" i="5"/>
  <c r="I154" i="5"/>
  <c r="G165" i="5"/>
  <c r="J173" i="5"/>
  <c r="H179" i="5"/>
  <c r="M184" i="5"/>
  <c r="G184" i="5"/>
  <c r="L208" i="5"/>
  <c r="M208" i="5"/>
  <c r="I210" i="5"/>
  <c r="H213" i="5"/>
  <c r="J213" i="5"/>
  <c r="I247" i="5"/>
  <c r="L276" i="5"/>
  <c r="M276" i="5"/>
  <c r="K276" i="5"/>
  <c r="I278" i="5"/>
  <c r="G281" i="5"/>
  <c r="M292" i="5"/>
  <c r="K292" i="5"/>
  <c r="J329" i="5"/>
  <c r="H329" i="5"/>
  <c r="I352" i="5"/>
  <c r="G377" i="5"/>
  <c r="L393" i="5"/>
  <c r="K393" i="5"/>
  <c r="G393" i="5"/>
  <c r="G410" i="5"/>
  <c r="G426" i="5"/>
  <c r="L432" i="5"/>
  <c r="K432" i="5"/>
  <c r="M432" i="5"/>
  <c r="M443" i="5"/>
  <c r="L443" i="5"/>
  <c r="K443" i="5"/>
  <c r="I443" i="5"/>
  <c r="H452" i="5"/>
  <c r="J452" i="5"/>
  <c r="J474" i="5"/>
  <c r="L479" i="5"/>
  <c r="K506" i="5"/>
  <c r="L511" i="5"/>
  <c r="H8" i="5"/>
  <c r="M13" i="5"/>
  <c r="L13" i="5"/>
  <c r="K13" i="5"/>
  <c r="I15" i="5"/>
  <c r="G34" i="5"/>
  <c r="M42" i="5"/>
  <c r="H59" i="5"/>
  <c r="J81" i="5"/>
  <c r="C84" i="5"/>
  <c r="N84" i="5" s="1"/>
  <c r="H84" i="5"/>
  <c r="G100" i="5"/>
  <c r="H115" i="5"/>
  <c r="H123" i="5"/>
  <c r="K157" i="5"/>
  <c r="L160" i="5"/>
  <c r="K160" i="5"/>
  <c r="G162" i="5"/>
  <c r="H165" i="5"/>
  <c r="K173" i="5"/>
  <c r="G176" i="5"/>
  <c r="J179" i="5"/>
  <c r="J186" i="5"/>
  <c r="G194" i="5"/>
  <c r="M226" i="5"/>
  <c r="L226" i="5"/>
  <c r="K226" i="5"/>
  <c r="K247" i="5"/>
  <c r="M257" i="5"/>
  <c r="I257" i="5"/>
  <c r="L257" i="5"/>
  <c r="K257" i="5"/>
  <c r="K297" i="5"/>
  <c r="H308" i="5"/>
  <c r="G324" i="5"/>
  <c r="L324" i="5"/>
  <c r="K324" i="5"/>
  <c r="I324" i="5"/>
  <c r="L332" i="5"/>
  <c r="I335" i="5"/>
  <c r="G340" i="5"/>
  <c r="G372" i="5"/>
  <c r="H377" i="5"/>
  <c r="H380" i="5"/>
  <c r="C380" i="5"/>
  <c r="N380" i="5" s="1"/>
  <c r="J380" i="5"/>
  <c r="H410" i="5"/>
  <c r="G418" i="5"/>
  <c r="M418" i="5"/>
  <c r="K418" i="5"/>
  <c r="I418" i="5"/>
  <c r="H426" i="5"/>
  <c r="K429" i="5"/>
  <c r="L429" i="5"/>
  <c r="G439" i="5"/>
  <c r="H457" i="5"/>
  <c r="K477" i="5"/>
  <c r="I477" i="5"/>
  <c r="L477" i="5"/>
  <c r="M477" i="5"/>
  <c r="M479" i="5"/>
  <c r="K483" i="5"/>
  <c r="M483" i="5"/>
  <c r="L488" i="5"/>
  <c r="G500" i="5"/>
  <c r="I500" i="5"/>
  <c r="H503" i="5"/>
  <c r="L506" i="5"/>
  <c r="K3" i="5"/>
  <c r="I3" i="5"/>
  <c r="G3" i="5"/>
  <c r="L3" i="5"/>
  <c r="I8" i="5"/>
  <c r="G10" i="5"/>
  <c r="G40" i="5"/>
  <c r="G46" i="5"/>
  <c r="M51" i="5"/>
  <c r="G54" i="5"/>
  <c r="I59" i="5"/>
  <c r="K81" i="5"/>
  <c r="G93" i="5"/>
  <c r="L93" i="5"/>
  <c r="H100" i="5"/>
  <c r="K102" i="5"/>
  <c r="M105" i="5"/>
  <c r="K105" i="5"/>
  <c r="L105" i="5"/>
  <c r="G107" i="5"/>
  <c r="K112" i="5"/>
  <c r="M115" i="5"/>
  <c r="J138" i="5"/>
  <c r="L157" i="5"/>
  <c r="H162" i="5"/>
  <c r="I165" i="5"/>
  <c r="L173" i="5"/>
  <c r="H176" i="5"/>
  <c r="K179" i="5"/>
  <c r="L186" i="5"/>
  <c r="J194" i="5"/>
  <c r="M205" i="5"/>
  <c r="K205" i="5"/>
  <c r="L205" i="5"/>
  <c r="I205" i="5"/>
  <c r="K210" i="5"/>
  <c r="J226" i="5"/>
  <c r="H226" i="5"/>
  <c r="M239" i="5"/>
  <c r="K239" i="5"/>
  <c r="G239" i="5"/>
  <c r="I239" i="5"/>
  <c r="L247" i="5"/>
  <c r="L278" i="5"/>
  <c r="L297" i="5"/>
  <c r="J300" i="5"/>
  <c r="M309" i="5"/>
  <c r="G309" i="5"/>
  <c r="K309" i="5"/>
  <c r="L309" i="5"/>
  <c r="L315" i="5"/>
  <c r="M315" i="5"/>
  <c r="I315" i="5"/>
  <c r="M332" i="5"/>
  <c r="L338" i="5"/>
  <c r="K338" i="5"/>
  <c r="I340" i="5"/>
  <c r="L350" i="5"/>
  <c r="K350" i="5"/>
  <c r="I350" i="5"/>
  <c r="G350" i="5"/>
  <c r="M350" i="5"/>
  <c r="L375" i="5"/>
  <c r="K375" i="5"/>
  <c r="M375" i="5"/>
  <c r="I377" i="5"/>
  <c r="G402" i="5"/>
  <c r="I405" i="5"/>
  <c r="G405" i="5"/>
  <c r="L405" i="5"/>
  <c r="I410" i="5"/>
  <c r="H418" i="5"/>
  <c r="J418" i="5"/>
  <c r="I426" i="5"/>
  <c r="I462" i="5"/>
  <c r="K480" i="5"/>
  <c r="G480" i="5"/>
  <c r="J483" i="5"/>
  <c r="H483" i="5"/>
  <c r="J503" i="5"/>
  <c r="M506" i="5"/>
  <c r="J3" i="5"/>
  <c r="H3" i="5"/>
  <c r="J16" i="5"/>
  <c r="H16" i="5"/>
  <c r="C16" i="5"/>
  <c r="N16" i="5" s="1"/>
  <c r="I27" i="5"/>
  <c r="M27" i="5"/>
  <c r="L27" i="5"/>
  <c r="I32" i="5"/>
  <c r="G32" i="5"/>
  <c r="I49" i="5"/>
  <c r="G49" i="5"/>
  <c r="K54" i="5"/>
  <c r="G57" i="5"/>
  <c r="K61" i="5"/>
  <c r="K63" i="5"/>
  <c r="L81" i="5"/>
  <c r="M87" i="5"/>
  <c r="K87" i="5"/>
  <c r="L87" i="5"/>
  <c r="I87" i="5"/>
  <c r="G98" i="5"/>
  <c r="L102" i="5"/>
  <c r="L112" i="5"/>
  <c r="G118" i="5"/>
  <c r="K123" i="5"/>
  <c r="L135" i="5"/>
  <c r="K138" i="5"/>
  <c r="H146" i="5"/>
  <c r="G149" i="5"/>
  <c r="K155" i="5"/>
  <c r="I155" i="5"/>
  <c r="M157" i="5"/>
  <c r="L162" i="5"/>
  <c r="K166" i="5"/>
  <c r="I166" i="5"/>
  <c r="M166" i="5"/>
  <c r="L166" i="5"/>
  <c r="I176" i="5"/>
  <c r="L179" i="5"/>
  <c r="I192" i="5"/>
  <c r="G192" i="5"/>
  <c r="M192" i="5"/>
  <c r="K194" i="5"/>
  <c r="G197" i="5"/>
  <c r="L197" i="5"/>
  <c r="K197" i="5"/>
  <c r="I197" i="5"/>
  <c r="H205" i="5"/>
  <c r="J205" i="5"/>
  <c r="L210" i="5"/>
  <c r="I213" i="5"/>
  <c r="G234" i="5"/>
  <c r="G254" i="5"/>
  <c r="G273" i="5"/>
  <c r="G295" i="5"/>
  <c r="M297" i="5"/>
  <c r="H309" i="5"/>
  <c r="J309" i="5"/>
  <c r="G318" i="5"/>
  <c r="K321" i="5"/>
  <c r="I321" i="5"/>
  <c r="G321" i="5"/>
  <c r="M321" i="5"/>
  <c r="L321" i="5"/>
  <c r="K335" i="5"/>
  <c r="K340" i="5"/>
  <c r="J350" i="5"/>
  <c r="H350" i="5"/>
  <c r="I385" i="5"/>
  <c r="L400" i="5"/>
  <c r="G411" i="5"/>
  <c r="M411" i="5"/>
  <c r="L411" i="5"/>
  <c r="J426" i="5"/>
  <c r="M439" i="5"/>
  <c r="I452" i="5"/>
  <c r="H465" i="5"/>
  <c r="L486" i="5"/>
  <c r="K486" i="5"/>
  <c r="I486" i="5"/>
  <c r="G486" i="5"/>
  <c r="M486" i="5"/>
  <c r="M503" i="5"/>
  <c r="I10" i="5"/>
  <c r="I29" i="5"/>
  <c r="J32" i="5"/>
  <c r="H32" i="5"/>
  <c r="J35" i="5"/>
  <c r="H35" i="5"/>
  <c r="G44" i="5"/>
  <c r="I46" i="5"/>
  <c r="J49" i="5"/>
  <c r="H49" i="5"/>
  <c r="L54" i="5"/>
  <c r="K59" i="5"/>
  <c r="L61" i="5"/>
  <c r="L63" i="5"/>
  <c r="J84" i="5"/>
  <c r="H87" i="5"/>
  <c r="J87" i="5"/>
  <c r="L100" i="5"/>
  <c r="M102" i="5"/>
  <c r="M112" i="5"/>
  <c r="L123" i="5"/>
  <c r="M135" i="5"/>
  <c r="L138" i="5"/>
  <c r="H141" i="5"/>
  <c r="H149" i="5"/>
  <c r="C174" i="5"/>
  <c r="N174" i="5" s="1"/>
  <c r="J174" i="5"/>
  <c r="I184" i="5"/>
  <c r="L194" i="5"/>
  <c r="H197" i="5"/>
  <c r="J197" i="5"/>
  <c r="G208" i="5"/>
  <c r="M210" i="5"/>
  <c r="G229" i="5"/>
  <c r="H254" i="5"/>
  <c r="G276" i="5"/>
  <c r="C279" i="5"/>
  <c r="N279" i="5" s="1"/>
  <c r="J279" i="5"/>
  <c r="H279" i="5"/>
  <c r="G290" i="5"/>
  <c r="G292" i="5"/>
  <c r="I295" i="5"/>
  <c r="J321" i="5"/>
  <c r="H321" i="5"/>
  <c r="L335" i="5"/>
  <c r="L340" i="5"/>
  <c r="H372" i="5"/>
  <c r="K377" i="5"/>
  <c r="I393" i="5"/>
  <c r="I402" i="5"/>
  <c r="H411" i="5"/>
  <c r="J411" i="5"/>
  <c r="G429" i="5"/>
  <c r="G432" i="5"/>
  <c r="G443" i="5"/>
  <c r="K452" i="5"/>
  <c r="C455" i="5"/>
  <c r="N455" i="5" s="1"/>
  <c r="J455" i="5"/>
  <c r="K462" i="5"/>
  <c r="M182" i="5"/>
  <c r="H216" i="5"/>
  <c r="C216" i="5"/>
  <c r="N216" i="5" s="1"/>
  <c r="I286" i="5"/>
  <c r="G286" i="5"/>
  <c r="M286" i="5"/>
  <c r="K286" i="5"/>
  <c r="L303" i="5"/>
  <c r="K339" i="5"/>
  <c r="I339" i="5"/>
  <c r="L381" i="5"/>
  <c r="I409" i="5"/>
  <c r="G409" i="5"/>
  <c r="C451" i="5"/>
  <c r="N451" i="5" s="1"/>
  <c r="H451" i="5"/>
  <c r="K489" i="5"/>
  <c r="I489" i="5"/>
  <c r="L237" i="5"/>
  <c r="K237" i="5"/>
  <c r="M277" i="5"/>
  <c r="L277" i="5"/>
  <c r="J366" i="5"/>
  <c r="H366" i="5"/>
  <c r="K438" i="5"/>
  <c r="I438" i="5"/>
  <c r="G438" i="5"/>
  <c r="J461" i="5"/>
  <c r="C461" i="5"/>
  <c r="N461" i="5" s="1"/>
  <c r="G18" i="5"/>
  <c r="I18" i="5"/>
  <c r="C117" i="5"/>
  <c r="N117" i="5" s="1"/>
  <c r="J117" i="5"/>
  <c r="K133" i="5"/>
  <c r="I133" i="5"/>
  <c r="G133" i="5"/>
  <c r="I168" i="5"/>
  <c r="G168" i="5"/>
  <c r="M168" i="5"/>
  <c r="L168" i="5"/>
  <c r="K168" i="5"/>
  <c r="M180" i="5"/>
  <c r="M249" i="5"/>
  <c r="C289" i="5"/>
  <c r="N289" i="5" s="1"/>
  <c r="H289" i="5"/>
  <c r="J431" i="5"/>
  <c r="C431" i="5"/>
  <c r="N431" i="5" s="1"/>
  <c r="L471" i="5"/>
  <c r="G471" i="5"/>
  <c r="M152" i="5"/>
  <c r="L152" i="5"/>
  <c r="K152" i="5"/>
  <c r="J195" i="5"/>
  <c r="H272" i="5"/>
  <c r="H286" i="5"/>
  <c r="G358" i="5"/>
  <c r="K396" i="5"/>
  <c r="I396" i="5"/>
  <c r="L396" i="5"/>
  <c r="M396" i="5"/>
  <c r="M399" i="5"/>
  <c r="K399" i="5"/>
  <c r="I399" i="5"/>
  <c r="G399" i="5"/>
  <c r="G412" i="5"/>
  <c r="M412" i="5"/>
  <c r="J446" i="5"/>
  <c r="H446" i="5"/>
  <c r="J451" i="5"/>
  <c r="G491" i="5"/>
  <c r="K491" i="5"/>
  <c r="I491" i="5"/>
  <c r="M507" i="5"/>
  <c r="L507" i="5"/>
  <c r="K507" i="5"/>
  <c r="I363" i="5"/>
  <c r="G363" i="5"/>
  <c r="M373" i="5"/>
  <c r="K373" i="5"/>
  <c r="I373" i="5"/>
  <c r="L373" i="5"/>
  <c r="C425" i="5"/>
  <c r="N425" i="5" s="1"/>
  <c r="J425" i="5"/>
  <c r="H425" i="5"/>
  <c r="C473" i="5"/>
  <c r="N473" i="5" s="1"/>
  <c r="H473" i="5"/>
  <c r="J473" i="5"/>
  <c r="L481" i="5"/>
  <c r="K481" i="5"/>
  <c r="I484" i="5"/>
  <c r="G484" i="5"/>
  <c r="H491" i="5"/>
  <c r="J491" i="5"/>
  <c r="G494" i="5"/>
  <c r="M494" i="5"/>
  <c r="M175" i="5"/>
  <c r="K175" i="5"/>
  <c r="M251" i="5"/>
  <c r="M260" i="5"/>
  <c r="K260" i="5"/>
  <c r="L260" i="5"/>
  <c r="I260" i="5"/>
  <c r="I414" i="5"/>
  <c r="M414" i="5"/>
  <c r="J481" i="5"/>
  <c r="H481" i="5"/>
  <c r="L512" i="5"/>
  <c r="M512" i="5"/>
  <c r="K512" i="5"/>
  <c r="I512" i="5"/>
  <c r="G512" i="5"/>
  <c r="K58" i="5"/>
  <c r="G58" i="5"/>
  <c r="M140" i="5"/>
  <c r="I140" i="5"/>
  <c r="G140" i="5"/>
  <c r="I193" i="5"/>
  <c r="G193" i="5"/>
  <c r="H260" i="5"/>
  <c r="J260" i="5"/>
  <c r="L265" i="5"/>
  <c r="L446" i="5"/>
  <c r="M446" i="5"/>
  <c r="G446" i="5"/>
  <c r="K446" i="5"/>
  <c r="I446" i="5"/>
  <c r="J135" i="5"/>
  <c r="H170" i="5"/>
  <c r="I209" i="5"/>
  <c r="G209" i="5"/>
  <c r="M209" i="5"/>
  <c r="K209" i="5"/>
  <c r="L209" i="5"/>
  <c r="J214" i="5"/>
  <c r="C214" i="5"/>
  <c r="N214" i="5" s="1"/>
  <c r="I228" i="5"/>
  <c r="G228" i="5"/>
  <c r="M228" i="5"/>
  <c r="I284" i="5"/>
  <c r="G284" i="5"/>
  <c r="K284" i="5"/>
  <c r="G303" i="5"/>
  <c r="L327" i="5"/>
  <c r="I327" i="5"/>
  <c r="G381" i="5"/>
  <c r="G47" i="5"/>
  <c r="G90" i="5"/>
  <c r="H161" i="5"/>
  <c r="G175" i="5"/>
  <c r="G182" i="5"/>
  <c r="J211" i="5"/>
  <c r="J239" i="5"/>
  <c r="G251" i="5"/>
  <c r="J286" i="5"/>
  <c r="L294" i="5"/>
  <c r="K294" i="5"/>
  <c r="G294" i="5"/>
  <c r="H303" i="5"/>
  <c r="G306" i="5"/>
  <c r="J332" i="5"/>
  <c r="G339" i="5"/>
  <c r="J358" i="5"/>
  <c r="H358" i="5"/>
  <c r="G366" i="5"/>
  <c r="G373" i="5"/>
  <c r="H381" i="5"/>
  <c r="H393" i="5"/>
  <c r="H409" i="5"/>
  <c r="H438" i="5"/>
  <c r="H441" i="5"/>
  <c r="C441" i="5"/>
  <c r="N441" i="5" s="1"/>
  <c r="L459" i="5"/>
  <c r="M459" i="5"/>
  <c r="C466" i="5"/>
  <c r="N466" i="5" s="1"/>
  <c r="J466" i="5"/>
  <c r="G481" i="5"/>
  <c r="G489" i="5"/>
  <c r="M491" i="5"/>
  <c r="H494" i="5"/>
  <c r="L497" i="5"/>
  <c r="G497" i="5"/>
  <c r="I499" i="5"/>
  <c r="I507" i="5"/>
  <c r="G469" i="5"/>
  <c r="M469" i="5"/>
  <c r="C485" i="5"/>
  <c r="N485" i="5" s="1"/>
  <c r="C496" i="5"/>
  <c r="N496" i="5" s="1"/>
  <c r="K369" i="5"/>
  <c r="M435" i="5"/>
  <c r="J282" i="5"/>
  <c r="H282" i="5"/>
  <c r="J362" i="5"/>
  <c r="H362" i="5"/>
  <c r="L367" i="5"/>
  <c r="M367" i="5"/>
  <c r="C421" i="5"/>
  <c r="N421" i="5" s="1"/>
  <c r="H421" i="5"/>
  <c r="M287" i="5"/>
  <c r="G348" i="5"/>
  <c r="M348" i="5"/>
  <c r="L376" i="5"/>
  <c r="G376" i="5"/>
  <c r="J512" i="5"/>
  <c r="H512" i="5"/>
  <c r="M76" i="5"/>
  <c r="K76" i="5"/>
  <c r="M220" i="5"/>
  <c r="K220" i="5"/>
  <c r="L256" i="5"/>
  <c r="K256" i="5"/>
  <c r="J319" i="5"/>
  <c r="H319" i="5"/>
  <c r="C319" i="5"/>
  <c r="N319" i="5" s="1"/>
  <c r="L404" i="5"/>
  <c r="K280" i="5"/>
  <c r="I280" i="5"/>
  <c r="G280" i="5"/>
  <c r="L296" i="5"/>
  <c r="I296" i="5"/>
  <c r="L305" i="5"/>
  <c r="M305" i="5"/>
  <c r="G305" i="5"/>
  <c r="J348" i="5"/>
  <c r="H348" i="5"/>
  <c r="M510" i="5"/>
  <c r="K510" i="5"/>
  <c r="I510" i="5"/>
  <c r="G510" i="5"/>
  <c r="J310" i="5"/>
  <c r="C310" i="5"/>
  <c r="N310" i="5" s="1"/>
  <c r="L354" i="5"/>
  <c r="K354" i="5"/>
  <c r="J508" i="5"/>
  <c r="H508" i="5"/>
  <c r="I407" i="5"/>
  <c r="G407" i="5"/>
  <c r="M434" i="5"/>
  <c r="K434" i="5"/>
  <c r="H320" i="5"/>
  <c r="C320" i="5"/>
  <c r="N320" i="5" s="1"/>
  <c r="J384" i="5"/>
  <c r="C384" i="5"/>
  <c r="N384" i="5" s="1"/>
  <c r="C41" i="4"/>
  <c r="D41" i="4"/>
  <c r="D39" i="4"/>
  <c r="C40" i="4"/>
  <c r="D40" i="4"/>
  <c r="D35" i="4"/>
  <c r="C35" i="4"/>
  <c r="D24" i="4"/>
  <c r="C24" i="4"/>
  <c r="E486" i="6"/>
  <c r="E485" i="6"/>
  <c r="E484" i="6"/>
  <c r="E483" i="6"/>
  <c r="E482" i="6"/>
  <c r="E481" i="6"/>
  <c r="E480" i="6"/>
  <c r="E479" i="6"/>
  <c r="D3" i="4"/>
  <c r="C651" i="4"/>
  <c r="C295" i="4"/>
  <c r="C240" i="4"/>
  <c r="C163" i="4"/>
  <c r="C148" i="4"/>
  <c r="C136" i="4"/>
  <c r="C133" i="4"/>
  <c r="C111" i="4"/>
  <c r="C91" i="4"/>
  <c r="C75" i="4"/>
  <c r="C74" i="4"/>
  <c r="C69" i="4"/>
  <c r="C63" i="4"/>
  <c r="C62" i="4"/>
  <c r="C46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D1000" i="4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J1196" i="6" s="1"/>
  <c r="K1196" i="6" s="1"/>
  <c r="E1108" i="6"/>
  <c r="D734" i="4"/>
  <c r="C734" i="4"/>
  <c r="D735" i="4"/>
  <c r="C735" i="4"/>
  <c r="D670" i="4"/>
  <c r="C670" i="4"/>
  <c r="D285" i="4"/>
  <c r="C285" i="4"/>
  <c r="D268" i="4"/>
  <c r="C268" i="4"/>
  <c r="D777" i="4"/>
  <c r="C777" i="4"/>
  <c r="D4" i="4"/>
  <c r="D5" i="4"/>
  <c r="D6" i="4"/>
  <c r="D7" i="4"/>
  <c r="D8" i="4"/>
  <c r="D9" i="4"/>
  <c r="D10" i="4"/>
  <c r="D11" i="4"/>
  <c r="D12" i="4"/>
  <c r="D14" i="4"/>
  <c r="D15" i="4"/>
  <c r="D16" i="4"/>
  <c r="D17" i="4"/>
  <c r="D18" i="4"/>
  <c r="D19" i="4"/>
  <c r="D20" i="4"/>
  <c r="D21" i="4"/>
  <c r="D22" i="4"/>
  <c r="D23" i="4"/>
  <c r="D25" i="4"/>
  <c r="D26" i="4"/>
  <c r="D27" i="4"/>
  <c r="D28" i="4"/>
  <c r="D29" i="4"/>
  <c r="D30" i="4"/>
  <c r="D31" i="4"/>
  <c r="D32" i="4"/>
  <c r="D34" i="4"/>
  <c r="D36" i="4"/>
  <c r="D37" i="4"/>
  <c r="D38" i="4"/>
  <c r="D42" i="4"/>
  <c r="D43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9" i="4"/>
  <c r="D60" i="4"/>
  <c r="D61" i="4"/>
  <c r="D62" i="4"/>
  <c r="D63" i="4"/>
  <c r="D64" i="4"/>
  <c r="D65" i="4"/>
  <c r="D66" i="4"/>
  <c r="D69" i="4"/>
  <c r="D70" i="4"/>
  <c r="D71" i="4"/>
  <c r="D73" i="4"/>
  <c r="D74" i="4"/>
  <c r="D75" i="4"/>
  <c r="D76" i="4"/>
  <c r="D77" i="4"/>
  <c r="D78" i="4"/>
  <c r="D79" i="4"/>
  <c r="D80" i="4"/>
  <c r="D81" i="4"/>
  <c r="D83" i="4"/>
  <c r="D86" i="4"/>
  <c r="D87" i="4"/>
  <c r="D88" i="4"/>
  <c r="D89" i="4"/>
  <c r="D90" i="4"/>
  <c r="D91" i="4"/>
  <c r="D92" i="4"/>
  <c r="D94" i="4"/>
  <c r="D95" i="4"/>
  <c r="D96" i="4"/>
  <c r="D97" i="4"/>
  <c r="D100" i="4"/>
  <c r="D102" i="4"/>
  <c r="D103" i="4"/>
  <c r="D105" i="4"/>
  <c r="D106" i="4"/>
  <c r="D107" i="4"/>
  <c r="D108" i="4"/>
  <c r="D109" i="4"/>
  <c r="D110" i="4"/>
  <c r="D111" i="4"/>
  <c r="D112" i="4"/>
  <c r="D113" i="4"/>
  <c r="D114" i="4"/>
  <c r="D116" i="4"/>
  <c r="D117" i="4"/>
  <c r="D120" i="4"/>
  <c r="D121" i="4"/>
  <c r="D122" i="4"/>
  <c r="D124" i="4"/>
  <c r="D125" i="4"/>
  <c r="D126" i="4"/>
  <c r="D127" i="4"/>
  <c r="D128" i="4"/>
  <c r="D131" i="4"/>
  <c r="D133" i="4"/>
  <c r="D134" i="4"/>
  <c r="D136" i="4"/>
  <c r="D140" i="4"/>
  <c r="D142" i="4"/>
  <c r="D145" i="4"/>
  <c r="D148" i="4"/>
  <c r="D150" i="4"/>
  <c r="D151" i="4"/>
  <c r="D152" i="4"/>
  <c r="D153" i="4"/>
  <c r="D155" i="4"/>
  <c r="D161" i="4"/>
  <c r="D162" i="4"/>
  <c r="D163" i="4"/>
  <c r="D165" i="4"/>
  <c r="D167" i="4"/>
  <c r="D168" i="4"/>
  <c r="D170" i="4"/>
  <c r="D173" i="4"/>
  <c r="D175" i="4"/>
  <c r="D176" i="4"/>
  <c r="D177" i="4"/>
  <c r="D178" i="4"/>
  <c r="D180" i="4"/>
  <c r="D181" i="4"/>
  <c r="D183" i="4"/>
  <c r="D184" i="4"/>
  <c r="D188" i="4"/>
  <c r="D190" i="4"/>
  <c r="D191" i="4"/>
  <c r="D193" i="4"/>
  <c r="D195" i="4"/>
  <c r="D197" i="4"/>
  <c r="D200" i="4"/>
  <c r="D201" i="4"/>
  <c r="D202" i="4"/>
  <c r="D203" i="4"/>
  <c r="D208" i="4"/>
  <c r="D210" i="4"/>
  <c r="D211" i="4"/>
  <c r="D212" i="4"/>
  <c r="D213" i="4"/>
  <c r="D215" i="4"/>
  <c r="D219" i="4"/>
  <c r="D220" i="4"/>
  <c r="D221" i="4"/>
  <c r="D222" i="4"/>
  <c r="D224" i="4"/>
  <c r="D226" i="4"/>
  <c r="D227" i="4"/>
  <c r="D228" i="4"/>
  <c r="D229" i="4"/>
  <c r="D230" i="4"/>
  <c r="D231" i="4"/>
  <c r="D239" i="4"/>
  <c r="D240" i="4"/>
  <c r="D241" i="4"/>
  <c r="D242" i="4"/>
  <c r="D247" i="4"/>
  <c r="D250" i="4"/>
  <c r="D252" i="4"/>
  <c r="D253" i="4"/>
  <c r="D254" i="4"/>
  <c r="D255" i="4"/>
  <c r="D256" i="4"/>
  <c r="D257" i="4"/>
  <c r="D258" i="4"/>
  <c r="D262" i="4"/>
  <c r="D264" i="4"/>
  <c r="D265" i="4"/>
  <c r="D269" i="4"/>
  <c r="D271" i="4"/>
  <c r="D272" i="4"/>
  <c r="D273" i="4"/>
  <c r="D274" i="4"/>
  <c r="D278" i="4"/>
  <c r="D279" i="4"/>
  <c r="D281" i="4"/>
  <c r="D286" i="4"/>
  <c r="D288" i="4"/>
  <c r="D289" i="4"/>
  <c r="D294" i="4"/>
  <c r="D296" i="4"/>
  <c r="D297" i="4"/>
  <c r="D298" i="4"/>
  <c r="D299" i="4"/>
  <c r="D300" i="4"/>
  <c r="D301" i="4"/>
  <c r="D305" i="4"/>
  <c r="D310" i="4"/>
  <c r="D312" i="4"/>
  <c r="D314" i="4"/>
  <c r="D315" i="4"/>
  <c r="D316" i="4"/>
  <c r="D321" i="4"/>
  <c r="D322" i="4"/>
  <c r="D327" i="4"/>
  <c r="D328" i="4"/>
  <c r="D330" i="4"/>
  <c r="D331" i="4"/>
  <c r="D332" i="4"/>
  <c r="D334" i="4"/>
  <c r="D338" i="4"/>
  <c r="D340" i="4"/>
  <c r="D344" i="4"/>
  <c r="D349" i="4"/>
  <c r="D351" i="4"/>
  <c r="D355" i="4"/>
  <c r="D356" i="4"/>
  <c r="D357" i="4"/>
  <c r="D358" i="4"/>
  <c r="D360" i="4"/>
  <c r="D362" i="4"/>
  <c r="D363" i="4"/>
  <c r="D366" i="4"/>
  <c r="D369" i="4"/>
  <c r="D378" i="4"/>
  <c r="D380" i="4"/>
  <c r="D381" i="4"/>
  <c r="D382" i="4"/>
  <c r="D384" i="4"/>
  <c r="D386" i="4"/>
  <c r="D392" i="4"/>
  <c r="D395" i="4"/>
  <c r="D396" i="4"/>
  <c r="D397" i="4"/>
  <c r="D398" i="4"/>
  <c r="D400" i="4"/>
  <c r="D401" i="4"/>
  <c r="D403" i="4"/>
  <c r="D404" i="4"/>
  <c r="D405" i="4"/>
  <c r="D406" i="4"/>
  <c r="D410" i="4"/>
  <c r="D412" i="4"/>
  <c r="D413" i="4"/>
  <c r="D416" i="4"/>
  <c r="D417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5" i="4"/>
  <c r="D436" i="4"/>
  <c r="D438" i="4"/>
  <c r="D440" i="4"/>
  <c r="D441" i="4"/>
  <c r="D442" i="4"/>
  <c r="D443" i="4"/>
  <c r="D444" i="4"/>
  <c r="D445" i="4"/>
  <c r="D448" i="4"/>
  <c r="D450" i="4"/>
  <c r="D452" i="4"/>
  <c r="D455" i="4"/>
  <c r="D456" i="4"/>
  <c r="D469" i="4"/>
  <c r="D470" i="4"/>
  <c r="D471" i="4"/>
  <c r="D472" i="4"/>
  <c r="D473" i="4"/>
  <c r="D480" i="4"/>
  <c r="D481" i="4"/>
  <c r="D486" i="4"/>
  <c r="D487" i="4"/>
  <c r="D488" i="4"/>
  <c r="D491" i="4"/>
  <c r="D494" i="4"/>
  <c r="D495" i="4"/>
  <c r="D496" i="4"/>
  <c r="D501" i="4"/>
  <c r="D506" i="4"/>
  <c r="D507" i="4"/>
  <c r="D509" i="4"/>
  <c r="D512" i="4"/>
  <c r="D513" i="4"/>
  <c r="D514" i="4"/>
  <c r="D515" i="4"/>
  <c r="D516" i="4"/>
  <c r="D518" i="4"/>
  <c r="D519" i="4"/>
  <c r="D520" i="4"/>
  <c r="D521" i="4"/>
  <c r="D522" i="4"/>
  <c r="D526" i="4"/>
  <c r="D527" i="4"/>
  <c r="D529" i="4"/>
  <c r="D532" i="4"/>
  <c r="D533" i="4"/>
  <c r="D534" i="4"/>
  <c r="D535" i="4"/>
  <c r="D536" i="4"/>
  <c r="D537" i="4"/>
  <c r="D538" i="4"/>
  <c r="D539" i="4"/>
  <c r="D541" i="4"/>
  <c r="D544" i="4"/>
  <c r="D546" i="4"/>
  <c r="D548" i="4"/>
  <c r="D553" i="4"/>
  <c r="D556" i="4"/>
  <c r="D559" i="4"/>
  <c r="D560" i="4"/>
  <c r="D564" i="4"/>
  <c r="D567" i="4"/>
  <c r="D568" i="4"/>
  <c r="D569" i="4"/>
  <c r="D573" i="4"/>
  <c r="D576" i="4"/>
  <c r="D578" i="4"/>
  <c r="D579" i="4"/>
  <c r="D580" i="4"/>
  <c r="D581" i="4"/>
  <c r="D591" i="4"/>
  <c r="D592" i="4"/>
  <c r="D596" i="4"/>
  <c r="D599" i="4"/>
  <c r="D601" i="4"/>
  <c r="D602" i="4"/>
  <c r="D604" i="4"/>
  <c r="D607" i="4"/>
  <c r="D610" i="4"/>
  <c r="D612" i="4"/>
  <c r="D613" i="4"/>
  <c r="D614" i="4"/>
  <c r="D615" i="4"/>
  <c r="D617" i="4"/>
  <c r="D627" i="4"/>
  <c r="D629" i="4"/>
  <c r="D630" i="4"/>
  <c r="D631" i="4"/>
  <c r="D634" i="4"/>
  <c r="D635" i="4"/>
  <c r="D636" i="4"/>
  <c r="D637" i="4"/>
  <c r="D638" i="4"/>
  <c r="D639" i="4"/>
  <c r="D640" i="4"/>
  <c r="D641" i="4"/>
  <c r="D642" i="4"/>
  <c r="D643" i="4"/>
  <c r="D645" i="4"/>
  <c r="D646" i="4"/>
  <c r="D650" i="4"/>
  <c r="D652" i="4"/>
  <c r="D654" i="4"/>
  <c r="D655" i="4"/>
  <c r="D657" i="4"/>
  <c r="D658" i="4"/>
  <c r="D659" i="4"/>
  <c r="D660" i="4"/>
  <c r="D661" i="4"/>
  <c r="D662" i="4"/>
  <c r="D664" i="4"/>
  <c r="D677" i="4"/>
  <c r="D678" i="4"/>
  <c r="D679" i="4"/>
  <c r="D680" i="4"/>
  <c r="D681" i="4"/>
  <c r="D682" i="4"/>
  <c r="D686" i="4"/>
  <c r="D713" i="4"/>
  <c r="D714" i="4"/>
  <c r="D715" i="4"/>
  <c r="D721" i="4"/>
  <c r="D724" i="4"/>
  <c r="D726" i="4"/>
  <c r="D728" i="4"/>
  <c r="D732" i="4"/>
  <c r="D733" i="4"/>
  <c r="D750" i="4"/>
  <c r="D751" i="4"/>
  <c r="D754" i="4"/>
  <c r="D755" i="4"/>
  <c r="D757" i="4"/>
  <c r="D758" i="4"/>
  <c r="D766" i="4"/>
  <c r="D772" i="4"/>
  <c r="D773" i="4"/>
  <c r="D780" i="4"/>
  <c r="D793" i="4"/>
  <c r="D798" i="4"/>
  <c r="D799" i="4"/>
  <c r="D811" i="4"/>
  <c r="D812" i="4"/>
  <c r="D814" i="4"/>
  <c r="D817" i="4"/>
  <c r="D818" i="4"/>
  <c r="D819" i="4"/>
  <c r="D821" i="4"/>
  <c r="D824" i="4"/>
  <c r="D825" i="4"/>
  <c r="D828" i="4"/>
  <c r="D829" i="4"/>
  <c r="D837" i="4"/>
  <c r="D852" i="4"/>
  <c r="D863" i="4"/>
  <c r="D865" i="4"/>
  <c r="D866" i="4"/>
  <c r="D867" i="4"/>
  <c r="D871" i="4"/>
  <c r="D874" i="4"/>
  <c r="D875" i="4"/>
  <c r="D885" i="4"/>
  <c r="D889" i="4"/>
  <c r="D896" i="4"/>
  <c r="D897" i="4"/>
  <c r="D902" i="4"/>
  <c r="D903" i="4"/>
  <c r="D914" i="4"/>
  <c r="D916" i="4"/>
  <c r="D917" i="4"/>
  <c r="D918" i="4"/>
  <c r="D919" i="4"/>
  <c r="D920" i="4"/>
  <c r="D923" i="4"/>
  <c r="D928" i="4"/>
  <c r="D929" i="4"/>
  <c r="D931" i="4"/>
  <c r="D934" i="4"/>
  <c r="D935" i="4"/>
  <c r="D939" i="4"/>
  <c r="D940" i="4"/>
  <c r="D941" i="4"/>
  <c r="D942" i="4"/>
  <c r="D943" i="4"/>
  <c r="D944" i="4"/>
  <c r="D945" i="4"/>
  <c r="D946" i="4"/>
  <c r="D947" i="4"/>
  <c r="D950" i="4"/>
  <c r="D952" i="4"/>
  <c r="D953" i="4"/>
  <c r="D954" i="4"/>
  <c r="D955" i="4"/>
  <c r="D969" i="4"/>
  <c r="D976" i="4"/>
  <c r="D979" i="4"/>
  <c r="D982" i="4"/>
  <c r="D985" i="4"/>
  <c r="D988" i="4"/>
  <c r="D989" i="4"/>
  <c r="D992" i="4"/>
  <c r="D993" i="4"/>
  <c r="D994" i="4"/>
  <c r="D995" i="4"/>
  <c r="D996" i="4"/>
  <c r="D997" i="4"/>
  <c r="D998" i="4"/>
  <c r="D999" i="4"/>
  <c r="D13" i="4"/>
  <c r="D33" i="4"/>
  <c r="D52" i="4"/>
  <c r="D58" i="4"/>
  <c r="D67" i="4"/>
  <c r="D68" i="4"/>
  <c r="D72" i="4"/>
  <c r="D82" i="4"/>
  <c r="D84" i="4"/>
  <c r="D85" i="4"/>
  <c r="D93" i="4"/>
  <c r="D98" i="4"/>
  <c r="D99" i="4"/>
  <c r="D101" i="4"/>
  <c r="D104" i="4"/>
  <c r="D115" i="4"/>
  <c r="D118" i="4"/>
  <c r="D119" i="4"/>
  <c r="D123" i="4"/>
  <c r="D129" i="4"/>
  <c r="D130" i="4"/>
  <c r="D132" i="4"/>
  <c r="D135" i="4"/>
  <c r="D137" i="4"/>
  <c r="D138" i="4"/>
  <c r="D139" i="4"/>
  <c r="D141" i="4"/>
  <c r="D143" i="4"/>
  <c r="D144" i="4"/>
  <c r="D146" i="4"/>
  <c r="D147" i="4"/>
  <c r="D149" i="4"/>
  <c r="D154" i="4"/>
  <c r="D156" i="4"/>
  <c r="D157" i="4"/>
  <c r="D158" i="4"/>
  <c r="D159" i="4"/>
  <c r="D160" i="4"/>
  <c r="D164" i="4"/>
  <c r="D166" i="4"/>
  <c r="D169" i="4"/>
  <c r="D171" i="4"/>
  <c r="D172" i="4"/>
  <c r="D174" i="4"/>
  <c r="D179" i="4"/>
  <c r="D182" i="4"/>
  <c r="D185" i="4"/>
  <c r="D186" i="4"/>
  <c r="D187" i="4"/>
  <c r="D189" i="4"/>
  <c r="D192" i="4"/>
  <c r="D194" i="4"/>
  <c r="D196" i="4"/>
  <c r="D198" i="4"/>
  <c r="D199" i="4"/>
  <c r="D204" i="4"/>
  <c r="D205" i="4"/>
  <c r="D206" i="4"/>
  <c r="D209" i="4"/>
  <c r="D214" i="4"/>
  <c r="D216" i="4"/>
  <c r="D217" i="4"/>
  <c r="D218" i="4"/>
  <c r="D223" i="4"/>
  <c r="D225" i="4"/>
  <c r="D232" i="4"/>
  <c r="D233" i="4"/>
  <c r="D234" i="4"/>
  <c r="D235" i="4"/>
  <c r="D236" i="4"/>
  <c r="D237" i="4"/>
  <c r="D238" i="4"/>
  <c r="D243" i="4"/>
  <c r="D244" i="4"/>
  <c r="D245" i="4"/>
  <c r="D246" i="4"/>
  <c r="D248" i="4"/>
  <c r="D249" i="4"/>
  <c r="D251" i="4"/>
  <c r="D259" i="4"/>
  <c r="D260" i="4"/>
  <c r="D261" i="4"/>
  <c r="D263" i="4"/>
  <c r="D266" i="4"/>
  <c r="D267" i="4"/>
  <c r="D270" i="4"/>
  <c r="D275" i="4"/>
  <c r="D276" i="4"/>
  <c r="D277" i="4"/>
  <c r="D280" i="4"/>
  <c r="D282" i="4"/>
  <c r="D283" i="4"/>
  <c r="D284" i="4"/>
  <c r="D287" i="4"/>
  <c r="D290" i="4"/>
  <c r="D291" i="4"/>
  <c r="D292" i="4"/>
  <c r="D293" i="4"/>
  <c r="D295" i="4"/>
  <c r="D302" i="4"/>
  <c r="D303" i="4"/>
  <c r="D304" i="4"/>
  <c r="D306" i="4"/>
  <c r="D307" i="4"/>
  <c r="D308" i="4"/>
  <c r="D309" i="4"/>
  <c r="D311" i="4"/>
  <c r="D313" i="4"/>
  <c r="D317" i="4"/>
  <c r="D318" i="4"/>
  <c r="D319" i="4"/>
  <c r="D320" i="4"/>
  <c r="D323" i="4"/>
  <c r="D324" i="4"/>
  <c r="D325" i="4"/>
  <c r="D326" i="4"/>
  <c r="D329" i="4"/>
  <c r="D333" i="4"/>
  <c r="D335" i="4"/>
  <c r="D336" i="4"/>
  <c r="D337" i="4"/>
  <c r="D339" i="4"/>
  <c r="D341" i="4"/>
  <c r="D342" i="4"/>
  <c r="D343" i="4"/>
  <c r="D345" i="4"/>
  <c r="D346" i="4"/>
  <c r="D347" i="4"/>
  <c r="D348" i="4"/>
  <c r="D350" i="4"/>
  <c r="D352" i="4"/>
  <c r="D353" i="4"/>
  <c r="D354" i="4"/>
  <c r="D359" i="4"/>
  <c r="D361" i="4"/>
  <c r="D364" i="4"/>
  <c r="D365" i="4"/>
  <c r="D367" i="4"/>
  <c r="D368" i="4"/>
  <c r="D370" i="4"/>
  <c r="D371" i="4"/>
  <c r="D372" i="4"/>
  <c r="D373" i="4"/>
  <c r="D374" i="4"/>
  <c r="D375" i="4"/>
  <c r="D376" i="4"/>
  <c r="D377" i="4"/>
  <c r="D379" i="4"/>
  <c r="D383" i="4"/>
  <c r="D385" i="4"/>
  <c r="D387" i="4"/>
  <c r="D388" i="4"/>
  <c r="D389" i="4"/>
  <c r="D390" i="4"/>
  <c r="D391" i="4"/>
  <c r="D393" i="4"/>
  <c r="D394" i="4"/>
  <c r="D399" i="4"/>
  <c r="D402" i="4"/>
  <c r="D407" i="4"/>
  <c r="D408" i="4"/>
  <c r="D409" i="4"/>
  <c r="D411" i="4"/>
  <c r="D414" i="4"/>
  <c r="D415" i="4"/>
  <c r="D418" i="4"/>
  <c r="D434" i="4"/>
  <c r="D437" i="4"/>
  <c r="D439" i="4"/>
  <c r="D446" i="4"/>
  <c r="D447" i="4"/>
  <c r="D449" i="4"/>
  <c r="D451" i="4"/>
  <c r="D453" i="4"/>
  <c r="D454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74" i="4"/>
  <c r="D475" i="4"/>
  <c r="D476" i="4"/>
  <c r="D477" i="4"/>
  <c r="D478" i="4"/>
  <c r="D479" i="4"/>
  <c r="D482" i="4"/>
  <c r="D483" i="4"/>
  <c r="D484" i="4"/>
  <c r="D485" i="4"/>
  <c r="D489" i="4"/>
  <c r="D490" i="4"/>
  <c r="D492" i="4"/>
  <c r="D493" i="4"/>
  <c r="D497" i="4"/>
  <c r="D498" i="4"/>
  <c r="D499" i="4"/>
  <c r="D500" i="4"/>
  <c r="D502" i="4"/>
  <c r="D503" i="4"/>
  <c r="D504" i="4"/>
  <c r="D505" i="4"/>
  <c r="D508" i="4"/>
  <c r="D510" i="4"/>
  <c r="D511" i="4"/>
  <c r="D517" i="4"/>
  <c r="D523" i="4"/>
  <c r="D524" i="4"/>
  <c r="D525" i="4"/>
  <c r="D528" i="4"/>
  <c r="D530" i="4"/>
  <c r="D531" i="4"/>
  <c r="D540" i="4"/>
  <c r="D542" i="4"/>
  <c r="D543" i="4"/>
  <c r="D545" i="4"/>
  <c r="D547" i="4"/>
  <c r="D549" i="4"/>
  <c r="D550" i="4"/>
  <c r="D551" i="4"/>
  <c r="D552" i="4"/>
  <c r="D554" i="4"/>
  <c r="D555" i="4"/>
  <c r="D557" i="4"/>
  <c r="D558" i="4"/>
  <c r="D561" i="4"/>
  <c r="D562" i="4"/>
  <c r="D563" i="4"/>
  <c r="D565" i="4"/>
  <c r="D566" i="4"/>
  <c r="D570" i="4"/>
  <c r="D571" i="4"/>
  <c r="D572" i="4"/>
  <c r="D574" i="4"/>
  <c r="D575" i="4"/>
  <c r="D577" i="4"/>
  <c r="D582" i="4"/>
  <c r="D583" i="4"/>
  <c r="D584" i="4"/>
  <c r="D585" i="4"/>
  <c r="D586" i="4"/>
  <c r="D587" i="4"/>
  <c r="D588" i="4"/>
  <c r="D589" i="4"/>
  <c r="D590" i="4"/>
  <c r="D593" i="4"/>
  <c r="D594" i="4"/>
  <c r="D595" i="4"/>
  <c r="D597" i="4"/>
  <c r="D598" i="4"/>
  <c r="D600" i="4"/>
  <c r="D603" i="4"/>
  <c r="D605" i="4"/>
  <c r="D606" i="4"/>
  <c r="D608" i="4"/>
  <c r="D609" i="4"/>
  <c r="D611" i="4"/>
  <c r="D616" i="4"/>
  <c r="D618" i="4"/>
  <c r="D619" i="4"/>
  <c r="D620" i="4"/>
  <c r="D621" i="4"/>
  <c r="D622" i="4"/>
  <c r="D623" i="4"/>
  <c r="D624" i="4"/>
  <c r="D625" i="4"/>
  <c r="D626" i="4"/>
  <c r="D628" i="4"/>
  <c r="D632" i="4"/>
  <c r="D633" i="4"/>
  <c r="D644" i="4"/>
  <c r="D647" i="4"/>
  <c r="D648" i="4"/>
  <c r="D649" i="4"/>
  <c r="D651" i="4"/>
  <c r="D653" i="4"/>
  <c r="D656" i="4"/>
  <c r="D663" i="4"/>
  <c r="D665" i="4"/>
  <c r="D666" i="4"/>
  <c r="D667" i="4"/>
  <c r="D668" i="4"/>
  <c r="D669" i="4"/>
  <c r="D671" i="4"/>
  <c r="D672" i="4"/>
  <c r="D673" i="4"/>
  <c r="D674" i="4"/>
  <c r="D675" i="4"/>
  <c r="D676" i="4"/>
  <c r="D683" i="4"/>
  <c r="D684" i="4"/>
  <c r="D685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6" i="4"/>
  <c r="D717" i="4"/>
  <c r="D718" i="4"/>
  <c r="D719" i="4"/>
  <c r="D720" i="4"/>
  <c r="D722" i="4"/>
  <c r="D723" i="4"/>
  <c r="D725" i="4"/>
  <c r="D727" i="4"/>
  <c r="D729" i="4"/>
  <c r="D730" i="4"/>
  <c r="D731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2" i="4"/>
  <c r="D753" i="4"/>
  <c r="D756" i="4"/>
  <c r="D759" i="4"/>
  <c r="D760" i="4"/>
  <c r="D761" i="4"/>
  <c r="D762" i="4"/>
  <c r="D763" i="4"/>
  <c r="D764" i="4"/>
  <c r="D765" i="4"/>
  <c r="D767" i="4"/>
  <c r="D768" i="4"/>
  <c r="D769" i="4"/>
  <c r="D770" i="4"/>
  <c r="D771" i="4"/>
  <c r="D774" i="4"/>
  <c r="D775" i="4"/>
  <c r="D776" i="4"/>
  <c r="D778" i="4"/>
  <c r="D779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4" i="4"/>
  <c r="D795" i="4"/>
  <c r="D796" i="4"/>
  <c r="D797" i="4"/>
  <c r="D800" i="4"/>
  <c r="D801" i="4"/>
  <c r="D802" i="4"/>
  <c r="D803" i="4"/>
  <c r="D804" i="4"/>
  <c r="D805" i="4"/>
  <c r="D806" i="4"/>
  <c r="D807" i="4"/>
  <c r="D808" i="4"/>
  <c r="D809" i="4"/>
  <c r="D810" i="4"/>
  <c r="D813" i="4"/>
  <c r="D815" i="4"/>
  <c r="D816" i="4"/>
  <c r="D820" i="4"/>
  <c r="D822" i="4"/>
  <c r="D823" i="4"/>
  <c r="D826" i="4"/>
  <c r="D827" i="4"/>
  <c r="D830" i="4"/>
  <c r="D831" i="4"/>
  <c r="D832" i="4"/>
  <c r="D833" i="4"/>
  <c r="D834" i="4"/>
  <c r="D835" i="4"/>
  <c r="D836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3" i="4"/>
  <c r="D854" i="4"/>
  <c r="D855" i="4"/>
  <c r="D856" i="4"/>
  <c r="D857" i="4"/>
  <c r="D858" i="4"/>
  <c r="D859" i="4"/>
  <c r="D860" i="4"/>
  <c r="D861" i="4"/>
  <c r="D862" i="4"/>
  <c r="D864" i="4"/>
  <c r="D868" i="4"/>
  <c r="D869" i="4"/>
  <c r="D870" i="4"/>
  <c r="D872" i="4"/>
  <c r="D876" i="4"/>
  <c r="D877" i="4"/>
  <c r="D878" i="4"/>
  <c r="D879" i="4"/>
  <c r="D880" i="4"/>
  <c r="D881" i="4"/>
  <c r="D882" i="4"/>
  <c r="D883" i="4"/>
  <c r="D884" i="4"/>
  <c r="D886" i="4"/>
  <c r="D887" i="4"/>
  <c r="D888" i="4"/>
  <c r="D890" i="4"/>
  <c r="D891" i="4"/>
  <c r="D892" i="4"/>
  <c r="D893" i="4"/>
  <c r="D894" i="4"/>
  <c r="D895" i="4"/>
  <c r="D898" i="4"/>
  <c r="D899" i="4"/>
  <c r="D900" i="4"/>
  <c r="D901" i="4"/>
  <c r="D904" i="4"/>
  <c r="D905" i="4"/>
  <c r="D906" i="4"/>
  <c r="D907" i="4"/>
  <c r="D908" i="4"/>
  <c r="D909" i="4"/>
  <c r="D910" i="4"/>
  <c r="D911" i="4"/>
  <c r="D912" i="4"/>
  <c r="D913" i="4"/>
  <c r="D915" i="4"/>
  <c r="D921" i="4"/>
  <c r="D922" i="4"/>
  <c r="D924" i="4"/>
  <c r="D925" i="4"/>
  <c r="D926" i="4"/>
  <c r="D927" i="4"/>
  <c r="D930" i="4"/>
  <c r="D932" i="4"/>
  <c r="D933" i="4"/>
  <c r="D936" i="4"/>
  <c r="D937" i="4"/>
  <c r="D938" i="4"/>
  <c r="D948" i="4"/>
  <c r="D949" i="4"/>
  <c r="D951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70" i="4"/>
  <c r="D971" i="4"/>
  <c r="D972" i="4"/>
  <c r="D973" i="4"/>
  <c r="D974" i="4"/>
  <c r="D975" i="4"/>
  <c r="D977" i="4"/>
  <c r="D978" i="4"/>
  <c r="D980" i="4"/>
  <c r="D981" i="4"/>
  <c r="D983" i="4"/>
  <c r="D984" i="4"/>
  <c r="D986" i="4"/>
  <c r="D987" i="4"/>
  <c r="D990" i="4"/>
  <c r="D991" i="4"/>
  <c r="D2" i="4"/>
  <c r="C48" i="4"/>
  <c r="C42" i="4"/>
  <c r="C38" i="4"/>
  <c r="C32" i="4"/>
  <c r="C26" i="4"/>
  <c r="C12" i="4"/>
  <c r="C10" i="4"/>
  <c r="C11" i="4"/>
  <c r="C14" i="4"/>
  <c r="C16" i="4"/>
  <c r="C17" i="4"/>
  <c r="C18" i="4"/>
  <c r="C19" i="4"/>
  <c r="C20" i="4"/>
  <c r="C21" i="4"/>
  <c r="C22" i="4"/>
  <c r="C23" i="4"/>
  <c r="C25" i="4"/>
  <c r="C27" i="4"/>
  <c r="C28" i="4"/>
  <c r="C29" i="4"/>
  <c r="C30" i="4"/>
  <c r="C31" i="4"/>
  <c r="C34" i="4"/>
  <c r="C36" i="4"/>
  <c r="C37" i="4"/>
  <c r="C43" i="4"/>
  <c r="C44" i="4"/>
  <c r="C45" i="4"/>
  <c r="C47" i="4"/>
  <c r="C49" i="4"/>
  <c r="C51" i="4"/>
  <c r="C53" i="4"/>
  <c r="C54" i="4"/>
  <c r="C55" i="4"/>
  <c r="C56" i="4"/>
  <c r="C57" i="4"/>
  <c r="C59" i="4"/>
  <c r="C60" i="4"/>
  <c r="C61" i="4"/>
  <c r="C64" i="4"/>
  <c r="C65" i="4"/>
  <c r="C66" i="4"/>
  <c r="C70" i="4"/>
  <c r="C71" i="4"/>
  <c r="C73" i="4"/>
  <c r="C76" i="4"/>
  <c r="C77" i="4"/>
  <c r="C79" i="4"/>
  <c r="C80" i="4"/>
  <c r="C81" i="4"/>
  <c r="C83" i="4"/>
  <c r="C86" i="4"/>
  <c r="C87" i="4"/>
  <c r="C88" i="4"/>
  <c r="C89" i="4"/>
  <c r="C90" i="4"/>
  <c r="C94" i="4"/>
  <c r="C95" i="4"/>
  <c r="C96" i="4"/>
  <c r="C97" i="4"/>
  <c r="C100" i="4"/>
  <c r="C102" i="4"/>
  <c r="C103" i="4"/>
  <c r="C105" i="4"/>
  <c r="C106" i="4"/>
  <c r="C107" i="4"/>
  <c r="C108" i="4"/>
  <c r="C109" i="4"/>
  <c r="C110" i="4"/>
  <c r="C112" i="4"/>
  <c r="C113" i="4"/>
  <c r="C114" i="4"/>
  <c r="C116" i="4"/>
  <c r="C117" i="4"/>
  <c r="C120" i="4"/>
  <c r="C121" i="4"/>
  <c r="C122" i="4"/>
  <c r="C124" i="4"/>
  <c r="C125" i="4"/>
  <c r="C126" i="4"/>
  <c r="C127" i="4"/>
  <c r="C128" i="4"/>
  <c r="C140" i="4"/>
  <c r="C142" i="4"/>
  <c r="C150" i="4"/>
  <c r="C151" i="4"/>
  <c r="C152" i="4"/>
  <c r="C153" i="4"/>
  <c r="C155" i="4"/>
  <c r="C161" i="4"/>
  <c r="C162" i="4"/>
  <c r="C165" i="4"/>
  <c r="C167" i="4"/>
  <c r="C168" i="4"/>
  <c r="C170" i="4"/>
  <c r="C173" i="4"/>
  <c r="C175" i="4"/>
  <c r="C176" i="4"/>
  <c r="C177" i="4"/>
  <c r="C178" i="4"/>
  <c r="C180" i="4"/>
  <c r="C181" i="4"/>
  <c r="C183" i="4"/>
  <c r="C184" i="4"/>
  <c r="C188" i="4"/>
  <c r="C190" i="4"/>
  <c r="C191" i="4"/>
  <c r="C193" i="4"/>
  <c r="C195" i="4"/>
  <c r="C197" i="4"/>
  <c r="C200" i="4"/>
  <c r="C201" i="4"/>
  <c r="C202" i="4"/>
  <c r="C203" i="4"/>
  <c r="C208" i="4"/>
  <c r="C210" i="4"/>
  <c r="C211" i="4"/>
  <c r="C212" i="4"/>
  <c r="C213" i="4"/>
  <c r="C215" i="4"/>
  <c r="C219" i="4"/>
  <c r="C220" i="4"/>
  <c r="C221" i="4"/>
  <c r="C222" i="4"/>
  <c r="C224" i="4"/>
  <c r="C226" i="4"/>
  <c r="C227" i="4"/>
  <c r="C228" i="4"/>
  <c r="C229" i="4"/>
  <c r="C230" i="4"/>
  <c r="C231" i="4"/>
  <c r="C239" i="4"/>
  <c r="C241" i="4"/>
  <c r="C242" i="4"/>
  <c r="C247" i="4"/>
  <c r="C250" i="4"/>
  <c r="C252" i="4"/>
  <c r="C253" i="4"/>
  <c r="C254" i="4"/>
  <c r="C255" i="4"/>
  <c r="C256" i="4"/>
  <c r="C257" i="4"/>
  <c r="C258" i="4"/>
  <c r="C262" i="4"/>
  <c r="C264" i="4"/>
  <c r="C265" i="4"/>
  <c r="C269" i="4"/>
  <c r="C271" i="4"/>
  <c r="C272" i="4"/>
  <c r="C273" i="4"/>
  <c r="C274" i="4"/>
  <c r="C278" i="4"/>
  <c r="C279" i="4"/>
  <c r="C281" i="4"/>
  <c r="C286" i="4"/>
  <c r="C288" i="4"/>
  <c r="C289" i="4"/>
  <c r="C294" i="4"/>
  <c r="C296" i="4"/>
  <c r="C297" i="4"/>
  <c r="C298" i="4"/>
  <c r="C299" i="4"/>
  <c r="C300" i="4"/>
  <c r="C301" i="4"/>
  <c r="C305" i="4"/>
  <c r="C310" i="4"/>
  <c r="C312" i="4"/>
  <c r="C314" i="4"/>
  <c r="C315" i="4"/>
  <c r="C316" i="4"/>
  <c r="C321" i="4"/>
  <c r="C322" i="4"/>
  <c r="C327" i="4"/>
  <c r="C328" i="4"/>
  <c r="C330" i="4"/>
  <c r="C331" i="4"/>
  <c r="C332" i="4"/>
  <c r="C334" i="4"/>
  <c r="C338" i="4"/>
  <c r="C340" i="4"/>
  <c r="C344" i="4"/>
  <c r="C349" i="4"/>
  <c r="C351" i="4"/>
  <c r="C355" i="4"/>
  <c r="C356" i="4"/>
  <c r="C357" i="4"/>
  <c r="C358" i="4"/>
  <c r="C360" i="4"/>
  <c r="C362" i="4"/>
  <c r="C363" i="4"/>
  <c r="C366" i="4"/>
  <c r="C369" i="4"/>
  <c r="C378" i="4"/>
  <c r="C380" i="4"/>
  <c r="C381" i="4"/>
  <c r="C382" i="4"/>
  <c r="C384" i="4"/>
  <c r="C386" i="4"/>
  <c r="C392" i="4"/>
  <c r="C395" i="4"/>
  <c r="C396" i="4"/>
  <c r="C397" i="4"/>
  <c r="C398" i="4"/>
  <c r="C400" i="4"/>
  <c r="C401" i="4"/>
  <c r="C403" i="4"/>
  <c r="C404" i="4"/>
  <c r="C405" i="4"/>
  <c r="C406" i="4"/>
  <c r="C410" i="4"/>
  <c r="C412" i="4"/>
  <c r="C413" i="4"/>
  <c r="C416" i="4"/>
  <c r="C417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5" i="4"/>
  <c r="C436" i="4"/>
  <c r="C438" i="4"/>
  <c r="C440" i="4"/>
  <c r="C441" i="4"/>
  <c r="C442" i="4"/>
  <c r="C443" i="4"/>
  <c r="C444" i="4"/>
  <c r="C445" i="4"/>
  <c r="C448" i="4"/>
  <c r="C450" i="4"/>
  <c r="C452" i="4"/>
  <c r="C455" i="4"/>
  <c r="C456" i="4"/>
  <c r="C469" i="4"/>
  <c r="C470" i="4"/>
  <c r="C471" i="4"/>
  <c r="C472" i="4"/>
  <c r="C473" i="4"/>
  <c r="C480" i="4"/>
  <c r="C481" i="4"/>
  <c r="C486" i="4"/>
  <c r="C487" i="4"/>
  <c r="C488" i="4"/>
  <c r="C491" i="4"/>
  <c r="C494" i="4"/>
  <c r="C495" i="4"/>
  <c r="C496" i="4"/>
  <c r="C501" i="4"/>
  <c r="C506" i="4"/>
  <c r="C507" i="4"/>
  <c r="C509" i="4"/>
  <c r="C512" i="4"/>
  <c r="C513" i="4"/>
  <c r="C514" i="4"/>
  <c r="C515" i="4"/>
  <c r="C516" i="4"/>
  <c r="C518" i="4"/>
  <c r="C519" i="4"/>
  <c r="C520" i="4"/>
  <c r="C521" i="4"/>
  <c r="C522" i="4"/>
  <c r="C526" i="4"/>
  <c r="C527" i="4"/>
  <c r="C529" i="4"/>
  <c r="C532" i="4"/>
  <c r="C533" i="4"/>
  <c r="C534" i="4"/>
  <c r="C535" i="4"/>
  <c r="C536" i="4"/>
  <c r="C537" i="4"/>
  <c r="C538" i="4"/>
  <c r="C539" i="4"/>
  <c r="C541" i="4"/>
  <c r="C544" i="4"/>
  <c r="C546" i="4"/>
  <c r="C548" i="4"/>
  <c r="C553" i="4"/>
  <c r="C556" i="4"/>
  <c r="C559" i="4"/>
  <c r="C560" i="4"/>
  <c r="C564" i="4"/>
  <c r="C567" i="4"/>
  <c r="C568" i="4"/>
  <c r="C569" i="4"/>
  <c r="C573" i="4"/>
  <c r="C576" i="4"/>
  <c r="C578" i="4"/>
  <c r="C579" i="4"/>
  <c r="C580" i="4"/>
  <c r="C581" i="4"/>
  <c r="C591" i="4"/>
  <c r="C592" i="4"/>
  <c r="C596" i="4"/>
  <c r="C599" i="4"/>
  <c r="C601" i="4"/>
  <c r="C602" i="4"/>
  <c r="C604" i="4"/>
  <c r="C607" i="4"/>
  <c r="C610" i="4"/>
  <c r="C612" i="4"/>
  <c r="C613" i="4"/>
  <c r="C614" i="4"/>
  <c r="C615" i="4"/>
  <c r="C617" i="4"/>
  <c r="C627" i="4"/>
  <c r="C629" i="4"/>
  <c r="C630" i="4"/>
  <c r="C631" i="4"/>
  <c r="C634" i="4"/>
  <c r="C635" i="4"/>
  <c r="C636" i="4"/>
  <c r="C637" i="4"/>
  <c r="C638" i="4"/>
  <c r="C639" i="4"/>
  <c r="C640" i="4"/>
  <c r="C641" i="4"/>
  <c r="C642" i="4"/>
  <c r="C643" i="4"/>
  <c r="C645" i="4"/>
  <c r="C646" i="4"/>
  <c r="C650" i="4"/>
  <c r="C652" i="4"/>
  <c r="C654" i="4"/>
  <c r="C655" i="4"/>
  <c r="C657" i="4"/>
  <c r="C658" i="4"/>
  <c r="C659" i="4"/>
  <c r="C660" i="4"/>
  <c r="C661" i="4"/>
  <c r="C662" i="4"/>
  <c r="C664" i="4"/>
  <c r="C677" i="4"/>
  <c r="C678" i="4"/>
  <c r="C679" i="4"/>
  <c r="C680" i="4"/>
  <c r="C681" i="4"/>
  <c r="C682" i="4"/>
  <c r="C686" i="4"/>
  <c r="C713" i="4"/>
  <c r="C714" i="4"/>
  <c r="C715" i="4"/>
  <c r="C721" i="4"/>
  <c r="C724" i="4"/>
  <c r="C726" i="4"/>
  <c r="C728" i="4"/>
  <c r="C732" i="4"/>
  <c r="C733" i="4"/>
  <c r="C750" i="4"/>
  <c r="C751" i="4"/>
  <c r="C754" i="4"/>
  <c r="C755" i="4"/>
  <c r="C757" i="4"/>
  <c r="C758" i="4"/>
  <c r="C766" i="4"/>
  <c r="C772" i="4"/>
  <c r="C773" i="4"/>
  <c r="C780" i="4"/>
  <c r="C793" i="4"/>
  <c r="C798" i="4"/>
  <c r="C799" i="4"/>
  <c r="C811" i="4"/>
  <c r="C812" i="4"/>
  <c r="C814" i="4"/>
  <c r="C817" i="4"/>
  <c r="C818" i="4"/>
  <c r="C819" i="4"/>
  <c r="C821" i="4"/>
  <c r="C824" i="4"/>
  <c r="C825" i="4"/>
  <c r="C828" i="4"/>
  <c r="C829" i="4"/>
  <c r="C837" i="4"/>
  <c r="C852" i="4"/>
  <c r="C863" i="4"/>
  <c r="C865" i="4"/>
  <c r="C866" i="4"/>
  <c r="C867" i="4"/>
  <c r="C871" i="4"/>
  <c r="C874" i="4"/>
  <c r="C875" i="4"/>
  <c r="C885" i="4"/>
  <c r="C889" i="4"/>
  <c r="C896" i="4"/>
  <c r="C897" i="4"/>
  <c r="C902" i="4"/>
  <c r="C903" i="4"/>
  <c r="C914" i="4"/>
  <c r="C916" i="4"/>
  <c r="C917" i="4"/>
  <c r="C918" i="4"/>
  <c r="C919" i="4"/>
  <c r="C920" i="4"/>
  <c r="C923" i="4"/>
  <c r="C928" i="4"/>
  <c r="C929" i="4"/>
  <c r="C931" i="4"/>
  <c r="C934" i="4"/>
  <c r="C935" i="4"/>
  <c r="C939" i="4"/>
  <c r="C940" i="4"/>
  <c r="C941" i="4"/>
  <c r="C942" i="4"/>
  <c r="C943" i="4"/>
  <c r="C944" i="4"/>
  <c r="C945" i="4"/>
  <c r="C946" i="4"/>
  <c r="C947" i="4"/>
  <c r="C950" i="4"/>
  <c r="C952" i="4"/>
  <c r="C953" i="4"/>
  <c r="C954" i="4"/>
  <c r="C955" i="4"/>
  <c r="C969" i="4"/>
  <c r="C976" i="4"/>
  <c r="C979" i="4"/>
  <c r="C982" i="4"/>
  <c r="C985" i="4"/>
  <c r="C988" i="4"/>
  <c r="C989" i="4"/>
  <c r="C992" i="4"/>
  <c r="C993" i="4"/>
  <c r="C994" i="4"/>
  <c r="C995" i="4"/>
  <c r="C996" i="4"/>
  <c r="C997" i="4"/>
  <c r="C998" i="4"/>
  <c r="C999" i="4"/>
  <c r="C13" i="4"/>
  <c r="C33" i="4"/>
  <c r="C52" i="4"/>
  <c r="C58" i="4"/>
  <c r="C67" i="4"/>
  <c r="C68" i="4"/>
  <c r="C72" i="4"/>
  <c r="C82" i="4"/>
  <c r="C84" i="4"/>
  <c r="C85" i="4"/>
  <c r="C93" i="4"/>
  <c r="C98" i="4"/>
  <c r="C99" i="4"/>
  <c r="C101" i="4"/>
  <c r="C104" i="4"/>
  <c r="C115" i="4"/>
  <c r="C118" i="4"/>
  <c r="C119" i="4"/>
  <c r="C123" i="4"/>
  <c r="C129" i="4"/>
  <c r="C130" i="4"/>
  <c r="C132" i="4"/>
  <c r="C135" i="4"/>
  <c r="C137" i="4"/>
  <c r="C138" i="4"/>
  <c r="C139" i="4"/>
  <c r="C141" i="4"/>
  <c r="C143" i="4"/>
  <c r="C144" i="4"/>
  <c r="C146" i="4"/>
  <c r="C147" i="4"/>
  <c r="C149" i="4"/>
  <c r="C154" i="4"/>
  <c r="C156" i="4"/>
  <c r="C157" i="4"/>
  <c r="C158" i="4"/>
  <c r="C159" i="4"/>
  <c r="C160" i="4"/>
  <c r="C164" i="4"/>
  <c r="C166" i="4"/>
  <c r="C169" i="4"/>
  <c r="C171" i="4"/>
  <c r="C172" i="4"/>
  <c r="C174" i="4"/>
  <c r="C179" i="4"/>
  <c r="C182" i="4"/>
  <c r="C185" i="4"/>
  <c r="C186" i="4"/>
  <c r="C187" i="4"/>
  <c r="C189" i="4"/>
  <c r="C192" i="4"/>
  <c r="C194" i="4"/>
  <c r="C196" i="4"/>
  <c r="C198" i="4"/>
  <c r="C199" i="4"/>
  <c r="C204" i="4"/>
  <c r="C205" i="4"/>
  <c r="C206" i="4"/>
  <c r="C209" i="4"/>
  <c r="C214" i="4"/>
  <c r="C216" i="4"/>
  <c r="C217" i="4"/>
  <c r="C218" i="4"/>
  <c r="C223" i="4"/>
  <c r="C225" i="4"/>
  <c r="C232" i="4"/>
  <c r="C233" i="4"/>
  <c r="C234" i="4"/>
  <c r="C235" i="4"/>
  <c r="C236" i="4"/>
  <c r="C237" i="4"/>
  <c r="C238" i="4"/>
  <c r="C243" i="4"/>
  <c r="C244" i="4"/>
  <c r="C245" i="4"/>
  <c r="C246" i="4"/>
  <c r="C248" i="4"/>
  <c r="C249" i="4"/>
  <c r="C251" i="4"/>
  <c r="C259" i="4"/>
  <c r="C260" i="4"/>
  <c r="C261" i="4"/>
  <c r="C263" i="4"/>
  <c r="C266" i="4"/>
  <c r="C267" i="4"/>
  <c r="C270" i="4"/>
  <c r="C275" i="4"/>
  <c r="C276" i="4"/>
  <c r="C277" i="4"/>
  <c r="C280" i="4"/>
  <c r="C282" i="4"/>
  <c r="C283" i="4"/>
  <c r="C284" i="4"/>
  <c r="C287" i="4"/>
  <c r="C290" i="4"/>
  <c r="C291" i="4"/>
  <c r="C292" i="4"/>
  <c r="C293" i="4"/>
  <c r="C302" i="4"/>
  <c r="C303" i="4"/>
  <c r="C304" i="4"/>
  <c r="C306" i="4"/>
  <c r="C307" i="4"/>
  <c r="C308" i="4"/>
  <c r="C309" i="4"/>
  <c r="C311" i="4"/>
  <c r="C313" i="4"/>
  <c r="C317" i="4"/>
  <c r="C318" i="4"/>
  <c r="C319" i="4"/>
  <c r="C320" i="4"/>
  <c r="C323" i="4"/>
  <c r="C324" i="4"/>
  <c r="C325" i="4"/>
  <c r="C326" i="4"/>
  <c r="C329" i="4"/>
  <c r="C333" i="4"/>
  <c r="C335" i="4"/>
  <c r="C336" i="4"/>
  <c r="C337" i="4"/>
  <c r="C339" i="4"/>
  <c r="C341" i="4"/>
  <c r="C342" i="4"/>
  <c r="C343" i="4"/>
  <c r="C345" i="4"/>
  <c r="C346" i="4"/>
  <c r="C347" i="4"/>
  <c r="C348" i="4"/>
  <c r="C350" i="4"/>
  <c r="C352" i="4"/>
  <c r="C353" i="4"/>
  <c r="C354" i="4"/>
  <c r="C359" i="4"/>
  <c r="C361" i="4"/>
  <c r="C364" i="4"/>
  <c r="C365" i="4"/>
  <c r="C367" i="4"/>
  <c r="C368" i="4"/>
  <c r="C370" i="4"/>
  <c r="C371" i="4"/>
  <c r="C372" i="4"/>
  <c r="C373" i="4"/>
  <c r="C374" i="4"/>
  <c r="C375" i="4"/>
  <c r="C376" i="4"/>
  <c r="C377" i="4"/>
  <c r="C379" i="4"/>
  <c r="C383" i="4"/>
  <c r="C385" i="4"/>
  <c r="C387" i="4"/>
  <c r="C388" i="4"/>
  <c r="C389" i="4"/>
  <c r="C390" i="4"/>
  <c r="C391" i="4"/>
  <c r="C393" i="4"/>
  <c r="C394" i="4"/>
  <c r="C399" i="4"/>
  <c r="C402" i="4"/>
  <c r="C407" i="4"/>
  <c r="C408" i="4"/>
  <c r="C409" i="4"/>
  <c r="C411" i="4"/>
  <c r="C414" i="4"/>
  <c r="C415" i="4"/>
  <c r="C418" i="4"/>
  <c r="C434" i="4"/>
  <c r="C437" i="4"/>
  <c r="C439" i="4"/>
  <c r="C446" i="4"/>
  <c r="C447" i="4"/>
  <c r="C449" i="4"/>
  <c r="C451" i="4"/>
  <c r="C453" i="4"/>
  <c r="C454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74" i="4"/>
  <c r="C475" i="4"/>
  <c r="C476" i="4"/>
  <c r="C477" i="4"/>
  <c r="C478" i="4"/>
  <c r="C479" i="4"/>
  <c r="C482" i="4"/>
  <c r="C483" i="4"/>
  <c r="C484" i="4"/>
  <c r="C485" i="4"/>
  <c r="C489" i="4"/>
  <c r="C490" i="4"/>
  <c r="C492" i="4"/>
  <c r="C493" i="4"/>
  <c r="C497" i="4"/>
  <c r="C498" i="4"/>
  <c r="C499" i="4"/>
  <c r="C500" i="4"/>
  <c r="C502" i="4"/>
  <c r="C503" i="4"/>
  <c r="C504" i="4"/>
  <c r="C505" i="4"/>
  <c r="C508" i="4"/>
  <c r="C510" i="4"/>
  <c r="C511" i="4"/>
  <c r="C517" i="4"/>
  <c r="C523" i="4"/>
  <c r="C524" i="4"/>
  <c r="C525" i="4"/>
  <c r="C528" i="4"/>
  <c r="C530" i="4"/>
  <c r="C531" i="4"/>
  <c r="C540" i="4"/>
  <c r="C542" i="4"/>
  <c r="C543" i="4"/>
  <c r="C545" i="4"/>
  <c r="C547" i="4"/>
  <c r="C549" i="4"/>
  <c r="C550" i="4"/>
  <c r="C551" i="4"/>
  <c r="C552" i="4"/>
  <c r="C554" i="4"/>
  <c r="C555" i="4"/>
  <c r="C557" i="4"/>
  <c r="C558" i="4"/>
  <c r="C561" i="4"/>
  <c r="C562" i="4"/>
  <c r="C563" i="4"/>
  <c r="C565" i="4"/>
  <c r="C566" i="4"/>
  <c r="C570" i="4"/>
  <c r="C571" i="4"/>
  <c r="C572" i="4"/>
  <c r="C574" i="4"/>
  <c r="C575" i="4"/>
  <c r="C577" i="4"/>
  <c r="C582" i="4"/>
  <c r="C583" i="4"/>
  <c r="C584" i="4"/>
  <c r="C585" i="4"/>
  <c r="C586" i="4"/>
  <c r="C587" i="4"/>
  <c r="C588" i="4"/>
  <c r="C589" i="4"/>
  <c r="C590" i="4"/>
  <c r="C593" i="4"/>
  <c r="C594" i="4"/>
  <c r="C595" i="4"/>
  <c r="C597" i="4"/>
  <c r="C598" i="4"/>
  <c r="C600" i="4"/>
  <c r="C603" i="4"/>
  <c r="C605" i="4"/>
  <c r="C606" i="4"/>
  <c r="C608" i="4"/>
  <c r="C609" i="4"/>
  <c r="C611" i="4"/>
  <c r="C616" i="4"/>
  <c r="C618" i="4"/>
  <c r="C619" i="4"/>
  <c r="C620" i="4"/>
  <c r="C621" i="4"/>
  <c r="C622" i="4"/>
  <c r="C623" i="4"/>
  <c r="C624" i="4"/>
  <c r="C625" i="4"/>
  <c r="C626" i="4"/>
  <c r="C628" i="4"/>
  <c r="C632" i="4"/>
  <c r="C633" i="4"/>
  <c r="C644" i="4"/>
  <c r="C647" i="4"/>
  <c r="C648" i="4"/>
  <c r="C649" i="4"/>
  <c r="C653" i="4"/>
  <c r="C656" i="4"/>
  <c r="C663" i="4"/>
  <c r="C665" i="4"/>
  <c r="C666" i="4"/>
  <c r="C667" i="4"/>
  <c r="C668" i="4"/>
  <c r="C669" i="4"/>
  <c r="C671" i="4"/>
  <c r="C672" i="4"/>
  <c r="C673" i="4"/>
  <c r="C674" i="4"/>
  <c r="C675" i="4"/>
  <c r="C676" i="4"/>
  <c r="C683" i="4"/>
  <c r="C684" i="4"/>
  <c r="C685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6" i="4"/>
  <c r="C717" i="4"/>
  <c r="C718" i="4"/>
  <c r="C719" i="4"/>
  <c r="C720" i="4"/>
  <c r="C722" i="4"/>
  <c r="C723" i="4"/>
  <c r="C725" i="4"/>
  <c r="C727" i="4"/>
  <c r="C729" i="4"/>
  <c r="C730" i="4"/>
  <c r="C731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2" i="4"/>
  <c r="C753" i="4"/>
  <c r="C756" i="4"/>
  <c r="C759" i="4"/>
  <c r="C760" i="4"/>
  <c r="C761" i="4"/>
  <c r="C762" i="4"/>
  <c r="C763" i="4"/>
  <c r="C764" i="4"/>
  <c r="C765" i="4"/>
  <c r="C767" i="4"/>
  <c r="C768" i="4"/>
  <c r="C769" i="4"/>
  <c r="C770" i="4"/>
  <c r="C771" i="4"/>
  <c r="C774" i="4"/>
  <c r="C775" i="4"/>
  <c r="C776" i="4"/>
  <c r="C778" i="4"/>
  <c r="C779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4" i="4"/>
  <c r="C795" i="4"/>
  <c r="C796" i="4"/>
  <c r="C797" i="4"/>
  <c r="C800" i="4"/>
  <c r="C801" i="4"/>
  <c r="C802" i="4"/>
  <c r="C803" i="4"/>
  <c r="C804" i="4"/>
  <c r="C805" i="4"/>
  <c r="C806" i="4"/>
  <c r="C807" i="4"/>
  <c r="C808" i="4"/>
  <c r="C809" i="4"/>
  <c r="C810" i="4"/>
  <c r="C813" i="4"/>
  <c r="C815" i="4"/>
  <c r="C816" i="4"/>
  <c r="C820" i="4"/>
  <c r="C822" i="4"/>
  <c r="C823" i="4"/>
  <c r="C826" i="4"/>
  <c r="C827" i="4"/>
  <c r="C830" i="4"/>
  <c r="C831" i="4"/>
  <c r="C832" i="4"/>
  <c r="C833" i="4"/>
  <c r="C834" i="4"/>
  <c r="C835" i="4"/>
  <c r="C836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3" i="4"/>
  <c r="C854" i="4"/>
  <c r="C855" i="4"/>
  <c r="C856" i="4"/>
  <c r="C857" i="4"/>
  <c r="C858" i="4"/>
  <c r="C859" i="4"/>
  <c r="C860" i="4"/>
  <c r="C861" i="4"/>
  <c r="C862" i="4"/>
  <c r="C864" i="4"/>
  <c r="C868" i="4"/>
  <c r="C869" i="4"/>
  <c r="C870" i="4"/>
  <c r="C872" i="4"/>
  <c r="C876" i="4"/>
  <c r="C877" i="4"/>
  <c r="C878" i="4"/>
  <c r="C879" i="4"/>
  <c r="C880" i="4"/>
  <c r="C881" i="4"/>
  <c r="C882" i="4"/>
  <c r="C883" i="4"/>
  <c r="C884" i="4"/>
  <c r="C886" i="4"/>
  <c r="C887" i="4"/>
  <c r="C888" i="4"/>
  <c r="C890" i="4"/>
  <c r="C891" i="4"/>
  <c r="C892" i="4"/>
  <c r="C893" i="4"/>
  <c r="C894" i="4"/>
  <c r="C895" i="4"/>
  <c r="C898" i="4"/>
  <c r="C899" i="4"/>
  <c r="C900" i="4"/>
  <c r="C901" i="4"/>
  <c r="C904" i="4"/>
  <c r="C905" i="4"/>
  <c r="C906" i="4"/>
  <c r="C907" i="4"/>
  <c r="C908" i="4"/>
  <c r="C909" i="4"/>
  <c r="C910" i="4"/>
  <c r="C911" i="4"/>
  <c r="C912" i="4"/>
  <c r="C913" i="4"/>
  <c r="C915" i="4"/>
  <c r="C921" i="4"/>
  <c r="C922" i="4"/>
  <c r="C924" i="4"/>
  <c r="C925" i="4"/>
  <c r="C926" i="4"/>
  <c r="C927" i="4"/>
  <c r="C930" i="4"/>
  <c r="C932" i="4"/>
  <c r="C933" i="4"/>
  <c r="C936" i="4"/>
  <c r="C937" i="4"/>
  <c r="C938" i="4"/>
  <c r="C948" i="4"/>
  <c r="C949" i="4"/>
  <c r="C951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70" i="4"/>
  <c r="C971" i="4"/>
  <c r="C972" i="4"/>
  <c r="C973" i="4"/>
  <c r="C974" i="4"/>
  <c r="C975" i="4"/>
  <c r="C977" i="4"/>
  <c r="C978" i="4"/>
  <c r="C980" i="4"/>
  <c r="C981" i="4"/>
  <c r="C983" i="4"/>
  <c r="C984" i="4"/>
  <c r="C986" i="4"/>
  <c r="C987" i="4"/>
  <c r="C990" i="4"/>
  <c r="C991" i="4"/>
  <c r="C1000" i="4"/>
  <c r="C9" i="4"/>
  <c r="C3" i="4"/>
  <c r="C4" i="4"/>
  <c r="C5" i="4"/>
  <c r="C6" i="4"/>
  <c r="C7" i="4"/>
  <c r="C8" i="4"/>
  <c r="C2" i="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2" i="6"/>
  <c r="J2" i="6" s="1"/>
  <c r="K2" i="6" s="1"/>
  <c r="F2" i="5"/>
  <c r="E2" i="5"/>
  <c r="D2" i="5"/>
  <c r="M254" i="5" l="1"/>
  <c r="K254" i="5"/>
  <c r="N123" i="5"/>
  <c r="G123" i="5"/>
  <c r="I121" i="5"/>
  <c r="M121" i="5"/>
  <c r="L121" i="5"/>
  <c r="K121" i="5"/>
  <c r="N89" i="5"/>
  <c r="K89" i="5"/>
  <c r="I89" i="5"/>
  <c r="M89" i="5"/>
  <c r="L89" i="5"/>
  <c r="G89" i="5"/>
  <c r="G61" i="5"/>
  <c r="I61" i="5"/>
  <c r="K55" i="5"/>
  <c r="M55" i="5"/>
  <c r="L55" i="5"/>
  <c r="L44" i="5"/>
  <c r="M44" i="5"/>
  <c r="N510" i="5"/>
  <c r="L510" i="5"/>
  <c r="M497" i="5"/>
  <c r="N497" i="5"/>
  <c r="I497" i="5"/>
  <c r="K497" i="5"/>
  <c r="I495" i="5"/>
  <c r="K495" i="5"/>
  <c r="L495" i="5"/>
  <c r="N495" i="5"/>
  <c r="N492" i="5"/>
  <c r="K492" i="5"/>
  <c r="I492" i="5"/>
  <c r="G492" i="5"/>
  <c r="M492" i="5"/>
  <c r="L492" i="5"/>
  <c r="I480" i="5"/>
  <c r="L480" i="5"/>
  <c r="M480" i="5"/>
  <c r="N480" i="5"/>
  <c r="G460" i="5"/>
  <c r="I460" i="5"/>
  <c r="K460" i="5"/>
  <c r="L460" i="5"/>
  <c r="N460" i="5"/>
  <c r="M460" i="5"/>
  <c r="I459" i="5"/>
  <c r="K459" i="5"/>
  <c r="G459" i="5"/>
  <c r="N459" i="5"/>
  <c r="K458" i="5"/>
  <c r="M458" i="5"/>
  <c r="N458" i="5"/>
  <c r="L458" i="5"/>
  <c r="I458" i="5"/>
  <c r="G458" i="5"/>
  <c r="G449" i="5"/>
  <c r="K449" i="5"/>
  <c r="L449" i="5"/>
  <c r="M449" i="5"/>
  <c r="N449" i="5"/>
  <c r="I449" i="5"/>
  <c r="L447" i="5"/>
  <c r="M447" i="5"/>
  <c r="K447" i="5"/>
  <c r="I447" i="5"/>
  <c r="N447" i="5"/>
  <c r="G447" i="5"/>
  <c r="M438" i="5"/>
  <c r="N438" i="5"/>
  <c r="L438" i="5"/>
  <c r="I429" i="5"/>
  <c r="M429" i="5"/>
  <c r="N429" i="5"/>
  <c r="M407" i="5"/>
  <c r="L407" i="5"/>
  <c r="K407" i="5"/>
  <c r="N407" i="5"/>
  <c r="N381" i="5"/>
  <c r="M381" i="5"/>
  <c r="K381" i="5"/>
  <c r="I381" i="5"/>
  <c r="K372" i="5"/>
  <c r="L372" i="5"/>
  <c r="M372" i="5"/>
  <c r="N372" i="5"/>
  <c r="I372" i="5"/>
  <c r="N361" i="5"/>
  <c r="I361" i="5"/>
  <c r="K361" i="5"/>
  <c r="L361" i="5"/>
  <c r="M361" i="5"/>
  <c r="G361" i="5"/>
  <c r="I357" i="5"/>
  <c r="K357" i="5"/>
  <c r="N357" i="5"/>
  <c r="G357" i="5"/>
  <c r="M357" i="5"/>
  <c r="L357" i="5"/>
  <c r="N354" i="5"/>
  <c r="G354" i="5"/>
  <c r="I354" i="5"/>
  <c r="M354" i="5"/>
  <c r="I353" i="5"/>
  <c r="K353" i="5"/>
  <c r="L353" i="5"/>
  <c r="M353" i="5"/>
  <c r="N353" i="5"/>
  <c r="G353" i="5"/>
  <c r="G347" i="5"/>
  <c r="N347" i="5"/>
  <c r="I347" i="5"/>
  <c r="K347" i="5"/>
  <c r="L347" i="5"/>
  <c r="M347" i="5"/>
  <c r="K345" i="5"/>
  <c r="I345" i="5"/>
  <c r="G345" i="5"/>
  <c r="N345" i="5"/>
  <c r="M345" i="5"/>
  <c r="L345" i="5"/>
  <c r="I337" i="5"/>
  <c r="K337" i="5"/>
  <c r="L337" i="5"/>
  <c r="M337" i="5"/>
  <c r="N337" i="5"/>
  <c r="G337" i="5"/>
  <c r="K327" i="5"/>
  <c r="M327" i="5"/>
  <c r="G327" i="5"/>
  <c r="N327" i="5"/>
  <c r="I326" i="5"/>
  <c r="K326" i="5"/>
  <c r="L326" i="5"/>
  <c r="N326" i="5"/>
  <c r="G326" i="5"/>
  <c r="M326" i="5"/>
  <c r="M324" i="5"/>
  <c r="N324" i="5"/>
  <c r="L322" i="5"/>
  <c r="G322" i="5"/>
  <c r="M322" i="5"/>
  <c r="I322" i="5"/>
  <c r="K322" i="5"/>
  <c r="N322" i="5"/>
  <c r="I306" i="5"/>
  <c r="K306" i="5"/>
  <c r="M306" i="5"/>
  <c r="N306" i="5"/>
  <c r="L306" i="5"/>
  <c r="N305" i="5"/>
  <c r="I305" i="5"/>
  <c r="K305" i="5"/>
  <c r="N303" i="5"/>
  <c r="I303" i="5"/>
  <c r="K303" i="5"/>
  <c r="M303" i="5"/>
  <c r="G257" i="5"/>
  <c r="N257" i="5"/>
  <c r="G256" i="5"/>
  <c r="I256" i="5"/>
  <c r="M256" i="5"/>
  <c r="N256" i="5"/>
  <c r="N254" i="5"/>
  <c r="L254" i="5"/>
  <c r="I254" i="5"/>
  <c r="G253" i="5"/>
  <c r="I253" i="5"/>
  <c r="K253" i="5"/>
  <c r="L253" i="5"/>
  <c r="M253" i="5"/>
  <c r="N253" i="5"/>
  <c r="L251" i="5"/>
  <c r="I251" i="5"/>
  <c r="K251" i="5"/>
  <c r="N251" i="5"/>
  <c r="G248" i="5"/>
  <c r="M248" i="5"/>
  <c r="L248" i="5"/>
  <c r="K248" i="5"/>
  <c r="N248" i="5"/>
  <c r="I248" i="5"/>
  <c r="G231" i="5"/>
  <c r="I231" i="5"/>
  <c r="K231" i="5"/>
  <c r="L231" i="5"/>
  <c r="M231" i="5"/>
  <c r="N231" i="5"/>
  <c r="I229" i="5"/>
  <c r="N229" i="5"/>
  <c r="M229" i="5"/>
  <c r="L229" i="5"/>
  <c r="K229" i="5"/>
  <c r="I227" i="5"/>
  <c r="N227" i="5"/>
  <c r="K223" i="5"/>
  <c r="M223" i="5"/>
  <c r="G223" i="5"/>
  <c r="I223" i="5"/>
  <c r="N223" i="5"/>
  <c r="L223" i="5"/>
  <c r="I202" i="5"/>
  <c r="M202" i="5"/>
  <c r="K202" i="5"/>
  <c r="G202" i="5"/>
  <c r="L202" i="5"/>
  <c r="N202" i="5"/>
  <c r="K200" i="5"/>
  <c r="N200" i="5"/>
  <c r="L200" i="5"/>
  <c r="G200" i="5"/>
  <c r="I200" i="5"/>
  <c r="M200" i="5"/>
  <c r="I198" i="5"/>
  <c r="K198" i="5"/>
  <c r="L198" i="5"/>
  <c r="M198" i="5"/>
  <c r="N198" i="5"/>
  <c r="G198" i="5"/>
  <c r="N194" i="5"/>
  <c r="M194" i="5"/>
  <c r="I194" i="5"/>
  <c r="L193" i="5"/>
  <c r="N193" i="5"/>
  <c r="K193" i="5"/>
  <c r="M193" i="5"/>
  <c r="K192" i="5"/>
  <c r="L192" i="5"/>
  <c r="N192" i="5"/>
  <c r="L189" i="5"/>
  <c r="K189" i="5"/>
  <c r="N189" i="5"/>
  <c r="I189" i="5"/>
  <c r="M189" i="5"/>
  <c r="G189" i="5"/>
  <c r="G185" i="5"/>
  <c r="N185" i="5"/>
  <c r="I185" i="5"/>
  <c r="L185" i="5"/>
  <c r="K185" i="5"/>
  <c r="M185" i="5"/>
  <c r="G183" i="5"/>
  <c r="L183" i="5"/>
  <c r="I183" i="5"/>
  <c r="N183" i="5"/>
  <c r="K183" i="5"/>
  <c r="M183" i="5"/>
  <c r="K181" i="5"/>
  <c r="I181" i="5"/>
  <c r="M181" i="5"/>
  <c r="N181" i="5"/>
  <c r="L181" i="5"/>
  <c r="G181" i="5"/>
  <c r="I175" i="5"/>
  <c r="L175" i="5"/>
  <c r="N175" i="5"/>
  <c r="I161" i="5"/>
  <c r="L161" i="5"/>
  <c r="M161" i="5"/>
  <c r="N161" i="5"/>
  <c r="K161" i="5"/>
  <c r="G161" i="5"/>
  <c r="I152" i="5"/>
  <c r="N152" i="5"/>
  <c r="G152" i="5"/>
  <c r="K141" i="5"/>
  <c r="M141" i="5"/>
  <c r="L141" i="5"/>
  <c r="N141" i="5"/>
  <c r="I141" i="5"/>
  <c r="G141" i="5"/>
  <c r="K130" i="5"/>
  <c r="M130" i="5"/>
  <c r="N130" i="5"/>
  <c r="G130" i="5"/>
  <c r="I130" i="5"/>
  <c r="L130" i="5"/>
  <c r="G128" i="5"/>
  <c r="I128" i="5"/>
  <c r="K128" i="5"/>
  <c r="L128" i="5"/>
  <c r="M128" i="5"/>
  <c r="N128" i="5"/>
  <c r="N126" i="5"/>
  <c r="I126" i="5"/>
  <c r="K126" i="5"/>
  <c r="L126" i="5"/>
  <c r="M126" i="5"/>
  <c r="G126" i="5"/>
  <c r="G122" i="5"/>
  <c r="N122" i="5"/>
  <c r="L122" i="5"/>
  <c r="M122" i="5"/>
  <c r="G121" i="5"/>
  <c r="N121" i="5"/>
  <c r="K108" i="5"/>
  <c r="G108" i="5"/>
  <c r="M108" i="5"/>
  <c r="L108" i="5"/>
  <c r="N108" i="5"/>
  <c r="I108" i="5"/>
  <c r="L106" i="5"/>
  <c r="M106" i="5"/>
  <c r="N106" i="5"/>
  <c r="I106" i="5"/>
  <c r="G106" i="5"/>
  <c r="K106" i="5"/>
  <c r="G95" i="5"/>
  <c r="I95" i="5"/>
  <c r="M95" i="5"/>
  <c r="N95" i="5"/>
  <c r="L95" i="5"/>
  <c r="K95" i="5"/>
  <c r="I90" i="5"/>
  <c r="M90" i="5"/>
  <c r="N90" i="5"/>
  <c r="M70" i="5"/>
  <c r="N70" i="5"/>
  <c r="L70" i="5"/>
  <c r="K70" i="5"/>
  <c r="I70" i="5"/>
  <c r="G70" i="5"/>
  <c r="N64" i="5"/>
  <c r="I64" i="5"/>
  <c r="G64" i="5"/>
  <c r="K64" i="5"/>
  <c r="L64" i="5"/>
  <c r="M64" i="5"/>
  <c r="M61" i="5"/>
  <c r="N61" i="5"/>
  <c r="L60" i="5"/>
  <c r="N60" i="5"/>
  <c r="K60" i="5"/>
  <c r="M60" i="5"/>
  <c r="L59" i="5"/>
  <c r="N59" i="5"/>
  <c r="M59" i="5"/>
  <c r="L58" i="5"/>
  <c r="I58" i="5"/>
  <c r="M58" i="5"/>
  <c r="N58" i="5"/>
  <c r="N55" i="5"/>
  <c r="I55" i="5"/>
  <c r="I47" i="5"/>
  <c r="M47" i="5"/>
  <c r="L47" i="5"/>
  <c r="N47" i="5"/>
  <c r="K47" i="5"/>
  <c r="K44" i="5"/>
  <c r="I44" i="5"/>
  <c r="N44" i="5"/>
  <c r="K28" i="5"/>
  <c r="I28" i="5"/>
  <c r="N28" i="5"/>
  <c r="L28" i="5"/>
  <c r="M28" i="5"/>
  <c r="G28" i="5"/>
  <c r="L22" i="5"/>
  <c r="M22" i="5"/>
  <c r="I22" i="5"/>
  <c r="N22" i="5"/>
  <c r="G22" i="5"/>
  <c r="K22" i="5"/>
  <c r="L6" i="5"/>
  <c r="M6" i="5"/>
  <c r="K6" i="5"/>
  <c r="N6" i="5"/>
  <c r="I6" i="5"/>
  <c r="G6" i="5"/>
  <c r="K122" i="5"/>
  <c r="I122" i="5"/>
  <c r="L90" i="5"/>
  <c r="K90" i="5"/>
  <c r="N63" i="5"/>
  <c r="G63" i="5"/>
  <c r="I60" i="5"/>
  <c r="G60" i="5"/>
  <c r="M300" i="5"/>
  <c r="K300" i="5"/>
  <c r="I300" i="5"/>
  <c r="G300" i="5"/>
  <c r="L300" i="5"/>
  <c r="M199" i="5"/>
  <c r="G199" i="5"/>
  <c r="L199" i="5"/>
  <c r="K199" i="5"/>
  <c r="I199" i="5"/>
  <c r="M233" i="5"/>
  <c r="L233" i="5"/>
  <c r="K233" i="5"/>
  <c r="I233" i="5"/>
  <c r="G233" i="5"/>
  <c r="M330" i="5"/>
  <c r="K330" i="5"/>
  <c r="I330" i="5"/>
  <c r="L330" i="5"/>
  <c r="G330" i="5"/>
  <c r="K472" i="5"/>
  <c r="I472" i="5"/>
  <c r="G472" i="5"/>
  <c r="M472" i="5"/>
  <c r="L472" i="5"/>
  <c r="K172" i="5"/>
  <c r="I172" i="5"/>
  <c r="M172" i="5"/>
  <c r="L172" i="5"/>
  <c r="G172" i="5"/>
  <c r="K308" i="5"/>
  <c r="M308" i="5"/>
  <c r="L308" i="5"/>
  <c r="I308" i="5"/>
  <c r="G308" i="5"/>
  <c r="K14" i="5"/>
  <c r="I14" i="5"/>
  <c r="M14" i="5"/>
  <c r="L14" i="5"/>
  <c r="G14" i="5"/>
  <c r="M319" i="5"/>
  <c r="I319" i="5"/>
  <c r="G319" i="5"/>
  <c r="L319" i="5"/>
  <c r="K319" i="5"/>
  <c r="I84" i="5"/>
  <c r="G84" i="5"/>
  <c r="M84" i="5"/>
  <c r="L84" i="5"/>
  <c r="K84" i="5"/>
  <c r="G274" i="5"/>
  <c r="M274" i="5"/>
  <c r="L274" i="5"/>
  <c r="K274" i="5"/>
  <c r="I274" i="5"/>
  <c r="I216" i="5"/>
  <c r="G216" i="5"/>
  <c r="M216" i="5"/>
  <c r="L216" i="5"/>
  <c r="K216" i="5"/>
  <c r="L457" i="5"/>
  <c r="M457" i="5"/>
  <c r="K457" i="5"/>
  <c r="I457" i="5"/>
  <c r="G457" i="5"/>
  <c r="L371" i="5"/>
  <c r="K371" i="5"/>
  <c r="I371" i="5"/>
  <c r="G371" i="5"/>
  <c r="M371" i="5"/>
  <c r="I403" i="5"/>
  <c r="M403" i="5"/>
  <c r="L403" i="5"/>
  <c r="K403" i="5"/>
  <c r="G403" i="5"/>
  <c r="L437" i="5"/>
  <c r="G437" i="5"/>
  <c r="M437" i="5"/>
  <c r="K437" i="5"/>
  <c r="I437" i="5"/>
  <c r="M310" i="5"/>
  <c r="L310" i="5"/>
  <c r="K310" i="5"/>
  <c r="I310" i="5"/>
  <c r="G310" i="5"/>
  <c r="M380" i="5"/>
  <c r="L380" i="5"/>
  <c r="K380" i="5"/>
  <c r="G380" i="5"/>
  <c r="I380" i="5"/>
  <c r="I244" i="5"/>
  <c r="G244" i="5"/>
  <c r="M244" i="5"/>
  <c r="L244" i="5"/>
  <c r="K244" i="5"/>
  <c r="L441" i="5"/>
  <c r="M441" i="5"/>
  <c r="K441" i="5"/>
  <c r="I441" i="5"/>
  <c r="G441" i="5"/>
  <c r="M307" i="5"/>
  <c r="K307" i="5"/>
  <c r="G307" i="5"/>
  <c r="L307" i="5"/>
  <c r="I307" i="5"/>
  <c r="K88" i="5"/>
  <c r="I88" i="5"/>
  <c r="M88" i="5"/>
  <c r="L88" i="5"/>
  <c r="G88" i="5"/>
  <c r="K97" i="5"/>
  <c r="I97" i="5"/>
  <c r="G97" i="5"/>
  <c r="M97" i="5"/>
  <c r="L97" i="5"/>
  <c r="M56" i="5"/>
  <c r="I56" i="5"/>
  <c r="G56" i="5"/>
  <c r="L56" i="5"/>
  <c r="K56" i="5"/>
  <c r="G196" i="5"/>
  <c r="M196" i="5"/>
  <c r="L196" i="5"/>
  <c r="K196" i="5"/>
  <c r="I196" i="5"/>
  <c r="G104" i="5"/>
  <c r="M104" i="5"/>
  <c r="L104" i="5"/>
  <c r="K104" i="5"/>
  <c r="I104" i="5"/>
  <c r="M304" i="5"/>
  <c r="L304" i="5"/>
  <c r="K304" i="5"/>
  <c r="I304" i="5"/>
  <c r="G304" i="5"/>
  <c r="M374" i="5"/>
  <c r="G374" i="5"/>
  <c r="L374" i="5"/>
  <c r="K374" i="5"/>
  <c r="I374" i="5"/>
  <c r="L245" i="5"/>
  <c r="M245" i="5"/>
  <c r="K245" i="5"/>
  <c r="I245" i="5"/>
  <c r="G245" i="5"/>
  <c r="M425" i="5"/>
  <c r="I425" i="5"/>
  <c r="G425" i="5"/>
  <c r="L425" i="5"/>
  <c r="K425" i="5"/>
  <c r="K33" i="5"/>
  <c r="I33" i="5"/>
  <c r="M33" i="5"/>
  <c r="L33" i="5"/>
  <c r="G33" i="5"/>
  <c r="L442" i="5"/>
  <c r="I442" i="5"/>
  <c r="K442" i="5"/>
  <c r="M442" i="5"/>
  <c r="G442" i="5"/>
  <c r="K144" i="5"/>
  <c r="I144" i="5"/>
  <c r="M144" i="5"/>
  <c r="L144" i="5"/>
  <c r="G144" i="5"/>
  <c r="L201" i="5"/>
  <c r="M201" i="5"/>
  <c r="G201" i="5"/>
  <c r="K201" i="5"/>
  <c r="I201" i="5"/>
  <c r="M344" i="5"/>
  <c r="L344" i="5"/>
  <c r="K344" i="5"/>
  <c r="I344" i="5"/>
  <c r="G344" i="5"/>
  <c r="L289" i="5"/>
  <c r="I289" i="5"/>
  <c r="G289" i="5"/>
  <c r="M289" i="5"/>
  <c r="K289" i="5"/>
  <c r="M270" i="5"/>
  <c r="L270" i="5"/>
  <c r="K270" i="5"/>
  <c r="I270" i="5"/>
  <c r="G270" i="5"/>
  <c r="K317" i="5"/>
  <c r="I317" i="5"/>
  <c r="L317" i="5"/>
  <c r="M317" i="5"/>
  <c r="G317" i="5"/>
  <c r="I465" i="5"/>
  <c r="M465" i="5"/>
  <c r="L465" i="5"/>
  <c r="K465" i="5"/>
  <c r="G465" i="5"/>
  <c r="L505" i="5"/>
  <c r="G505" i="5"/>
  <c r="M505" i="5"/>
  <c r="K505" i="5"/>
  <c r="I505" i="5"/>
  <c r="I421" i="5"/>
  <c r="G421" i="5"/>
  <c r="M421" i="5"/>
  <c r="L421" i="5"/>
  <c r="K421" i="5"/>
  <c r="M236" i="5"/>
  <c r="L236" i="5"/>
  <c r="K236" i="5"/>
  <c r="I236" i="5"/>
  <c r="G236" i="5"/>
  <c r="K359" i="5"/>
  <c r="L359" i="5"/>
  <c r="M359" i="5"/>
  <c r="I359" i="5"/>
  <c r="G359" i="5"/>
  <c r="M299" i="5"/>
  <c r="L299" i="5"/>
  <c r="K299" i="5"/>
  <c r="I299" i="5"/>
  <c r="G299" i="5"/>
  <c r="M214" i="5"/>
  <c r="L214" i="5"/>
  <c r="K214" i="5"/>
  <c r="I214" i="5"/>
  <c r="G214" i="5"/>
  <c r="L174" i="5"/>
  <c r="K174" i="5"/>
  <c r="I174" i="5"/>
  <c r="G174" i="5"/>
  <c r="M174" i="5"/>
  <c r="M466" i="5"/>
  <c r="I466" i="5"/>
  <c r="L466" i="5"/>
  <c r="K466" i="5"/>
  <c r="G466" i="5"/>
  <c r="K177" i="5"/>
  <c r="I177" i="5"/>
  <c r="M177" i="5"/>
  <c r="L177" i="5"/>
  <c r="G177" i="5"/>
  <c r="M468" i="5"/>
  <c r="L468" i="5"/>
  <c r="K468" i="5"/>
  <c r="I468" i="5"/>
  <c r="G468" i="5"/>
  <c r="K224" i="5"/>
  <c r="I224" i="5"/>
  <c r="G224" i="5"/>
  <c r="M224" i="5"/>
  <c r="L224" i="5"/>
  <c r="I119" i="5"/>
  <c r="M119" i="5"/>
  <c r="K119" i="5"/>
  <c r="L119" i="5"/>
  <c r="G119" i="5"/>
  <c r="L463" i="5"/>
  <c r="K463" i="5"/>
  <c r="I463" i="5"/>
  <c r="G463" i="5"/>
  <c r="M463" i="5"/>
  <c r="L258" i="5"/>
  <c r="I258" i="5"/>
  <c r="G258" i="5"/>
  <c r="K258" i="5"/>
  <c r="M258" i="5"/>
  <c r="L391" i="5"/>
  <c r="M391" i="5"/>
  <c r="I391" i="5"/>
  <c r="K391" i="5"/>
  <c r="G391" i="5"/>
  <c r="L470" i="5"/>
  <c r="M470" i="5"/>
  <c r="K470" i="5"/>
  <c r="I470" i="5"/>
  <c r="G470" i="5"/>
  <c r="I314" i="5"/>
  <c r="G314" i="5"/>
  <c r="M314" i="5"/>
  <c r="L314" i="5"/>
  <c r="K314" i="5"/>
  <c r="L232" i="5"/>
  <c r="M232" i="5"/>
  <c r="I232" i="5"/>
  <c r="G232" i="5"/>
  <c r="K232" i="5"/>
  <c r="L397" i="5"/>
  <c r="M397" i="5"/>
  <c r="K397" i="5"/>
  <c r="I397" i="5"/>
  <c r="G397" i="5"/>
  <c r="L349" i="5"/>
  <c r="M349" i="5"/>
  <c r="K349" i="5"/>
  <c r="I349" i="5"/>
  <c r="G349" i="5"/>
  <c r="M11" i="5"/>
  <c r="L11" i="5"/>
  <c r="I11" i="5"/>
  <c r="K11" i="5"/>
  <c r="G11" i="5"/>
  <c r="I496" i="5"/>
  <c r="L496" i="5"/>
  <c r="K496" i="5"/>
  <c r="M496" i="5"/>
  <c r="G496" i="5"/>
  <c r="I117" i="5"/>
  <c r="L117" i="5"/>
  <c r="K117" i="5"/>
  <c r="M117" i="5"/>
  <c r="G117" i="5"/>
  <c r="L455" i="5"/>
  <c r="M455" i="5"/>
  <c r="K455" i="5"/>
  <c r="I455" i="5"/>
  <c r="G455" i="5"/>
  <c r="K163" i="5"/>
  <c r="I163" i="5"/>
  <c r="G163" i="5"/>
  <c r="M163" i="5"/>
  <c r="L163" i="5"/>
  <c r="K485" i="5"/>
  <c r="I485" i="5"/>
  <c r="M485" i="5"/>
  <c r="L485" i="5"/>
  <c r="G485" i="5"/>
  <c r="K451" i="5"/>
  <c r="I451" i="5"/>
  <c r="G451" i="5"/>
  <c r="L451" i="5"/>
  <c r="M451" i="5"/>
  <c r="K279" i="5"/>
  <c r="G279" i="5"/>
  <c r="I279" i="5"/>
  <c r="M279" i="5"/>
  <c r="L279" i="5"/>
  <c r="I16" i="5"/>
  <c r="G16" i="5"/>
  <c r="M16" i="5"/>
  <c r="L16" i="5"/>
  <c r="K16" i="5"/>
  <c r="K408" i="5"/>
  <c r="I408" i="5"/>
  <c r="G408" i="5"/>
  <c r="M408" i="5"/>
  <c r="L408" i="5"/>
  <c r="L52" i="5"/>
  <c r="K52" i="5"/>
  <c r="M52" i="5"/>
  <c r="I52" i="5"/>
  <c r="G52" i="5"/>
  <c r="K246" i="5"/>
  <c r="M246" i="5"/>
  <c r="L246" i="5"/>
  <c r="I246" i="5"/>
  <c r="G246" i="5"/>
  <c r="G501" i="5"/>
  <c r="M501" i="5"/>
  <c r="I501" i="5"/>
  <c r="L501" i="5"/>
  <c r="K501" i="5"/>
  <c r="M384" i="5"/>
  <c r="L384" i="5"/>
  <c r="K384" i="5"/>
  <c r="I384" i="5"/>
  <c r="G384" i="5"/>
  <c r="M473" i="5"/>
  <c r="K473" i="5"/>
  <c r="G473" i="5"/>
  <c r="L473" i="5"/>
  <c r="I473" i="5"/>
  <c r="M461" i="5"/>
  <c r="G461" i="5"/>
  <c r="L461" i="5"/>
  <c r="K461" i="5"/>
  <c r="I461" i="5"/>
  <c r="I37" i="5"/>
  <c r="G37" i="5"/>
  <c r="M37" i="5"/>
  <c r="L37" i="5"/>
  <c r="K37" i="5"/>
  <c r="I86" i="5"/>
  <c r="M86" i="5"/>
  <c r="L86" i="5"/>
  <c r="K86" i="5"/>
  <c r="G86" i="5"/>
  <c r="M320" i="5"/>
  <c r="L320" i="5"/>
  <c r="K320" i="5"/>
  <c r="I320" i="5"/>
  <c r="G320" i="5"/>
  <c r="K431" i="5"/>
  <c r="M431" i="5"/>
  <c r="L431" i="5"/>
  <c r="I431" i="5"/>
  <c r="G431" i="5"/>
  <c r="M474" i="5"/>
  <c r="L474" i="5"/>
  <c r="K474" i="5"/>
  <c r="I474" i="5"/>
  <c r="G474" i="5"/>
  <c r="K334" i="5"/>
  <c r="M334" i="5"/>
  <c r="I334" i="5"/>
  <c r="G334" i="5"/>
  <c r="L334" i="5"/>
  <c r="I124" i="5"/>
  <c r="G124" i="5"/>
  <c r="L124" i="5"/>
  <c r="K124" i="5"/>
  <c r="M124" i="5"/>
  <c r="L382" i="5"/>
  <c r="G382" i="5"/>
  <c r="M382" i="5"/>
  <c r="K382" i="5"/>
  <c r="I382" i="5"/>
  <c r="J2" i="5"/>
  <c r="H2" i="5"/>
  <c r="C2" i="5"/>
  <c r="L2" i="5" l="1"/>
  <c r="K2" i="5"/>
  <c r="N2" i="5"/>
  <c r="M2" i="5"/>
  <c r="I2" i="5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8E232-2AAA-4E82-9FDA-BEC1E98BED6B}" keepAlive="1" name="Query - ncbi_dataset tsv" description="Connection to the 'ncbi_dataset tsv' query in the workbook." type="5" refreshedVersion="8" background="1" saveData="1">
    <dbPr connection="Provider=Microsoft.Mashup.OleDb.1;Data Source=$Workbook$;Location=&quot;ncbi_dataset tsv&quot;;Extended Properties=&quot;&quot;" command="SELECT * FROM [ncbi_dataset tsv]"/>
  </connection>
</connections>
</file>

<file path=xl/sharedStrings.xml><?xml version="1.0" encoding="utf-8"?>
<sst xmlns="http://schemas.openxmlformats.org/spreadsheetml/2006/main" count="43914" uniqueCount="17946">
  <si>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</si>
  <si>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</si>
  <si>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</si>
  <si>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</si>
  <si>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</si>
  <si>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</si>
  <si>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</si>
  <si>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</si>
  <si>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</si>
  <si>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</si>
  <si>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</si>
  <si>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</si>
  <si>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</si>
  <si>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NC_003450.3</t>
  </si>
  <si>
    <t>plus</t>
  </si>
  <si>
    <t>chromosomal replication initiator protein DnaA</t>
  </si>
  <si>
    <t>dnaA</t>
  </si>
  <si>
    <t>protein-coding</t>
  </si>
  <si>
    <t>WP_011013309.1</t>
  </si>
  <si>
    <t>CGL_RS00005</t>
  </si>
  <si>
    <t>DNA polymerase III subunit beta</t>
  </si>
  <si>
    <t>dnaN</t>
  </si>
  <si>
    <t>WP_003855336.1</t>
  </si>
  <si>
    <t>CGL_RS00010</t>
  </si>
  <si>
    <t>DNA replication/repair protein RecF</t>
  </si>
  <si>
    <t>recF</t>
  </si>
  <si>
    <t>WP_011013310.1</t>
  </si>
  <si>
    <t>CGL_RS00015</t>
  </si>
  <si>
    <t>DUF721 domain-containing protein</t>
  </si>
  <si>
    <t>WP_003855338.1</t>
  </si>
  <si>
    <t>CGL_RS00020</t>
  </si>
  <si>
    <t>DNA topoisomerase (ATP-hydrolyzing) subunit B</t>
  </si>
  <si>
    <t>gyrB</t>
  </si>
  <si>
    <t>WP_011013311.1</t>
  </si>
  <si>
    <t>CGL_RS00025</t>
  </si>
  <si>
    <t>alpha/beta fold hydrolase</t>
  </si>
  <si>
    <t>WP_011013312.1</t>
  </si>
  <si>
    <t>CGL_RS00030</t>
  </si>
  <si>
    <t>minus</t>
  </si>
  <si>
    <t>YczE/YyaS/YitT family protein</t>
  </si>
  <si>
    <t>WP_003855341.1</t>
  </si>
  <si>
    <t>CGL_RS00035</t>
  </si>
  <si>
    <t>DUF6918 family protein</t>
  </si>
  <si>
    <t>WP_011013314.1</t>
  </si>
  <si>
    <t>CGL_RS00040</t>
  </si>
  <si>
    <t>transcriptional regulator SsuR</t>
  </si>
  <si>
    <t>ssuR</t>
  </si>
  <si>
    <t>WP_011013315.1</t>
  </si>
  <si>
    <t>CGL_RS00045</t>
  </si>
  <si>
    <t>hypothetical protein</t>
  </si>
  <si>
    <t>WP_003855344.1</t>
  </si>
  <si>
    <t>CGL_RS00050</t>
  </si>
  <si>
    <t>WP_003855345.1</t>
  </si>
  <si>
    <t>CGL_RS00055</t>
  </si>
  <si>
    <t>DNA gyrase subunit A</t>
  </si>
  <si>
    <t>gyrA</t>
  </si>
  <si>
    <t>WP_208396445.1</t>
  </si>
  <si>
    <t>CGL_RS00060</t>
  </si>
  <si>
    <t>DUF3566 domain-containing protein</t>
  </si>
  <si>
    <t>WP_003860996.1</t>
  </si>
  <si>
    <t>CGL_RS00065</t>
  </si>
  <si>
    <t>tRNA-Ile</t>
  </si>
  <si>
    <t>tRNA</t>
  </si>
  <si>
    <t>CGL_RS00070</t>
  </si>
  <si>
    <t>tRNA-Ala</t>
  </si>
  <si>
    <t>CGL_RS00075</t>
  </si>
  <si>
    <t>YeiH family protein</t>
  </si>
  <si>
    <t>WP_011265442.1</t>
  </si>
  <si>
    <t>CGL_RS00080</t>
  </si>
  <si>
    <t>LysR family transcriptional regulator</t>
  </si>
  <si>
    <t>WP_011013318.1</t>
  </si>
  <si>
    <t>CGL_RS00085</t>
  </si>
  <si>
    <t>SMI1/KNR4 family protein</t>
  </si>
  <si>
    <t>WP_011013319.1</t>
  </si>
  <si>
    <t>CGL_RS00090</t>
  </si>
  <si>
    <t>cytochrome c biogenesis CcdA family protein</t>
  </si>
  <si>
    <t>WP_011013320.1</t>
  </si>
  <si>
    <t>CGL_RS00095</t>
  </si>
  <si>
    <t>DsbA family protein</t>
  </si>
  <si>
    <t>WP_011265444.1</t>
  </si>
  <si>
    <t>CGL_RS00100</t>
  </si>
  <si>
    <t>BlaI/MecI/CopY family transcriptional regulator</t>
  </si>
  <si>
    <t>WP_011013322.1</t>
  </si>
  <si>
    <t>CGL_RS00105</t>
  </si>
  <si>
    <t>M56 family metallopeptidase</t>
  </si>
  <si>
    <t>WP_011013323.1</t>
  </si>
  <si>
    <t>CGL_RS00110</t>
  </si>
  <si>
    <t>WP_174694926.1</t>
  </si>
  <si>
    <t>CGL_RS00115</t>
  </si>
  <si>
    <t>metallophosphoesterase</t>
  </si>
  <si>
    <t>WP_231838301.1</t>
  </si>
  <si>
    <t>CGL_RS00120</t>
  </si>
  <si>
    <t>5'-nucleotidase C-terminal domain-containing protein</t>
  </si>
  <si>
    <t>WP_011013325.1</t>
  </si>
  <si>
    <t>CGL_RS00125</t>
  </si>
  <si>
    <t>CGL_RS00130</t>
  </si>
  <si>
    <t>WP_011265448.1</t>
  </si>
  <si>
    <t>CGL_RS00135</t>
  </si>
  <si>
    <t>CGL_RS00140</t>
  </si>
  <si>
    <t>CGL_RS00145</t>
  </si>
  <si>
    <t>organic hydroperoxide resistance protein</t>
  </si>
  <si>
    <t>WP_011013326.1</t>
  </si>
  <si>
    <t>CGL_RS00150</t>
  </si>
  <si>
    <t>ATP-binding protein</t>
  </si>
  <si>
    <t>WP_011013327.1</t>
  </si>
  <si>
    <t>CGL_RS00155</t>
  </si>
  <si>
    <t>zinc metallochaperone AztD</t>
  </si>
  <si>
    <t>aztD</t>
  </si>
  <si>
    <t>WP_011013328.1</t>
  </si>
  <si>
    <t>CGL_RS00160</t>
  </si>
  <si>
    <t>metal ABC transporter substrate-binding protein</t>
  </si>
  <si>
    <t>WP_011013329.1</t>
  </si>
  <si>
    <t>CGL_RS00165</t>
  </si>
  <si>
    <t>zinc ABC transporter permease AztB</t>
  </si>
  <si>
    <t>aztB</t>
  </si>
  <si>
    <t>WP_011013330.1</t>
  </si>
  <si>
    <t>CGL_RS00170</t>
  </si>
  <si>
    <t>zinc ABC transporter ATP-binding protein AztA</t>
  </si>
  <si>
    <t>aztA</t>
  </si>
  <si>
    <t>WP_011013331.1</t>
  </si>
  <si>
    <t>CGL_RS00175</t>
  </si>
  <si>
    <t>substrate-binding domain-containing protein</t>
  </si>
  <si>
    <t>WP_011013332.1</t>
  </si>
  <si>
    <t>CGL_RS00180</t>
  </si>
  <si>
    <t>ABC transporter permease</t>
  </si>
  <si>
    <t>WP_003855379.1</t>
  </si>
  <si>
    <t>CGL_RS00185</t>
  </si>
  <si>
    <t>ATP-binding cassette domain-containing protein</t>
  </si>
  <si>
    <t>WP_011013333.1</t>
  </si>
  <si>
    <t>CGL_RS00190</t>
  </si>
  <si>
    <t>WP_011013334.1</t>
  </si>
  <si>
    <t>CGL_RS00195</t>
  </si>
  <si>
    <t>peptidylprolyl isomerase</t>
  </si>
  <si>
    <t>WP_031512456.1</t>
  </si>
  <si>
    <t>CGL_RS00200</t>
  </si>
  <si>
    <t>rhomboid family intramembrane serine protease</t>
  </si>
  <si>
    <t>WP_034983883.1</t>
  </si>
  <si>
    <t>CGL_RS00205</t>
  </si>
  <si>
    <t>helix-turn-helix domain-containing protein</t>
  </si>
  <si>
    <t>WP_231838302.1</t>
  </si>
  <si>
    <t>CGL_RS00210</t>
  </si>
  <si>
    <t>uncharacterized gene</t>
  </si>
  <si>
    <t>pseudogene</t>
  </si>
  <si>
    <t>CGL_RS15565</t>
  </si>
  <si>
    <t>FecCD family ABC transporter permease</t>
  </si>
  <si>
    <t>WP_011013337.1</t>
  </si>
  <si>
    <t>CGL_RS00215</t>
  </si>
  <si>
    <t>ABC transporter ATP-binding protein</t>
  </si>
  <si>
    <t>WP_011013338.1</t>
  </si>
  <si>
    <t>CGL_RS00220</t>
  </si>
  <si>
    <t>siderophore-interacting protein</t>
  </si>
  <si>
    <t>WP_011013339.1</t>
  </si>
  <si>
    <t>CGL_RS00225</t>
  </si>
  <si>
    <t>cell division protein CrgA</t>
  </si>
  <si>
    <t>crgA</t>
  </si>
  <si>
    <t>WP_003861074.1</t>
  </si>
  <si>
    <t>CGL_RS00230</t>
  </si>
  <si>
    <t>Stk1 family PASTA domain-containing Ser/Thr kinase</t>
  </si>
  <si>
    <t>pknB</t>
  </si>
  <si>
    <t>WP_011013340.1</t>
  </si>
  <si>
    <t>CGL_RS00235</t>
  </si>
  <si>
    <t>serine/threonine-protein kinase</t>
  </si>
  <si>
    <t>WP_011013341.1</t>
  </si>
  <si>
    <t>CGL_RS00240</t>
  </si>
  <si>
    <t>penicillin-binding transpeptidase domain-containing protein</t>
  </si>
  <si>
    <t>WP_011013342.1</t>
  </si>
  <si>
    <t>CGL_RS00245</t>
  </si>
  <si>
    <t>FtsW/RodA/SpoVE family cell cycle protein</t>
  </si>
  <si>
    <t>WP_011013343.1</t>
  </si>
  <si>
    <t>CGL_RS00250</t>
  </si>
  <si>
    <t>PP2C family protein-serine/threonine phosphatase</t>
  </si>
  <si>
    <t>WP_011013344.1</t>
  </si>
  <si>
    <t>CGL_RS00255</t>
  </si>
  <si>
    <t>FHA domain-containing protein FhaB/FipA</t>
  </si>
  <si>
    <t>WP_003861086.1</t>
  </si>
  <si>
    <t>CGL_RS00260</t>
  </si>
  <si>
    <t>DUF3662 and FHA domain-containing protein</t>
  </si>
  <si>
    <t>WP_011265452.1</t>
  </si>
  <si>
    <t>CGL_RS00265</t>
  </si>
  <si>
    <t>tRNA-Leu</t>
  </si>
  <si>
    <t>CGL_RS00270</t>
  </si>
  <si>
    <t>WP_011013346.1</t>
  </si>
  <si>
    <t>CGL_RS15570</t>
  </si>
  <si>
    <t>WP_011013347.1</t>
  </si>
  <si>
    <t>CGL_RS00280</t>
  </si>
  <si>
    <t>NAD-dependent succinate-semialdehyde dehydrogenase</t>
  </si>
  <si>
    <t>WP_011013348.1</t>
  </si>
  <si>
    <t>CGL_RS00285</t>
  </si>
  <si>
    <t>phenol 2-monooxygenase</t>
  </si>
  <si>
    <t>WP_208400605.1</t>
  </si>
  <si>
    <t>CGL_RS00290</t>
  </si>
  <si>
    <t>MBL fold metallo-hydrolase</t>
  </si>
  <si>
    <t>WP_011013350.1</t>
  </si>
  <si>
    <t>CGL_RS00295</t>
  </si>
  <si>
    <t>sulfite exporter TauE/SafE family protein</t>
  </si>
  <si>
    <t>WP_011013351.1</t>
  </si>
  <si>
    <t>CGL_RS00300</t>
  </si>
  <si>
    <t>rhodanese-like domain-containing protein</t>
  </si>
  <si>
    <t>WP_011013352.1</t>
  </si>
  <si>
    <t>CGL_RS00305</t>
  </si>
  <si>
    <t>WP_011013353.1</t>
  </si>
  <si>
    <t>CGL_RS00310</t>
  </si>
  <si>
    <t>metal-sensitive transcriptional regulator</t>
  </si>
  <si>
    <t>WP_011013354.1</t>
  </si>
  <si>
    <t>CGL_RS00315</t>
  </si>
  <si>
    <t>WP_011013355.1</t>
  </si>
  <si>
    <t>CGL_RS00320</t>
  </si>
  <si>
    <t>polyphosphate polymerase domain-containing protein</t>
  </si>
  <si>
    <t>WP_011013356.1</t>
  </si>
  <si>
    <t>CGL_RS00325</t>
  </si>
  <si>
    <t>DUF4956 domain-containing protein</t>
  </si>
  <si>
    <t>WP_003855408.1</t>
  </si>
  <si>
    <t>CGL_RS00330</t>
  </si>
  <si>
    <t>CotH kinase family protein</t>
  </si>
  <si>
    <t>WP_011265453.1</t>
  </si>
  <si>
    <t>CGL_RS00335</t>
  </si>
  <si>
    <t>magnesium and cobalt transport protein CorA</t>
  </si>
  <si>
    <t>WP_011013358.1</t>
  </si>
  <si>
    <t>CGL_RS00340</t>
  </si>
  <si>
    <t>tautomerase family protein</t>
  </si>
  <si>
    <t>WP_003855411.1</t>
  </si>
  <si>
    <t>CGL_RS00345</t>
  </si>
  <si>
    <t>chloride channel protein</t>
  </si>
  <si>
    <t>WP_172820766.1</t>
  </si>
  <si>
    <t>CGL_RS00350</t>
  </si>
  <si>
    <t>nicotinamide riboside transporter PnuC</t>
  </si>
  <si>
    <t>pnuC</t>
  </si>
  <si>
    <t>WP_011013360.1</t>
  </si>
  <si>
    <t>CGL_RS00355</t>
  </si>
  <si>
    <t>PhoH family protein</t>
  </si>
  <si>
    <t>WP_011013361.1</t>
  </si>
  <si>
    <t>CGL_RS00360</t>
  </si>
  <si>
    <t>WP_011013362.1</t>
  </si>
  <si>
    <t>CGL_RS00365</t>
  </si>
  <si>
    <t>CitMHS family transporter</t>
  </si>
  <si>
    <t>WP_011265455.1</t>
  </si>
  <si>
    <t>CGL_RS00370</t>
  </si>
  <si>
    <t>sensor histidine kinase</t>
  </si>
  <si>
    <t>WP_011013364.1</t>
  </si>
  <si>
    <t>CGL_RS00375</t>
  </si>
  <si>
    <t>response regulator</t>
  </si>
  <si>
    <t>WP_003855418.1</t>
  </si>
  <si>
    <t>CGL_RS00380</t>
  </si>
  <si>
    <t>D-isomer specific 2-hydroxyacid dehydrogenase family protein</t>
  </si>
  <si>
    <t>WP_003861134.1</t>
  </si>
  <si>
    <t>CGL_RS00385</t>
  </si>
  <si>
    <t>WP_011013365.1</t>
  </si>
  <si>
    <t>CGL_RS00390</t>
  </si>
  <si>
    <t>biotin synthase BioB</t>
  </si>
  <si>
    <t>bioB</t>
  </si>
  <si>
    <t>WP_003861135.1</t>
  </si>
  <si>
    <t>CGL_RS00395</t>
  </si>
  <si>
    <t>WP_011013366.1</t>
  </si>
  <si>
    <t>CGL_RS00400</t>
  </si>
  <si>
    <t>CHY zinc finger protein</t>
  </si>
  <si>
    <t>WP_011265456.1</t>
  </si>
  <si>
    <t>CGL_RS00405</t>
  </si>
  <si>
    <t>16S ribosomal RNA</t>
  </si>
  <si>
    <t>rRNA</t>
  </si>
  <si>
    <t>CGL_RS00410</t>
  </si>
  <si>
    <t>23S ribosomal RNA</t>
  </si>
  <si>
    <t>CGL_RS00415</t>
  </si>
  <si>
    <t>5S ribosomal RNA</t>
  </si>
  <si>
    <t>rrf</t>
  </si>
  <si>
    <t>CGL_RS00420</t>
  </si>
  <si>
    <t>MFS transporter</t>
  </si>
  <si>
    <t>WP_011013368.1</t>
  </si>
  <si>
    <t>CGL_RS00425</t>
  </si>
  <si>
    <t>amidohydrolase family protein</t>
  </si>
  <si>
    <t>WP_011013369.1</t>
  </si>
  <si>
    <t>CGL_RS00430</t>
  </si>
  <si>
    <t>WP_227747736.1</t>
  </si>
  <si>
    <t>CGL_RS00435</t>
  </si>
  <si>
    <t>WP_011013371.1</t>
  </si>
  <si>
    <t>CGL_RS00440</t>
  </si>
  <si>
    <t>Sir2 family NAD-dependent protein deacetylase</t>
  </si>
  <si>
    <t>WP_162467700.1</t>
  </si>
  <si>
    <t>CGL_RS00445</t>
  </si>
  <si>
    <t>esterase/lipase family protein</t>
  </si>
  <si>
    <t>WP_011013373.1</t>
  </si>
  <si>
    <t>CGL_RS00450</t>
  </si>
  <si>
    <t>WP_011013374.1</t>
  </si>
  <si>
    <t>CGL_RS00455</t>
  </si>
  <si>
    <t>WP_011013375.1</t>
  </si>
  <si>
    <t>CGL_RS00460</t>
  </si>
  <si>
    <t>MarR family winged helix-turn-helix transcriptional regulator</t>
  </si>
  <si>
    <t>WP_011013376.1</t>
  </si>
  <si>
    <t>CGL_RS00465</t>
  </si>
  <si>
    <t>urease subunit gamma</t>
  </si>
  <si>
    <t>WP_003857708.1</t>
  </si>
  <si>
    <t>CGL_RS00470</t>
  </si>
  <si>
    <t>urease subunit beta</t>
  </si>
  <si>
    <t>WP_011013377.1</t>
  </si>
  <si>
    <t>CGL_RS00475</t>
  </si>
  <si>
    <t>urease subunit alpha</t>
  </si>
  <si>
    <t>ureC</t>
  </si>
  <si>
    <t>WP_011013378.1</t>
  </si>
  <si>
    <t>CGL_RS00480</t>
  </si>
  <si>
    <t>urease accessory protein UreE</t>
  </si>
  <si>
    <t>ureE</t>
  </si>
  <si>
    <t>WP_011013379.1</t>
  </si>
  <si>
    <t>CGL_RS00485</t>
  </si>
  <si>
    <t>urease accessory protein UreF</t>
  </si>
  <si>
    <t>WP_011013380.1</t>
  </si>
  <si>
    <t>CGL_RS00490</t>
  </si>
  <si>
    <t>urease accessory protein UreG</t>
  </si>
  <si>
    <t>ureG</t>
  </si>
  <si>
    <t>WP_003857703.1</t>
  </si>
  <si>
    <t>CGL_RS00495</t>
  </si>
  <si>
    <t>urease accessory protein UreD</t>
  </si>
  <si>
    <t>WP_011013381.1</t>
  </si>
  <si>
    <t>CGL_RS00500</t>
  </si>
  <si>
    <t>WP_041625295.1</t>
  </si>
  <si>
    <t>CGL_RS00505</t>
  </si>
  <si>
    <t>WP_011013383.1</t>
  </si>
  <si>
    <t>CGL_RS00510</t>
  </si>
  <si>
    <t>WP_011013384.1</t>
  </si>
  <si>
    <t>CGL_RS00515</t>
  </si>
  <si>
    <t>HSP90 family protein</t>
  </si>
  <si>
    <t>WP_011013385.1</t>
  </si>
  <si>
    <t>CGL_RS00520</t>
  </si>
  <si>
    <t>AMP nucleosidase</t>
  </si>
  <si>
    <t>amn</t>
  </si>
  <si>
    <t>WP_011013386.1</t>
  </si>
  <si>
    <t>CGL_RS00525</t>
  </si>
  <si>
    <t>WP_306556812.1</t>
  </si>
  <si>
    <t>CGL_RS00530</t>
  </si>
  <si>
    <t>thiamine pyrophosphate-binding protein</t>
  </si>
  <si>
    <t>WP_011013388.1</t>
  </si>
  <si>
    <t>CGL_RS00535</t>
  </si>
  <si>
    <t>PepSY domain-containing protein</t>
  </si>
  <si>
    <t>WP_011013389.1</t>
  </si>
  <si>
    <t>CGL_RS00540</t>
  </si>
  <si>
    <t>bifunctional proline dehydrogenase/L-glutamate gamma-semialdehyde dehydrogenase</t>
  </si>
  <si>
    <t>WP_172820765.1</t>
  </si>
  <si>
    <t>CGL_RS00545</t>
  </si>
  <si>
    <t>aldo/keto reductase</t>
  </si>
  <si>
    <t>WP_003858893.1</t>
  </si>
  <si>
    <t>CGL_RS00550</t>
  </si>
  <si>
    <t>AbgT family transporter</t>
  </si>
  <si>
    <t>WP_011013391.1</t>
  </si>
  <si>
    <t>CGL_RS00555</t>
  </si>
  <si>
    <t>M20 family metallopeptidase</t>
  </si>
  <si>
    <t>WP_011013392.1</t>
  </si>
  <si>
    <t>CGL_RS00560</t>
  </si>
  <si>
    <t>YidH family protein</t>
  </si>
  <si>
    <t>WP_003857248.1</t>
  </si>
  <si>
    <t>CGL_RS00565</t>
  </si>
  <si>
    <t>DUF202 domain-containing protein</t>
  </si>
  <si>
    <t>WP_003857246.1</t>
  </si>
  <si>
    <t>CGL_RS00570</t>
  </si>
  <si>
    <t>WP_227747737.1</t>
  </si>
  <si>
    <t>CGL_RS00575</t>
  </si>
  <si>
    <t>DeoR/GlpR family DNA-binding transcription regulator</t>
  </si>
  <si>
    <t>WP_011013394.1</t>
  </si>
  <si>
    <t>CGL_RS00580</t>
  </si>
  <si>
    <t>VOC family protein</t>
  </si>
  <si>
    <t>WP_003863690.1</t>
  </si>
  <si>
    <t>CGL_RS00585</t>
  </si>
  <si>
    <t>SixA phosphatase family protein</t>
  </si>
  <si>
    <t>WP_011013395.1</t>
  </si>
  <si>
    <t>CGL_RS00590</t>
  </si>
  <si>
    <t>mannitol dehydrogenase family protein</t>
  </si>
  <si>
    <t>WP_011013396.1</t>
  </si>
  <si>
    <t>CGL_RS00595</t>
  </si>
  <si>
    <t>RbtT/DalT/CsbX family MFS transporter</t>
  </si>
  <si>
    <t>WP_003857230.1</t>
  </si>
  <si>
    <t>CGL_RS00600</t>
  </si>
  <si>
    <t>WP_011013397.1</t>
  </si>
  <si>
    <t>CGL_RS00605</t>
  </si>
  <si>
    <t>xylulokinase</t>
  </si>
  <si>
    <t>xylB</t>
  </si>
  <si>
    <t>WP_011013398.1</t>
  </si>
  <si>
    <t>CGL_RS00610</t>
  </si>
  <si>
    <t>pantoate--beta-alanine ligase</t>
  </si>
  <si>
    <t>panC</t>
  </si>
  <si>
    <t>WP_011013399.1</t>
  </si>
  <si>
    <t>CGL_RS00615</t>
  </si>
  <si>
    <t>3-methyl-2-oxobutanoate hydroxymethyltransferase</t>
  </si>
  <si>
    <t>panB</t>
  </si>
  <si>
    <t>WP_011013400.1</t>
  </si>
  <si>
    <t>CGL_RS00620</t>
  </si>
  <si>
    <t>Fic family protein</t>
  </si>
  <si>
    <t>WP_011265465.1</t>
  </si>
  <si>
    <t>CGL_RS00625</t>
  </si>
  <si>
    <t>DNA-3-methyladenine glycosylase</t>
  </si>
  <si>
    <t>WP_011265466.1</t>
  </si>
  <si>
    <t>CGL_RS00630</t>
  </si>
  <si>
    <t>DUF1801 domain-containing protein</t>
  </si>
  <si>
    <t>WP_011013403.1</t>
  </si>
  <si>
    <t>CGL_RS00635</t>
  </si>
  <si>
    <t>alpha/beta hydrolase</t>
  </si>
  <si>
    <t>WP_011013404.1</t>
  </si>
  <si>
    <t>CGL_RS00640</t>
  </si>
  <si>
    <t>HAD family hydrolase</t>
  </si>
  <si>
    <t>WP_011013405.1</t>
  </si>
  <si>
    <t>CGL_RS00645</t>
  </si>
  <si>
    <t>gamma carbonic anhydrase family protein</t>
  </si>
  <si>
    <t>WP_011013406.1</t>
  </si>
  <si>
    <t>CGL_RS00650</t>
  </si>
  <si>
    <t>winged helix-turn-helix domain-containing protein</t>
  </si>
  <si>
    <t>WP_006283847.1</t>
  </si>
  <si>
    <t>CGL_RS00655</t>
  </si>
  <si>
    <t>WP_011013408.1</t>
  </si>
  <si>
    <t>CGL_RS00660</t>
  </si>
  <si>
    <t>WP_227747738.1</t>
  </si>
  <si>
    <t>CGL_RS00665</t>
  </si>
  <si>
    <t>WP_020948494.1</t>
  </si>
  <si>
    <t>CGL_RS00670</t>
  </si>
  <si>
    <t>membrane protein</t>
  </si>
  <si>
    <t>WP_011265468.1</t>
  </si>
  <si>
    <t>CGL_RS00675</t>
  </si>
  <si>
    <t>WP_011013412.1</t>
  </si>
  <si>
    <t>CGL_RS00680</t>
  </si>
  <si>
    <t>glycosyltransferase</t>
  </si>
  <si>
    <t>WP_011265469.1</t>
  </si>
  <si>
    <t>CGL_RS00685</t>
  </si>
  <si>
    <t>ArnT family glycosyltransferase</t>
  </si>
  <si>
    <t>WP_011265470.1</t>
  </si>
  <si>
    <t>CGL_RS00690</t>
  </si>
  <si>
    <t>ankyrin repeat domain-containing protein</t>
  </si>
  <si>
    <t>WP_011013415.1</t>
  </si>
  <si>
    <t>CGL_RS00695</t>
  </si>
  <si>
    <t>WP_003857192.1</t>
  </si>
  <si>
    <t>CGL_RS00700</t>
  </si>
  <si>
    <t>EamA family transporter</t>
  </si>
  <si>
    <t>WP_011013416.1</t>
  </si>
  <si>
    <t>CGL_RS00705</t>
  </si>
  <si>
    <t>trimeric intracellular cation channel family protein</t>
  </si>
  <si>
    <t>WP_011013417.1</t>
  </si>
  <si>
    <t>CGL_RS00710</t>
  </si>
  <si>
    <t>META domain-containing protein</t>
  </si>
  <si>
    <t>WP_003863712.1</t>
  </si>
  <si>
    <t>CGL_RS00715</t>
  </si>
  <si>
    <t>aspartate 1-decarboxylase</t>
  </si>
  <si>
    <t>panD</t>
  </si>
  <si>
    <t>WP_003857183.1</t>
  </si>
  <si>
    <t>CGL_RS00720</t>
  </si>
  <si>
    <t>DUF885 domain-containing protein</t>
  </si>
  <si>
    <t>WP_011013418.1</t>
  </si>
  <si>
    <t>CGL_RS00725</t>
  </si>
  <si>
    <t>AbrB family transcriptional regulator</t>
  </si>
  <si>
    <t>WP_011013419.1</t>
  </si>
  <si>
    <t>CGL_RS00730</t>
  </si>
  <si>
    <t>WP_011013420.1</t>
  </si>
  <si>
    <t>CGL_RS00735</t>
  </si>
  <si>
    <t>TSUP family transporter</t>
  </si>
  <si>
    <t>WP_003863714.1</t>
  </si>
  <si>
    <t>CGL_RS00740</t>
  </si>
  <si>
    <t>WP_011265472.1</t>
  </si>
  <si>
    <t>CGL_RS00745</t>
  </si>
  <si>
    <t>ATP-dependent RNA helicase</t>
  </si>
  <si>
    <t>WP_011013422.1</t>
  </si>
  <si>
    <t>CGL_RS00750</t>
  </si>
  <si>
    <t>sugar O-acetyltransferase</t>
  </si>
  <si>
    <t>WP_020948495.1</t>
  </si>
  <si>
    <t>CGL_RS00755</t>
  </si>
  <si>
    <t>alpha-ketoglutarate-dependent dioxygenase AlkB family protein</t>
  </si>
  <si>
    <t>WP_011013424.1</t>
  </si>
  <si>
    <t>CGL_RS00760</t>
  </si>
  <si>
    <t>DNA-3-methyladenine glycosylase I</t>
  </si>
  <si>
    <t>WP_227747739.1</t>
  </si>
  <si>
    <t>CGL_RS00765</t>
  </si>
  <si>
    <t>LysE family translocator</t>
  </si>
  <si>
    <t>WP_011013426.1</t>
  </si>
  <si>
    <t>CGL_RS00770</t>
  </si>
  <si>
    <t>RNA-binding S4 domain-containing protein</t>
  </si>
  <si>
    <t>WP_003857164.1</t>
  </si>
  <si>
    <t>CGL_RS00775</t>
  </si>
  <si>
    <t>WP_003857162.1</t>
  </si>
  <si>
    <t>CGL_RS00780</t>
  </si>
  <si>
    <t>MGMT family protein</t>
  </si>
  <si>
    <t>WP_003863721.1</t>
  </si>
  <si>
    <t>CGL_RS00785</t>
  </si>
  <si>
    <t>WP_011013427.1</t>
  </si>
  <si>
    <t>CGL_RS00790</t>
  </si>
  <si>
    <t>WP_011013428.1</t>
  </si>
  <si>
    <t>CGL_RS00795</t>
  </si>
  <si>
    <t>RidA family protein</t>
  </si>
  <si>
    <t>WP_011265478.1</t>
  </si>
  <si>
    <t>CGL_RS00800</t>
  </si>
  <si>
    <t>CG0192 family protein</t>
  </si>
  <si>
    <t>WP_003863725.1</t>
  </si>
  <si>
    <t>CGL_RS00805</t>
  </si>
  <si>
    <t>M13 family metallopeptidase</t>
  </si>
  <si>
    <t>WP_011013430.1</t>
  </si>
  <si>
    <t>CGL_RS00810</t>
  </si>
  <si>
    <t>WP_011013431.1</t>
  </si>
  <si>
    <t>CGL_RS00815</t>
  </si>
  <si>
    <t>PrsW family intramembrane metalloprotease</t>
  </si>
  <si>
    <t>WP_011013432.1</t>
  </si>
  <si>
    <t>CGL_RS00820</t>
  </si>
  <si>
    <t>GntR family transcriptional regulator IolR</t>
  </si>
  <si>
    <t>iolR</t>
  </si>
  <si>
    <t>WP_003857140.1</t>
  </si>
  <si>
    <t>CGL_RS00825</t>
  </si>
  <si>
    <t>5-dehydro-2-deoxygluconokinase</t>
  </si>
  <si>
    <t>iolC</t>
  </si>
  <si>
    <t>WP_003857138.1</t>
  </si>
  <si>
    <t>CGL_RS00830</t>
  </si>
  <si>
    <t>class I fructose-bisphosphate aldolase</t>
  </si>
  <si>
    <t>WP_003857137.1</t>
  </si>
  <si>
    <t>CGL_RS00835</t>
  </si>
  <si>
    <t>CoA-acylating methylmalonate-semialdehyde dehydrogenase</t>
  </si>
  <si>
    <t>WP_011013433.1</t>
  </si>
  <si>
    <t>CGL_RS00840</t>
  </si>
  <si>
    <t>5-deoxy-glucuronate isomerase</t>
  </si>
  <si>
    <t>iolB</t>
  </si>
  <si>
    <t>WP_003862468.1</t>
  </si>
  <si>
    <t>CGL_RS00845</t>
  </si>
  <si>
    <t>3D-(3,5/4)-trihydroxycyclohexane-1,2-dione acylhydrolase (decyclizing)</t>
  </si>
  <si>
    <t>iolD</t>
  </si>
  <si>
    <t>WP_011013434.1</t>
  </si>
  <si>
    <t>CGL_RS00850</t>
  </si>
  <si>
    <t>sugar phosphate isomerase/epimerase family protein</t>
  </si>
  <si>
    <t>WP_011013435.1</t>
  </si>
  <si>
    <t>CGL_RS00855</t>
  </si>
  <si>
    <t>Gfo/Idh/MocA family protein</t>
  </si>
  <si>
    <t>WP_011013436.1</t>
  </si>
  <si>
    <t>CGL_RS00860</t>
  </si>
  <si>
    <t>WP_011013437.1</t>
  </si>
  <si>
    <t>CGL_RS00865</t>
  </si>
  <si>
    <t>WP_041625642.1</t>
  </si>
  <si>
    <t>CGL_RS00870</t>
  </si>
  <si>
    <t>Gfo/Idh/MocA family oxidoreductase</t>
  </si>
  <si>
    <t>WP_011013439.1</t>
  </si>
  <si>
    <t>CGL_RS00875</t>
  </si>
  <si>
    <t>prevent-host-death protein</t>
  </si>
  <si>
    <t>WP_011013440.1</t>
  </si>
  <si>
    <t>CGL_RS00880</t>
  </si>
  <si>
    <t>WP_011265482.1</t>
  </si>
  <si>
    <t>CGL_RS00885</t>
  </si>
  <si>
    <t>LacI family DNA-binding transcriptional regulator</t>
  </si>
  <si>
    <t>WP_011013442.1</t>
  </si>
  <si>
    <t>CGL_RS00890</t>
  </si>
  <si>
    <t>WP_011013443.1</t>
  </si>
  <si>
    <t>CGL_RS00895</t>
  </si>
  <si>
    <t>WP_011013444.1</t>
  </si>
  <si>
    <t>CGL_RS00900</t>
  </si>
  <si>
    <t>WP_011013445.1</t>
  </si>
  <si>
    <t>CGL_RS00905</t>
  </si>
  <si>
    <t>cold-shock protein</t>
  </si>
  <si>
    <t>WP_003862487.1</t>
  </si>
  <si>
    <t>CGL_RS00910</t>
  </si>
  <si>
    <t>WP_003862490.1</t>
  </si>
  <si>
    <t>CGL_RS00920</t>
  </si>
  <si>
    <t>O-methyltransferase</t>
  </si>
  <si>
    <t>WP_011013446.1</t>
  </si>
  <si>
    <t>CGL_RS00925</t>
  </si>
  <si>
    <t>GNAT family N-acetyltransferase</t>
  </si>
  <si>
    <t>WP_011013447.1</t>
  </si>
  <si>
    <t>CGL_RS00930</t>
  </si>
  <si>
    <t>WP_011013448.1</t>
  </si>
  <si>
    <t>CGL_RS00935</t>
  </si>
  <si>
    <t>WP_011013449.1</t>
  </si>
  <si>
    <t>CGL_RS00940</t>
  </si>
  <si>
    <t>sugar porter family MFS transporter</t>
  </si>
  <si>
    <t>WP_011013450.1</t>
  </si>
  <si>
    <t>CGL_RS00945</t>
  </si>
  <si>
    <t>IS30-like element ISCg2 family transposase</t>
  </si>
  <si>
    <t>WP_011015431.1</t>
  </si>
  <si>
    <t>CGL_RS00950</t>
  </si>
  <si>
    <t>PAS domain-containing protein</t>
  </si>
  <si>
    <t>WP_011013452.1</t>
  </si>
  <si>
    <t>CGL_RS00955</t>
  </si>
  <si>
    <t>glutamate synthase large subunit</t>
  </si>
  <si>
    <t>gltB</t>
  </si>
  <si>
    <t>WP_011013453.1</t>
  </si>
  <si>
    <t>CGL_RS00960</t>
  </si>
  <si>
    <t>glutamate synthase subunit beta</t>
  </si>
  <si>
    <t>WP_011013454.1</t>
  </si>
  <si>
    <t>CGL_RS00965</t>
  </si>
  <si>
    <t>glutamate-cysteine ligase family protein</t>
  </si>
  <si>
    <t>WP_011265489.1</t>
  </si>
  <si>
    <t>CGL_RS00970</t>
  </si>
  <si>
    <t>arabinosyltransferase domain-containing protein</t>
  </si>
  <si>
    <t>WP_011013456.1</t>
  </si>
  <si>
    <t>CGL_RS00975</t>
  </si>
  <si>
    <t>galactan 5-O-arabinofuranosyltransferase</t>
  </si>
  <si>
    <t>WP_011013457.1</t>
  </si>
  <si>
    <t>CGL_RS00980</t>
  </si>
  <si>
    <t>decaprenylphospho-beta-D-erythro-pentofuranosid-2-ulose 2-reductase</t>
  </si>
  <si>
    <t>WP_011013458.1</t>
  </si>
  <si>
    <t>CGL_RS00985</t>
  </si>
  <si>
    <t>FAD-binding oxidoreductase</t>
  </si>
  <si>
    <t>WP_003863441.1</t>
  </si>
  <si>
    <t>CGL_RS00990</t>
  </si>
  <si>
    <t>WP_003857667.1</t>
  </si>
  <si>
    <t>CGL_RS00995</t>
  </si>
  <si>
    <t>WP_003863438.1</t>
  </si>
  <si>
    <t>CGL_RS01000</t>
  </si>
  <si>
    <t>WP_011013460.1</t>
  </si>
  <si>
    <t>CGL_RS01005</t>
  </si>
  <si>
    <t>WP_011013461.1</t>
  </si>
  <si>
    <t>CGL_RS01010</t>
  </si>
  <si>
    <t>GtrA family protein</t>
  </si>
  <si>
    <t>WP_011013462.1</t>
  </si>
  <si>
    <t>CGL_RS01015</t>
  </si>
  <si>
    <t>WP_011013463.1</t>
  </si>
  <si>
    <t>CGL_RS01020</t>
  </si>
  <si>
    <t>MOSC domain-containing protein</t>
  </si>
  <si>
    <t>WP_003857654.1</t>
  </si>
  <si>
    <t>CGL_RS01025</t>
  </si>
  <si>
    <t>galactofuranosyltransferase GlfT1</t>
  </si>
  <si>
    <t>WP_011265494.1</t>
  </si>
  <si>
    <t>CGL_RS01030</t>
  </si>
  <si>
    <t>WP_011013465.1</t>
  </si>
  <si>
    <t>CGL_RS01035</t>
  </si>
  <si>
    <t>galactan export ABC transporter ATP-binding subunit Wzt/RfbE</t>
  </si>
  <si>
    <t>WP_011013466.1</t>
  </si>
  <si>
    <t>CGL_RS01040</t>
  </si>
  <si>
    <t>galactan export ABC transporter permease subunit Wzm/RfbD</t>
  </si>
  <si>
    <t>WP_011265495.1</t>
  </si>
  <si>
    <t>CGL_RS01045</t>
  </si>
  <si>
    <t>aminotransferase class V-fold PLP-dependent enzyme</t>
  </si>
  <si>
    <t>WP_020948496.1</t>
  </si>
  <si>
    <t>CGL_RS01050</t>
  </si>
  <si>
    <t>NAD(P)H-quinone oxidoreductase</t>
  </si>
  <si>
    <t>WP_011265496.1</t>
  </si>
  <si>
    <t>CGL_RS01055</t>
  </si>
  <si>
    <t>WP_011013470.1</t>
  </si>
  <si>
    <t>CGL_RS01060</t>
  </si>
  <si>
    <t>tRNA-Ser</t>
  </si>
  <si>
    <t>CGL_RS01065</t>
  </si>
  <si>
    <t>2Fe-2S iron-sulfur cluster-binding protein</t>
  </si>
  <si>
    <t>WP_003857637.1</t>
  </si>
  <si>
    <t>CGL_RS01070</t>
  </si>
  <si>
    <t>alanine/glycine:cation symporter family protein</t>
  </si>
  <si>
    <t>WP_003863416.1</t>
  </si>
  <si>
    <t>CGL_RS01075</t>
  </si>
  <si>
    <t>type IV toxin-antitoxin system AbiEi family antitoxin domain-containing protein</t>
  </si>
  <si>
    <t>WP_011013471.1</t>
  </si>
  <si>
    <t>CGL_RS01085</t>
  </si>
  <si>
    <t>ThiF family adenylyltransferase</t>
  </si>
  <si>
    <t>WP_011013472.1</t>
  </si>
  <si>
    <t>CGL_RS01090</t>
  </si>
  <si>
    <t>molybdenum cofactor biosynthesis protein MoaE</t>
  </si>
  <si>
    <t>WP_011013473.1</t>
  </si>
  <si>
    <t>CGL_RS01095</t>
  </si>
  <si>
    <t>MogA/MoaB family molybdenum cofactor biosynthesis protein</t>
  </si>
  <si>
    <t>WP_011013474.1</t>
  </si>
  <si>
    <t>CGL_RS01100</t>
  </si>
  <si>
    <t>cyclic pyranopterin monophosphate synthase MoaC</t>
  </si>
  <si>
    <t>moaC</t>
  </si>
  <si>
    <t>WP_011013475.1</t>
  </si>
  <si>
    <t>CGL_RS01105</t>
  </si>
  <si>
    <t>molybdopterin molybdotransferase MoeA</t>
  </si>
  <si>
    <t>WP_011013476.1</t>
  </si>
  <si>
    <t>CGL_RS01110</t>
  </si>
  <si>
    <t>molybdate ABC transporter permease subunit</t>
  </si>
  <si>
    <t>WP_011013477.1</t>
  </si>
  <si>
    <t>CGL_RS01115</t>
  </si>
  <si>
    <t>molybdate ABC transporter substrate-binding protein</t>
  </si>
  <si>
    <t>modA</t>
  </si>
  <si>
    <t>WP_011013478.1</t>
  </si>
  <si>
    <t>CGL_RS01120</t>
  </si>
  <si>
    <t>MoaD/ThiS family protein</t>
  </si>
  <si>
    <t>WP_003863405.1</t>
  </si>
  <si>
    <t>CGL_RS01125</t>
  </si>
  <si>
    <t>WP_011013479.1</t>
  </si>
  <si>
    <t>CGL_RS01130</t>
  </si>
  <si>
    <t>phage holin family protein</t>
  </si>
  <si>
    <t>WP_011013480.1</t>
  </si>
  <si>
    <t>CGL_RS01135</t>
  </si>
  <si>
    <t>histidinol-phosphate transaminase</t>
  </si>
  <si>
    <t>hisC</t>
  </si>
  <si>
    <t>WP_011013481.1</t>
  </si>
  <si>
    <t>CGL_RS01140</t>
  </si>
  <si>
    <t>CGL_RS01145</t>
  </si>
  <si>
    <t>tRNA-Arg</t>
  </si>
  <si>
    <t>CGL_RS01150</t>
  </si>
  <si>
    <t>DUF3800 domain-containing protein</t>
  </si>
  <si>
    <t>WP_011013482.1</t>
  </si>
  <si>
    <t>CGL_RS01155</t>
  </si>
  <si>
    <t>WP_011013483.1</t>
  </si>
  <si>
    <t>CGL_RS01160</t>
  </si>
  <si>
    <t>WP_011013484.1</t>
  </si>
  <si>
    <t>CGL_RS01165</t>
  </si>
  <si>
    <t>alcohol dehydrogenase</t>
  </si>
  <si>
    <t>WP_011013485.1</t>
  </si>
  <si>
    <t>CGL_RS01170</t>
  </si>
  <si>
    <t>flavin monoamine oxidase family protein</t>
  </si>
  <si>
    <t>WP_011013486.1</t>
  </si>
  <si>
    <t>CGL_RS01175</t>
  </si>
  <si>
    <t>magnesium transporter</t>
  </si>
  <si>
    <t>mgtE</t>
  </si>
  <si>
    <t>WP_003863396.1</t>
  </si>
  <si>
    <t>CGL_RS01180</t>
  </si>
  <si>
    <t>SLC13 family permease</t>
  </si>
  <si>
    <t>WP_006285466.1</t>
  </si>
  <si>
    <t>CGL_RS01185</t>
  </si>
  <si>
    <t>CGL_RS01190</t>
  </si>
  <si>
    <t>prephenate dehydrogenase</t>
  </si>
  <si>
    <t>WP_011013487.1</t>
  </si>
  <si>
    <t>CGL_RS01195</t>
  </si>
  <si>
    <t>tRNA adenosine deaminase-associated protein</t>
  </si>
  <si>
    <t>WP_003863394.1</t>
  </si>
  <si>
    <t>CGL_RS01200</t>
  </si>
  <si>
    <t>tRNA adenosine(34) deaminase TadA</t>
  </si>
  <si>
    <t>tadA</t>
  </si>
  <si>
    <t>WP_003855650.1</t>
  </si>
  <si>
    <t>CGL_RS01205</t>
  </si>
  <si>
    <t>CsbD family protein</t>
  </si>
  <si>
    <t>WP_003855652.1</t>
  </si>
  <si>
    <t>CGL_RS01210</t>
  </si>
  <si>
    <t>CGL_RS01215</t>
  </si>
  <si>
    <t>WP_011013488.1</t>
  </si>
  <si>
    <t>CGL_RS01220</t>
  </si>
  <si>
    <t>MMPL family transporter</t>
  </si>
  <si>
    <t>WP_011013489.1</t>
  </si>
  <si>
    <t>CGL_RS01225</t>
  </si>
  <si>
    <t>tRNA guanosine(34) transglycosylase Tgt</t>
  </si>
  <si>
    <t>tgt</t>
  </si>
  <si>
    <t>WP_011013490.1</t>
  </si>
  <si>
    <t>CGL_RS01230</t>
  </si>
  <si>
    <t>queuosine precursor transporter</t>
  </si>
  <si>
    <t>WP_003863385.1</t>
  </si>
  <si>
    <t>CGL_RS01235</t>
  </si>
  <si>
    <t>DUF1611 domain-containing protein</t>
  </si>
  <si>
    <t>WP_011013491.1</t>
  </si>
  <si>
    <t>CGL_RS01240</t>
  </si>
  <si>
    <t>ABC transporter transmembrane domain-containing protein</t>
  </si>
  <si>
    <t>WP_011265504.1</t>
  </si>
  <si>
    <t>CGL_RS01245</t>
  </si>
  <si>
    <t>tRNA glutamyl-Q(34) synthetase GluQRS</t>
  </si>
  <si>
    <t>gluQRS</t>
  </si>
  <si>
    <t>WP_011013493.1</t>
  </si>
  <si>
    <t>CGL_RS01250</t>
  </si>
  <si>
    <t>intradiol ring-cleavage dioxygenase</t>
  </si>
  <si>
    <t>WP_011013494.1</t>
  </si>
  <si>
    <t>CGL_RS01255</t>
  </si>
  <si>
    <t>IS3 family transposase</t>
  </si>
  <si>
    <t>WP_011265505.1</t>
  </si>
  <si>
    <t>CGL_RS01260</t>
  </si>
  <si>
    <t>WP_231838282.1</t>
  </si>
  <si>
    <t>CGL_RS01265</t>
  </si>
  <si>
    <t>CGL_RS01270</t>
  </si>
  <si>
    <t>signal recognition particle sRNA small type</t>
  </si>
  <si>
    <t>ffs</t>
  </si>
  <si>
    <t>other</t>
  </si>
  <si>
    <t>CGL_RS01275</t>
  </si>
  <si>
    <t>aspartate transaminase</t>
  </si>
  <si>
    <t>WP_217994320.1</t>
  </si>
  <si>
    <t>CGL_RS01280</t>
  </si>
  <si>
    <t>suppressor of fused domain protein</t>
  </si>
  <si>
    <t>WP_011265506.1</t>
  </si>
  <si>
    <t>CGL_RS01285</t>
  </si>
  <si>
    <t>DNA polymerase III subunit gamma and tau</t>
  </si>
  <si>
    <t>WP_011013499.1</t>
  </si>
  <si>
    <t>CGL_RS01290</t>
  </si>
  <si>
    <t>YbaB/EbfC family nucleoid-associated protein</t>
  </si>
  <si>
    <t>WP_003855676.1</t>
  </si>
  <si>
    <t>CGL_RS01295</t>
  </si>
  <si>
    <t>recombination mediator RecR</t>
  </si>
  <si>
    <t>WP_011013500.1</t>
  </si>
  <si>
    <t>CGL_RS01300</t>
  </si>
  <si>
    <t>type 1 glutamine amidotransferase</t>
  </si>
  <si>
    <t>WP_011013501.1</t>
  </si>
  <si>
    <t>CGL_RS01305</t>
  </si>
  <si>
    <t>Mur ligase family protein</t>
  </si>
  <si>
    <t>WP_011013502.1</t>
  </si>
  <si>
    <t>CGL_RS01310</t>
  </si>
  <si>
    <t>DNA polymerase III subunit epsilon</t>
  </si>
  <si>
    <t>WP_011013503.1</t>
  </si>
  <si>
    <t>CGL_RS01315</t>
  </si>
  <si>
    <t>2-isopropylmalate synthase</t>
  </si>
  <si>
    <t>leuA</t>
  </si>
  <si>
    <t>WP_015439406.1</t>
  </si>
  <si>
    <t>CGL_RS01320</t>
  </si>
  <si>
    <t>DMT family transporter</t>
  </si>
  <si>
    <t>WP_011013505.1</t>
  </si>
  <si>
    <t>CGL_RS01325</t>
  </si>
  <si>
    <t>aspartate kinase</t>
  </si>
  <si>
    <t>WP_003855724.1</t>
  </si>
  <si>
    <t>CGL_RS01330</t>
  </si>
  <si>
    <t>aspartate-semialdehyde dehydrogenase</t>
  </si>
  <si>
    <t>WP_011013506.1</t>
  </si>
  <si>
    <t>CGL_RS01335</t>
  </si>
  <si>
    <t>WP_011013507.1</t>
  </si>
  <si>
    <t>CGL_RS01340</t>
  </si>
  <si>
    <t>RNA polymerase sigma factor</t>
  </si>
  <si>
    <t>WP_011013508.1</t>
  </si>
  <si>
    <t>CGL_RS01345</t>
  </si>
  <si>
    <t>catalase</t>
  </si>
  <si>
    <t>WP_374057883.1</t>
  </si>
  <si>
    <t>CGL_RS01350</t>
  </si>
  <si>
    <t>WP_011013510.1</t>
  </si>
  <si>
    <t>CGL_RS01355</t>
  </si>
  <si>
    <t>Lrp/AsnC family transcriptional regulator</t>
  </si>
  <si>
    <t>WP_011265509.1</t>
  </si>
  <si>
    <t>CGL_RS01360</t>
  </si>
  <si>
    <t>branched-chain amino acid exporter BrnF</t>
  </si>
  <si>
    <t>brnF</t>
  </si>
  <si>
    <t>WP_011265510.1</t>
  </si>
  <si>
    <t>CGL_RS01365</t>
  </si>
  <si>
    <t>branched-chain amino acid exporter BrnE</t>
  </si>
  <si>
    <t>brnE</t>
  </si>
  <si>
    <t>WP_011013513.1</t>
  </si>
  <si>
    <t>CGL_RS01370</t>
  </si>
  <si>
    <t>WP_011013514.1</t>
  </si>
  <si>
    <t>CGL_RS01375</t>
  </si>
  <si>
    <t>ArsR/SmtB family transcription factor</t>
  </si>
  <si>
    <t>WP_011013515.1</t>
  </si>
  <si>
    <t>CGL_RS01380</t>
  </si>
  <si>
    <t>ACR3 family arsenite efflux transporter</t>
  </si>
  <si>
    <t>arsB</t>
  </si>
  <si>
    <t>WP_011013516.1</t>
  </si>
  <si>
    <t>CGL_RS01385</t>
  </si>
  <si>
    <t>low molecular weight phosphatase family protein</t>
  </si>
  <si>
    <t>WP_003863342.1</t>
  </si>
  <si>
    <t>CGL_RS01390</t>
  </si>
  <si>
    <t>Na+/H+ antiporter subunit G</t>
  </si>
  <si>
    <t>WP_003863340.1</t>
  </si>
  <si>
    <t>CGL_RS01395</t>
  </si>
  <si>
    <t>cation:proton antiporter</t>
  </si>
  <si>
    <t>WP_011013517.1</t>
  </si>
  <si>
    <t>CGL_RS15510</t>
  </si>
  <si>
    <t>monovalent cation/H+ antiporter subunit E</t>
  </si>
  <si>
    <t>WP_011013518.1</t>
  </si>
  <si>
    <t>CGL_RS15515</t>
  </si>
  <si>
    <t>monovalent cation/H+ antiporter subunit D family protein</t>
  </si>
  <si>
    <t>WP_172820762.1</t>
  </si>
  <si>
    <t>CGL_RS01405</t>
  </si>
  <si>
    <t>cation:proton antiporter subunit C</t>
  </si>
  <si>
    <t>WP_011013520.1</t>
  </si>
  <si>
    <t>CGL_RS01410</t>
  </si>
  <si>
    <t>DUF4040 family protein</t>
  </si>
  <si>
    <t>WP_011013521.1</t>
  </si>
  <si>
    <t>CGL_RS01415</t>
  </si>
  <si>
    <t>YhgE/Pip domain-containing protein</t>
  </si>
  <si>
    <t>WP_011013522.1</t>
  </si>
  <si>
    <t>CGL_RS01420</t>
  </si>
  <si>
    <t>endonuclease domain-containing protein</t>
  </si>
  <si>
    <t>WP_011013523.1</t>
  </si>
  <si>
    <t>CGL_RS01425</t>
  </si>
  <si>
    <t>response regulator transcription factor</t>
  </si>
  <si>
    <t>WP_011013524.1</t>
  </si>
  <si>
    <t>CGL_RS01430</t>
  </si>
  <si>
    <t>WP_011013525.1</t>
  </si>
  <si>
    <t>CGL_RS01435</t>
  </si>
  <si>
    <t>WP_011265513.1</t>
  </si>
  <si>
    <t>CGL_RS01440</t>
  </si>
  <si>
    <t>DedA family protein</t>
  </si>
  <si>
    <t>WP_011013527.1</t>
  </si>
  <si>
    <t>CGL_RS01445</t>
  </si>
  <si>
    <t>tRNA-Pro</t>
  </si>
  <si>
    <t>CGL_RS01450</t>
  </si>
  <si>
    <t>WP_011013528.1</t>
  </si>
  <si>
    <t>CGL_RS01455</t>
  </si>
  <si>
    <t>GatB/YqeY domain-containing protein</t>
  </si>
  <si>
    <t>WP_003863321.1</t>
  </si>
  <si>
    <t>CGL_RS01460</t>
  </si>
  <si>
    <t>transglycosylase domain-containing protein</t>
  </si>
  <si>
    <t>WP_011013529.1</t>
  </si>
  <si>
    <t>CGL_RS01465</t>
  </si>
  <si>
    <t>WhiB family transcriptional regulator WhcA</t>
  </si>
  <si>
    <t>whcA</t>
  </si>
  <si>
    <t>WP_003863319.1</t>
  </si>
  <si>
    <t>CGL_RS01470</t>
  </si>
  <si>
    <t>DUF4177 domain-containing protein</t>
  </si>
  <si>
    <t>WP_003855791.1</t>
  </si>
  <si>
    <t>CGL_RS01475</t>
  </si>
  <si>
    <t>WP_003855793.1</t>
  </si>
  <si>
    <t>CGL_RS01480</t>
  </si>
  <si>
    <t>WP_011013531.1</t>
  </si>
  <si>
    <t>CGL_RS01485</t>
  </si>
  <si>
    <t>acyl-CoA synthetase</t>
  </si>
  <si>
    <t>WP_011013532.1</t>
  </si>
  <si>
    <t>CGL_RS01490</t>
  </si>
  <si>
    <t>WP_011265516.1</t>
  </si>
  <si>
    <t>CGL_RS01495</t>
  </si>
  <si>
    <t>SDR family NAD(P)-dependent oxidoreductase</t>
  </si>
  <si>
    <t>WP_011013534.1</t>
  </si>
  <si>
    <t>CGL_RS01500</t>
  </si>
  <si>
    <t>4-hydroxyphenyl-beta-ketoacyl-CoA hydrolase</t>
  </si>
  <si>
    <t>WP_011013535.1</t>
  </si>
  <si>
    <t>CGL_RS01505</t>
  </si>
  <si>
    <t>acyl-CoA dehydrogenase family protein</t>
  </si>
  <si>
    <t>WP_011013536.1</t>
  </si>
  <si>
    <t>CGL_RS01510</t>
  </si>
  <si>
    <t>MaoC family dehydratase</t>
  </si>
  <si>
    <t>WP_003863309.1</t>
  </si>
  <si>
    <t>CGL_RS01515</t>
  </si>
  <si>
    <t>WP_020948499.1</t>
  </si>
  <si>
    <t>CGL_RS01520</t>
  </si>
  <si>
    <t>CRP-like cAMP-activated global transcriptional regulator GlxR</t>
  </si>
  <si>
    <t>glxR</t>
  </si>
  <si>
    <t>WP_003855810.1</t>
  </si>
  <si>
    <t>CGL_RS01525</t>
  </si>
  <si>
    <t>WP_011013538.1</t>
  </si>
  <si>
    <t>CGL_RS01530</t>
  </si>
  <si>
    <t>endonuclease III</t>
  </si>
  <si>
    <t>nth</t>
  </si>
  <si>
    <t>WP_011013539.1</t>
  </si>
  <si>
    <t>CGL_RS01535</t>
  </si>
  <si>
    <t>TlpA family protein disulfide reductase</t>
  </si>
  <si>
    <t>WP_011013540.1</t>
  </si>
  <si>
    <t>CGL_RS01540</t>
  </si>
  <si>
    <t>NUDIX hydrolase</t>
  </si>
  <si>
    <t>WP_011013541.1</t>
  </si>
  <si>
    <t>CGL_RS01545</t>
  </si>
  <si>
    <t>MarP family serine protease</t>
  </si>
  <si>
    <t>WP_011013542.1</t>
  </si>
  <si>
    <t>CGL_RS01550</t>
  </si>
  <si>
    <t>WP_011013543.1</t>
  </si>
  <si>
    <t>CGL_RS01555</t>
  </si>
  <si>
    <t>WP_011013544.1</t>
  </si>
  <si>
    <t>CGL_RS01560</t>
  </si>
  <si>
    <t>WP_011013545.1</t>
  </si>
  <si>
    <t>CGL_RS01565</t>
  </si>
  <si>
    <t>septum site-determining protein Ssd</t>
  </si>
  <si>
    <t>ssd</t>
  </si>
  <si>
    <t>WP_011013546.1</t>
  </si>
  <si>
    <t>CGL_RS01570</t>
  </si>
  <si>
    <t>TadA family conjugal transfer-associated ATPase</t>
  </si>
  <si>
    <t>WP_011013547.1</t>
  </si>
  <si>
    <t>CGL_RS01575</t>
  </si>
  <si>
    <t>type II secretion system F family protein</t>
  </si>
  <si>
    <t>WP_011013548.1</t>
  </si>
  <si>
    <t>CGL_RS01580</t>
  </si>
  <si>
    <t>WP_011013549.1</t>
  </si>
  <si>
    <t>CGL_RS01585</t>
  </si>
  <si>
    <t>DUF4244 domain-containing protein</t>
  </si>
  <si>
    <t>WP_003855827.1</t>
  </si>
  <si>
    <t>CGL_RS01590</t>
  </si>
  <si>
    <t>WP_003863285.1</t>
  </si>
  <si>
    <t>CGL_RS01595</t>
  </si>
  <si>
    <t>Rv3654c family TadE-like protein</t>
  </si>
  <si>
    <t>WP_003855829.1</t>
  </si>
  <si>
    <t>CGL_RS01600</t>
  </si>
  <si>
    <t>DEAD/DEAH box helicase</t>
  </si>
  <si>
    <t>WP_011013550.1</t>
  </si>
  <si>
    <t>CGL_RS01605</t>
  </si>
  <si>
    <t>WP_011013551.1</t>
  </si>
  <si>
    <t>CGL_RS01610</t>
  </si>
  <si>
    <t>type I DNA topoisomerase</t>
  </si>
  <si>
    <t>topA</t>
  </si>
  <si>
    <t>WP_011013552.1</t>
  </si>
  <si>
    <t>CGL_RS01615</t>
  </si>
  <si>
    <t>lysoplasmalogenase</t>
  </si>
  <si>
    <t>WP_231838283.1</t>
  </si>
  <si>
    <t>CGL_RS01620</t>
  </si>
  <si>
    <t>class III adenylate cyclase</t>
  </si>
  <si>
    <t>WP_020948500.1</t>
  </si>
  <si>
    <t>CGL_RS01625</t>
  </si>
  <si>
    <t>DNA polymerase III subunit delta'</t>
  </si>
  <si>
    <t>WP_011013555.1</t>
  </si>
  <si>
    <t>CGL_RS01630</t>
  </si>
  <si>
    <t>tRNA-Thr</t>
  </si>
  <si>
    <t>CGL_RS01635</t>
  </si>
  <si>
    <t>Panacea domain-containing protein</t>
  </si>
  <si>
    <t>WP_011013556.1</t>
  </si>
  <si>
    <t>CGL_RS01640</t>
  </si>
  <si>
    <t>WP_011265526.1</t>
  </si>
  <si>
    <t>CGL_RS01645</t>
  </si>
  <si>
    <t>adenylate kinase</t>
  </si>
  <si>
    <t>WP_011013557.1</t>
  </si>
  <si>
    <t>CGL_RS01650</t>
  </si>
  <si>
    <t>RluA family pseudouridine synthase</t>
  </si>
  <si>
    <t>WP_011013558.1</t>
  </si>
  <si>
    <t>CGL_RS01655</t>
  </si>
  <si>
    <t>CGL_RS01660</t>
  </si>
  <si>
    <t>S-(hydroxymethyl)mycothiol dehydrogenase</t>
  </si>
  <si>
    <t>WP_003863269.1</t>
  </si>
  <si>
    <t>CGL_RS01665</t>
  </si>
  <si>
    <t>WP_011013561.1</t>
  </si>
  <si>
    <t>CGL_RS01670</t>
  </si>
  <si>
    <t>WP_011013562.1</t>
  </si>
  <si>
    <t>CGL_RS01675</t>
  </si>
  <si>
    <t>WP_011013563.1</t>
  </si>
  <si>
    <t>CGL_RS01680</t>
  </si>
  <si>
    <t>GDP-mannose 4,6-dehydratase</t>
  </si>
  <si>
    <t>WP_011013564.1</t>
  </si>
  <si>
    <t>CGL_RS01685</t>
  </si>
  <si>
    <t>DUF2304 domain-containing protein</t>
  </si>
  <si>
    <t>WP_011013565.1</t>
  </si>
  <si>
    <t>CGL_RS01690</t>
  </si>
  <si>
    <t>glycosyltransferase family 2 protein</t>
  </si>
  <si>
    <t>WP_011013566.1</t>
  </si>
  <si>
    <t>CGL_RS01695</t>
  </si>
  <si>
    <t>ribonuclease HI</t>
  </si>
  <si>
    <t>WP_011013567.1</t>
  </si>
  <si>
    <t>CGL_RS01700</t>
  </si>
  <si>
    <t>WP_011013568.1</t>
  </si>
  <si>
    <t>CGL_RS01705</t>
  </si>
  <si>
    <t>bifunctional metallophosphatase/5'-nucleotidase</t>
  </si>
  <si>
    <t>WP_011013569.1</t>
  </si>
  <si>
    <t>CGL_RS01710</t>
  </si>
  <si>
    <t>WP_011013570.1</t>
  </si>
  <si>
    <t>CGL_RS01720</t>
  </si>
  <si>
    <t>furfural detoxificationalcohol dehydrogenase FudC</t>
  </si>
  <si>
    <t>fudC</t>
  </si>
  <si>
    <t>WP_011013571.1</t>
  </si>
  <si>
    <t>CGL_RS01725</t>
  </si>
  <si>
    <t>glucose-1-phosphate thymidylyltransferase RfbA</t>
  </si>
  <si>
    <t>rfbA</t>
  </si>
  <si>
    <t>WP_011013572.1</t>
  </si>
  <si>
    <t>CGL_RS01730</t>
  </si>
  <si>
    <t>sugar nucleotide-binding protein</t>
  </si>
  <si>
    <t>WP_011013573.1</t>
  </si>
  <si>
    <t>CGL_RS01735</t>
  </si>
  <si>
    <t>dTDP-glucose 4,6-dehydratase</t>
  </si>
  <si>
    <t>rfbB</t>
  </si>
  <si>
    <t>WP_011013574.1</t>
  </si>
  <si>
    <t>CGL_RS01740</t>
  </si>
  <si>
    <t>nitroreductase family protein</t>
  </si>
  <si>
    <t>WP_011013575.1</t>
  </si>
  <si>
    <t>CGL_RS01745</t>
  </si>
  <si>
    <t>ABC transporter substrate-binding protein</t>
  </si>
  <si>
    <t>WP_011013576.1</t>
  </si>
  <si>
    <t>CGL_RS01750</t>
  </si>
  <si>
    <t>WP_011013577.1</t>
  </si>
  <si>
    <t>CGL_RS01755</t>
  </si>
  <si>
    <t>WP_011013578.1</t>
  </si>
  <si>
    <t>CGL_RS01760</t>
  </si>
  <si>
    <t>M1 family metallopeptidase</t>
  </si>
  <si>
    <t>WP_011013579.1</t>
  </si>
  <si>
    <t>CGL_RS01765</t>
  </si>
  <si>
    <t>prolyl oligopeptidase family serine peptidase</t>
  </si>
  <si>
    <t>WP_011013580.1</t>
  </si>
  <si>
    <t>CGL_RS01770</t>
  </si>
  <si>
    <t>excalibur calcium-binding domain-containing protein</t>
  </si>
  <si>
    <t>WP_020948502.1</t>
  </si>
  <si>
    <t>CGL_RS01775</t>
  </si>
  <si>
    <t>FUSC family protein</t>
  </si>
  <si>
    <t>WP_011265531.1</t>
  </si>
  <si>
    <t>CGL_RS01780</t>
  </si>
  <si>
    <t>WP_011013583.1</t>
  </si>
  <si>
    <t>CGL_RS01785</t>
  </si>
  <si>
    <t>polysaccharide biosynthesis tyrosine autokinase</t>
  </si>
  <si>
    <t>WP_011013584.1</t>
  </si>
  <si>
    <t>CGL_RS01790</t>
  </si>
  <si>
    <t>WP_011013585.1</t>
  </si>
  <si>
    <t>CGL_RS01795</t>
  </si>
  <si>
    <t>WD40/YVTN/BNR-like repeat-containing protein</t>
  </si>
  <si>
    <t>WP_011265532.1</t>
  </si>
  <si>
    <t>CGL_RS01800</t>
  </si>
  <si>
    <t>polysaccharide biosynthesis protein</t>
  </si>
  <si>
    <t>WP_011265533.1</t>
  </si>
  <si>
    <t>CGL_RS01805</t>
  </si>
  <si>
    <t>DegT/DnrJ/EryC1/StrS family aminotransferase</t>
  </si>
  <si>
    <t>WP_011013588.1</t>
  </si>
  <si>
    <t>CGL_RS01810</t>
  </si>
  <si>
    <t>sugar transferase</t>
  </si>
  <si>
    <t>WP_011013589.1</t>
  </si>
  <si>
    <t>CGL_RS01815</t>
  </si>
  <si>
    <t>glycosyltransferase family 4 protein</t>
  </si>
  <si>
    <t>WP_101677576.1</t>
  </si>
  <si>
    <t>CGL_RS01820</t>
  </si>
  <si>
    <t>lipopolysaccharide biosynthesis protein</t>
  </si>
  <si>
    <t>WP_011013591.1</t>
  </si>
  <si>
    <t>CGL_RS01825</t>
  </si>
  <si>
    <t>UDP-N-acetylglucosamine 1-carboxyvinyltransferase</t>
  </si>
  <si>
    <t>WP_011013592.1</t>
  </si>
  <si>
    <t>CGL_RS01830</t>
  </si>
  <si>
    <t>UDP-N-acetylmuramate dehydrogenase</t>
  </si>
  <si>
    <t>murB</t>
  </si>
  <si>
    <t>WP_011013593.1</t>
  </si>
  <si>
    <t>CGL_RS01835</t>
  </si>
  <si>
    <t>WP_011013594.1</t>
  </si>
  <si>
    <t>CGL_RS01840</t>
  </si>
  <si>
    <t>transposase</t>
  </si>
  <si>
    <t>WP_011013595.1</t>
  </si>
  <si>
    <t>CGL_RS15580</t>
  </si>
  <si>
    <t>WP_041625327.1</t>
  </si>
  <si>
    <t>CGL_RS15585</t>
  </si>
  <si>
    <t>WP_227747642.1</t>
  </si>
  <si>
    <t>CGL_RS15590</t>
  </si>
  <si>
    <t>SGNH hydrolase domain-containing protein</t>
  </si>
  <si>
    <t>WP_011013596.1</t>
  </si>
  <si>
    <t>CGL_RS01850</t>
  </si>
  <si>
    <t>acyltransferase family protein</t>
  </si>
  <si>
    <t>WP_011013597.1</t>
  </si>
  <si>
    <t>CGL_RS01855</t>
  </si>
  <si>
    <t>CGL_RS15595</t>
  </si>
  <si>
    <t>nucleotide sugar dehydrogenase</t>
  </si>
  <si>
    <t>WP_011013598.1</t>
  </si>
  <si>
    <t>CGL_RS01860</t>
  </si>
  <si>
    <t>O-antigen ligase family protein</t>
  </si>
  <si>
    <t>WP_011013599.1</t>
  </si>
  <si>
    <t>CGL_RS01865</t>
  </si>
  <si>
    <t>WP_011013600.1</t>
  </si>
  <si>
    <t>CGL_RS01870</t>
  </si>
  <si>
    <t>acetyltransferase</t>
  </si>
  <si>
    <t>WP_011013601.1</t>
  </si>
  <si>
    <t>CGL_RS01875</t>
  </si>
  <si>
    <t>dihydrolipoyl dehydrogenase</t>
  </si>
  <si>
    <t>lpdA</t>
  </si>
  <si>
    <t>WP_011013602.1</t>
  </si>
  <si>
    <t>CGL_RS01880</t>
  </si>
  <si>
    <t>UTP--glucose-1-phosphate uridylyltransferase</t>
  </si>
  <si>
    <t>WP_011265539.1</t>
  </si>
  <si>
    <t>CGL_RS01885</t>
  </si>
  <si>
    <t>Cys-tRNA(Pro) deacylase</t>
  </si>
  <si>
    <t>ybaK</t>
  </si>
  <si>
    <t>WP_011265540.1</t>
  </si>
  <si>
    <t>CGL_RS01890</t>
  </si>
  <si>
    <t>acetate metabolism transcriptional regulator RamB</t>
  </si>
  <si>
    <t>ramB</t>
  </si>
  <si>
    <t>WP_003859703.1</t>
  </si>
  <si>
    <t>CGL_RS01895</t>
  </si>
  <si>
    <t>succinate dehydrogenase cytochrome b subunit</t>
  </si>
  <si>
    <t>WP_003855465.1</t>
  </si>
  <si>
    <t>CGL_RS01900</t>
  </si>
  <si>
    <t>fumarate reductase/succinate dehydrogenase flavoprotein subunit</t>
  </si>
  <si>
    <t>WP_011013606.1</t>
  </si>
  <si>
    <t>CGL_RS01905</t>
  </si>
  <si>
    <t>succinate dehydrogenase/fumarate reductase iron-sulfur subunit</t>
  </si>
  <si>
    <t>WP_011013607.1</t>
  </si>
  <si>
    <t>CGL_RS01910</t>
  </si>
  <si>
    <t>WP_011013608.1</t>
  </si>
  <si>
    <t>CGL_RS01915</t>
  </si>
  <si>
    <t>WP_011265543.1</t>
  </si>
  <si>
    <t>CGL_RS01920</t>
  </si>
  <si>
    <t>winged helix DNA-binding domain-containing protein</t>
  </si>
  <si>
    <t>WP_011013610.1</t>
  </si>
  <si>
    <t>CGL_RS01925</t>
  </si>
  <si>
    <t>DUF445 domain-containing protein</t>
  </si>
  <si>
    <t>WP_011265544.1</t>
  </si>
  <si>
    <t>CGL_RS01930</t>
  </si>
  <si>
    <t>CGLAU_01105 family protein</t>
  </si>
  <si>
    <t>WP_011013612.1</t>
  </si>
  <si>
    <t>CGL_RS01935</t>
  </si>
  <si>
    <t>DUF2516 family protein</t>
  </si>
  <si>
    <t>WP_011013613.1</t>
  </si>
  <si>
    <t>CGL_RS01940</t>
  </si>
  <si>
    <t>TetR/AcrR family transcriptional regulator</t>
  </si>
  <si>
    <t>WP_011265545.1</t>
  </si>
  <si>
    <t>CGL_RS01945</t>
  </si>
  <si>
    <t>MDR family MFS transporter</t>
  </si>
  <si>
    <t>WP_003859734.1</t>
  </si>
  <si>
    <t>CGL_RS01950</t>
  </si>
  <si>
    <t>WP_011013615.1</t>
  </si>
  <si>
    <t>CGL_RS01955</t>
  </si>
  <si>
    <t>formyltetrahydrofolate deformylase</t>
  </si>
  <si>
    <t>purU</t>
  </si>
  <si>
    <t>WP_011013616.1</t>
  </si>
  <si>
    <t>CGL_RS01960</t>
  </si>
  <si>
    <t>deoxyribose-phosphate aldolase</t>
  </si>
  <si>
    <t>deoC</t>
  </si>
  <si>
    <t>WP_011265546.1</t>
  </si>
  <si>
    <t>CGL_RS01965</t>
  </si>
  <si>
    <t>WP_011013618.1</t>
  </si>
  <si>
    <t>CGL_RS01970</t>
  </si>
  <si>
    <t>WP_003855480.1</t>
  </si>
  <si>
    <t>CGL_RS01975</t>
  </si>
  <si>
    <t>heavy metal translocating P-type ATPase</t>
  </si>
  <si>
    <t>WP_011013619.1</t>
  </si>
  <si>
    <t>CGL_RS01980</t>
  </si>
  <si>
    <t>WP_011013620.1</t>
  </si>
  <si>
    <t>CGL_RS01985</t>
  </si>
  <si>
    <t>HtaA domain-containing protein</t>
  </si>
  <si>
    <t>WP_011013621.1</t>
  </si>
  <si>
    <t>CGL_RS01990</t>
  </si>
  <si>
    <t>heme/hemin ABC transporter substrate-binding protein</t>
  </si>
  <si>
    <t>WP_003859750.1</t>
  </si>
  <si>
    <t>CGL_RS01995</t>
  </si>
  <si>
    <t>WP_003859752.1</t>
  </si>
  <si>
    <t>CGL_RS02000</t>
  </si>
  <si>
    <t>heme ABC transporter ATP-binding protein</t>
  </si>
  <si>
    <t>WP_011013622.1</t>
  </si>
  <si>
    <t>CGL_RS02005</t>
  </si>
  <si>
    <t>WP_011013623.1</t>
  </si>
  <si>
    <t>CGL_RS15805</t>
  </si>
  <si>
    <t>WP_011013624.1</t>
  </si>
  <si>
    <t>CGL_RS02015</t>
  </si>
  <si>
    <t>LmeA family phospholipid-binding protein</t>
  </si>
  <si>
    <t>WP_011013625.1</t>
  </si>
  <si>
    <t>CGL_RS02020</t>
  </si>
  <si>
    <t>class I SAM-dependent methyltransferase</t>
  </si>
  <si>
    <t>WP_011013626.1</t>
  </si>
  <si>
    <t>CGL_RS02025</t>
  </si>
  <si>
    <t>DUF2505 domain-containing protein</t>
  </si>
  <si>
    <t>WP_003855491.1</t>
  </si>
  <si>
    <t>CGL_RS02030</t>
  </si>
  <si>
    <t>WP_003855492.1</t>
  </si>
  <si>
    <t>CGL_RS02035</t>
  </si>
  <si>
    <t>WP_011013627.1</t>
  </si>
  <si>
    <t>CGL_RS02040</t>
  </si>
  <si>
    <t>long-chain-fatty-acid--CoA ligase</t>
  </si>
  <si>
    <t>WP_003855494.1</t>
  </si>
  <si>
    <t>CGL_RS02045</t>
  </si>
  <si>
    <t>D-inositol-3-phosphate glycosyltransferase</t>
  </si>
  <si>
    <t>mshA</t>
  </si>
  <si>
    <t>WP_011013628.1</t>
  </si>
  <si>
    <t>CGL_RS02050</t>
  </si>
  <si>
    <t>phosphoglyceromutase</t>
  </si>
  <si>
    <t>WP_003855496.1</t>
  </si>
  <si>
    <t>CGL_RS02055</t>
  </si>
  <si>
    <t>WP_003855497.1</t>
  </si>
  <si>
    <t>CGL_RS02060</t>
  </si>
  <si>
    <t>WP_011013630.1</t>
  </si>
  <si>
    <t>CGL_RS02065</t>
  </si>
  <si>
    <t>WP_011013631.1</t>
  </si>
  <si>
    <t>CGL_RS02070</t>
  </si>
  <si>
    <t>WP_011013632.1</t>
  </si>
  <si>
    <t>CGL_RS02075</t>
  </si>
  <si>
    <t>WP_011013633.1</t>
  </si>
  <si>
    <t>CGL_RS02080</t>
  </si>
  <si>
    <t>Ppx/GppA phosphatase family protein</t>
  </si>
  <si>
    <t>WP_011265553.1</t>
  </si>
  <si>
    <t>CGL_RS02085</t>
  </si>
  <si>
    <t>WP_003855504.1</t>
  </si>
  <si>
    <t>CGL_RS02090</t>
  </si>
  <si>
    <t>pyrroline-5-carboxylate reductase</t>
  </si>
  <si>
    <t>proC</t>
  </si>
  <si>
    <t>WP_003855505.1</t>
  </si>
  <si>
    <t>CGL_RS02095</t>
  </si>
  <si>
    <t>WP_003855509.1</t>
  </si>
  <si>
    <t>CGL_RS02100</t>
  </si>
  <si>
    <t>30S ribosomal protein bS22</t>
  </si>
  <si>
    <t>WP_003855542.1</t>
  </si>
  <si>
    <t>CGL_RS02105</t>
  </si>
  <si>
    <t>HAD-IB family hydrolase</t>
  </si>
  <si>
    <t>WP_003855543.1</t>
  </si>
  <si>
    <t>CGL_RS02110</t>
  </si>
  <si>
    <t>glutaredoxin family protein</t>
  </si>
  <si>
    <t>WP_003855545.1</t>
  </si>
  <si>
    <t>CGL_RS02115</t>
  </si>
  <si>
    <t>glutamyl-tRNA reductase</t>
  </si>
  <si>
    <t>WP_011265556.1</t>
  </si>
  <si>
    <t>CGL_RS02120</t>
  </si>
  <si>
    <t>hydroxymethylbilane synthase</t>
  </si>
  <si>
    <t>hemC</t>
  </si>
  <si>
    <t>WP_011013637.1</t>
  </si>
  <si>
    <t>CGL_RS02125</t>
  </si>
  <si>
    <t>WP_020948509.1</t>
  </si>
  <si>
    <t>CGL_RS02130</t>
  </si>
  <si>
    <t>WP_003855552.1</t>
  </si>
  <si>
    <t>CGL_RS02135</t>
  </si>
  <si>
    <t>WP_011013638.1</t>
  </si>
  <si>
    <t>CGL_RS02140</t>
  </si>
  <si>
    <t>dehydroshikimate dehydratase QsuB</t>
  </si>
  <si>
    <t>qsuB</t>
  </si>
  <si>
    <t>WP_011013639.1</t>
  </si>
  <si>
    <t>CGL_RS02145</t>
  </si>
  <si>
    <t>type II 3-dehydroquinate dehydratase</t>
  </si>
  <si>
    <t>aroQ</t>
  </si>
  <si>
    <t>WP_003860435.1</t>
  </si>
  <si>
    <t>CGL_RS02150</t>
  </si>
  <si>
    <t>quinate/shikimate dehydrogenase (NAD+)</t>
  </si>
  <si>
    <t>WP_011013640.1</t>
  </si>
  <si>
    <t>CGL_RS02155</t>
  </si>
  <si>
    <t>ribosomal protein bL12</t>
  </si>
  <si>
    <t>WP_011013641.1</t>
  </si>
  <si>
    <t>CGL_RS02160</t>
  </si>
  <si>
    <t>WP_011013642.1</t>
  </si>
  <si>
    <t>CGL_RS02165</t>
  </si>
  <si>
    <t>WP_011265558.1</t>
  </si>
  <si>
    <t>CGL_RS02170</t>
  </si>
  <si>
    <t>WP_011013644.1</t>
  </si>
  <si>
    <t>CGL_RS02175</t>
  </si>
  <si>
    <t>bifunctional uroporphyrinogen-III C-methyltransferase/uroporphyrinogen-III synthase</t>
  </si>
  <si>
    <t>WP_011013645.1</t>
  </si>
  <si>
    <t>CGL_RS02185</t>
  </si>
  <si>
    <t>DUF3806 domain-containing protein</t>
  </si>
  <si>
    <t>WP_011265559.1</t>
  </si>
  <si>
    <t>CGL_RS02190</t>
  </si>
  <si>
    <t>porphobilinogen synthase</t>
  </si>
  <si>
    <t>hemB</t>
  </si>
  <si>
    <t>WP_011013646.1</t>
  </si>
  <si>
    <t>CGL_RS02195</t>
  </si>
  <si>
    <t>WP_003860456.1</t>
  </si>
  <si>
    <t>CGL_RS02200</t>
  </si>
  <si>
    <t>WP_011013647.1</t>
  </si>
  <si>
    <t>CGL_RS02205</t>
  </si>
  <si>
    <t>WP_011013648.1</t>
  </si>
  <si>
    <t>CGL_RS02210</t>
  </si>
  <si>
    <t>uroporphyrinogen decarboxylase</t>
  </si>
  <si>
    <t>hemE</t>
  </si>
  <si>
    <t>WP_011265560.1</t>
  </si>
  <si>
    <t>CGL_RS02215</t>
  </si>
  <si>
    <t>protoporphyrinogen oxidase</t>
  </si>
  <si>
    <t>WP_011013650.1</t>
  </si>
  <si>
    <t>CGL_RS02220</t>
  </si>
  <si>
    <t>glutamate-1-semialdehyde 2,1-aminomutase</t>
  </si>
  <si>
    <t>hemL</t>
  </si>
  <si>
    <t>WP_011265562.1</t>
  </si>
  <si>
    <t>CGL_RS02225</t>
  </si>
  <si>
    <t>histidine phosphatase family protein</t>
  </si>
  <si>
    <t>WP_003855583.1</t>
  </si>
  <si>
    <t>CGL_RS02230</t>
  </si>
  <si>
    <t>TlpA disulfide reductase family protein</t>
  </si>
  <si>
    <t>WP_003855585.1</t>
  </si>
  <si>
    <t>CGL_RS02235</t>
  </si>
  <si>
    <t>WP_011013652.1</t>
  </si>
  <si>
    <t>CGL_RS02240</t>
  </si>
  <si>
    <t>cytochrome c biogenesis protein ResB</t>
  </si>
  <si>
    <t>WP_011013653.1</t>
  </si>
  <si>
    <t>CGL_RS02245</t>
  </si>
  <si>
    <t>c-type cytochrome biogenesis protein CcsB</t>
  </si>
  <si>
    <t>ccsB</t>
  </si>
  <si>
    <t>WP_003855590.1</t>
  </si>
  <si>
    <t>CGL_RS02250</t>
  </si>
  <si>
    <t>M24 family metallopeptidase</t>
  </si>
  <si>
    <t>WP_011013654.1</t>
  </si>
  <si>
    <t>CGL_RS02255</t>
  </si>
  <si>
    <t>WP_011013655.1</t>
  </si>
  <si>
    <t>CGL_RS02260</t>
  </si>
  <si>
    <t>WP_011013656.1</t>
  </si>
  <si>
    <t>CGL_RS02265</t>
  </si>
  <si>
    <t>WP_011013657.1</t>
  </si>
  <si>
    <t>CGL_RS02270</t>
  </si>
  <si>
    <t>DUF4229 domain-containing protein</t>
  </si>
  <si>
    <t>WP_231838284.1</t>
  </si>
  <si>
    <t>CGL_RS02275</t>
  </si>
  <si>
    <t>1,4-dihydroxy-2-naphthoate polyprenyltransferase</t>
  </si>
  <si>
    <t>WP_011013659.1</t>
  </si>
  <si>
    <t>CGL_RS02280</t>
  </si>
  <si>
    <t>WP_003855600.1</t>
  </si>
  <si>
    <t>CGL_RS02285</t>
  </si>
  <si>
    <t>o-succinylbenzoate--CoA ligase</t>
  </si>
  <si>
    <t>menE</t>
  </si>
  <si>
    <t>WP_011013660.1</t>
  </si>
  <si>
    <t>CGL_RS02290</t>
  </si>
  <si>
    <t>DoxX family protein</t>
  </si>
  <si>
    <t>WP_006286612.1</t>
  </si>
  <si>
    <t>CGL_RS02295</t>
  </si>
  <si>
    <t>aldehyde dehydrogenase (NADP(+))</t>
  </si>
  <si>
    <t>WP_011013661.1</t>
  </si>
  <si>
    <t>CGL_RS02300</t>
  </si>
  <si>
    <t>5-dehydro-4-deoxyglucarate dehydratase</t>
  </si>
  <si>
    <t>WP_003860476.1</t>
  </si>
  <si>
    <t>CGL_RS02305</t>
  </si>
  <si>
    <t>LysR substrate-binding domain-containing protein</t>
  </si>
  <si>
    <t>WP_011013662.1</t>
  </si>
  <si>
    <t>CGL_RS02310</t>
  </si>
  <si>
    <t>DUF3349 domain-containing protein</t>
  </si>
  <si>
    <t>WP_003860484.1</t>
  </si>
  <si>
    <t>CGL_RS02315</t>
  </si>
  <si>
    <t>WP_011013663.1</t>
  </si>
  <si>
    <t>CGL_RS02320</t>
  </si>
  <si>
    <t>thioesterase family protein</t>
  </si>
  <si>
    <t>WP_011013664.1</t>
  </si>
  <si>
    <t>CGL_RS02325</t>
  </si>
  <si>
    <t>WP_020948510.1</t>
  </si>
  <si>
    <t>CGL_RS02330</t>
  </si>
  <si>
    <t>WP_003860492.1</t>
  </si>
  <si>
    <t>CGL_RS02335</t>
  </si>
  <si>
    <t>inorganic phosphate transporter</t>
  </si>
  <si>
    <t>WP_011265565.1</t>
  </si>
  <si>
    <t>CGL_RS02340</t>
  </si>
  <si>
    <t>WP_231838285.1</t>
  </si>
  <si>
    <t>CGL_RS15610</t>
  </si>
  <si>
    <t>1,4-dihydroxy-2-naphthoyl-CoA synthase</t>
  </si>
  <si>
    <t>WP_003860502.1</t>
  </si>
  <si>
    <t>CGL_RS02350</t>
  </si>
  <si>
    <t>4a-hydroxytetrahydrobiopterin dehydratase</t>
  </si>
  <si>
    <t>WP_011013667.1</t>
  </si>
  <si>
    <t>CGL_RS02355</t>
  </si>
  <si>
    <t>peptidase E</t>
  </si>
  <si>
    <t>WP_020948511.1</t>
  </si>
  <si>
    <t>CGL_RS02360</t>
  </si>
  <si>
    <t>o-succinylbenzoate synthase</t>
  </si>
  <si>
    <t>WP_011013669.1</t>
  </si>
  <si>
    <t>CGL_RS02365</t>
  </si>
  <si>
    <t>2-succinyl-5-enolpyruvyl-6-hydroxy-3-cyclohexene-1-carboxylic-acid synthase</t>
  </si>
  <si>
    <t>menD</t>
  </si>
  <si>
    <t>WP_011013670.1</t>
  </si>
  <si>
    <t>CGL_RS02370</t>
  </si>
  <si>
    <t>DUF3592 domain-containing protein</t>
  </si>
  <si>
    <t>WP_011013671.1</t>
  </si>
  <si>
    <t>CGL_RS02375</t>
  </si>
  <si>
    <t>WP_011013672.1</t>
  </si>
  <si>
    <t>CGL_RS02380</t>
  </si>
  <si>
    <t>D-serine/D-alanine/glycine transporter</t>
  </si>
  <si>
    <t>cycA</t>
  </si>
  <si>
    <t>WP_011013673.1</t>
  </si>
  <si>
    <t>CGL_RS02385</t>
  </si>
  <si>
    <t>demethylmenaquinone methyltransferase</t>
  </si>
  <si>
    <t>WP_011013674.1</t>
  </si>
  <si>
    <t>CGL_RS02390</t>
  </si>
  <si>
    <t>geranylgeranyl reductase family protein</t>
  </si>
  <si>
    <t>WP_011013675.1</t>
  </si>
  <si>
    <t>CGL_RS02395</t>
  </si>
  <si>
    <t>polyprenyl synthetase family protein</t>
  </si>
  <si>
    <t>WP_011013676.1</t>
  </si>
  <si>
    <t>CGL_RS02400</t>
  </si>
  <si>
    <t>tRNA-Tyr</t>
  </si>
  <si>
    <t>CGL_RS02405</t>
  </si>
  <si>
    <t>CGL_RS02410</t>
  </si>
  <si>
    <t>CGL_RS02415</t>
  </si>
  <si>
    <t>tRNA-Met</t>
  </si>
  <si>
    <t>CGL_RS02420</t>
  </si>
  <si>
    <t>tRNA-Trp</t>
  </si>
  <si>
    <t>CGL_RS02425</t>
  </si>
  <si>
    <t>preprotein translocase subunit SecE</t>
  </si>
  <si>
    <t>secE</t>
  </si>
  <si>
    <t>WP_011013677.1</t>
  </si>
  <si>
    <t>CGL_RS02430</t>
  </si>
  <si>
    <t>transcription termination/antitermination protein NusG</t>
  </si>
  <si>
    <t>nusG</t>
  </si>
  <si>
    <t>WP_011013678.1</t>
  </si>
  <si>
    <t>CGL_RS02435</t>
  </si>
  <si>
    <t>50S ribosomal protein L11</t>
  </si>
  <si>
    <t>rplK</t>
  </si>
  <si>
    <t>WP_011013679.1</t>
  </si>
  <si>
    <t>CGL_RS02440</t>
  </si>
  <si>
    <t>50S ribosomal protein L1</t>
  </si>
  <si>
    <t>rplA</t>
  </si>
  <si>
    <t>WP_011013680.1</t>
  </si>
  <si>
    <t>CGL_RS02445</t>
  </si>
  <si>
    <t>PucR family transcriptional regulator</t>
  </si>
  <si>
    <t>WP_011013681.1</t>
  </si>
  <si>
    <t>CGL_RS02450</t>
  </si>
  <si>
    <t>4-aminobutyrate--2-oxoglutarate transaminase</t>
  </si>
  <si>
    <t>gabT</t>
  </si>
  <si>
    <t>WP_011013682.1</t>
  </si>
  <si>
    <t>CGL_RS02455</t>
  </si>
  <si>
    <t>WP_011013683.1</t>
  </si>
  <si>
    <t>CGL_RS02460</t>
  </si>
  <si>
    <t>aromatic amino acid transport family protein</t>
  </si>
  <si>
    <t>WP_011013684.1</t>
  </si>
  <si>
    <t>CGL_RS02465</t>
  </si>
  <si>
    <t>WP_011013685.1</t>
  </si>
  <si>
    <t>CGL_RS02470</t>
  </si>
  <si>
    <t>phytoene desaturase family protein</t>
  </si>
  <si>
    <t>WP_011013686.1</t>
  </si>
  <si>
    <t>CGL_RS02475</t>
  </si>
  <si>
    <t>SIMPL domain-containing protein</t>
  </si>
  <si>
    <t>WP_011013687.1</t>
  </si>
  <si>
    <t>CGL_RS02480</t>
  </si>
  <si>
    <t>50S ribosomal protein L10</t>
  </si>
  <si>
    <t>rplJ</t>
  </si>
  <si>
    <t>WP_011013688.1</t>
  </si>
  <si>
    <t>CGL_RS02485</t>
  </si>
  <si>
    <t>50S ribosomal protein L7/L12</t>
  </si>
  <si>
    <t>rplL</t>
  </si>
  <si>
    <t>WP_003854210.1</t>
  </si>
  <si>
    <t>CGL_RS02490</t>
  </si>
  <si>
    <t>DUF3068 domain-containing protein</t>
  </si>
  <si>
    <t>WP_011265568.1</t>
  </si>
  <si>
    <t>CGL_RS02495</t>
  </si>
  <si>
    <t>DNA-directed RNA polymerase subunit beta</t>
  </si>
  <si>
    <t>WP_011265569.1</t>
  </si>
  <si>
    <t>CGL_RS02500</t>
  </si>
  <si>
    <t>DNA-directed RNA polymerase subunit beta'</t>
  </si>
  <si>
    <t>WP_011013691.1</t>
  </si>
  <si>
    <t>CGL_RS02505</t>
  </si>
  <si>
    <t>WP_003860534.1</t>
  </si>
  <si>
    <t>CGL_RS02510</t>
  </si>
  <si>
    <t>WP_011013692.1</t>
  </si>
  <si>
    <t>CGL_RS02515</t>
  </si>
  <si>
    <t>DUF1707 SHOCT-like domain-containing protein</t>
  </si>
  <si>
    <t>WP_011013693.1</t>
  </si>
  <si>
    <t>CGL_RS02520</t>
  </si>
  <si>
    <t>30S ribosomal protein S12</t>
  </si>
  <si>
    <t>rpsL</t>
  </si>
  <si>
    <t>WP_003854221.1</t>
  </si>
  <si>
    <t>CGL_RS02525</t>
  </si>
  <si>
    <t>30S ribosomal protein S7</t>
  </si>
  <si>
    <t>rpsG</t>
  </si>
  <si>
    <t>WP_003854222.1</t>
  </si>
  <si>
    <t>CGL_RS02530</t>
  </si>
  <si>
    <t>elongation factor G</t>
  </si>
  <si>
    <t>fusA</t>
  </si>
  <si>
    <t>WP_011013694.1</t>
  </si>
  <si>
    <t>CGL_RS02535</t>
  </si>
  <si>
    <t>elongation factor Tu</t>
  </si>
  <si>
    <t>tuf</t>
  </si>
  <si>
    <t>WP_011013696.1</t>
  </si>
  <si>
    <t>CGL_RS02540</t>
  </si>
  <si>
    <t>WP_011265571.1</t>
  </si>
  <si>
    <t>CGL_RS02545</t>
  </si>
  <si>
    <t>WP_011013698.1</t>
  </si>
  <si>
    <t>CGL_RS02550</t>
  </si>
  <si>
    <t>WP_011013699.1</t>
  </si>
  <si>
    <t>CGL_RS02555</t>
  </si>
  <si>
    <t>iron chelate uptake ABC transporter family permease subunit</t>
  </si>
  <si>
    <t>WP_011013700.1</t>
  </si>
  <si>
    <t>CGL_RS02560</t>
  </si>
  <si>
    <t>CGL_RS02565</t>
  </si>
  <si>
    <t>30S ribosomal protein S10</t>
  </si>
  <si>
    <t>rpsJ</t>
  </si>
  <si>
    <t>WP_003854291.1</t>
  </si>
  <si>
    <t>CGL_RS02570</t>
  </si>
  <si>
    <t>50S ribosomal protein L3</t>
  </si>
  <si>
    <t>rplC</t>
  </si>
  <si>
    <t>WP_003854292.1</t>
  </si>
  <si>
    <t>CGL_RS02575</t>
  </si>
  <si>
    <t>50S ribosomal protein L4</t>
  </si>
  <si>
    <t>rplD</t>
  </si>
  <si>
    <t>WP_003854293.1</t>
  </si>
  <si>
    <t>CGL_RS02580</t>
  </si>
  <si>
    <t>50S ribosomal protein L23</t>
  </si>
  <si>
    <t>rplW</t>
  </si>
  <si>
    <t>WP_003854294.1</t>
  </si>
  <si>
    <t>CGL_RS02585</t>
  </si>
  <si>
    <t>50S ribosomal protein L2</t>
  </si>
  <si>
    <t>rplB</t>
  </si>
  <si>
    <t>WP_003854295.1</t>
  </si>
  <si>
    <t>CGL_RS02590</t>
  </si>
  <si>
    <t>30S ribosomal protein S19</t>
  </si>
  <si>
    <t>rpsS</t>
  </si>
  <si>
    <t>WP_003854296.1</t>
  </si>
  <si>
    <t>CGL_RS02595</t>
  </si>
  <si>
    <t>50S ribosomal protein L22</t>
  </si>
  <si>
    <t>rplV</t>
  </si>
  <si>
    <t>WP_003854297.1</t>
  </si>
  <si>
    <t>CGL_RS02600</t>
  </si>
  <si>
    <t>30S ribosomal protein S3</t>
  </si>
  <si>
    <t>rpsC</t>
  </si>
  <si>
    <t>WP_003854298.1</t>
  </si>
  <si>
    <t>CGL_RS02605</t>
  </si>
  <si>
    <t>50S ribosomal protein L16</t>
  </si>
  <si>
    <t>rplP</t>
  </si>
  <si>
    <t>WP_003854302.1</t>
  </si>
  <si>
    <t>CGL_RS02610</t>
  </si>
  <si>
    <t>50S ribosomal protein L29</t>
  </si>
  <si>
    <t>rpmC</t>
  </si>
  <si>
    <t>WP_003854304.1</t>
  </si>
  <si>
    <t>CGL_RS02615</t>
  </si>
  <si>
    <t>30S ribosomal protein S17</t>
  </si>
  <si>
    <t>rpsQ</t>
  </si>
  <si>
    <t>WP_003854306.1</t>
  </si>
  <si>
    <t>CGL_RS02620</t>
  </si>
  <si>
    <t>WP_011013702.1</t>
  </si>
  <si>
    <t>CGL_RS02625</t>
  </si>
  <si>
    <t>LppP/LprE family lipoprotein</t>
  </si>
  <si>
    <t>WP_011013703.1</t>
  </si>
  <si>
    <t>CGL_RS02630</t>
  </si>
  <si>
    <t>50S ribosomal protein L14</t>
  </si>
  <si>
    <t>rplN</t>
  </si>
  <si>
    <t>WP_003854312.1</t>
  </si>
  <si>
    <t>CGL_RS02635</t>
  </si>
  <si>
    <t>50S ribosomal protein L24</t>
  </si>
  <si>
    <t>rplX</t>
  </si>
  <si>
    <t>WP_003854314.1</t>
  </si>
  <si>
    <t>CGL_RS02640</t>
  </si>
  <si>
    <t>50S ribosomal protein L5</t>
  </si>
  <si>
    <t>rplE</t>
  </si>
  <si>
    <t>WP_003854317.1</t>
  </si>
  <si>
    <t>CGL_RS02645</t>
  </si>
  <si>
    <t>SGNH/GDSL hydrolase family protein</t>
  </si>
  <si>
    <t>WP_011013704.1</t>
  </si>
  <si>
    <t>CGL_RS02650</t>
  </si>
  <si>
    <t>WP_011013705.1</t>
  </si>
  <si>
    <t>CGL_RS02655</t>
  </si>
  <si>
    <t>WP_011013706.1</t>
  </si>
  <si>
    <t>CGL_RS02660</t>
  </si>
  <si>
    <t>formate dehydrogenase accessory sulfurtransferase FdhD</t>
  </si>
  <si>
    <t>fdhD</t>
  </si>
  <si>
    <t>WP_011013707.1</t>
  </si>
  <si>
    <t>CGL_RS02665</t>
  </si>
  <si>
    <t>DUF6457 domain-containing protein</t>
  </si>
  <si>
    <t>WP_011013708.1</t>
  </si>
  <si>
    <t>CGL_RS02670</t>
  </si>
  <si>
    <t>molybdenum-dependent formate dehydrogenase FdhF</t>
  </si>
  <si>
    <t>fdhF</t>
  </si>
  <si>
    <t>WP_011265574.1</t>
  </si>
  <si>
    <t>CGL_RS02675</t>
  </si>
  <si>
    <t>WP_011013710.1</t>
  </si>
  <si>
    <t>CGL_RS02680</t>
  </si>
  <si>
    <t>ECF transporter S component</t>
  </si>
  <si>
    <t>WP_011013711.1</t>
  </si>
  <si>
    <t>CGL_RS02685</t>
  </si>
  <si>
    <t>WP_011013712.1</t>
  </si>
  <si>
    <t>CGL_RS02690</t>
  </si>
  <si>
    <t>energy-coupling factor transporter transmembrane component T</t>
  </si>
  <si>
    <t>WP_011013713.1</t>
  </si>
  <si>
    <t>CGL_RS02695</t>
  </si>
  <si>
    <t>WP_011013714.1</t>
  </si>
  <si>
    <t>CGL_RS02700</t>
  </si>
  <si>
    <t>prenyltransferase/squalene oxidase repeat-containing protein</t>
  </si>
  <si>
    <t>WP_011013715.1</t>
  </si>
  <si>
    <t>CGL_RS02705</t>
  </si>
  <si>
    <t>WP_011265577.1</t>
  </si>
  <si>
    <t>CGL_RS02710</t>
  </si>
  <si>
    <t>30S ribosomal protein S8</t>
  </si>
  <si>
    <t>rpsH</t>
  </si>
  <si>
    <t>WP_003854344.1</t>
  </si>
  <si>
    <t>CGL_RS02715</t>
  </si>
  <si>
    <t>50S ribosomal protein L6</t>
  </si>
  <si>
    <t>rplF</t>
  </si>
  <si>
    <t>WP_003860588.1</t>
  </si>
  <si>
    <t>CGL_RS02720</t>
  </si>
  <si>
    <t>50S ribosomal protein L18</t>
  </si>
  <si>
    <t>rplR</t>
  </si>
  <si>
    <t>WP_003854346.1</t>
  </si>
  <si>
    <t>CGL_RS02725</t>
  </si>
  <si>
    <t>30S ribosomal protein S5</t>
  </si>
  <si>
    <t>rpsE</t>
  </si>
  <si>
    <t>WP_003854347.1</t>
  </si>
  <si>
    <t>CGL_RS02730</t>
  </si>
  <si>
    <t>50S ribosomal protein L30</t>
  </si>
  <si>
    <t>rpmD</t>
  </si>
  <si>
    <t>WP_003860590.1</t>
  </si>
  <si>
    <t>CGL_RS02735</t>
  </si>
  <si>
    <t>50S ribosomal protein L15</t>
  </si>
  <si>
    <t>rplO</t>
  </si>
  <si>
    <t>WP_011013717.1</t>
  </si>
  <si>
    <t>CGL_RS02740</t>
  </si>
  <si>
    <t>aldehyde dehydrogenase family protein</t>
  </si>
  <si>
    <t>WP_374197334.1</t>
  </si>
  <si>
    <t>CGL_RS02745</t>
  </si>
  <si>
    <t>WP_011013719.1</t>
  </si>
  <si>
    <t>CGL_RS02750</t>
  </si>
  <si>
    <t>WP_011013720.1</t>
  </si>
  <si>
    <t>CGL_RS02755</t>
  </si>
  <si>
    <t>HD domain-containing protein</t>
  </si>
  <si>
    <t>WP_003860600.1</t>
  </si>
  <si>
    <t>CGL_RS02760</t>
  </si>
  <si>
    <t>NAD(P)/FAD-dependent oxidoreductase</t>
  </si>
  <si>
    <t>WP_011013721.1</t>
  </si>
  <si>
    <t>CGL_RS02765</t>
  </si>
  <si>
    <t>WP_011013722.1</t>
  </si>
  <si>
    <t>CGL_RS02770</t>
  </si>
  <si>
    <t>WP_011013723.1</t>
  </si>
  <si>
    <t>CGL_RS02775</t>
  </si>
  <si>
    <t>PEP-utilizing enzyme</t>
  </si>
  <si>
    <t>WP_011013724.1</t>
  </si>
  <si>
    <t>CGL_RS02780</t>
  </si>
  <si>
    <t>PEP/pyruvate-binding domain-containing protein</t>
  </si>
  <si>
    <t>WP_011013725.1</t>
  </si>
  <si>
    <t>CGL_RS02785</t>
  </si>
  <si>
    <t>cytochrome P450</t>
  </si>
  <si>
    <t>WP_011013726.1</t>
  </si>
  <si>
    <t>CGL_RS02790</t>
  </si>
  <si>
    <t>IclR family transcriptional regulator</t>
  </si>
  <si>
    <t>WP_011013727.1</t>
  </si>
  <si>
    <t>CGL_RS02795</t>
  </si>
  <si>
    <t>preprotein translocase subunit SecY</t>
  </si>
  <si>
    <t>secY</t>
  </si>
  <si>
    <t>WP_003854402.1</t>
  </si>
  <si>
    <t>CGL_RS02800</t>
  </si>
  <si>
    <t>WP_003854403.1</t>
  </si>
  <si>
    <t>CGL_RS02805</t>
  </si>
  <si>
    <t>type I methionyl aminopeptidase</t>
  </si>
  <si>
    <t>map</t>
  </si>
  <si>
    <t>WP_011013728.1</t>
  </si>
  <si>
    <t>CGL_RS02810</t>
  </si>
  <si>
    <t>L,D-transpeptidase</t>
  </si>
  <si>
    <t>WP_011013729.1</t>
  </si>
  <si>
    <t>CGL_RS02815</t>
  </si>
  <si>
    <t>translation initiation factor IF-1</t>
  </si>
  <si>
    <t>infA</t>
  </si>
  <si>
    <t>WP_003854422.1</t>
  </si>
  <si>
    <t>CGL_RS02820</t>
  </si>
  <si>
    <t>30S ribosomal protein S13</t>
  </si>
  <si>
    <t>rpsM</t>
  </si>
  <si>
    <t>WP_003854425.1</t>
  </si>
  <si>
    <t>CGL_RS02825</t>
  </si>
  <si>
    <t>30S ribosomal protein S11</t>
  </si>
  <si>
    <t>rpsK</t>
  </si>
  <si>
    <t>WP_003854428.1</t>
  </si>
  <si>
    <t>CGL_RS02830</t>
  </si>
  <si>
    <t>30S ribosomal protein S4</t>
  </si>
  <si>
    <t>rpsD</t>
  </si>
  <si>
    <t>WP_011013730.1</t>
  </si>
  <si>
    <t>CGL_RS02835</t>
  </si>
  <si>
    <t>DNA-directed RNA polymerase subunit alpha</t>
  </si>
  <si>
    <t>WP_011013731.1</t>
  </si>
  <si>
    <t>CGL_RS02840</t>
  </si>
  <si>
    <t>50S ribosomal protein L17</t>
  </si>
  <si>
    <t>rplQ</t>
  </si>
  <si>
    <t>WP_011013732.1</t>
  </si>
  <si>
    <t>CGL_RS02845</t>
  </si>
  <si>
    <t>tRNA pseudouridine(38-40) synthase TruA</t>
  </si>
  <si>
    <t>truA</t>
  </si>
  <si>
    <t>WP_003860639.1</t>
  </si>
  <si>
    <t>CGL_RS02850</t>
  </si>
  <si>
    <t>DUF6541 family protein</t>
  </si>
  <si>
    <t>WP_011013733.1</t>
  </si>
  <si>
    <t>CGL_RS02855</t>
  </si>
  <si>
    <t>WP_011013734.1</t>
  </si>
  <si>
    <t>CGL_RS02860</t>
  </si>
  <si>
    <t>WP_011013735.1</t>
  </si>
  <si>
    <t>CGL_RS02865</t>
  </si>
  <si>
    <t>type VII secretion protein EccB</t>
  </si>
  <si>
    <t>eccB</t>
  </si>
  <si>
    <t>WP_011013736.1</t>
  </si>
  <si>
    <t>CGL_RS02870</t>
  </si>
  <si>
    <t>WP_011013737.1</t>
  </si>
  <si>
    <t>CGL_RS02875</t>
  </si>
  <si>
    <t>SAM-dependent methyltransferase</t>
  </si>
  <si>
    <t>WP_011013738.1</t>
  </si>
  <si>
    <t>CGL_RS02880</t>
  </si>
  <si>
    <t>TIGR02611 family protein</t>
  </si>
  <si>
    <t>WP_003860653.1</t>
  </si>
  <si>
    <t>CGL_RS02885</t>
  </si>
  <si>
    <t>type VII secretion-associated serine protease mycosin</t>
  </si>
  <si>
    <t>mycP</t>
  </si>
  <si>
    <t>WP_011013739.1</t>
  </si>
  <si>
    <t>CGL_RS02890</t>
  </si>
  <si>
    <t>type VII secretion integral membrane protein EccD</t>
  </si>
  <si>
    <t>eccD</t>
  </si>
  <si>
    <t>WP_011013740.1</t>
  </si>
  <si>
    <t>CGL_RS02895</t>
  </si>
  <si>
    <t>type VII secretion protein EccC</t>
  </si>
  <si>
    <t>WP_011265582.1</t>
  </si>
  <si>
    <t>CGL_RS02900</t>
  </si>
  <si>
    <t>type VII secretion-associated protein</t>
  </si>
  <si>
    <t>WP_011013742.1</t>
  </si>
  <si>
    <t>CGL_RS02905</t>
  </si>
  <si>
    <t>WXG100 family type VII secretion target</t>
  </si>
  <si>
    <t>WP_011013743.1</t>
  </si>
  <si>
    <t>CGL_RS02910</t>
  </si>
  <si>
    <t>WP_003854533.1</t>
  </si>
  <si>
    <t>CGL_RS02915</t>
  </si>
  <si>
    <t>50S ribosomal protein L13</t>
  </si>
  <si>
    <t>rplM</t>
  </si>
  <si>
    <t>WP_003854535.1</t>
  </si>
  <si>
    <t>CGL_RS02920</t>
  </si>
  <si>
    <t>30S ribosomal protein S9</t>
  </si>
  <si>
    <t>rpsI</t>
  </si>
  <si>
    <t>WP_003854537.1</t>
  </si>
  <si>
    <t>CGL_RS02925</t>
  </si>
  <si>
    <t>phosphoglucosamine mutase</t>
  </si>
  <si>
    <t>glmM</t>
  </si>
  <si>
    <t>WP_011013744.1</t>
  </si>
  <si>
    <t>CGL_RS02930</t>
  </si>
  <si>
    <t>WP_003860674.1</t>
  </si>
  <si>
    <t>CGL_RS02935</t>
  </si>
  <si>
    <t>WP_011013745.1</t>
  </si>
  <si>
    <t>CGL_RS02940</t>
  </si>
  <si>
    <t>WP_020948518.1</t>
  </si>
  <si>
    <t>CGL_RS02945</t>
  </si>
  <si>
    <t>dienelactone hydrolase family protein</t>
  </si>
  <si>
    <t>WP_011013747.1</t>
  </si>
  <si>
    <t>CGL_RS02950</t>
  </si>
  <si>
    <t>alanine racemase</t>
  </si>
  <si>
    <t>alr</t>
  </si>
  <si>
    <t>WP_011013748.1</t>
  </si>
  <si>
    <t>CGL_RS02955</t>
  </si>
  <si>
    <t>tRNA (adenosine(37)-N6)-threonylcarbamoyltransferase complex ATPase subunit type 1 TsaE</t>
  </si>
  <si>
    <t>tsaE</t>
  </si>
  <si>
    <t>WP_003854549.1</t>
  </si>
  <si>
    <t>CGL_RS02960</t>
  </si>
  <si>
    <t>aspartate:alanine exchanger family transporter</t>
  </si>
  <si>
    <t>WP_011013749.1</t>
  </si>
  <si>
    <t>CGL_RS02965</t>
  </si>
  <si>
    <t>WP_011013750.1</t>
  </si>
  <si>
    <t>CGL_RS02970</t>
  </si>
  <si>
    <t>tRNA (adenosine(37)-N6)-threonylcarbamoyltransferase complex dimerization subunit type 1 TsaB</t>
  </si>
  <si>
    <t>tsaB</t>
  </si>
  <si>
    <t>WP_011013751.1</t>
  </si>
  <si>
    <t>CGL_RS02975</t>
  </si>
  <si>
    <t>ribosomal protein S18-alanine N-acetyltransferase</t>
  </si>
  <si>
    <t>rimI</t>
  </si>
  <si>
    <t>WP_003860686.1</t>
  </si>
  <si>
    <t>CGL_RS02980</t>
  </si>
  <si>
    <t>tRNA (adenosine(37)-N6)-threonylcarbamoyltransferase complex transferase subunit TsaD</t>
  </si>
  <si>
    <t>tsaD</t>
  </si>
  <si>
    <t>WP_011013752.1</t>
  </si>
  <si>
    <t>CGL_RS02985</t>
  </si>
  <si>
    <t>NAD(P)H-hydrate dehydratase</t>
  </si>
  <si>
    <t>WP_011013753.1</t>
  </si>
  <si>
    <t>CGL_RS02990</t>
  </si>
  <si>
    <t>WP_003860693.1</t>
  </si>
  <si>
    <t>CGL_RS02995</t>
  </si>
  <si>
    <t>co-chaperone GroES</t>
  </si>
  <si>
    <t>groES</t>
  </si>
  <si>
    <t>WP_003854559.1</t>
  </si>
  <si>
    <t>CGL_RS03000</t>
  </si>
  <si>
    <t>chaperonin GroEL</t>
  </si>
  <si>
    <t>groL</t>
  </si>
  <si>
    <t>WP_011013754.1</t>
  </si>
  <si>
    <t>CGL_RS03005</t>
  </si>
  <si>
    <t>WhiB family transcriptional regulator WhcB</t>
  </si>
  <si>
    <t>whcB</t>
  </si>
  <si>
    <t>WP_003854562.1</t>
  </si>
  <si>
    <t>CGL_RS03010</t>
  </si>
  <si>
    <t>sigma-70 family RNA polymerase sigma factor</t>
  </si>
  <si>
    <t>WP_011013755.1</t>
  </si>
  <si>
    <t>CGL_RS03015</t>
  </si>
  <si>
    <t>WP_011013756.1</t>
  </si>
  <si>
    <t>CGL_RS03020</t>
  </si>
  <si>
    <t>DUF5319 domain-containing protein</t>
  </si>
  <si>
    <t>WP_011265586.1</t>
  </si>
  <si>
    <t>CGL_RS03025</t>
  </si>
  <si>
    <t>IMP dehydrogenase</t>
  </si>
  <si>
    <t>guaB</t>
  </si>
  <si>
    <t>WP_011013757.1</t>
  </si>
  <si>
    <t>CGL_RS03030</t>
  </si>
  <si>
    <t>GuaB3 family IMP dehydrogenase-related protein</t>
  </si>
  <si>
    <t>WP_011013758.1</t>
  </si>
  <si>
    <t>CGL_RS03035</t>
  </si>
  <si>
    <t>WP_011013759.1</t>
  </si>
  <si>
    <t>CGL_RS03040</t>
  </si>
  <si>
    <t>serine-binding transcriptional regulator SerR</t>
  </si>
  <si>
    <t>WP_011013760.1</t>
  </si>
  <si>
    <t>CGL_RS03045</t>
  </si>
  <si>
    <t>glutamine-hydrolyzing GMP synthase</t>
  </si>
  <si>
    <t>guaA</t>
  </si>
  <si>
    <t>WP_011013761.1</t>
  </si>
  <si>
    <t>CGL_RS03050</t>
  </si>
  <si>
    <t>imm68 putative immunity domain-containing protein</t>
  </si>
  <si>
    <t>WP_003860713.1</t>
  </si>
  <si>
    <t>CGL_RS03055</t>
  </si>
  <si>
    <t>two-component system EsrSR regulator EsrI</t>
  </si>
  <si>
    <t>esrI</t>
  </si>
  <si>
    <t>WP_011013762.1</t>
  </si>
  <si>
    <t>CGL_RS03060</t>
  </si>
  <si>
    <t>two-component system sensor histidine kinase EsrS</t>
  </si>
  <si>
    <t>esrS</t>
  </si>
  <si>
    <t>WP_101677580.1</t>
  </si>
  <si>
    <t>CGL_RS03065</t>
  </si>
  <si>
    <t>two-component system response regulator EsrR</t>
  </si>
  <si>
    <t>esrR</t>
  </si>
  <si>
    <t>WP_003854586.1</t>
  </si>
  <si>
    <t>CGL_RS03070</t>
  </si>
  <si>
    <t>WP_003860723.1</t>
  </si>
  <si>
    <t>CGL_RS03075</t>
  </si>
  <si>
    <t>WP_011013764.1</t>
  </si>
  <si>
    <t>CGL_RS03080</t>
  </si>
  <si>
    <t>WP_011265591.1</t>
  </si>
  <si>
    <t>CGL_RS03085</t>
  </si>
  <si>
    <t>WP_011013766.1</t>
  </si>
  <si>
    <t>CGL_RS03090</t>
  </si>
  <si>
    <t>Y-family DNA polymerase</t>
  </si>
  <si>
    <t>WP_011013767.1</t>
  </si>
  <si>
    <t>CGL_RS03095</t>
  </si>
  <si>
    <t>AMIN-like domain-containing (lipo)protein</t>
  </si>
  <si>
    <t>WP_172796472.1</t>
  </si>
  <si>
    <t>CGL_RS03100</t>
  </si>
  <si>
    <t>sucrase ferredoxin</t>
  </si>
  <si>
    <t>WP_011013769.1</t>
  </si>
  <si>
    <t>CGL_RS03105</t>
  </si>
  <si>
    <t>prenyltransferase</t>
  </si>
  <si>
    <t>WP_011013770.1</t>
  </si>
  <si>
    <t>CGL_RS03110</t>
  </si>
  <si>
    <t>lycopene cyclase domain-containing protein</t>
  </si>
  <si>
    <t>WP_011013771.1</t>
  </si>
  <si>
    <t>CGL_RS03115</t>
  </si>
  <si>
    <t>WP_011013772.1</t>
  </si>
  <si>
    <t>CGL_RS03120</t>
  </si>
  <si>
    <t>phytoene desaturase</t>
  </si>
  <si>
    <t>WP_011013773.1</t>
  </si>
  <si>
    <t>CGL_RS03125</t>
  </si>
  <si>
    <t>phytoene/squalene synthase family protein</t>
  </si>
  <si>
    <t>WP_011013774.1</t>
  </si>
  <si>
    <t>CGL_RS03130</t>
  </si>
  <si>
    <t>WP_011013775.1</t>
  </si>
  <si>
    <t>CGL_RS03135</t>
  </si>
  <si>
    <t>WP_306556813.1</t>
  </si>
  <si>
    <t>CGL_RS03140</t>
  </si>
  <si>
    <t>WP_011013777.1</t>
  </si>
  <si>
    <t>CGL_RS03145</t>
  </si>
  <si>
    <t>lipocalin family protein</t>
  </si>
  <si>
    <t>WP_011013778.1</t>
  </si>
  <si>
    <t>CGL_RS03150</t>
  </si>
  <si>
    <t>SDR family oxidoreductase</t>
  </si>
  <si>
    <t>WP_020948522.1</t>
  </si>
  <si>
    <t>CGL_RS03155</t>
  </si>
  <si>
    <t>cryptochrome/photolyase family protein</t>
  </si>
  <si>
    <t>WP_011013780.1</t>
  </si>
  <si>
    <t>CGL_RS03160</t>
  </si>
  <si>
    <t>C50 carotenoid glucosyltransferase CrtX</t>
  </si>
  <si>
    <t>crtX</t>
  </si>
  <si>
    <t>WP_011013781.1</t>
  </si>
  <si>
    <t>CGL_RS03165</t>
  </si>
  <si>
    <t>FtsX-like permease family protein</t>
  </si>
  <si>
    <t>WP_231838286.1</t>
  </si>
  <si>
    <t>CGL_RS03170</t>
  </si>
  <si>
    <t>WP_011013783.1</t>
  </si>
  <si>
    <t>CGL_RS03175</t>
  </si>
  <si>
    <t>methionine ABC transporter permease</t>
  </si>
  <si>
    <t>WP_003854626.1</t>
  </si>
  <si>
    <t>CGL_RS03180</t>
  </si>
  <si>
    <t>methionine ABC transporter ATP-binding protein</t>
  </si>
  <si>
    <t>WP_003854632.1</t>
  </si>
  <si>
    <t>CGL_RS03185</t>
  </si>
  <si>
    <t>MetQ/NlpA family ABC transporter substrate-binding protein</t>
  </si>
  <si>
    <t>WP_011013784.1</t>
  </si>
  <si>
    <t>CGL_RS03190</t>
  </si>
  <si>
    <t>error-prone DNA polymerase</t>
  </si>
  <si>
    <t>WP_011013785.1</t>
  </si>
  <si>
    <t>CGL_RS03195</t>
  </si>
  <si>
    <t>PH domain-containing protein</t>
  </si>
  <si>
    <t>WP_003860754.1</t>
  </si>
  <si>
    <t>CGL_RS03200</t>
  </si>
  <si>
    <t>WP_011013786.1</t>
  </si>
  <si>
    <t>CGL_RS03205</t>
  </si>
  <si>
    <t>metal-dependent transcriptional regulator</t>
  </si>
  <si>
    <t>WP_003854638.1</t>
  </si>
  <si>
    <t>CGL_RS03210</t>
  </si>
  <si>
    <t>metal-dependent hydrolase</t>
  </si>
  <si>
    <t>WP_003854639.1</t>
  </si>
  <si>
    <t>CGL_RS03215</t>
  </si>
  <si>
    <t>SIR2 family NAD-dependent protein deacylase</t>
  </si>
  <si>
    <t>WP_003854640.1</t>
  </si>
  <si>
    <t>CGL_RS03220</t>
  </si>
  <si>
    <t>nucleoside deaminase</t>
  </si>
  <si>
    <t>WP_011013788.1</t>
  </si>
  <si>
    <t>CGL_RS03225</t>
  </si>
  <si>
    <t>iron-siderophore ABC transporter substrate-binding protein</t>
  </si>
  <si>
    <t>WP_011013789.1</t>
  </si>
  <si>
    <t>CGL_RS03230</t>
  </si>
  <si>
    <t>tRNA (cytidine(34)-2'-O)-methyltransferase</t>
  </si>
  <si>
    <t>WP_003854647.1</t>
  </si>
  <si>
    <t>CGL_RS03235</t>
  </si>
  <si>
    <t>bifunctional methylenetetrahydrofolate dehydrogenase/methenyltetrahydrofolate cyclohydrolase</t>
  </si>
  <si>
    <t>WP_003860764.1</t>
  </si>
  <si>
    <t>CGL_RS03240</t>
  </si>
  <si>
    <t>DUF3017 domain-containing protein</t>
  </si>
  <si>
    <t>WP_011013790.1</t>
  </si>
  <si>
    <t>CGL_RS03245</t>
  </si>
  <si>
    <t>SPFH domain-containing protein</t>
  </si>
  <si>
    <t>WP_011013791.1</t>
  </si>
  <si>
    <t>CGL_RS03250</t>
  </si>
  <si>
    <t>DUF3500 domain-containing protein</t>
  </si>
  <si>
    <t>WP_011013792.1</t>
  </si>
  <si>
    <t>CGL_RS03255</t>
  </si>
  <si>
    <t>homoserine O-acetyltransferase MetX</t>
  </si>
  <si>
    <t>WP_011013793.1</t>
  </si>
  <si>
    <t>CGL_RS03260</t>
  </si>
  <si>
    <t>O-acetylhomoserine/O-acetylserine sulfhydrylase</t>
  </si>
  <si>
    <t>WP_003854667.1</t>
  </si>
  <si>
    <t>CGL_RS03265</t>
  </si>
  <si>
    <t>carbon starvation CstA family protein</t>
  </si>
  <si>
    <t>WP_003860780.1</t>
  </si>
  <si>
    <t>CGL_RS03270</t>
  </si>
  <si>
    <t>YbdD/YjiX family protein</t>
  </si>
  <si>
    <t>WP_003854670.1</t>
  </si>
  <si>
    <t>CGL_RS03275</t>
  </si>
  <si>
    <t>prpD</t>
  </si>
  <si>
    <t>CGL_RS03280</t>
  </si>
  <si>
    <t>methylisocitrate lyase</t>
  </si>
  <si>
    <t>prpB</t>
  </si>
  <si>
    <t>WP_011265603.1</t>
  </si>
  <si>
    <t>CGL_RS03285</t>
  </si>
  <si>
    <t>bifunctional 2-methylcitrate synthase/citrate synthase</t>
  </si>
  <si>
    <t>WP_011013797.1</t>
  </si>
  <si>
    <t>CGL_RS03290</t>
  </si>
  <si>
    <t>putative quinol monooxygenase</t>
  </si>
  <si>
    <t>WP_020948527.1</t>
  </si>
  <si>
    <t>CGL_RS03295</t>
  </si>
  <si>
    <t>Ldh family oxidoreductase</t>
  </si>
  <si>
    <t>WP_011013798.1</t>
  </si>
  <si>
    <t>CGL_RS03300</t>
  </si>
  <si>
    <t>GntR family transcriptional regulator</t>
  </si>
  <si>
    <t>WP_003860791.1</t>
  </si>
  <si>
    <t>CGL_RS03305</t>
  </si>
  <si>
    <t>WP_011013799.1</t>
  </si>
  <si>
    <t>CGL_RS03310</t>
  </si>
  <si>
    <t>NADP-dependent isocitrate dehydrogenase</t>
  </si>
  <si>
    <t>WP_011013800.1</t>
  </si>
  <si>
    <t>CGL_RS03315</t>
  </si>
  <si>
    <t>WP_011013801.1</t>
  </si>
  <si>
    <t>CGL_RS03320</t>
  </si>
  <si>
    <t>WP_011013802.1</t>
  </si>
  <si>
    <t>CGL_RS03325</t>
  </si>
  <si>
    <t>WP_011013803.1</t>
  </si>
  <si>
    <t>CGL_RS03330</t>
  </si>
  <si>
    <t>WP_011013804.1</t>
  </si>
  <si>
    <t>CGL_RS03335</t>
  </si>
  <si>
    <t>WP_011013805.1</t>
  </si>
  <si>
    <t>CGL_RS03340</t>
  </si>
  <si>
    <t>WP_003854698.1</t>
  </si>
  <si>
    <t>CGL_RS03345</t>
  </si>
  <si>
    <t>exodeoxyribonuclease III</t>
  </si>
  <si>
    <t>WP_003860808.1</t>
  </si>
  <si>
    <t>CGL_RS03350</t>
  </si>
  <si>
    <t>WP_003854700.1</t>
  </si>
  <si>
    <t>CGL_RS03355</t>
  </si>
  <si>
    <t>WP_003860810.1</t>
  </si>
  <si>
    <t>CGL_RS03360</t>
  </si>
  <si>
    <t>WP_011013806.1</t>
  </si>
  <si>
    <t>CGL_RS03365</t>
  </si>
  <si>
    <t>WP_011013807.1</t>
  </si>
  <si>
    <t>CGL_RS03370</t>
  </si>
  <si>
    <t>WP_003858297.1</t>
  </si>
  <si>
    <t>CGL_RS03375</t>
  </si>
  <si>
    <t>tryptophan--tRNA ligase</t>
  </si>
  <si>
    <t>trpS</t>
  </si>
  <si>
    <t>WP_011013808.1</t>
  </si>
  <si>
    <t>CGL_RS03380</t>
  </si>
  <si>
    <t>YihY/virulence factor BrkB family protein</t>
  </si>
  <si>
    <t>WP_003858295.1</t>
  </si>
  <si>
    <t>CGL_RS03385</t>
  </si>
  <si>
    <t>RDD family protein</t>
  </si>
  <si>
    <t>WP_011013809.1</t>
  </si>
  <si>
    <t>CGL_RS03390</t>
  </si>
  <si>
    <t>D-alanyl-D-alanine carboxypeptidase family protein</t>
  </si>
  <si>
    <t>WP_172820760.1</t>
  </si>
  <si>
    <t>CGL_RS03395</t>
  </si>
  <si>
    <t>WP_011013811.1</t>
  </si>
  <si>
    <t>CGL_RS03400</t>
  </si>
  <si>
    <t>C40 family peptidase</t>
  </si>
  <si>
    <t>WP_011013812.1</t>
  </si>
  <si>
    <t>CGL_RS03405</t>
  </si>
  <si>
    <t>WP_003858290.1</t>
  </si>
  <si>
    <t>CGL_RS03410</t>
  </si>
  <si>
    <t>uracil phosphoribosyltransferase</t>
  </si>
  <si>
    <t>upp</t>
  </si>
  <si>
    <t>WP_003858289.1</t>
  </si>
  <si>
    <t>CGL_RS03415</t>
  </si>
  <si>
    <t>WP_003863635.1</t>
  </si>
  <si>
    <t>CGL_RS03420</t>
  </si>
  <si>
    <t>phospho-sugar mutase</t>
  </si>
  <si>
    <t>WP_003858287.1</t>
  </si>
  <si>
    <t>CGL_RS03425</t>
  </si>
  <si>
    <t>WP_011013814.1</t>
  </si>
  <si>
    <t>CGL_RS03430</t>
  </si>
  <si>
    <t>NAD(P)H-quinone dehydrogenase</t>
  </si>
  <si>
    <t>WP_011013815.1</t>
  </si>
  <si>
    <t>CGL_RS03435</t>
  </si>
  <si>
    <t>pyruvate carboxylase</t>
  </si>
  <si>
    <t>WP_011013816.1</t>
  </si>
  <si>
    <t>CGL_RS03440</t>
  </si>
  <si>
    <t>thioredoxin</t>
  </si>
  <si>
    <t>WP_011013817.1</t>
  </si>
  <si>
    <t>CGL_RS03445</t>
  </si>
  <si>
    <t>CAP domain-containing protein</t>
  </si>
  <si>
    <t>WP_011013818.1</t>
  </si>
  <si>
    <t>CGL_RS03450</t>
  </si>
  <si>
    <t>GTP-binding protein</t>
  </si>
  <si>
    <t>WP_011013819.1</t>
  </si>
  <si>
    <t>CGL_RS03455</t>
  </si>
  <si>
    <t>WP_011013820.1</t>
  </si>
  <si>
    <t>CGL_RS03460</t>
  </si>
  <si>
    <t>2-methylcitrate dehydratase PrpD</t>
  </si>
  <si>
    <t>WP_011013821.1</t>
  </si>
  <si>
    <t>CGL_RS03465</t>
  </si>
  <si>
    <t>WP_011013822.1</t>
  </si>
  <si>
    <t>CGL_RS03470</t>
  </si>
  <si>
    <t>WP_011013823.1</t>
  </si>
  <si>
    <t>CGL_RS03475</t>
  </si>
  <si>
    <t>WP_011013824.1</t>
  </si>
  <si>
    <t>CGL_RS03480</t>
  </si>
  <si>
    <t>WP_011013825.1</t>
  </si>
  <si>
    <t>CGL_RS03485</t>
  </si>
  <si>
    <t>WP_003863623.1</t>
  </si>
  <si>
    <t>CGL_RS03490</t>
  </si>
  <si>
    <t>acetyl/propionyl/methylcrotonyl-CoA carboxylase subunit alpha</t>
  </si>
  <si>
    <t>WP_011013826.1</t>
  </si>
  <si>
    <t>CGL_RS03495</t>
  </si>
  <si>
    <t>sulfurtransferase</t>
  </si>
  <si>
    <t>WP_011013827.1</t>
  </si>
  <si>
    <t>CGL_RS03500</t>
  </si>
  <si>
    <t>Cj0069 family protein</t>
  </si>
  <si>
    <t>WP_011013828.1</t>
  </si>
  <si>
    <t>CGL_RS03505</t>
  </si>
  <si>
    <t>DUF3151 domain-containing protein</t>
  </si>
  <si>
    <t>WP_011013829.1</t>
  </si>
  <si>
    <t>CGL_RS03510</t>
  </si>
  <si>
    <t>WP_011013830.1</t>
  </si>
  <si>
    <t>CGL_RS03515</t>
  </si>
  <si>
    <t>nucleoside triphosphate pyrophosphatase</t>
  </si>
  <si>
    <t>WP_011013831.1</t>
  </si>
  <si>
    <t>CGL_RS03520</t>
  </si>
  <si>
    <t>acyl-CoA carboxylase subunit epsilon</t>
  </si>
  <si>
    <t>WP_011013832.1</t>
  </si>
  <si>
    <t>CGL_RS03525</t>
  </si>
  <si>
    <t>acyl-CoA carboxylase subunit beta</t>
  </si>
  <si>
    <t>WP_003863615.1</t>
  </si>
  <si>
    <t>CGL_RS03530</t>
  </si>
  <si>
    <t>WP_011013833.1</t>
  </si>
  <si>
    <t>CGL_RS03535</t>
  </si>
  <si>
    <t>biotin--[acetyl-CoA-carboxylase] ligase</t>
  </si>
  <si>
    <t>WP_011265607.1</t>
  </si>
  <si>
    <t>CGL_RS03540</t>
  </si>
  <si>
    <t>WP_003863611.1</t>
  </si>
  <si>
    <t>CGL_RS03545</t>
  </si>
  <si>
    <t>5-(carboxyamino)imidazole ribonucleotide synthase</t>
  </si>
  <si>
    <t>WP_011013836.1</t>
  </si>
  <si>
    <t>CGL_RS03550</t>
  </si>
  <si>
    <t>potassium transporter Kup</t>
  </si>
  <si>
    <t>WP_011013837.1</t>
  </si>
  <si>
    <t>CGL_RS03555</t>
  </si>
  <si>
    <t>WP_011013838.1</t>
  </si>
  <si>
    <t>CGL_RS03560</t>
  </si>
  <si>
    <t>5-(carboxyamino)imidazole ribonucleotide mutase</t>
  </si>
  <si>
    <t>purE</t>
  </si>
  <si>
    <t>WP_003858249.1</t>
  </si>
  <si>
    <t>CGL_RS03565</t>
  </si>
  <si>
    <t>YdcF family protein</t>
  </si>
  <si>
    <t>WP_011013839.1</t>
  </si>
  <si>
    <t>CGL_RS03570</t>
  </si>
  <si>
    <t>WP_011013840.1</t>
  </si>
  <si>
    <t>CGL_RS03575</t>
  </si>
  <si>
    <t>LLM class flavin-dependent oxidoreductase</t>
  </si>
  <si>
    <t>WP_011013841.1</t>
  </si>
  <si>
    <t>CGL_RS03580</t>
  </si>
  <si>
    <t>integrase core domain-containing protein</t>
  </si>
  <si>
    <t>WP_011013842.1</t>
  </si>
  <si>
    <t>CGL_RS03585</t>
  </si>
  <si>
    <t>3-oxoacyl-ACP reductase</t>
  </si>
  <si>
    <t>WP_011013843.1</t>
  </si>
  <si>
    <t>CGL_RS03590</t>
  </si>
  <si>
    <t>WP_003863600.1</t>
  </si>
  <si>
    <t>CGL_RS03595</t>
  </si>
  <si>
    <t>dihydrofolate reductase family protein</t>
  </si>
  <si>
    <t>WP_011013844.1</t>
  </si>
  <si>
    <t>CGL_RS03600</t>
  </si>
  <si>
    <t>WP_011013845.1</t>
  </si>
  <si>
    <t>CGL_RS03605</t>
  </si>
  <si>
    <t>WP_011013846.1</t>
  </si>
  <si>
    <t>CGL_RS03610</t>
  </si>
  <si>
    <t>carbohydrate ABC transporter permease</t>
  </si>
  <si>
    <t>WP_011013847.1</t>
  </si>
  <si>
    <t>CGL_RS03615</t>
  </si>
  <si>
    <t>WP_011013848.1</t>
  </si>
  <si>
    <t>CGL_RS03620</t>
  </si>
  <si>
    <t>SRPBCC family protein</t>
  </si>
  <si>
    <t>WP_011013849.1</t>
  </si>
  <si>
    <t>CGL_RS03625</t>
  </si>
  <si>
    <t>WP_011013850.1</t>
  </si>
  <si>
    <t>CGL_RS03630</t>
  </si>
  <si>
    <t>WP_011013851.1</t>
  </si>
  <si>
    <t>CGL_RS03635</t>
  </si>
  <si>
    <t>DUF2127 domain-containing protein</t>
  </si>
  <si>
    <t>WP_011265612.1</t>
  </si>
  <si>
    <t>CGL_RS03640</t>
  </si>
  <si>
    <t>WP_011013853.1</t>
  </si>
  <si>
    <t>CGL_RS03645</t>
  </si>
  <si>
    <t>WP_011013854.1</t>
  </si>
  <si>
    <t>CGL_RS03650</t>
  </si>
  <si>
    <t>TIGR03089 family protein</t>
  </si>
  <si>
    <t>WP_011013855.1</t>
  </si>
  <si>
    <t>CGL_RS03655</t>
  </si>
  <si>
    <t>DUF262 domain-containing protein</t>
  </si>
  <si>
    <t>WP_011013856.1</t>
  </si>
  <si>
    <t>CGL_RS03660</t>
  </si>
  <si>
    <t>3'-5' exonuclease</t>
  </si>
  <si>
    <t>WP_011013857.1</t>
  </si>
  <si>
    <t>CGL_RS03665</t>
  </si>
  <si>
    <t>WP_011013858.1</t>
  </si>
  <si>
    <t>CGL_RS03670</t>
  </si>
  <si>
    <t>Eco57I restriction-modification methylase domain-containing protein</t>
  </si>
  <si>
    <t>WP_011013859.1</t>
  </si>
  <si>
    <t>CGL_RS03675</t>
  </si>
  <si>
    <t>WP_011013860.1</t>
  </si>
  <si>
    <t>CGL_RS03680</t>
  </si>
  <si>
    <t>cell wall biosynthesis protein LcpA</t>
  </si>
  <si>
    <t>lcpA</t>
  </si>
  <si>
    <t>WP_011013861.1</t>
  </si>
  <si>
    <t>CGL_RS03685</t>
  </si>
  <si>
    <t>WP_020948530.1</t>
  </si>
  <si>
    <t>CGL_RS03690</t>
  </si>
  <si>
    <t>sugar phosphate nucleotidyltransferase</t>
  </si>
  <si>
    <t>WP_011013863.1</t>
  </si>
  <si>
    <t>CGL_RS03695</t>
  </si>
  <si>
    <t>WhiB family transcriptional regulator</t>
  </si>
  <si>
    <t>WP_003858209.1</t>
  </si>
  <si>
    <t>CGL_RS03700</t>
  </si>
  <si>
    <t>metallopeptidase family protein</t>
  </si>
  <si>
    <t>WP_003863577.1</t>
  </si>
  <si>
    <t>CGL_RS03705</t>
  </si>
  <si>
    <t>DUF3499 domain-containing protein</t>
  </si>
  <si>
    <t>WP_003863575.1</t>
  </si>
  <si>
    <t>CGL_RS03710</t>
  </si>
  <si>
    <t>phosphomannomutase/phosphoglucomutase</t>
  </si>
  <si>
    <t>WP_003863574.1</t>
  </si>
  <si>
    <t>CGL_RS03715</t>
  </si>
  <si>
    <t>WP_003863573.1</t>
  </si>
  <si>
    <t>CGL_RS03720</t>
  </si>
  <si>
    <t>mannose-6-phosphate isomerase, class I</t>
  </si>
  <si>
    <t>manA</t>
  </si>
  <si>
    <t>WP_011013865.1</t>
  </si>
  <si>
    <t>CGL_RS03725</t>
  </si>
  <si>
    <t>WP_011013866.1</t>
  </si>
  <si>
    <t>CGL_RS03735</t>
  </si>
  <si>
    <t>WP_003858196.1</t>
  </si>
  <si>
    <t>CGL_RS03740</t>
  </si>
  <si>
    <t>adenosylhomocysteinase</t>
  </si>
  <si>
    <t>ahcY</t>
  </si>
  <si>
    <t>WP_003858195.1</t>
  </si>
  <si>
    <t>CGL_RS03745</t>
  </si>
  <si>
    <t>dTMP kinase</t>
  </si>
  <si>
    <t>WP_003858194.1</t>
  </si>
  <si>
    <t>CGL_RS03750</t>
  </si>
  <si>
    <t>two-component system response regulator MtrA</t>
  </si>
  <si>
    <t>mtrA</t>
  </si>
  <si>
    <t>WP_011013867.1</t>
  </si>
  <si>
    <t>CGL_RS03755</t>
  </si>
  <si>
    <t>two-component system sensor histidine kinase MtrB</t>
  </si>
  <si>
    <t>mtrB</t>
  </si>
  <si>
    <t>WP_179300924.1</t>
  </si>
  <si>
    <t>CGL_RS03760</t>
  </si>
  <si>
    <t>MtrAB system accessory lipoprotein LpqB</t>
  </si>
  <si>
    <t>lpqB</t>
  </si>
  <si>
    <t>WP_011013869.1</t>
  </si>
  <si>
    <t>CGL_RS03765</t>
  </si>
  <si>
    <t>ComF family protein</t>
  </si>
  <si>
    <t>WP_227747753.1</t>
  </si>
  <si>
    <t>CGL_RS03770</t>
  </si>
  <si>
    <t>ribosome hibernation-promoting factor, HPF/YfiA family</t>
  </si>
  <si>
    <t>hpf</t>
  </si>
  <si>
    <t>WP_003858182.1</t>
  </si>
  <si>
    <t>CGL_RS03775</t>
  </si>
  <si>
    <t>preprotein translocase subunit SecA</t>
  </si>
  <si>
    <t>secA</t>
  </si>
  <si>
    <t>WP_011013871.1</t>
  </si>
  <si>
    <t>CGL_RS03780</t>
  </si>
  <si>
    <t>Rv3235 family protein</t>
  </si>
  <si>
    <t>WP_003858177.1</t>
  </si>
  <si>
    <t>CGL_RS03785</t>
  </si>
  <si>
    <t>HAD-IA family hydrolase</t>
  </si>
  <si>
    <t>WP_003863558.1</t>
  </si>
  <si>
    <t>CGL_RS03790</t>
  </si>
  <si>
    <t>DUF6912 family protein</t>
  </si>
  <si>
    <t>WP_003858173.1</t>
  </si>
  <si>
    <t>CGL_RS03795</t>
  </si>
  <si>
    <t>ribosome small subunit-dependent GTPase A</t>
  </si>
  <si>
    <t>rsgA</t>
  </si>
  <si>
    <t>WP_370684771.1</t>
  </si>
  <si>
    <t>CGL_RS03800</t>
  </si>
  <si>
    <t>3-phosphoshikimate 1-carboxyvinyltransferase</t>
  </si>
  <si>
    <t>aroA</t>
  </si>
  <si>
    <t>WP_011013873.1</t>
  </si>
  <si>
    <t>CGL_RS03805</t>
  </si>
  <si>
    <t>SOS response-associated peptidase</t>
  </si>
  <si>
    <t>WP_011265617.1</t>
  </si>
  <si>
    <t>CGL_RS03810</t>
  </si>
  <si>
    <t>HNH endonuclease signature motif containing protein</t>
  </si>
  <si>
    <t>WP_006283678.1</t>
  </si>
  <si>
    <t>CGL_RS03815</t>
  </si>
  <si>
    <t>WP_003858163.1</t>
  </si>
  <si>
    <t>CGL_RS03820</t>
  </si>
  <si>
    <t>mycothiol system anti-sigma-R factor</t>
  </si>
  <si>
    <t>rsrA</t>
  </si>
  <si>
    <t>WP_003858161.1</t>
  </si>
  <si>
    <t>CGL_RS03825</t>
  </si>
  <si>
    <t>50S ribosomal protein bL37</t>
  </si>
  <si>
    <t>WP_020948532.1</t>
  </si>
  <si>
    <t>CGL_RS15865</t>
  </si>
  <si>
    <t>WhiB family transcriptional regulator WhcE</t>
  </si>
  <si>
    <t>whcE</t>
  </si>
  <si>
    <t>WP_003858159.1</t>
  </si>
  <si>
    <t>CGL_RS03830</t>
  </si>
  <si>
    <t>WP_003858157.1</t>
  </si>
  <si>
    <t>CGL_RS03835</t>
  </si>
  <si>
    <t>Rv3212 family protein</t>
  </si>
  <si>
    <t>WP_011013875.1</t>
  </si>
  <si>
    <t>CGL_RS03840</t>
  </si>
  <si>
    <t>WP_011013876.1</t>
  </si>
  <si>
    <t>CGL_RS03845</t>
  </si>
  <si>
    <t>DUF3107 domain-containing protein</t>
  </si>
  <si>
    <t>WP_011013877.1</t>
  </si>
  <si>
    <t>CGL_RS03850</t>
  </si>
  <si>
    <t>DUF3152 domain-containing protein</t>
  </si>
  <si>
    <t>WP_011013878.1</t>
  </si>
  <si>
    <t>CGL_RS03855</t>
  </si>
  <si>
    <t>TIGR02569 family protein</t>
  </si>
  <si>
    <t>WP_003858145.1</t>
  </si>
  <si>
    <t>CGL_RS03860</t>
  </si>
  <si>
    <t>ATP-dependent helicase</t>
  </si>
  <si>
    <t>WP_011013879.1</t>
  </si>
  <si>
    <t>CGL_RS03865</t>
  </si>
  <si>
    <t>WP_011013880.1</t>
  </si>
  <si>
    <t>CGL_RS03870</t>
  </si>
  <si>
    <t>potassium channel family protein</t>
  </si>
  <si>
    <t>WP_003863539.1</t>
  </si>
  <si>
    <t>CGL_RS03875</t>
  </si>
  <si>
    <t>NUDIX domain-containing protein</t>
  </si>
  <si>
    <t>WP_011013881.1</t>
  </si>
  <si>
    <t>CGL_RS03880</t>
  </si>
  <si>
    <t>ATP-dependent DNA helicase UvrD2</t>
  </si>
  <si>
    <t>WP_011013882.1</t>
  </si>
  <si>
    <t>CGL_RS03885</t>
  </si>
  <si>
    <t>WP_011013883.1</t>
  </si>
  <si>
    <t>CGL_RS03890</t>
  </si>
  <si>
    <t>M48 family metallopeptidase</t>
  </si>
  <si>
    <t>WP_011013884.1</t>
  </si>
  <si>
    <t>CGL_RS03895</t>
  </si>
  <si>
    <t>zinc-dependent metalloprotease</t>
  </si>
  <si>
    <t>WP_003858132.1</t>
  </si>
  <si>
    <t>CGL_RS03900</t>
  </si>
  <si>
    <t>YlbL family protein</t>
  </si>
  <si>
    <t>WP_011013885.1</t>
  </si>
  <si>
    <t>CGL_RS03905</t>
  </si>
  <si>
    <t>WP_011265619.1</t>
  </si>
  <si>
    <t>CGL_RS15615</t>
  </si>
  <si>
    <t>PPA1309 family protein</t>
  </si>
  <si>
    <t>WP_003858126.1</t>
  </si>
  <si>
    <t>CGL_RS03915</t>
  </si>
  <si>
    <t>UPF0182 family protein</t>
  </si>
  <si>
    <t>WP_011013886.1</t>
  </si>
  <si>
    <t>CGL_RS03920</t>
  </si>
  <si>
    <t>pyridoxine biosynthesis transcriptional regulator PdxR</t>
  </si>
  <si>
    <t>pdxR</t>
  </si>
  <si>
    <t>WP_011013887.1</t>
  </si>
  <si>
    <t>CGL_RS03925</t>
  </si>
  <si>
    <t>pyridoxal 5'-phosphate synthase lyase subunit PdxS</t>
  </si>
  <si>
    <t>pdxS</t>
  </si>
  <si>
    <t>WP_003858119.1</t>
  </si>
  <si>
    <t>CGL_RS03930</t>
  </si>
  <si>
    <t>pyridoxal 5'-phosphate synthase glutaminase subunit PdxT</t>
  </si>
  <si>
    <t>pdxT</t>
  </si>
  <si>
    <t>WP_011013889.1</t>
  </si>
  <si>
    <t>CGL_RS03935</t>
  </si>
  <si>
    <t>CGL_RS03940</t>
  </si>
  <si>
    <t>SdpI family protein</t>
  </si>
  <si>
    <t>WP_011013890.1</t>
  </si>
  <si>
    <t>CGL_RS03945</t>
  </si>
  <si>
    <t>S1 family peptidase</t>
  </si>
  <si>
    <t>WP_011013891.1</t>
  </si>
  <si>
    <t>CGL_RS03950</t>
  </si>
  <si>
    <t>WP_011013892.1</t>
  </si>
  <si>
    <t>CGL_RS03955</t>
  </si>
  <si>
    <t>WP_011265621.1</t>
  </si>
  <si>
    <t>CGL_RS03960</t>
  </si>
  <si>
    <t>WP_011265622.1</t>
  </si>
  <si>
    <t>CGL_RS03965</t>
  </si>
  <si>
    <t>LGFP repeat-containing protein</t>
  </si>
  <si>
    <t>WP_011013894.1</t>
  </si>
  <si>
    <t>CGL_RS03970</t>
  </si>
  <si>
    <t>WP_003858105.1</t>
  </si>
  <si>
    <t>CGL_RS03975</t>
  </si>
  <si>
    <t>WP_011013896.1</t>
  </si>
  <si>
    <t>CGL_RS03980</t>
  </si>
  <si>
    <t>WP_172769599.1</t>
  </si>
  <si>
    <t>CGL_RS15520</t>
  </si>
  <si>
    <t>histidinol-phosphatase</t>
  </si>
  <si>
    <t>hisN</t>
  </si>
  <si>
    <t>WP_011013898.1</t>
  </si>
  <si>
    <t>CGL_RS03995</t>
  </si>
  <si>
    <t>inositol monophosphatase family protein</t>
  </si>
  <si>
    <t>WP_011013899.1</t>
  </si>
  <si>
    <t>CGL_RS04000</t>
  </si>
  <si>
    <t>peptide chain release factor 2</t>
  </si>
  <si>
    <t>prfB</t>
  </si>
  <si>
    <t>WP_003863507.1</t>
  </si>
  <si>
    <t>CGL_RS04005</t>
  </si>
  <si>
    <t>cell division ATP-binding protein FtsE</t>
  </si>
  <si>
    <t>ftsE</t>
  </si>
  <si>
    <t>WP_003858089.1</t>
  </si>
  <si>
    <t>CGL_RS04010</t>
  </si>
  <si>
    <t>permease-like cell division protein FtsX</t>
  </si>
  <si>
    <t>ftsX</t>
  </si>
  <si>
    <t>WP_003858086.1</t>
  </si>
  <si>
    <t>CGL_RS04015</t>
  </si>
  <si>
    <t>SsrA-binding protein SmpB</t>
  </si>
  <si>
    <t>smpB</t>
  </si>
  <si>
    <t>WP_003858084.1</t>
  </si>
  <si>
    <t>CGL_RS04020</t>
  </si>
  <si>
    <t>DUF488 domain-containing protein</t>
  </si>
  <si>
    <t>WP_011013900.1</t>
  </si>
  <si>
    <t>CGL_RS04025</t>
  </si>
  <si>
    <t>transfer-messenger RNA</t>
  </si>
  <si>
    <t>ssrA</t>
  </si>
  <si>
    <t>CGL_RS04030</t>
  </si>
  <si>
    <t>CGL_RS04035</t>
  </si>
  <si>
    <t>CGL_RS04040</t>
  </si>
  <si>
    <t>WP_011013902.1</t>
  </si>
  <si>
    <t>CGL_RS04045</t>
  </si>
  <si>
    <t>WP_011013903.1</t>
  </si>
  <si>
    <t>CGL_RS04050</t>
  </si>
  <si>
    <t>vitamin K epoxide reductase family protein</t>
  </si>
  <si>
    <t>WP_011013904.1</t>
  </si>
  <si>
    <t>CGL_RS04055</t>
  </si>
  <si>
    <t>siderophore ABC transporter substrate-binding protein</t>
  </si>
  <si>
    <t>WP_011013905.1</t>
  </si>
  <si>
    <t>CGL_RS04060</t>
  </si>
  <si>
    <t>WP_003863480.1</t>
  </si>
  <si>
    <t>CGL_RS04065</t>
  </si>
  <si>
    <t>WP_003863478.1</t>
  </si>
  <si>
    <t>CGL_RS04070</t>
  </si>
  <si>
    <t>iron ABC transporter ATP-binding protein</t>
  </si>
  <si>
    <t>WP_011013906.1</t>
  </si>
  <si>
    <t>CGL_RS04075</t>
  </si>
  <si>
    <t>CGL_RS04080</t>
  </si>
  <si>
    <t>CGL_RS04085</t>
  </si>
  <si>
    <t>CGL_RS04090</t>
  </si>
  <si>
    <t>pyridoxal phosphate-dependent aminotransferase</t>
  </si>
  <si>
    <t>WP_011013907.1</t>
  </si>
  <si>
    <t>CGL_RS04095</t>
  </si>
  <si>
    <t>DUF3239 domain-containing protein</t>
  </si>
  <si>
    <t>WP_011013908.1</t>
  </si>
  <si>
    <t>CGL_RS04100</t>
  </si>
  <si>
    <t>DNA repair helicase XPB</t>
  </si>
  <si>
    <t>WP_003858302.1</t>
  </si>
  <si>
    <t>CGL_RS04105</t>
  </si>
  <si>
    <t>helicase-associated domain-containing protein</t>
  </si>
  <si>
    <t>WP_011013909.1</t>
  </si>
  <si>
    <t>CGL_RS04110</t>
  </si>
  <si>
    <t>WP_003858306.1</t>
  </si>
  <si>
    <t>CGL_RS04115</t>
  </si>
  <si>
    <t>resuscitation-promoting factor Rpf1</t>
  </si>
  <si>
    <t>rpf1</t>
  </si>
  <si>
    <t>WP_003862355.1</t>
  </si>
  <si>
    <t>CGL_RS04120</t>
  </si>
  <si>
    <t>WP_003858310.1</t>
  </si>
  <si>
    <t>CGL_RS04125</t>
  </si>
  <si>
    <t>DUF2771 domain-containing protein</t>
  </si>
  <si>
    <t>WP_003858312.1</t>
  </si>
  <si>
    <t>CGL_RS04130</t>
  </si>
  <si>
    <t>glutaminyl-peptide cyclotransferase</t>
  </si>
  <si>
    <t>WP_042383007.1</t>
  </si>
  <si>
    <t>CGL_RS04135</t>
  </si>
  <si>
    <t>aminotransferase class IV</t>
  </si>
  <si>
    <t>WP_011265629.1</t>
  </si>
  <si>
    <t>CGL_RS04140</t>
  </si>
  <si>
    <t>NCS2 family permease</t>
  </si>
  <si>
    <t>WP_003862359.1</t>
  </si>
  <si>
    <t>CGL_RS04145</t>
  </si>
  <si>
    <t>TrmH family RNA methyltransferase</t>
  </si>
  <si>
    <t>WP_003862361.1</t>
  </si>
  <si>
    <t>CGL_RS04150</t>
  </si>
  <si>
    <t>DUF6928 family protein</t>
  </si>
  <si>
    <t>WP_003858320.1</t>
  </si>
  <si>
    <t>CGL_RS04155</t>
  </si>
  <si>
    <t>septation protein SepH</t>
  </si>
  <si>
    <t>sepH</t>
  </si>
  <si>
    <t>WP_011013912.1</t>
  </si>
  <si>
    <t>CGL_RS04160</t>
  </si>
  <si>
    <t>phosphoserine transaminase</t>
  </si>
  <si>
    <t>serC</t>
  </si>
  <si>
    <t>WP_011013913.1</t>
  </si>
  <si>
    <t>CGL_RS04165</t>
  </si>
  <si>
    <t>citrate synthase</t>
  </si>
  <si>
    <t>WP_011013914.1</t>
  </si>
  <si>
    <t>CGL_RS04170</t>
  </si>
  <si>
    <t>FKBP-type peptidyl-prolyl cis-trans isomerase FkpA</t>
  </si>
  <si>
    <t>fkpA</t>
  </si>
  <si>
    <t>WP_003858324.1</t>
  </si>
  <si>
    <t>CGL_RS04175</t>
  </si>
  <si>
    <t>acetyl-coenzyme A carboxylase carboxyl transferase subunits beta/alpha</t>
  </si>
  <si>
    <t>WP_011013915.1</t>
  </si>
  <si>
    <t>CGL_RS04180</t>
  </si>
  <si>
    <t>DUF485 domain-containing protein</t>
  </si>
  <si>
    <t>WP_011265632.1</t>
  </si>
  <si>
    <t>CGL_RS04185</t>
  </si>
  <si>
    <t>solute symporter family protein</t>
  </si>
  <si>
    <t>WP_011013917.1</t>
  </si>
  <si>
    <t>CGL_RS04190</t>
  </si>
  <si>
    <t>WP_011013918.1</t>
  </si>
  <si>
    <t>CGL_RS04195</t>
  </si>
  <si>
    <t>DUF1906 domain-containing protein</t>
  </si>
  <si>
    <t>WP_011013919.1</t>
  </si>
  <si>
    <t>CGL_RS04200</t>
  </si>
  <si>
    <t>type I polyketide synthase</t>
  </si>
  <si>
    <t>WP_011013920.1</t>
  </si>
  <si>
    <t>CGL_RS04205</t>
  </si>
  <si>
    <t>septum formation family protein</t>
  </si>
  <si>
    <t>WP_011013921.1</t>
  </si>
  <si>
    <t>CGL_RS04210</t>
  </si>
  <si>
    <t>WP_003862382.1</t>
  </si>
  <si>
    <t>CGL_RS04215</t>
  </si>
  <si>
    <t>WP_003862384.1</t>
  </si>
  <si>
    <t>CGL_RS04220</t>
  </si>
  <si>
    <t>CGL_RS04225</t>
  </si>
  <si>
    <t>WP_003862386.1</t>
  </si>
  <si>
    <t>CGL_RS04230</t>
  </si>
  <si>
    <t>mycoredoxin</t>
  </si>
  <si>
    <t>WP_011013923.1</t>
  </si>
  <si>
    <t>CGL_RS04235</t>
  </si>
  <si>
    <t>dihydrofolate reductase</t>
  </si>
  <si>
    <t>WP_011013924.1</t>
  </si>
  <si>
    <t>CGL_RS04240</t>
  </si>
  <si>
    <t>thymidylate synthase</t>
  </si>
  <si>
    <t>WP_003862391.1</t>
  </si>
  <si>
    <t>CGL_RS04245</t>
  </si>
  <si>
    <t>3'(2'),5'-bisphosphate nucleotidase CysQ</t>
  </si>
  <si>
    <t>WP_003862394.1</t>
  </si>
  <si>
    <t>CGL_RS04250</t>
  </si>
  <si>
    <t>WP_011013925.1</t>
  </si>
  <si>
    <t>CGL_RS04255</t>
  </si>
  <si>
    <t>Fpg/Nei family DNA glycosylase</t>
  </si>
  <si>
    <t>WP_003862398.1</t>
  </si>
  <si>
    <t>CGL_RS04260</t>
  </si>
  <si>
    <t>YccF domain-containing protein</t>
  </si>
  <si>
    <t>WP_003858364.1</t>
  </si>
  <si>
    <t>CGL_RS04265</t>
  </si>
  <si>
    <t>WP_011013926.1</t>
  </si>
  <si>
    <t>CGL_RS04270</t>
  </si>
  <si>
    <t>WP_165442296.1</t>
  </si>
  <si>
    <t>CGL_RS15430</t>
  </si>
  <si>
    <t>CynX/NimT family MFS transporter</t>
  </si>
  <si>
    <t>WP_011013927.1</t>
  </si>
  <si>
    <t>CGL_RS04275</t>
  </si>
  <si>
    <t>glucose-6-phosphate isomerase</t>
  </si>
  <si>
    <t>pgi</t>
  </si>
  <si>
    <t>WP_011013928.1</t>
  </si>
  <si>
    <t>CGL_RS04280</t>
  </si>
  <si>
    <t>WP_230622908.1</t>
  </si>
  <si>
    <t>CGL_RS04285</t>
  </si>
  <si>
    <t>chorismate mutase</t>
  </si>
  <si>
    <t>WP_003858377.1</t>
  </si>
  <si>
    <t>CGL_RS04290</t>
  </si>
  <si>
    <t>DNA helicase PcrA</t>
  </si>
  <si>
    <t>pcrA</t>
  </si>
  <si>
    <t>WP_011013929.1</t>
  </si>
  <si>
    <t>CGL_RS04295</t>
  </si>
  <si>
    <t>WP_011013930.1</t>
  </si>
  <si>
    <t>CGL_RS04300</t>
  </si>
  <si>
    <t>WP_011013931.1</t>
  </si>
  <si>
    <t>CGL_RS04305</t>
  </si>
  <si>
    <t>PadR family transcriptional regulator</t>
  </si>
  <si>
    <t>WP_003862411.1</t>
  </si>
  <si>
    <t>CGL_RS04310</t>
  </si>
  <si>
    <t>M23 family metallopeptidase</t>
  </si>
  <si>
    <t>WP_011013932.1</t>
  </si>
  <si>
    <t>CGL_RS04315</t>
  </si>
  <si>
    <t>cell division protein PerM</t>
  </si>
  <si>
    <t>WP_011013933.1</t>
  </si>
  <si>
    <t>CGL_RS04320</t>
  </si>
  <si>
    <t>phosphoribosylglycinamide formyltransferase</t>
  </si>
  <si>
    <t>purN</t>
  </si>
  <si>
    <t>WP_003858391.1</t>
  </si>
  <si>
    <t>CGL_RS04325</t>
  </si>
  <si>
    <t>bifunctional phosphoribosylaminoimidazolecarboxamide formyltransferase/IMP cyclohydrolase</t>
  </si>
  <si>
    <t>purH</t>
  </si>
  <si>
    <t>WP_011013935.1</t>
  </si>
  <si>
    <t>CGL_RS04330</t>
  </si>
  <si>
    <t>HpcH/HpaI aldolase/citrate lyase family protein</t>
  </si>
  <si>
    <t>WP_011013936.1</t>
  </si>
  <si>
    <t>CGL_RS04335</t>
  </si>
  <si>
    <t>TetR/AcrR family transcriptional regulator AmtR</t>
  </si>
  <si>
    <t>amtR</t>
  </si>
  <si>
    <t>WP_011013937.1</t>
  </si>
  <si>
    <t>CGL_RS04340</t>
  </si>
  <si>
    <t>putative nucleotidyltransferase substrate binding domain-containing protein</t>
  </si>
  <si>
    <t>WP_003862417.1</t>
  </si>
  <si>
    <t>CGL_RS04345</t>
  </si>
  <si>
    <t>30S ribosomal protein S18</t>
  </si>
  <si>
    <t>rpsR</t>
  </si>
  <si>
    <t>WP_003858407.1</t>
  </si>
  <si>
    <t>CGL_RS04350</t>
  </si>
  <si>
    <t>30S ribosomal protein S14</t>
  </si>
  <si>
    <t>rpsN</t>
  </si>
  <si>
    <t>WP_011013938.1</t>
  </si>
  <si>
    <t>CGL_RS04355</t>
  </si>
  <si>
    <t>50S ribosomal protein L33</t>
  </si>
  <si>
    <t>rpmG</t>
  </si>
  <si>
    <t>WP_003858439.1</t>
  </si>
  <si>
    <t>CGL_RS04360</t>
  </si>
  <si>
    <t>50S ribosomal protein L28</t>
  </si>
  <si>
    <t>rpmB</t>
  </si>
  <si>
    <t>WP_003858441.1</t>
  </si>
  <si>
    <t>CGL_RS04365</t>
  </si>
  <si>
    <t>SulP family inorganic anion transporter</t>
  </si>
  <si>
    <t>WP_011265637.1</t>
  </si>
  <si>
    <t>CGL_RS04370</t>
  </si>
  <si>
    <t>WP_003858445.1</t>
  </si>
  <si>
    <t>CGL_RS04375</t>
  </si>
  <si>
    <t>type B 50S ribosomal protein L31</t>
  </si>
  <si>
    <t>WP_003858446.1</t>
  </si>
  <si>
    <t>CGL_RS04380</t>
  </si>
  <si>
    <t>50S ribosomal protein L32</t>
  </si>
  <si>
    <t>rpmF</t>
  </si>
  <si>
    <t>WP_003858448.1</t>
  </si>
  <si>
    <t>CGL_RS04385</t>
  </si>
  <si>
    <t>WP_011013940.1</t>
  </si>
  <si>
    <t>CGL_RS04390</t>
  </si>
  <si>
    <t>WP_011013941.1</t>
  </si>
  <si>
    <t>CGL_RS04395</t>
  </si>
  <si>
    <t>S1C family serine protease</t>
  </si>
  <si>
    <t>WP_011013942.1</t>
  </si>
  <si>
    <t>CGL_RS04400</t>
  </si>
  <si>
    <t>WP_003858456.1</t>
  </si>
  <si>
    <t>CGL_RS04405</t>
  </si>
  <si>
    <t>WP_374057886.1</t>
  </si>
  <si>
    <t>CGL_RS04410</t>
  </si>
  <si>
    <t>large conductance mechanosensitive channel protein MscL</t>
  </si>
  <si>
    <t>mscL</t>
  </si>
  <si>
    <t>WP_011013943.1</t>
  </si>
  <si>
    <t>CGL_RS04415</t>
  </si>
  <si>
    <t>SAF domain-containing protein</t>
  </si>
  <si>
    <t>WP_011013944.1</t>
  </si>
  <si>
    <t>CGL_RS04420</t>
  </si>
  <si>
    <t>5-formyltetrahydrofolate cyclo-ligase</t>
  </si>
  <si>
    <t>WP_011013945.1</t>
  </si>
  <si>
    <t>CGL_RS04425</t>
  </si>
  <si>
    <t>WP_003858460.1</t>
  </si>
  <si>
    <t>CGL_RS04430</t>
  </si>
  <si>
    <t>molybdotransferase-like divisome protein Glp</t>
  </si>
  <si>
    <t>glp</t>
  </si>
  <si>
    <t>WP_003858461.1</t>
  </si>
  <si>
    <t>CGL_RS04435</t>
  </si>
  <si>
    <t>WP_011265642.1</t>
  </si>
  <si>
    <t>CGL_RS04440</t>
  </si>
  <si>
    <t>divisome protein SepX/GlpR</t>
  </si>
  <si>
    <t>glpR</t>
  </si>
  <si>
    <t>WP_003858464.1</t>
  </si>
  <si>
    <t>CGL_RS04445</t>
  </si>
  <si>
    <t>WP_011013946.1</t>
  </si>
  <si>
    <t>CGL_RS04450</t>
  </si>
  <si>
    <t>WP_011013947.1</t>
  </si>
  <si>
    <t>CGL_RS04455</t>
  </si>
  <si>
    <t>zf-HC2 domain-containing protein</t>
  </si>
  <si>
    <t>WP_003858471.1</t>
  </si>
  <si>
    <t>CGL_RS04460</t>
  </si>
  <si>
    <t>alpha-amylase family protein</t>
  </si>
  <si>
    <t>WP_011013948.1</t>
  </si>
  <si>
    <t>CGL_RS04465</t>
  </si>
  <si>
    <t>dolichyl-phosphate-mannose--protein mannosyltransferase</t>
  </si>
  <si>
    <t>WP_011013949.1</t>
  </si>
  <si>
    <t>CGL_RS04470</t>
  </si>
  <si>
    <t>16S rRNA (cytidine(1402)-2'-O)-methyltransferase</t>
  </si>
  <si>
    <t>rsmI</t>
  </si>
  <si>
    <t>WP_011013950.1</t>
  </si>
  <si>
    <t>CGL_RS04475</t>
  </si>
  <si>
    <t>glycine betaine transporter BetP</t>
  </si>
  <si>
    <t>betP</t>
  </si>
  <si>
    <t>WP_011265645.1</t>
  </si>
  <si>
    <t>CGL_RS04480</t>
  </si>
  <si>
    <t>methionine--tRNA ligase</t>
  </si>
  <si>
    <t>metG</t>
  </si>
  <si>
    <t>WP_011013952.1</t>
  </si>
  <si>
    <t>CGL_RS04485</t>
  </si>
  <si>
    <t>RecQ family ATP-dependent DNA helicase</t>
  </si>
  <si>
    <t>WP_011013953.1</t>
  </si>
  <si>
    <t>CGL_RS04490</t>
  </si>
  <si>
    <t>cyclase family protein</t>
  </si>
  <si>
    <t>WP_011013954.1</t>
  </si>
  <si>
    <t>CGL_RS04495</t>
  </si>
  <si>
    <t>WP_326998608.1</t>
  </si>
  <si>
    <t>CGL_RS15620</t>
  </si>
  <si>
    <t>cupin domain-containing protein</t>
  </si>
  <si>
    <t>WP_011013955.1</t>
  </si>
  <si>
    <t>CGL_RS04505</t>
  </si>
  <si>
    <t>WP_011265646.1</t>
  </si>
  <si>
    <t>CGL_RS04510</t>
  </si>
  <si>
    <t>CGL_RS04515</t>
  </si>
  <si>
    <t>CGL_RS04520</t>
  </si>
  <si>
    <t>D-lactate dehydrogenase</t>
  </si>
  <si>
    <t>dld</t>
  </si>
  <si>
    <t>WP_011013960.1</t>
  </si>
  <si>
    <t>CGL_RS04525</t>
  </si>
  <si>
    <t>DNA methyltransferase</t>
  </si>
  <si>
    <t>WP_011013961.1</t>
  </si>
  <si>
    <t>CGL_RS04530</t>
  </si>
  <si>
    <t>CGL_RS04535</t>
  </si>
  <si>
    <t>Cd(II)/Pb(II)-sensing metalloregulatory transcriptional regulator CmtR</t>
  </si>
  <si>
    <t>WP_011013963.1</t>
  </si>
  <si>
    <t>CGL_RS04540</t>
  </si>
  <si>
    <t>cadmium resistance transporter</t>
  </si>
  <si>
    <t>WP_197526092.1</t>
  </si>
  <si>
    <t>CGL_RS04545</t>
  </si>
  <si>
    <t>TatD family hydrolase</t>
  </si>
  <si>
    <t>WP_011013965.1</t>
  </si>
  <si>
    <t>CGL_RS04550</t>
  </si>
  <si>
    <t>resuscitation-promoting factor Rpf2</t>
  </si>
  <si>
    <t>rpf2</t>
  </si>
  <si>
    <t>WP_003858490.1</t>
  </si>
  <si>
    <t>CGL_RS04555</t>
  </si>
  <si>
    <t>16S rRNA (adenine(1518)-N(6)/adenine(1519)-N(6))-dimethyltransferase RsmA</t>
  </si>
  <si>
    <t>rsmA</t>
  </si>
  <si>
    <t>WP_011013966.1</t>
  </si>
  <si>
    <t>CGL_RS04560</t>
  </si>
  <si>
    <t>4-(cytidine 5'-diphospho)-2-C-methyl-D-erythritol kinase</t>
  </si>
  <si>
    <t>WP_011013967.1</t>
  </si>
  <si>
    <t>CGL_RS04565</t>
  </si>
  <si>
    <t>ABC-F family ATP-binding cassette domain-containing protein</t>
  </si>
  <si>
    <t>WP_011013968.1</t>
  </si>
  <si>
    <t>CGL_RS04570</t>
  </si>
  <si>
    <t>pyridoxal kinase</t>
  </si>
  <si>
    <t>WP_011013969.1</t>
  </si>
  <si>
    <t>CGL_RS04575</t>
  </si>
  <si>
    <t>peroxiredoxin family protein</t>
  </si>
  <si>
    <t>WP_011013970.1</t>
  </si>
  <si>
    <t>CGL_RS04580</t>
  </si>
  <si>
    <t>WP_020948541.1</t>
  </si>
  <si>
    <t>CGL_RS04585</t>
  </si>
  <si>
    <t>antibiotic biosynthesis monooxygenase family protein</t>
  </si>
  <si>
    <t>WP_011013971.1</t>
  </si>
  <si>
    <t>CGL_RS04590</t>
  </si>
  <si>
    <t>polyphosphate kinase 2</t>
  </si>
  <si>
    <t>ppk2</t>
  </si>
  <si>
    <t>WP_011013972.1</t>
  </si>
  <si>
    <t>CGL_RS04595</t>
  </si>
  <si>
    <t>Cof-type HAD-IIB family hydrolase</t>
  </si>
  <si>
    <t>WP_003858506.1</t>
  </si>
  <si>
    <t>CGL_RS04600</t>
  </si>
  <si>
    <t>enoyl-CoA hydratase/isomerase family protein</t>
  </si>
  <si>
    <t>WP_011013973.1</t>
  </si>
  <si>
    <t>CGL_RS04605</t>
  </si>
  <si>
    <t>WP_003858512.1</t>
  </si>
  <si>
    <t>CGL_RS04610</t>
  </si>
  <si>
    <t>DUF6882 domain-containing protein</t>
  </si>
  <si>
    <t>WP_011013974.1</t>
  </si>
  <si>
    <t>CGL_RS04615</t>
  </si>
  <si>
    <t>WP_011013975.1</t>
  </si>
  <si>
    <t>CGL_RS04620</t>
  </si>
  <si>
    <t>WP_011013976.1</t>
  </si>
  <si>
    <t>CGL_RS04625</t>
  </si>
  <si>
    <t>WP_011013977.1</t>
  </si>
  <si>
    <t>CGL_RS04630</t>
  </si>
  <si>
    <t>ribonuclease E activity regulator RraA</t>
  </si>
  <si>
    <t>rraA</t>
  </si>
  <si>
    <t>WP_011013978.1</t>
  </si>
  <si>
    <t>CGL_RS04635</t>
  </si>
  <si>
    <t>WP_011013979.1</t>
  </si>
  <si>
    <t>CGL_RS04640</t>
  </si>
  <si>
    <t>CGL_RS04645</t>
  </si>
  <si>
    <t>WP_011013981.1</t>
  </si>
  <si>
    <t>CGL_RS04650</t>
  </si>
  <si>
    <t>peptide chain release factor 3</t>
  </si>
  <si>
    <t>WP_011013982.1</t>
  </si>
  <si>
    <t>CGL_RS04655</t>
  </si>
  <si>
    <t>urea ABC transporter substrate-binding protein</t>
  </si>
  <si>
    <t>urtA</t>
  </si>
  <si>
    <t>WP_003860043.1</t>
  </si>
  <si>
    <t>CGL_RS04660</t>
  </si>
  <si>
    <t>urea ABC transporter permease subunit UrtB</t>
  </si>
  <si>
    <t>urtB</t>
  </si>
  <si>
    <t>WP_003856680.1</t>
  </si>
  <si>
    <t>CGL_RS04665</t>
  </si>
  <si>
    <t>urea ABC transporter permease subunit UrtC</t>
  </si>
  <si>
    <t>urtC</t>
  </si>
  <si>
    <t>WP_011013983.1</t>
  </si>
  <si>
    <t>CGL_RS04670</t>
  </si>
  <si>
    <t>urea ABC transporter ATP-binding protein UrtD</t>
  </si>
  <si>
    <t>urtD</t>
  </si>
  <si>
    <t>WP_011013984.1</t>
  </si>
  <si>
    <t>CGL_RS04675</t>
  </si>
  <si>
    <t>urea ABC transporter ATP-binding subunit UrtE</t>
  </si>
  <si>
    <t>urtE</t>
  </si>
  <si>
    <t>WP_011013985.1</t>
  </si>
  <si>
    <t>CGL_RS04680</t>
  </si>
  <si>
    <t>aminoacyl-tRNA hydrolase</t>
  </si>
  <si>
    <t>pth</t>
  </si>
  <si>
    <t>WP_011013986.1</t>
  </si>
  <si>
    <t>CGL_RS04685</t>
  </si>
  <si>
    <t>nitronate monooxygenase</t>
  </si>
  <si>
    <t>WP_011013987.1</t>
  </si>
  <si>
    <t>CGL_RS04690</t>
  </si>
  <si>
    <t>glyceraldehyde-3-phosphate dehydrogenase</t>
  </si>
  <si>
    <t>WP_011013988.1</t>
  </si>
  <si>
    <t>CGL_RS04695</t>
  </si>
  <si>
    <t>WP_011265654.1</t>
  </si>
  <si>
    <t>CGL_RS04700</t>
  </si>
  <si>
    <t>WP_011265655.1</t>
  </si>
  <si>
    <t>CGL_RS04705</t>
  </si>
  <si>
    <t>50S ribosomal protein L25/general stress protein Ctc</t>
  </si>
  <si>
    <t>WP_011013990.1</t>
  </si>
  <si>
    <t>CGL_RS04710</t>
  </si>
  <si>
    <t>WP_011013991.1</t>
  </si>
  <si>
    <t>CGL_RS04715</t>
  </si>
  <si>
    <t>DNA alkylation repair protein</t>
  </si>
  <si>
    <t>WP_011013992.1</t>
  </si>
  <si>
    <t>CGL_RS04720</t>
  </si>
  <si>
    <t>ribose-phosphate diphosphokinase</t>
  </si>
  <si>
    <t>WP_003860060.1</t>
  </si>
  <si>
    <t>CGL_RS04725</t>
  </si>
  <si>
    <t>bifunctional UDP-N-acetylglucosamine diphosphorylase/glucosamine-1-phosphate N-acetyltransferase GlmU</t>
  </si>
  <si>
    <t>glmU</t>
  </si>
  <si>
    <t>WP_011013993.1</t>
  </si>
  <si>
    <t>CGL_RS04730</t>
  </si>
  <si>
    <t>WP_011013994.1</t>
  </si>
  <si>
    <t>CGL_RS04735</t>
  </si>
  <si>
    <t>multicopper oxidase family protein</t>
  </si>
  <si>
    <t>WP_011013995.1</t>
  </si>
  <si>
    <t>CGL_RS04740</t>
  </si>
  <si>
    <t>WP_011013996.1</t>
  </si>
  <si>
    <t>CGL_RS04745</t>
  </si>
  <si>
    <t>WP_011013997.1</t>
  </si>
  <si>
    <t>CGL_RS04750</t>
  </si>
  <si>
    <t>WP_011013998.1</t>
  </si>
  <si>
    <t>CGL_RS04755</t>
  </si>
  <si>
    <t>WP_003860075.1</t>
  </si>
  <si>
    <t>CGL_RS04760</t>
  </si>
  <si>
    <t>WP_003856716.1</t>
  </si>
  <si>
    <t>CGL_RS15810</t>
  </si>
  <si>
    <t>WP_011013999.1</t>
  </si>
  <si>
    <t>CGL_RS04765</t>
  </si>
  <si>
    <t>WP_011265657.1</t>
  </si>
  <si>
    <t>CGL_RS04770</t>
  </si>
  <si>
    <t>WP_011014000.1</t>
  </si>
  <si>
    <t>CGL_RS04775</t>
  </si>
  <si>
    <t>WP_011265658.1</t>
  </si>
  <si>
    <t>CGL_RS04780</t>
  </si>
  <si>
    <t>gamma-glutamyltransferase</t>
  </si>
  <si>
    <t>ggt</t>
  </si>
  <si>
    <t>WP_011014002.1</t>
  </si>
  <si>
    <t>CGL_RS04785</t>
  </si>
  <si>
    <t>WP_011014003.1</t>
  </si>
  <si>
    <t>CGL_RS04790</t>
  </si>
  <si>
    <t>WP_011014004.1</t>
  </si>
  <si>
    <t>CGL_RS04795</t>
  </si>
  <si>
    <t>IS6-like element IS1628 family transposase</t>
  </si>
  <si>
    <t>WP_011014005.1</t>
  </si>
  <si>
    <t>CGL_RS04800</t>
  </si>
  <si>
    <t>WP_174694927.1</t>
  </si>
  <si>
    <t>CGL_RS04805</t>
  </si>
  <si>
    <t>WP_003858644.1</t>
  </si>
  <si>
    <t>CGL_RS04810</t>
  </si>
  <si>
    <t>WP_011014008.1</t>
  </si>
  <si>
    <t>CGL_RS04815</t>
  </si>
  <si>
    <t>WP_011014009.1</t>
  </si>
  <si>
    <t>CGL_RS04820</t>
  </si>
  <si>
    <t>transcription-repair coupling factor</t>
  </si>
  <si>
    <t>mfd</t>
  </si>
  <si>
    <t>WP_011014010.1</t>
  </si>
  <si>
    <t>CGL_RS04825</t>
  </si>
  <si>
    <t>WP_011014011.1</t>
  </si>
  <si>
    <t>CGL_RS04830</t>
  </si>
  <si>
    <t>WP_011014012.1</t>
  </si>
  <si>
    <t>CGL_RS04835</t>
  </si>
  <si>
    <t>bifunctional lysylphosphatidylglycerol flippase/synthetase MprF</t>
  </si>
  <si>
    <t>WP_011265662.1</t>
  </si>
  <si>
    <t>CGL_RS04840</t>
  </si>
  <si>
    <t>WP_011014014.1</t>
  </si>
  <si>
    <t>CGL_RS04845</t>
  </si>
  <si>
    <t>amino acid permease</t>
  </si>
  <si>
    <t>WP_011014015.1</t>
  </si>
  <si>
    <t>CGL_RS04850</t>
  </si>
  <si>
    <t>antitoxin</t>
  </si>
  <si>
    <t>WP_003856746.1</t>
  </si>
  <si>
    <t>CGL_RS04855</t>
  </si>
  <si>
    <t>MazG nucleotide pyrophosphohydrolase domain-containing protein</t>
  </si>
  <si>
    <t>WP_011014016.1</t>
  </si>
  <si>
    <t>CGL_RS04860</t>
  </si>
  <si>
    <t>WP_011014017.1</t>
  </si>
  <si>
    <t>CGL_RS04865</t>
  </si>
  <si>
    <t>porin</t>
  </si>
  <si>
    <t>WP_011014018.1</t>
  </si>
  <si>
    <t>CGL_RS04870</t>
  </si>
  <si>
    <t>lytic transglycosylase domain-containing protein</t>
  </si>
  <si>
    <t>WP_011014019.1</t>
  </si>
  <si>
    <t>CGL_RS04875</t>
  </si>
  <si>
    <t>phosphopyruvate hydratase</t>
  </si>
  <si>
    <t>eno</t>
  </si>
  <si>
    <t>WP_003856756.1</t>
  </si>
  <si>
    <t>CGL_RS04880</t>
  </si>
  <si>
    <t>FtsB family cell division protein</t>
  </si>
  <si>
    <t>WP_011014020.1</t>
  </si>
  <si>
    <t>CGL_RS04885</t>
  </si>
  <si>
    <t>DUF501 domain-containing protein</t>
  </si>
  <si>
    <t>WP_011014021.1</t>
  </si>
  <si>
    <t>CGL_RS04890</t>
  </si>
  <si>
    <t>exopolyphosphatase Ppx2</t>
  </si>
  <si>
    <t>ppx2</t>
  </si>
  <si>
    <t>WP_004568167.1</t>
  </si>
  <si>
    <t>CGL_RS04895</t>
  </si>
  <si>
    <t>CGL_RS04900</t>
  </si>
  <si>
    <t>threonine/serine dehydratase</t>
  </si>
  <si>
    <t>WP_011014022.1</t>
  </si>
  <si>
    <t>CGL_RS04905</t>
  </si>
  <si>
    <t>WP_011014023.1</t>
  </si>
  <si>
    <t>CGL_RS04910</t>
  </si>
  <si>
    <t>WP_231838287.1</t>
  </si>
  <si>
    <t>CGL_RS04915</t>
  </si>
  <si>
    <t>PspC domain-containing protein</t>
  </si>
  <si>
    <t>WP_011014025.1</t>
  </si>
  <si>
    <t>CGL_RS04920</t>
  </si>
  <si>
    <t>AraC family transcriptional regulator</t>
  </si>
  <si>
    <t>WP_011014026.1</t>
  </si>
  <si>
    <t>CGL_RS04925</t>
  </si>
  <si>
    <t>Bax inhibitor-1/YccA family protein</t>
  </si>
  <si>
    <t>WP_011896994.1</t>
  </si>
  <si>
    <t>CGL_RS04930</t>
  </si>
  <si>
    <t>WP_011014028.1</t>
  </si>
  <si>
    <t>CGL_RS04935</t>
  </si>
  <si>
    <t>transcription elongation factor GreA</t>
  </si>
  <si>
    <t>greA</t>
  </si>
  <si>
    <t>WP_011014029.1</t>
  </si>
  <si>
    <t>CGL_RS04940</t>
  </si>
  <si>
    <t>DUF4307 domain-containing protein</t>
  </si>
  <si>
    <t>WP_003856773.1</t>
  </si>
  <si>
    <t>CGL_RS04945</t>
  </si>
  <si>
    <t>mycothiol conjugate amidase Mca</t>
  </si>
  <si>
    <t>mca</t>
  </si>
  <si>
    <t>WP_011014030.1</t>
  </si>
  <si>
    <t>CGL_RS04950</t>
  </si>
  <si>
    <t>WP_003856779.1</t>
  </si>
  <si>
    <t>CGL_RS04955</t>
  </si>
  <si>
    <t>3-deoxy-7-phosphoheptulonate synthase</t>
  </si>
  <si>
    <t>WP_011014031.1</t>
  </si>
  <si>
    <t>CGL_RS04960</t>
  </si>
  <si>
    <t>isoprenyl transferase</t>
  </si>
  <si>
    <t>WP_003856785.1</t>
  </si>
  <si>
    <t>CGL_RS04965</t>
  </si>
  <si>
    <t>flavodoxin domain-containing protein</t>
  </si>
  <si>
    <t>WP_011014033.1</t>
  </si>
  <si>
    <t>CGL_RS04970</t>
  </si>
  <si>
    <t>type I pantothenate kinase</t>
  </si>
  <si>
    <t>coaA</t>
  </si>
  <si>
    <t>WP_011014034.1</t>
  </si>
  <si>
    <t>CGL_RS04975</t>
  </si>
  <si>
    <t>serine hydroxymethyltransferase</t>
  </si>
  <si>
    <t>glyA</t>
  </si>
  <si>
    <t>WP_003856790.1</t>
  </si>
  <si>
    <t>CGL_RS04980</t>
  </si>
  <si>
    <t>aminodeoxychorismate synthase component I</t>
  </si>
  <si>
    <t>pabB</t>
  </si>
  <si>
    <t>WP_011265665.1</t>
  </si>
  <si>
    <t>CGL_RS04985</t>
  </si>
  <si>
    <t>WP_011014036.1</t>
  </si>
  <si>
    <t>CGL_RS04990</t>
  </si>
  <si>
    <t>DUF5997 family protein</t>
  </si>
  <si>
    <t>WP_003856795.1</t>
  </si>
  <si>
    <t>CGL_RS04995</t>
  </si>
  <si>
    <t>LysR family transcriptional regulator substrate-binding protein</t>
  </si>
  <si>
    <t>WP_011014037.1</t>
  </si>
  <si>
    <t>CGL_RS05000</t>
  </si>
  <si>
    <t>WP_011014038.1</t>
  </si>
  <si>
    <t>CGL_RS05005</t>
  </si>
  <si>
    <t>biotin-dependent carboxyltransferase family protein</t>
  </si>
  <si>
    <t>WP_011014039.1</t>
  </si>
  <si>
    <t>CGL_RS05010</t>
  </si>
  <si>
    <t>5-oxoprolinase subunit B family protein</t>
  </si>
  <si>
    <t>WP_011014040.1</t>
  </si>
  <si>
    <t>CGL_RS05015</t>
  </si>
  <si>
    <t>5-oxoprolinase subunit PxpA</t>
  </si>
  <si>
    <t>WP_011014041.1</t>
  </si>
  <si>
    <t>CGL_RS05020</t>
  </si>
  <si>
    <t>NRAMP family divalent metal transporter</t>
  </si>
  <si>
    <t>WP_011014042.1</t>
  </si>
  <si>
    <t>CGL_RS05025</t>
  </si>
  <si>
    <t>WP_011014044.1</t>
  </si>
  <si>
    <t>CGL_RS05030</t>
  </si>
  <si>
    <t>WP_004568112.1</t>
  </si>
  <si>
    <t>CGL_RS05035</t>
  </si>
  <si>
    <t>class II fumarate hydratase</t>
  </si>
  <si>
    <t>WP_003856814.1</t>
  </si>
  <si>
    <t>CGL_RS05040</t>
  </si>
  <si>
    <t>flavin reductase family protein</t>
  </si>
  <si>
    <t>WP_011014045.1</t>
  </si>
  <si>
    <t>CGL_RS05045</t>
  </si>
  <si>
    <t>WP_011014046.1</t>
  </si>
  <si>
    <t>CGL_RS05050</t>
  </si>
  <si>
    <t>WP_011014047.1</t>
  </si>
  <si>
    <t>CGL_RS05055</t>
  </si>
  <si>
    <t>NADPH-dependent FMN reductase</t>
  </si>
  <si>
    <t>WP_003856821.1</t>
  </si>
  <si>
    <t>CGL_RS05060</t>
  </si>
  <si>
    <t>WP_011014048.1</t>
  </si>
  <si>
    <t>CGL_RS05065</t>
  </si>
  <si>
    <t>WP_011014049.1</t>
  </si>
  <si>
    <t>CGL_RS05070</t>
  </si>
  <si>
    <t>WP_011014050.1</t>
  </si>
  <si>
    <t>CGL_RS05075</t>
  </si>
  <si>
    <t>WP_011014051.1</t>
  </si>
  <si>
    <t>CGL_RS05080</t>
  </si>
  <si>
    <t>class II fructose-bisphosphatase</t>
  </si>
  <si>
    <t>glpX</t>
  </si>
  <si>
    <t>WP_003856830.1</t>
  </si>
  <si>
    <t>CGL_RS05085</t>
  </si>
  <si>
    <t>DUF4245 domain-containing protein</t>
  </si>
  <si>
    <t>WP_011265667.1</t>
  </si>
  <si>
    <t>CGL_RS05090</t>
  </si>
  <si>
    <t>vWA domain-containing protein</t>
  </si>
  <si>
    <t>WP_020948547.1</t>
  </si>
  <si>
    <t>CGL_RS05095</t>
  </si>
  <si>
    <t>WP_011014054.1</t>
  </si>
  <si>
    <t>CGL_RS05100</t>
  </si>
  <si>
    <t>exodeoxyribonuclease VII small subunit</t>
  </si>
  <si>
    <t>WP_003856839.1</t>
  </si>
  <si>
    <t>CGL_RS05110</t>
  </si>
  <si>
    <t>exodeoxyribonuclease VII large subunit</t>
  </si>
  <si>
    <t>xseA</t>
  </si>
  <si>
    <t>WP_011014055.1</t>
  </si>
  <si>
    <t>CGL_RS05115</t>
  </si>
  <si>
    <t>4-hydroxy-3-methylbut-2-enyl diphosphate reductase</t>
  </si>
  <si>
    <t>WP_004568094.1</t>
  </si>
  <si>
    <t>CGL_RS05120</t>
  </si>
  <si>
    <t>DUF6542 domain-containing protein</t>
  </si>
  <si>
    <t>WP_011265670.1</t>
  </si>
  <si>
    <t>CGL_RS05125</t>
  </si>
  <si>
    <t>AI-2E family transporter</t>
  </si>
  <si>
    <t>WP_011014057.1</t>
  </si>
  <si>
    <t>CGL_RS05130</t>
  </si>
  <si>
    <t>methionine/alanine import NSS transporter subunit MetS</t>
  </si>
  <si>
    <t>metS</t>
  </si>
  <si>
    <t>WP_011014058.1</t>
  </si>
  <si>
    <t>CGL_RS05135</t>
  </si>
  <si>
    <t>sodium-dependent transporter</t>
  </si>
  <si>
    <t>WP_011014059.1</t>
  </si>
  <si>
    <t>CGL_RS05140</t>
  </si>
  <si>
    <t>WP_011014060.1</t>
  </si>
  <si>
    <t>CGL_RS05145</t>
  </si>
  <si>
    <t>redox-regulated ATPase YchF</t>
  </si>
  <si>
    <t>ychF</t>
  </si>
  <si>
    <t>WP_011014061.1</t>
  </si>
  <si>
    <t>CGL_RS05150</t>
  </si>
  <si>
    <t>type II toxin-antitoxin system RelE/ParE family toxin</t>
  </si>
  <si>
    <t>WP_011265672.1</t>
  </si>
  <si>
    <t>CGL_RS05155</t>
  </si>
  <si>
    <t>HigA family addiction module antitoxin</t>
  </si>
  <si>
    <t>WP_011014062.1</t>
  </si>
  <si>
    <t>CGL_RS05160</t>
  </si>
  <si>
    <t>ornithine carbamoyltransferase</t>
  </si>
  <si>
    <t>WP_011265673.1</t>
  </si>
  <si>
    <t>CGL_RS05165</t>
  </si>
  <si>
    <t>WP_011014064.1</t>
  </si>
  <si>
    <t>CGL_RS05170</t>
  </si>
  <si>
    <t>WP_011014065.1</t>
  </si>
  <si>
    <t>CGL_RS05175</t>
  </si>
  <si>
    <t>IS110 family transposase</t>
  </si>
  <si>
    <t>WP_011014066.1</t>
  </si>
  <si>
    <t>CGL_RS05180</t>
  </si>
  <si>
    <t>EAL domain-containing protein</t>
  </si>
  <si>
    <t>WP_172820732.1</t>
  </si>
  <si>
    <t>CGL_RS05185</t>
  </si>
  <si>
    <t>WP_011014068.1</t>
  </si>
  <si>
    <t>CGL_RS05190</t>
  </si>
  <si>
    <t>WP_011014069.1</t>
  </si>
  <si>
    <t>CGL_RS05195</t>
  </si>
  <si>
    <t>WP_011014070.1</t>
  </si>
  <si>
    <t>CGL_RS05200</t>
  </si>
  <si>
    <t>CGL_RS05205</t>
  </si>
  <si>
    <t>WP_041625411.1</t>
  </si>
  <si>
    <t>CGL_RS05210</t>
  </si>
  <si>
    <t>WP_011014074.1</t>
  </si>
  <si>
    <t>CGL_RS05215</t>
  </si>
  <si>
    <t>2'-5' RNA ligase family protein</t>
  </si>
  <si>
    <t>WP_011014075.1</t>
  </si>
  <si>
    <t>CGL_RS05220</t>
  </si>
  <si>
    <t>WP_011014076.1</t>
  </si>
  <si>
    <t>CGL_RS05225</t>
  </si>
  <si>
    <t>carboxymuconolactone decarboxylase family protein</t>
  </si>
  <si>
    <t>WP_011014077.1</t>
  </si>
  <si>
    <t>CGL_RS05230</t>
  </si>
  <si>
    <t>WP_011014078.1</t>
  </si>
  <si>
    <t>CGL_RS05235</t>
  </si>
  <si>
    <t>WP_011265677.1</t>
  </si>
  <si>
    <t>CGL_RS05240</t>
  </si>
  <si>
    <t>WP_227747745.1</t>
  </si>
  <si>
    <t>CGL_RS05245</t>
  </si>
  <si>
    <t>WP_227747746.1</t>
  </si>
  <si>
    <t>CGL_RS05250</t>
  </si>
  <si>
    <t>WP_011014082.1</t>
  </si>
  <si>
    <t>CGL_RS05255</t>
  </si>
  <si>
    <t>WP_041625415.1</t>
  </si>
  <si>
    <t>CGL_RS05260</t>
  </si>
  <si>
    <t>WP_011014083.1</t>
  </si>
  <si>
    <t>CGL_RS15435</t>
  </si>
  <si>
    <t>VWA domain-containing protein</t>
  </si>
  <si>
    <t>WP_011014084.1</t>
  </si>
  <si>
    <t>CGL_RS05265</t>
  </si>
  <si>
    <t>AAA family ATPase</t>
  </si>
  <si>
    <t>WP_020948549.1</t>
  </si>
  <si>
    <t>CGL_RS05270</t>
  </si>
  <si>
    <t>WP_011014086.1</t>
  </si>
  <si>
    <t>CGL_RS05275</t>
  </si>
  <si>
    <t>SCO1664 family protein</t>
  </si>
  <si>
    <t>WP_011014087.1</t>
  </si>
  <si>
    <t>CGL_RS05280</t>
  </si>
  <si>
    <t>isocitrate lyase/PEP mutase family protein</t>
  </si>
  <si>
    <t>WP_011014088.1</t>
  </si>
  <si>
    <t>CGL_RS05285</t>
  </si>
  <si>
    <t>ribosomal protection-like ABC-F family protein</t>
  </si>
  <si>
    <t>abc-f</t>
  </si>
  <si>
    <t>WP_011014089.1</t>
  </si>
  <si>
    <t>CGL_RS05290</t>
  </si>
  <si>
    <t>OsmC family protein</t>
  </si>
  <si>
    <t>WP_011014090.1</t>
  </si>
  <si>
    <t>CGL_RS05295</t>
  </si>
  <si>
    <t>zinc ribbon domain-containing protein YjdM</t>
  </si>
  <si>
    <t>WP_003856918.1</t>
  </si>
  <si>
    <t>CGL_RS05300</t>
  </si>
  <si>
    <t>WP_011014091.1</t>
  </si>
  <si>
    <t>CGL_RS05305</t>
  </si>
  <si>
    <t>WP_011014092.1</t>
  </si>
  <si>
    <t>CGL_RS05310</t>
  </si>
  <si>
    <t>ISL3-like element IS31831 family transposase</t>
  </si>
  <si>
    <t>WP_011014093.1</t>
  </si>
  <si>
    <t>CGL_RS05315</t>
  </si>
  <si>
    <t>cysteine desulfurase family protein</t>
  </si>
  <si>
    <t>WP_011014094.1</t>
  </si>
  <si>
    <t>CGL_RS05320</t>
  </si>
  <si>
    <t>carboxylating nicotinate-nucleotide diphosphorylase</t>
  </si>
  <si>
    <t>nadC</t>
  </si>
  <si>
    <t>WP_011014095.1</t>
  </si>
  <si>
    <t>CGL_RS05325</t>
  </si>
  <si>
    <t>quinolinate synthase NadA</t>
  </si>
  <si>
    <t>nadA</t>
  </si>
  <si>
    <t>WP_011014096.1</t>
  </si>
  <si>
    <t>CGL_RS05330</t>
  </si>
  <si>
    <t>WP_011014097.1</t>
  </si>
  <si>
    <t>CGL_RS05335</t>
  </si>
  <si>
    <t>WP_011014098.1</t>
  </si>
  <si>
    <t>CGL_RS05340</t>
  </si>
  <si>
    <t>WP_020948551.1</t>
  </si>
  <si>
    <t>CGL_RS05345</t>
  </si>
  <si>
    <t>MmcQ/YjbR family DNA-binding protein</t>
  </si>
  <si>
    <t>WP_011014100.1</t>
  </si>
  <si>
    <t>CGL_RS05350</t>
  </si>
  <si>
    <t>lipoate--protein ligase family protein</t>
  </si>
  <si>
    <t>WP_011014101.1</t>
  </si>
  <si>
    <t>CGL_RS05355</t>
  </si>
  <si>
    <t>WP_157665531.1</t>
  </si>
  <si>
    <t>CGL_RS05360</t>
  </si>
  <si>
    <t>WP_011014102.1</t>
  </si>
  <si>
    <t>CGL_RS05365</t>
  </si>
  <si>
    <t>WP_011014103.1</t>
  </si>
  <si>
    <t>CGL_RS05370</t>
  </si>
  <si>
    <t>4-hydroxybenzoate 3-monooxygenase</t>
  </si>
  <si>
    <t>WP_011014104.1</t>
  </si>
  <si>
    <t>CGL_RS05375</t>
  </si>
  <si>
    <t>WP_003858584.1</t>
  </si>
  <si>
    <t>CGL_RS05380</t>
  </si>
  <si>
    <t>WP_003862124.1</t>
  </si>
  <si>
    <t>CGL_RS05385</t>
  </si>
  <si>
    <t>energy-coupling factor transporter transmembrane component T family protein</t>
  </si>
  <si>
    <t>WP_011014105.1</t>
  </si>
  <si>
    <t>CGL_RS05390</t>
  </si>
  <si>
    <t>WP_011014106.1</t>
  </si>
  <si>
    <t>CGL_RS05395</t>
  </si>
  <si>
    <t>calcium:proton antiporter</t>
  </si>
  <si>
    <t>WP_011014107.1</t>
  </si>
  <si>
    <t>CGL_RS05400</t>
  </si>
  <si>
    <t>PIG-L deacetylase family protein</t>
  </si>
  <si>
    <t>WP_011265681.1</t>
  </si>
  <si>
    <t>CGL_RS05405</t>
  </si>
  <si>
    <t>YwaF family protein</t>
  </si>
  <si>
    <t>WP_011014109.1</t>
  </si>
  <si>
    <t>CGL_RS05410</t>
  </si>
  <si>
    <t>WP_011014110.1</t>
  </si>
  <si>
    <t>CGL_RS05415</t>
  </si>
  <si>
    <t>thiol peroxidase</t>
  </si>
  <si>
    <t>tpx</t>
  </si>
  <si>
    <t>WP_003858595.1</t>
  </si>
  <si>
    <t>CGL_RS05420</t>
  </si>
  <si>
    <t>WP_011014112.1</t>
  </si>
  <si>
    <t>CGL_RS05425</t>
  </si>
  <si>
    <t>DUF808 domain-containing protein</t>
  </si>
  <si>
    <t>WP_011014113.1</t>
  </si>
  <si>
    <t>CGL_RS05430</t>
  </si>
  <si>
    <t>2-dehydropantoate 2-reductase</t>
  </si>
  <si>
    <t>WP_011014114.1</t>
  </si>
  <si>
    <t>CGL_RS05435</t>
  </si>
  <si>
    <t>DUF2218 domain-containing protein</t>
  </si>
  <si>
    <t>WP_003858604.1</t>
  </si>
  <si>
    <t>CGL_RS05440</t>
  </si>
  <si>
    <t>WP_011265683.1</t>
  </si>
  <si>
    <t>CGL_RS05445</t>
  </si>
  <si>
    <t>WP_011014117.1</t>
  </si>
  <si>
    <t>CGL_RS05450</t>
  </si>
  <si>
    <t>WP_011014118.1</t>
  </si>
  <si>
    <t>CGL_RS05455</t>
  </si>
  <si>
    <t>arsenate reductase (glutaredoxin)</t>
  </si>
  <si>
    <t>arsC</t>
  </si>
  <si>
    <t>WP_003862103.1</t>
  </si>
  <si>
    <t>CGL_RS05460</t>
  </si>
  <si>
    <t>YkvI family membrane protein</t>
  </si>
  <si>
    <t>WP_011014119.1</t>
  </si>
  <si>
    <t>CGL_RS05465</t>
  </si>
  <si>
    <t>DUF402 domain-containing protein</t>
  </si>
  <si>
    <t>WP_003858618.1</t>
  </si>
  <si>
    <t>CGL_RS05470</t>
  </si>
  <si>
    <t>Rv1157c family protein</t>
  </si>
  <si>
    <t>WP_011014120.1</t>
  </si>
  <si>
    <t>CGL_RS05475</t>
  </si>
  <si>
    <t>translational GTPase TypA</t>
  </si>
  <si>
    <t>typA</t>
  </si>
  <si>
    <t>WP_011014121.1</t>
  </si>
  <si>
    <t>CGL_RS05480</t>
  </si>
  <si>
    <t>ABC transporter family substrate-binding protein</t>
  </si>
  <si>
    <t>WP_162467871.1</t>
  </si>
  <si>
    <t>CGL_RS05485</t>
  </si>
  <si>
    <t>N-acetyl-1-D-myo-inositol-2-amino-2-deoxy-alpha-D-glucopyranoside deacetylase</t>
  </si>
  <si>
    <t>mshB</t>
  </si>
  <si>
    <t>WP_003858626.1</t>
  </si>
  <si>
    <t>CGL_RS05490</t>
  </si>
  <si>
    <t>WP_003858629.1</t>
  </si>
  <si>
    <t>CGL_RS05495</t>
  </si>
  <si>
    <t>ferredoxin</t>
  </si>
  <si>
    <t>fdxA</t>
  </si>
  <si>
    <t>WP_003858631.1</t>
  </si>
  <si>
    <t>CGL_RS05500</t>
  </si>
  <si>
    <t>succinyldiaminopimelate transaminase</t>
  </si>
  <si>
    <t>dapC</t>
  </si>
  <si>
    <t>WP_011014123.1</t>
  </si>
  <si>
    <t>CGL_RS05505</t>
  </si>
  <si>
    <t>WP_003858634.1</t>
  </si>
  <si>
    <t>CGL_RS05510</t>
  </si>
  <si>
    <t>WP_011014124.1</t>
  </si>
  <si>
    <t>CGL_RS05515</t>
  </si>
  <si>
    <t>2,3,4,5-tetrahydropyridine-2,6-dicarboxylate N-succinyltransferase</t>
  </si>
  <si>
    <t>dapD</t>
  </si>
  <si>
    <t>WP_003863790.1</t>
  </si>
  <si>
    <t>CGL_RS05520</t>
  </si>
  <si>
    <t>aromatic amino acid transport protein AroP</t>
  </si>
  <si>
    <t>aroP</t>
  </si>
  <si>
    <t>WP_011014125.1</t>
  </si>
  <si>
    <t>CGL_RS05525</t>
  </si>
  <si>
    <t>DapH/DapD/GlmU-related protein</t>
  </si>
  <si>
    <t>WP_011014126.1</t>
  </si>
  <si>
    <t>CGL_RS05530</t>
  </si>
  <si>
    <t>succinyl-diaminopimelate desuccinylase</t>
  </si>
  <si>
    <t>dapE</t>
  </si>
  <si>
    <t>WP_011014127.1</t>
  </si>
  <si>
    <t>CGL_RS05535</t>
  </si>
  <si>
    <t>TIGR00730 family Rossman fold protein</t>
  </si>
  <si>
    <t>WP_003863794.1</t>
  </si>
  <si>
    <t>CGL_RS05540</t>
  </si>
  <si>
    <t>dihydropteroate synthase</t>
  </si>
  <si>
    <t>folP</t>
  </si>
  <si>
    <t>WP_003855021.1</t>
  </si>
  <si>
    <t>CGL_RS05545</t>
  </si>
  <si>
    <t>glucosyl-3-phosphoglycerate synthase</t>
  </si>
  <si>
    <t>WP_003863795.1</t>
  </si>
  <si>
    <t>CGL_RS05550</t>
  </si>
  <si>
    <t>WP_011014129.1</t>
  </si>
  <si>
    <t>CGL_RS05555</t>
  </si>
  <si>
    <t>DUF3117 domain-containing protein</t>
  </si>
  <si>
    <t>WP_003855015.1</t>
  </si>
  <si>
    <t>CGL_RS05560</t>
  </si>
  <si>
    <t>methyltransferase domain-containing protein</t>
  </si>
  <si>
    <t>WP_011014130.1</t>
  </si>
  <si>
    <t>CGL_RS05565</t>
  </si>
  <si>
    <t>glycoside hydrolase family 32 protein</t>
  </si>
  <si>
    <t>WP_011014131.1</t>
  </si>
  <si>
    <t>CGL_RS05570</t>
  </si>
  <si>
    <t>glycogen synthase</t>
  </si>
  <si>
    <t>glgA</t>
  </si>
  <si>
    <t>WP_011265689.1</t>
  </si>
  <si>
    <t>CGL_RS05575</t>
  </si>
  <si>
    <t>glucose-1-phosphate adenylyltransferase</t>
  </si>
  <si>
    <t>glgC</t>
  </si>
  <si>
    <t>WP_011014133.1</t>
  </si>
  <si>
    <t>CGL_RS05580</t>
  </si>
  <si>
    <t>WP_003863800.1</t>
  </si>
  <si>
    <t>CGL_RS05585</t>
  </si>
  <si>
    <t>RNA polymerase sigma factor SigE</t>
  </si>
  <si>
    <t>sigE</t>
  </si>
  <si>
    <t>WP_003855001.1</t>
  </si>
  <si>
    <t>CGL_RS05590</t>
  </si>
  <si>
    <t>WP_003855000.1</t>
  </si>
  <si>
    <t>CGL_RS05595</t>
  </si>
  <si>
    <t>Sec-independent protein translocase subunit TatB</t>
  </si>
  <si>
    <t>tatB</t>
  </si>
  <si>
    <t>WP_003854998.1</t>
  </si>
  <si>
    <t>CGL_RS05600</t>
  </si>
  <si>
    <t>Mrp/NBP35 family ATP-binding protein</t>
  </si>
  <si>
    <t>WP_011014134.1</t>
  </si>
  <si>
    <t>CGL_RS05605</t>
  </si>
  <si>
    <t>DUF1003 domain-containing protein</t>
  </si>
  <si>
    <t>WP_003854995.1</t>
  </si>
  <si>
    <t>CGL_RS05610</t>
  </si>
  <si>
    <t>magnesium transporter MgtE N-terminal domain-containing protein</t>
  </si>
  <si>
    <t>WP_003854992.1</t>
  </si>
  <si>
    <t>CGL_RS05615</t>
  </si>
  <si>
    <t>general stress protein</t>
  </si>
  <si>
    <t>WP_011014135.1</t>
  </si>
  <si>
    <t>CGL_RS05620</t>
  </si>
  <si>
    <t>WP_011014136.1</t>
  </si>
  <si>
    <t>CGL_RS05625</t>
  </si>
  <si>
    <t>CueP family metal-binding protein</t>
  </si>
  <si>
    <t>WP_011014137.1</t>
  </si>
  <si>
    <t>CGL_RS05630</t>
  </si>
  <si>
    <t>multifunctional oxoglutarate decarboxylase/oxoglutarate dehydrogenase thiamine pyrophosphate-binding subunit/dihydrolipoyllysine-residue succinyltransferase subunit</t>
  </si>
  <si>
    <t>WP_011014138.1</t>
  </si>
  <si>
    <t>CGL_RS05635</t>
  </si>
  <si>
    <t>WP_011014139.1</t>
  </si>
  <si>
    <t>CGL_RS05640</t>
  </si>
  <si>
    <t>WP_011014140.1</t>
  </si>
  <si>
    <t>CGL_RS05645</t>
  </si>
  <si>
    <t>shikimate 5-dehydrogenase</t>
  </si>
  <si>
    <t>WP_011014141.1</t>
  </si>
  <si>
    <t>CGL_RS05650</t>
  </si>
  <si>
    <t>carboxylesterase/lipase family protein</t>
  </si>
  <si>
    <t>WP_041627491.1</t>
  </si>
  <si>
    <t>CGL_RS05655</t>
  </si>
  <si>
    <t>(2Fe-2S)-binding protein</t>
  </si>
  <si>
    <t>WP_011014143.1</t>
  </si>
  <si>
    <t>CGL_RS05660</t>
  </si>
  <si>
    <t>WP_011014144.1</t>
  </si>
  <si>
    <t>CGL_RS05665</t>
  </si>
  <si>
    <t>WP_011014145.1</t>
  </si>
  <si>
    <t>CGL_RS05670</t>
  </si>
  <si>
    <t>WP_011014146.1</t>
  </si>
  <si>
    <t>CGL_RS05675</t>
  </si>
  <si>
    <t>DHA2 family efflux MFS transporter permease subunit</t>
  </si>
  <si>
    <t>WP_011014147.1</t>
  </si>
  <si>
    <t>CGL_RS05680</t>
  </si>
  <si>
    <t>5-methyltetrahydropteroyltriglutamate--homocysteine S-methyltransferase</t>
  </si>
  <si>
    <t>metE</t>
  </si>
  <si>
    <t>WP_011014148.1</t>
  </si>
  <si>
    <t>CGL_RS05685</t>
  </si>
  <si>
    <t>WP_003863814.1</t>
  </si>
  <si>
    <t>CGL_RS05690</t>
  </si>
  <si>
    <t>NAD(P)-binding domain-containing protein</t>
  </si>
  <si>
    <t>WP_011014150.1</t>
  </si>
  <si>
    <t>CGL_RS05695</t>
  </si>
  <si>
    <t>WP_011014151.1</t>
  </si>
  <si>
    <t>CGL_RS05700</t>
  </si>
  <si>
    <t>patatin-like phospholipase family protein</t>
  </si>
  <si>
    <t>WP_003854943.1</t>
  </si>
  <si>
    <t>CGL_RS05705</t>
  </si>
  <si>
    <t>WP_011014152.1</t>
  </si>
  <si>
    <t>CGL_RS05710</t>
  </si>
  <si>
    <t>peptide synthetase</t>
  </si>
  <si>
    <t>WP_165442300.1</t>
  </si>
  <si>
    <t>CGL_RS05715</t>
  </si>
  <si>
    <t>thiol reductant ABC exporter subunit CydC</t>
  </si>
  <si>
    <t>cydC</t>
  </si>
  <si>
    <t>WP_011014154.1</t>
  </si>
  <si>
    <t>CGL_RS05720</t>
  </si>
  <si>
    <t>ABC transporter ATP-binding protein/permease</t>
  </si>
  <si>
    <t>WP_011265694.1</t>
  </si>
  <si>
    <t>CGL_RS05725</t>
  </si>
  <si>
    <t>cytochrome d ubiquinol oxidase subunit II</t>
  </si>
  <si>
    <t>cydB</t>
  </si>
  <si>
    <t>WP_011014156.1</t>
  </si>
  <si>
    <t>CGL_RS05730</t>
  </si>
  <si>
    <t>cytochrome ubiquinol oxidase subunit I</t>
  </si>
  <si>
    <t>WP_011014157.1</t>
  </si>
  <si>
    <t>CGL_RS05735</t>
  </si>
  <si>
    <t>DUF3427 domain-containing protein</t>
  </si>
  <si>
    <t>WP_011014158.1</t>
  </si>
  <si>
    <t>CGL_RS05740</t>
  </si>
  <si>
    <t>(deoxy)nucleoside triphosphate pyrophosphohydrolase</t>
  </si>
  <si>
    <t>WP_003854931.1</t>
  </si>
  <si>
    <t>CGL_RS05745</t>
  </si>
  <si>
    <t>WP_231838288.1</t>
  </si>
  <si>
    <t>CGL_RS05750</t>
  </si>
  <si>
    <t>WP_011014160.1</t>
  </si>
  <si>
    <t>CGL_RS05755</t>
  </si>
  <si>
    <t>WP_011014161.1</t>
  </si>
  <si>
    <t>CGL_RS05760</t>
  </si>
  <si>
    <t>WP_011014162.1</t>
  </si>
  <si>
    <t>CGL_RS05765</t>
  </si>
  <si>
    <t>bifunctional 3-(3-hydroxy-phenyl)propionate/3-hydroxycinnamic acid hydroxylase</t>
  </si>
  <si>
    <t>WP_011014163.1</t>
  </si>
  <si>
    <t>CGL_RS05770</t>
  </si>
  <si>
    <t>maleylacetate reductase</t>
  </si>
  <si>
    <t>WP_011014164.1</t>
  </si>
  <si>
    <t>CGL_RS05775</t>
  </si>
  <si>
    <t>protocatechuate 3,4-dioxygenase subunit beta</t>
  </si>
  <si>
    <t>WP_003854925.1</t>
  </si>
  <si>
    <t>CGL_RS05780</t>
  </si>
  <si>
    <t>WP_011014165.1</t>
  </si>
  <si>
    <t>CGL_RS05785</t>
  </si>
  <si>
    <t>HNH endonuclease family protein</t>
  </si>
  <si>
    <t>WP_011014166.1</t>
  </si>
  <si>
    <t>CGL_RS05790</t>
  </si>
  <si>
    <t>sodium/proline symporter PutP</t>
  </si>
  <si>
    <t>putP</t>
  </si>
  <si>
    <t>WP_011014167.1</t>
  </si>
  <si>
    <t>CGL_RS05795</t>
  </si>
  <si>
    <t>WP_011014168.1</t>
  </si>
  <si>
    <t>CGL_RS05800</t>
  </si>
  <si>
    <t>2-oxo acid dehydrogenase</t>
  </si>
  <si>
    <t>WP_003854920.1</t>
  </si>
  <si>
    <t>CGL_RS05805</t>
  </si>
  <si>
    <t>metallophosphoesterase family protein</t>
  </si>
  <si>
    <t>WP_011014169.1</t>
  </si>
  <si>
    <t>CGL_RS05810</t>
  </si>
  <si>
    <t>WP_011014170.1</t>
  </si>
  <si>
    <t>CGL_RS05815</t>
  </si>
  <si>
    <t>CGL_RS15630</t>
  </si>
  <si>
    <t>YceI family protein</t>
  </si>
  <si>
    <t>WP_003854913.1</t>
  </si>
  <si>
    <t>CGL_RS05830</t>
  </si>
  <si>
    <t>MarR family transcriptional regulator RosR</t>
  </si>
  <si>
    <t>rosR</t>
  </si>
  <si>
    <t>WP_003861276.1</t>
  </si>
  <si>
    <t>CGL_RS05835</t>
  </si>
  <si>
    <t>WP_011014173.1</t>
  </si>
  <si>
    <t>CGL_RS05840</t>
  </si>
  <si>
    <t>WP_011014174.1</t>
  </si>
  <si>
    <t>CGL_RS05845</t>
  </si>
  <si>
    <t>Crp/Fnr family transcriptional regulator</t>
  </si>
  <si>
    <t>WP_011014175.1</t>
  </si>
  <si>
    <t>CGL_RS05850</t>
  </si>
  <si>
    <t>heavy-metal-associated domain-containing protein</t>
  </si>
  <si>
    <t>WP_003861284.1</t>
  </si>
  <si>
    <t>CGL_RS05855</t>
  </si>
  <si>
    <t>WP_011014176.1</t>
  </si>
  <si>
    <t>CGL_RS05860</t>
  </si>
  <si>
    <t>GTP pyrophosphokinase</t>
  </si>
  <si>
    <t>WP_011014177.1</t>
  </si>
  <si>
    <t>CGL_RS05865</t>
  </si>
  <si>
    <t>CGL_RS05870</t>
  </si>
  <si>
    <t>WP_011014178.1</t>
  </si>
  <si>
    <t>CGL_RS05875</t>
  </si>
  <si>
    <t>arginine--tRNA ligase</t>
  </si>
  <si>
    <t>argS</t>
  </si>
  <si>
    <t>WP_011014179.1</t>
  </si>
  <si>
    <t>CGL_RS05880</t>
  </si>
  <si>
    <t>diaminopimelate decarboxylase</t>
  </si>
  <si>
    <t>lysA</t>
  </si>
  <si>
    <t>WP_011014180.1</t>
  </si>
  <si>
    <t>CGL_RS05885</t>
  </si>
  <si>
    <t>WP_011014181.1</t>
  </si>
  <si>
    <t>CGL_RS05890</t>
  </si>
  <si>
    <t>homoserine dehydrogenase</t>
  </si>
  <si>
    <t>WP_003854900.1</t>
  </si>
  <si>
    <t>CGL_RS05895</t>
  </si>
  <si>
    <t>homoserine kinase</t>
  </si>
  <si>
    <t>thrB</t>
  </si>
  <si>
    <t>WP_011014183.1</t>
  </si>
  <si>
    <t>CGL_RS05900</t>
  </si>
  <si>
    <t>helix-turn-helix transcriptional regulator</t>
  </si>
  <si>
    <t>WP_011014184.1</t>
  </si>
  <si>
    <t>CGL_RS05905</t>
  </si>
  <si>
    <t>respiratory nitrate reductase subunit gamma</t>
  </si>
  <si>
    <t>narI</t>
  </si>
  <si>
    <t>WP_003854891.1</t>
  </si>
  <si>
    <t>CGL_RS05910</t>
  </si>
  <si>
    <t>nitrate reductase molybdenum cofactor assembly chaperone</t>
  </si>
  <si>
    <t>narJ</t>
  </si>
  <si>
    <t>WP_011014185.1</t>
  </si>
  <si>
    <t>CGL_RS05915</t>
  </si>
  <si>
    <t>nitrate reductase subunit beta</t>
  </si>
  <si>
    <t>narH</t>
  </si>
  <si>
    <t>WP_011014186.1</t>
  </si>
  <si>
    <t>CGL_RS05920</t>
  </si>
  <si>
    <t>nitrate reductase subunit alpha</t>
  </si>
  <si>
    <t>WP_011014187.1</t>
  </si>
  <si>
    <t>CGL_RS05925</t>
  </si>
  <si>
    <t>nitrate/nitrite transporter</t>
  </si>
  <si>
    <t>WP_011014188.1</t>
  </si>
  <si>
    <t>CGL_RS05930</t>
  </si>
  <si>
    <t>WP_011014189.1</t>
  </si>
  <si>
    <t>CGL_RS05935</t>
  </si>
  <si>
    <t>acid phosphatase</t>
  </si>
  <si>
    <t>WP_011265699.1</t>
  </si>
  <si>
    <t>CGL_RS05940</t>
  </si>
  <si>
    <t>CNNM domain-containing protein</t>
  </si>
  <si>
    <t>WP_011014191.1</t>
  </si>
  <si>
    <t>CGL_RS05945</t>
  </si>
  <si>
    <t>hemolysin family protein</t>
  </si>
  <si>
    <t>WP_011014192.1</t>
  </si>
  <si>
    <t>CGL_RS05950</t>
  </si>
  <si>
    <t>molybdenum cofactor guanylyltransferase</t>
  </si>
  <si>
    <t>WP_011014193.1</t>
  </si>
  <si>
    <t>CGL_RS05955</t>
  </si>
  <si>
    <t>WP_011014194.1</t>
  </si>
  <si>
    <t>CGL_RS05960</t>
  </si>
  <si>
    <t>GTP 3',8-cyclase MoaA</t>
  </si>
  <si>
    <t>moaA</t>
  </si>
  <si>
    <t>WP_011014195.1</t>
  </si>
  <si>
    <t>CGL_RS05965</t>
  </si>
  <si>
    <t>long-chain fatty-acid--CoA ligase</t>
  </si>
  <si>
    <t>WP_011265702.1</t>
  </si>
  <si>
    <t>CGL_RS05970</t>
  </si>
  <si>
    <t>transcription termination factor Rho</t>
  </si>
  <si>
    <t>rho</t>
  </si>
  <si>
    <t>WP_011014197.1</t>
  </si>
  <si>
    <t>CGL_RS05975</t>
  </si>
  <si>
    <t>peptide chain release factor 1</t>
  </si>
  <si>
    <t>prfA</t>
  </si>
  <si>
    <t>WP_003854866.1</t>
  </si>
  <si>
    <t>CGL_RS05980</t>
  </si>
  <si>
    <t>peptide chain release factor N(5)-glutamine methyltransferase</t>
  </si>
  <si>
    <t>prmC</t>
  </si>
  <si>
    <t>WP_011014198.1</t>
  </si>
  <si>
    <t>CGL_RS05985</t>
  </si>
  <si>
    <t>L-threonylcarbamoyladenylate synthase</t>
  </si>
  <si>
    <t>WP_003861324.1</t>
  </si>
  <si>
    <t>CGL_RS05990</t>
  </si>
  <si>
    <t>MraY family glycosyltransferase</t>
  </si>
  <si>
    <t>WP_011014199.1</t>
  </si>
  <si>
    <t>CGL_RS05995</t>
  </si>
  <si>
    <t>WP_003854858.1</t>
  </si>
  <si>
    <t>CGL_RS06000</t>
  </si>
  <si>
    <t>F0F1 ATP synthase subunit A</t>
  </si>
  <si>
    <t>atpB</t>
  </si>
  <si>
    <t>WP_003854856.1</t>
  </si>
  <si>
    <t>CGL_RS06010</t>
  </si>
  <si>
    <t>ATP synthase F0 subunit C</t>
  </si>
  <si>
    <t>WP_003854855.1</t>
  </si>
  <si>
    <t>CGL_RS06015</t>
  </si>
  <si>
    <t>F0F1 ATP synthase subunit B</t>
  </si>
  <si>
    <t>WP_011014201.1</t>
  </si>
  <si>
    <t>CGL_RS06020</t>
  </si>
  <si>
    <t>F0F1 ATP synthase subunit delta</t>
  </si>
  <si>
    <t>WP_003854845.1</t>
  </si>
  <si>
    <t>CGL_RS06025</t>
  </si>
  <si>
    <t>F0F1 ATP synthase subunit alpha</t>
  </si>
  <si>
    <t>atpA</t>
  </si>
  <si>
    <t>WP_011014202.1</t>
  </si>
  <si>
    <t>CGL_RS06030</t>
  </si>
  <si>
    <t>F0F1 ATP synthase subunit gamma</t>
  </si>
  <si>
    <t>WP_011014203.1</t>
  </si>
  <si>
    <t>CGL_RS06035</t>
  </si>
  <si>
    <t>F0F1 ATP synthase subunit beta</t>
  </si>
  <si>
    <t>atpD</t>
  </si>
  <si>
    <t>WP_011014204.1</t>
  </si>
  <si>
    <t>CGL_RS06040</t>
  </si>
  <si>
    <t>F0F1 ATP synthase subunit epsilon</t>
  </si>
  <si>
    <t>WP_003861337.1</t>
  </si>
  <si>
    <t>CGL_RS06045</t>
  </si>
  <si>
    <t>DUF2550 domain-containing protein</t>
  </si>
  <si>
    <t>WP_003854831.1</t>
  </si>
  <si>
    <t>CGL_RS06050</t>
  </si>
  <si>
    <t>endonuclease NucS</t>
  </si>
  <si>
    <t>nucS</t>
  </si>
  <si>
    <t>WP_011014205.1</t>
  </si>
  <si>
    <t>CGL_RS06055</t>
  </si>
  <si>
    <t>WP_011014206.1</t>
  </si>
  <si>
    <t>CGL_RS15635</t>
  </si>
  <si>
    <t>methylmalonyl-CoA epimerase</t>
  </si>
  <si>
    <t>mce</t>
  </si>
  <si>
    <t>WP_011014207.1</t>
  </si>
  <si>
    <t>CGL_RS06065</t>
  </si>
  <si>
    <t>thiamine-binding protein</t>
  </si>
  <si>
    <t>WP_003854825.1</t>
  </si>
  <si>
    <t>CGL_RS06070</t>
  </si>
  <si>
    <t>thioredoxin family protein</t>
  </si>
  <si>
    <t>WP_011014209.1</t>
  </si>
  <si>
    <t>CGL_RS06075</t>
  </si>
  <si>
    <t>WP_011014210.1</t>
  </si>
  <si>
    <t>CGL_RS06080</t>
  </si>
  <si>
    <t>WP_011014211.1</t>
  </si>
  <si>
    <t>CGL_RS06085</t>
  </si>
  <si>
    <t>WP_011014212.1</t>
  </si>
  <si>
    <t>CGL_RS06090</t>
  </si>
  <si>
    <t>WP_011014213.1</t>
  </si>
  <si>
    <t>CGL_RS06095</t>
  </si>
  <si>
    <t>1,4-alpha-glucan branching protein GlgB</t>
  </si>
  <si>
    <t>glgB</t>
  </si>
  <si>
    <t>WP_011014214.1</t>
  </si>
  <si>
    <t>CGL_RS06100</t>
  </si>
  <si>
    <t>alpha-1,4-glucan--maltose-1-phosphate maltosyltransferase</t>
  </si>
  <si>
    <t>WP_011014215.1</t>
  </si>
  <si>
    <t>CGL_RS06105</t>
  </si>
  <si>
    <t>WP_011014216.1</t>
  </si>
  <si>
    <t>CGL_RS06110</t>
  </si>
  <si>
    <t>WP_003854804.1</t>
  </si>
  <si>
    <t>CGL_RS06120</t>
  </si>
  <si>
    <t>THUMP-like domain-containing protein</t>
  </si>
  <si>
    <t>WP_011014217.1</t>
  </si>
  <si>
    <t>CGL_RS06125</t>
  </si>
  <si>
    <t>electron transfer flavoprotein subunit beta/FixA family protein</t>
  </si>
  <si>
    <t>WP_011014218.1</t>
  </si>
  <si>
    <t>CGL_RS06130</t>
  </si>
  <si>
    <t>electron transfer flavoprotein subunit alpha/FixB family protein</t>
  </si>
  <si>
    <t>WP_011014219.1</t>
  </si>
  <si>
    <t>CGL_RS06135</t>
  </si>
  <si>
    <t>WP_011014220.1</t>
  </si>
  <si>
    <t>CGL_RS06140</t>
  </si>
  <si>
    <t>WP_231107905.1</t>
  </si>
  <si>
    <t>CGL_RS06145</t>
  </si>
  <si>
    <t>type II toxin-antitoxin system HipA family toxin</t>
  </si>
  <si>
    <t>WP_011014221.1</t>
  </si>
  <si>
    <t>CGL_RS06150</t>
  </si>
  <si>
    <t>WP_020447892.1</t>
  </si>
  <si>
    <t>CGL_RS06155</t>
  </si>
  <si>
    <t>WP_011014222.1</t>
  </si>
  <si>
    <t>CGL_RS06160</t>
  </si>
  <si>
    <t>spermidine synthase</t>
  </si>
  <si>
    <t>WP_011014223.1</t>
  </si>
  <si>
    <t>CGL_RS06165</t>
  </si>
  <si>
    <t>WP_011014224.1</t>
  </si>
  <si>
    <t>CGL_RS06170</t>
  </si>
  <si>
    <t>WP_011014225.1</t>
  </si>
  <si>
    <t>CGL_RS06175</t>
  </si>
  <si>
    <t>tRNA 2-thiouridine(34) synthase MnmA</t>
  </si>
  <si>
    <t>mnmA</t>
  </si>
  <si>
    <t>WP_003861382.1</t>
  </si>
  <si>
    <t>CGL_RS06180</t>
  </si>
  <si>
    <t>WP_011014226.1</t>
  </si>
  <si>
    <t>CGL_RS06185</t>
  </si>
  <si>
    <t>WP_003854772.1</t>
  </si>
  <si>
    <t>CGL_RS06190</t>
  </si>
  <si>
    <t>WP_003861387.1</t>
  </si>
  <si>
    <t>CGL_RS06195</t>
  </si>
  <si>
    <t>NAD-dependent DNA ligase LigA</t>
  </si>
  <si>
    <t>ligA</t>
  </si>
  <si>
    <t>WP_011014227.1</t>
  </si>
  <si>
    <t>CGL_RS06200</t>
  </si>
  <si>
    <t>WP_003861389.1</t>
  </si>
  <si>
    <t>CGL_RS06205</t>
  </si>
  <si>
    <t>Asp-tRNA(Asn)/Glu-tRNA(Gln) amidotransferase subunit GatC</t>
  </si>
  <si>
    <t>gatC</t>
  </si>
  <si>
    <t>WP_003854761.1</t>
  </si>
  <si>
    <t>CGL_RS06210</t>
  </si>
  <si>
    <t>Asp-tRNA(Asn)/Glu-tRNA(Gln) amidotransferase subunit GatA</t>
  </si>
  <si>
    <t>gatA</t>
  </si>
  <si>
    <t>WP_011014228.1</t>
  </si>
  <si>
    <t>CGL_RS06215</t>
  </si>
  <si>
    <t>WP_011014229.1</t>
  </si>
  <si>
    <t>CGL_RS06220</t>
  </si>
  <si>
    <t>WP_011014230.1</t>
  </si>
  <si>
    <t>CGL_RS06225</t>
  </si>
  <si>
    <t>6-phosphofructokinase</t>
  </si>
  <si>
    <t>WP_011265707.1</t>
  </si>
  <si>
    <t>CGL_RS06230</t>
  </si>
  <si>
    <t>WP_011014232.1</t>
  </si>
  <si>
    <t>CGL_RS06235</t>
  </si>
  <si>
    <t>sugar ABC transporter ATP-binding protein</t>
  </si>
  <si>
    <t>WP_011014233.1</t>
  </si>
  <si>
    <t>CGL_RS06240</t>
  </si>
  <si>
    <t>WP_011014234.1</t>
  </si>
  <si>
    <t>CGL_RS06245</t>
  </si>
  <si>
    <t>D-ribose ABC transporter substrate-binding protein</t>
  </si>
  <si>
    <t>WP_011014235.1</t>
  </si>
  <si>
    <t>CGL_RS06250</t>
  </si>
  <si>
    <t>D-ribose pyranase</t>
  </si>
  <si>
    <t>rbsD</t>
  </si>
  <si>
    <t>WP_011014236.1</t>
  </si>
  <si>
    <t>CGL_RS06255</t>
  </si>
  <si>
    <t>WP_003854745.1</t>
  </si>
  <si>
    <t>CGL_RS06260</t>
  </si>
  <si>
    <t>WP_011014237.1</t>
  </si>
  <si>
    <t>CGL_RS06265</t>
  </si>
  <si>
    <t>bile acid:sodium symporter family protein</t>
  </si>
  <si>
    <t>WP_003854741.1</t>
  </si>
  <si>
    <t>CGL_RS06270</t>
  </si>
  <si>
    <t>Asp-tRNA(Asn)/Glu-tRNA(Gln) amidotransferase subunit GatB</t>
  </si>
  <si>
    <t>gatB</t>
  </si>
  <si>
    <t>WP_011014238.1</t>
  </si>
  <si>
    <t>CGL_RS06275</t>
  </si>
  <si>
    <t>NADPH-dependent F420 reductase</t>
  </si>
  <si>
    <t>WP_006285040.1</t>
  </si>
  <si>
    <t>CGL_RS06280</t>
  </si>
  <si>
    <t>L-glyceraldehyde 3-phosphate reductase</t>
  </si>
  <si>
    <t>mgrA</t>
  </si>
  <si>
    <t>WP_011014239.1</t>
  </si>
  <si>
    <t>CGL_RS06285</t>
  </si>
  <si>
    <t>L-lysine exporter</t>
  </si>
  <si>
    <t>lysE</t>
  </si>
  <si>
    <t>WP_003854734.1</t>
  </si>
  <si>
    <t>CGL_RS06290</t>
  </si>
  <si>
    <t>ArgP/LysG family DNA-binding transcriptional regulator</t>
  </si>
  <si>
    <t>WP_011014240.1</t>
  </si>
  <si>
    <t>CGL_RS06295</t>
  </si>
  <si>
    <t>glutathione S-transferase family protein</t>
  </si>
  <si>
    <t>WP_011014241.1</t>
  </si>
  <si>
    <t>CGL_RS06300</t>
  </si>
  <si>
    <t>WP_011265710.1</t>
  </si>
  <si>
    <t>CGL_RS06305</t>
  </si>
  <si>
    <t>WP_011014243.1</t>
  </si>
  <si>
    <t>CGL_RS06310</t>
  </si>
  <si>
    <t>dihydroxy-acid dehydratase</t>
  </si>
  <si>
    <t>ilvD</t>
  </si>
  <si>
    <t>WP_003854128.1</t>
  </si>
  <si>
    <t>CGL_RS06315</t>
  </si>
  <si>
    <t>WP_011014244.1</t>
  </si>
  <si>
    <t>CGL_RS06320</t>
  </si>
  <si>
    <t>mechanosensitive ion channel family protein</t>
  </si>
  <si>
    <t>WP_011014245.1</t>
  </si>
  <si>
    <t>CGL_RS06325</t>
  </si>
  <si>
    <t>acetolactate synthase large subunit</t>
  </si>
  <si>
    <t>WP_011014246.1</t>
  </si>
  <si>
    <t>CGL_RS06330</t>
  </si>
  <si>
    <t>acetolactate synthase small subunit</t>
  </si>
  <si>
    <t>ilvN</t>
  </si>
  <si>
    <t>WP_006286979.1</t>
  </si>
  <si>
    <t>CGL_RS06335</t>
  </si>
  <si>
    <t>ketol-acid reductoisomerase</t>
  </si>
  <si>
    <t>ilvC</t>
  </si>
  <si>
    <t>WP_003854117.1</t>
  </si>
  <si>
    <t>CGL_RS06340</t>
  </si>
  <si>
    <t>CGL_RS06345</t>
  </si>
  <si>
    <t>CGL_RS06350</t>
  </si>
  <si>
    <t>WP_041625433.1</t>
  </si>
  <si>
    <t>CGL_RS06355</t>
  </si>
  <si>
    <t>acyl-CoA/acyl-ACP dehydrogenase</t>
  </si>
  <si>
    <t>WP_011014251.1</t>
  </si>
  <si>
    <t>CGL_RS06360</t>
  </si>
  <si>
    <t>WP_041625658.1</t>
  </si>
  <si>
    <t>CGL_RS06365</t>
  </si>
  <si>
    <t>WP_011014253.1</t>
  </si>
  <si>
    <t>CGL_RS06370</t>
  </si>
  <si>
    <t>cation diffusion facilitator family transporter</t>
  </si>
  <si>
    <t>WP_011014254.1</t>
  </si>
  <si>
    <t>CGL_RS06375</t>
  </si>
  <si>
    <t>GmrSD restriction endonuclease domain-containing protein</t>
  </si>
  <si>
    <t>WP_011014255.1</t>
  </si>
  <si>
    <t>CGL_RS06380</t>
  </si>
  <si>
    <t>WP_011014256.1</t>
  </si>
  <si>
    <t>CGL_RS06385</t>
  </si>
  <si>
    <t>phosphoglycerate dehydrogenase</t>
  </si>
  <si>
    <t>serA</t>
  </si>
  <si>
    <t>WP_003854094.1</t>
  </si>
  <si>
    <t>CGL_RS06390</t>
  </si>
  <si>
    <t>YbjN domain-containing protein</t>
  </si>
  <si>
    <t>WP_011014257.1</t>
  </si>
  <si>
    <t>CGL_RS06395</t>
  </si>
  <si>
    <t>3-isopropylmalate dehydrogenase</t>
  </si>
  <si>
    <t>WP_011014258.1</t>
  </si>
  <si>
    <t>CGL_RS06400</t>
  </si>
  <si>
    <t>WP_003861456.1</t>
  </si>
  <si>
    <t>CGL_RS06405</t>
  </si>
  <si>
    <t>CBS domain-containing protein</t>
  </si>
  <si>
    <t>WP_011014260.1</t>
  </si>
  <si>
    <t>CGL_RS06410</t>
  </si>
  <si>
    <t>exonuclease domain-containing protein</t>
  </si>
  <si>
    <t>WP_011014261.1</t>
  </si>
  <si>
    <t>CGL_RS06415</t>
  </si>
  <si>
    <t>fumarylacetoacetate hydrolase family protein</t>
  </si>
  <si>
    <t>WP_003861462.1</t>
  </si>
  <si>
    <t>CGL_RS06420</t>
  </si>
  <si>
    <t>WP_011014262.1</t>
  </si>
  <si>
    <t>CGL_RS06425</t>
  </si>
  <si>
    <t>isochorismate synthase</t>
  </si>
  <si>
    <t>WP_011014263.1</t>
  </si>
  <si>
    <t>CGL_RS06430</t>
  </si>
  <si>
    <t>glutamate--tRNA ligase</t>
  </si>
  <si>
    <t>gltX</t>
  </si>
  <si>
    <t>WP_011265718.1</t>
  </si>
  <si>
    <t>CGL_RS06435</t>
  </si>
  <si>
    <t>WP_011014265.1</t>
  </si>
  <si>
    <t>CGL_RS06440</t>
  </si>
  <si>
    <t>DUF2975 domain-containing protein</t>
  </si>
  <si>
    <t>WP_011014266.1</t>
  </si>
  <si>
    <t>CGL_RS06445</t>
  </si>
  <si>
    <t>WP_011014267.1</t>
  </si>
  <si>
    <t>CGL_RS06450</t>
  </si>
  <si>
    <t>WP_011014268.1</t>
  </si>
  <si>
    <t>CGL_RS06455</t>
  </si>
  <si>
    <t>WP_227747761.1</t>
  </si>
  <si>
    <t>CGL_RS06460</t>
  </si>
  <si>
    <t>WP_011014270.1</t>
  </si>
  <si>
    <t>CGL_RS06465</t>
  </si>
  <si>
    <t>tRNA-Gln</t>
  </si>
  <si>
    <t>CGL_RS06470</t>
  </si>
  <si>
    <t>tRNA-Glu</t>
  </si>
  <si>
    <t>CGL_RS06475</t>
  </si>
  <si>
    <t>CGL_RS06480</t>
  </si>
  <si>
    <t>CGL_RS06485</t>
  </si>
  <si>
    <t>WP_011265720.1</t>
  </si>
  <si>
    <t>CGL_RS15815</t>
  </si>
  <si>
    <t>CGL_RS06490</t>
  </si>
  <si>
    <t>WP_020948564.1</t>
  </si>
  <si>
    <t>CGL_RS15855</t>
  </si>
  <si>
    <t>TRAFAC clade GTPase domain-containing protein</t>
  </si>
  <si>
    <t>WP_011014271.1</t>
  </si>
  <si>
    <t>CGL_RS06500</t>
  </si>
  <si>
    <t>WP_011014272.1</t>
  </si>
  <si>
    <t>CGL_RS06505</t>
  </si>
  <si>
    <t>phosphomethylpyrimidine synthase ThiC</t>
  </si>
  <si>
    <t>thiC</t>
  </si>
  <si>
    <t>WP_011014273.1</t>
  </si>
  <si>
    <t>CGL_RS06510</t>
  </si>
  <si>
    <t>Abi family protein</t>
  </si>
  <si>
    <t>WP_197526093.1</t>
  </si>
  <si>
    <t>CGL_RS06515</t>
  </si>
  <si>
    <t>WP_011265721.1</t>
  </si>
  <si>
    <t>CGL_RS06520</t>
  </si>
  <si>
    <t>maltodextrin phosphorylase MalP</t>
  </si>
  <si>
    <t>malP</t>
  </si>
  <si>
    <t>WP_011014275.1</t>
  </si>
  <si>
    <t>CGL_RS06525</t>
  </si>
  <si>
    <t>WP_011014277.1</t>
  </si>
  <si>
    <t>CGL_RS06530</t>
  </si>
  <si>
    <t>WP_208400692.1</t>
  </si>
  <si>
    <t>CGL_RS06535</t>
  </si>
  <si>
    <t>WP_003858864.1</t>
  </si>
  <si>
    <t>CGL_RS06540</t>
  </si>
  <si>
    <t>WP_011014279.1</t>
  </si>
  <si>
    <t>CGL_RS06545</t>
  </si>
  <si>
    <t>WP_011014280.1</t>
  </si>
  <si>
    <t>CGL_RS06550</t>
  </si>
  <si>
    <t>3-isopropylmalate dehydratase large subunit</t>
  </si>
  <si>
    <t>leuC</t>
  </si>
  <si>
    <t>WP_011014281.1</t>
  </si>
  <si>
    <t>CGL_RS06555</t>
  </si>
  <si>
    <t>3-isopropylmalate dehydratase small subunit</t>
  </si>
  <si>
    <t>leuD</t>
  </si>
  <si>
    <t>WP_011014282.1</t>
  </si>
  <si>
    <t>CGL_RS06560</t>
  </si>
  <si>
    <t>WP_011265722.1</t>
  </si>
  <si>
    <t>CGL_RS06565</t>
  </si>
  <si>
    <t>NAD(P)H-dependent glycerol-3-phosphate dehydrogenase</t>
  </si>
  <si>
    <t>WP_003858849.1</t>
  </si>
  <si>
    <t>CGL_RS06570</t>
  </si>
  <si>
    <t>D-alanine--D-alanine ligase family protein</t>
  </si>
  <si>
    <t>WP_011014285.1</t>
  </si>
  <si>
    <t>CGL_RS06575</t>
  </si>
  <si>
    <t>DUF3515 domain-containing protein</t>
  </si>
  <si>
    <t>WP_011014286.1</t>
  </si>
  <si>
    <t>CGL_RS06580</t>
  </si>
  <si>
    <t>thiamine-phosphate kinase</t>
  </si>
  <si>
    <t>WP_011014287.1</t>
  </si>
  <si>
    <t>CGL_RS06585</t>
  </si>
  <si>
    <t>uracil-DNA glycosylase</t>
  </si>
  <si>
    <t>WP_011014288.1</t>
  </si>
  <si>
    <t>CGL_RS06590</t>
  </si>
  <si>
    <t>DAK2 domain-containing protein</t>
  </si>
  <si>
    <t>WP_011265725.1</t>
  </si>
  <si>
    <t>CGL_RS06595</t>
  </si>
  <si>
    <t>ATP-dependent DNA helicase RecG</t>
  </si>
  <si>
    <t>WP_011014290.1</t>
  </si>
  <si>
    <t>CGL_RS06600</t>
  </si>
  <si>
    <t>acetyl-CoA carboxylase biotin carboxyl carrier protein subunit</t>
  </si>
  <si>
    <t>WP_003858832.1</t>
  </si>
  <si>
    <t>CGL_RS06605</t>
  </si>
  <si>
    <t>16S rRNA (guanine(966)-N(2))-methyltransferase RsmD</t>
  </si>
  <si>
    <t>rsmD</t>
  </si>
  <si>
    <t>WP_003858829.1</t>
  </si>
  <si>
    <t>CGL_RS06610</t>
  </si>
  <si>
    <t>pantetheine-phosphate adenylyltransferase</t>
  </si>
  <si>
    <t>coaD</t>
  </si>
  <si>
    <t>WP_003858828.1</t>
  </si>
  <si>
    <t>CGL_RS06615</t>
  </si>
  <si>
    <t>WP_074495633.1</t>
  </si>
  <si>
    <t>CGL_RS15640</t>
  </si>
  <si>
    <t>amino acid ABC transporter ATP-binding protein</t>
  </si>
  <si>
    <t>WP_003858826.1</t>
  </si>
  <si>
    <t>CGL_RS06625</t>
  </si>
  <si>
    <t>amino acid ABC transporter permease</t>
  </si>
  <si>
    <t>WP_003858824.1</t>
  </si>
  <si>
    <t>CGL_RS06630</t>
  </si>
  <si>
    <t>WP_011014291.1</t>
  </si>
  <si>
    <t>CGL_RS06635</t>
  </si>
  <si>
    <t>DUF1266 domain-containing protein</t>
  </si>
  <si>
    <t>WP_003858818.1</t>
  </si>
  <si>
    <t>CGL_RS06640</t>
  </si>
  <si>
    <t>DUF368 domain-containing protein</t>
  </si>
  <si>
    <t>WP_011014292.1</t>
  </si>
  <si>
    <t>CGL_RS06645</t>
  </si>
  <si>
    <t>site-specific integrase</t>
  </si>
  <si>
    <t>WP_003858814.1</t>
  </si>
  <si>
    <t>CGL_RS06650</t>
  </si>
  <si>
    <t>WP_003861519.1</t>
  </si>
  <si>
    <t>CGL_RS06660</t>
  </si>
  <si>
    <t>MepB family protein</t>
  </si>
  <si>
    <t>WP_003858809.1</t>
  </si>
  <si>
    <t>CGL_RS06665</t>
  </si>
  <si>
    <t>DUF4258 domain-containing protein</t>
  </si>
  <si>
    <t>WP_011014295.1</t>
  </si>
  <si>
    <t>CGL_RS06675</t>
  </si>
  <si>
    <t>DUF2283 domain-containing protein</t>
  </si>
  <si>
    <t>WP_003858801.1</t>
  </si>
  <si>
    <t>CGL_RS06680</t>
  </si>
  <si>
    <t>DUF6973 domain-containing protein</t>
  </si>
  <si>
    <t>WP_231838289.1</t>
  </si>
  <si>
    <t>CGL_RS15645</t>
  </si>
  <si>
    <t>CGL_RS06695</t>
  </si>
  <si>
    <t>WP_003858795.1</t>
  </si>
  <si>
    <t>CGL_RS06700</t>
  </si>
  <si>
    <t>WP_011265729.1</t>
  </si>
  <si>
    <t>CGL_RS15525</t>
  </si>
  <si>
    <t>WP_003861526.1</t>
  </si>
  <si>
    <t>CGL_RS06715</t>
  </si>
  <si>
    <t>trypsin-like serine protease</t>
  </si>
  <si>
    <t>WP_227747764.1</t>
  </si>
  <si>
    <t>CGL_RS06720</t>
  </si>
  <si>
    <t>WP_003858787.1</t>
  </si>
  <si>
    <t>CGL_RS06725</t>
  </si>
  <si>
    <t>WP_003858785.1</t>
  </si>
  <si>
    <t>CGL_RS06730</t>
  </si>
  <si>
    <t>WP_208396117.1</t>
  </si>
  <si>
    <t>CGL_RS06735</t>
  </si>
  <si>
    <t>WP_003858781.1</t>
  </si>
  <si>
    <t>CGL_RS06740</t>
  </si>
  <si>
    <t>CGL_RS06745</t>
  </si>
  <si>
    <t>DNA polymerase I</t>
  </si>
  <si>
    <t>polA</t>
  </si>
  <si>
    <t>WP_011014298.1</t>
  </si>
  <si>
    <t>CGL_RS06750</t>
  </si>
  <si>
    <t>WP_011014299.1</t>
  </si>
  <si>
    <t>CGL_RS06755</t>
  </si>
  <si>
    <t>WP_011014300.1</t>
  </si>
  <si>
    <t>CGL_RS06760</t>
  </si>
  <si>
    <t>WP_011014301.1</t>
  </si>
  <si>
    <t>CGL_RS06765</t>
  </si>
  <si>
    <t>WP_011014302.1</t>
  </si>
  <si>
    <t>CGL_RS06770</t>
  </si>
  <si>
    <t>30S ribosomal protein S1</t>
  </si>
  <si>
    <t>rpsA</t>
  </si>
  <si>
    <t>WP_011014303.1</t>
  </si>
  <si>
    <t>CGL_RS06780</t>
  </si>
  <si>
    <t>glucose PTS transporter subunit IIA</t>
  </si>
  <si>
    <t>WP_011014304.1</t>
  </si>
  <si>
    <t>CGL_RS06785</t>
  </si>
  <si>
    <t>dephospho-CoA kinase</t>
  </si>
  <si>
    <t>coaE</t>
  </si>
  <si>
    <t>WP_011014305.1</t>
  </si>
  <si>
    <t>CGL_RS06790</t>
  </si>
  <si>
    <t>WP_011014306.1</t>
  </si>
  <si>
    <t>CGL_RS06795</t>
  </si>
  <si>
    <t>WP_011014307.1</t>
  </si>
  <si>
    <t>CGL_RS06800</t>
  </si>
  <si>
    <t>WP_003861547.1</t>
  </si>
  <si>
    <t>CGL_RS06805</t>
  </si>
  <si>
    <t>nucleoside hydrolase</t>
  </si>
  <si>
    <t>WP_011014308.1</t>
  </si>
  <si>
    <t>CGL_RS06810</t>
  </si>
  <si>
    <t>WP_011014309.1</t>
  </si>
  <si>
    <t>CGL_RS06815</t>
  </si>
  <si>
    <t>ribokinase</t>
  </si>
  <si>
    <t>WP_011014310.1</t>
  </si>
  <si>
    <t>CGL_RS06820</t>
  </si>
  <si>
    <t>WP_011014311.1</t>
  </si>
  <si>
    <t>CGL_RS06825</t>
  </si>
  <si>
    <t>WP_020948571.1</t>
  </si>
  <si>
    <t>CGL_RS06830</t>
  </si>
  <si>
    <t>WP_011014313.1</t>
  </si>
  <si>
    <t>CGL_RS06835</t>
  </si>
  <si>
    <t>excinuclease ABC subunit UvrB</t>
  </si>
  <si>
    <t>uvrB</t>
  </si>
  <si>
    <t>WP_020948572.1</t>
  </si>
  <si>
    <t>CGL_RS06840</t>
  </si>
  <si>
    <t>universal stress protein</t>
  </si>
  <si>
    <t>WP_011014315.1</t>
  </si>
  <si>
    <t>CGL_RS06845</t>
  </si>
  <si>
    <t>winged helix-turn-helix transcriptional regulator</t>
  </si>
  <si>
    <t>WP_003861566.1</t>
  </si>
  <si>
    <t>CGL_RS06850</t>
  </si>
  <si>
    <t>WP_011265735.1</t>
  </si>
  <si>
    <t>CGL_RS06855</t>
  </si>
  <si>
    <t>HelD family protein</t>
  </si>
  <si>
    <t>WP_011014317.1</t>
  </si>
  <si>
    <t>CGL_RS06860</t>
  </si>
  <si>
    <t>WP_011014318.1</t>
  </si>
  <si>
    <t>CGL_RS06865</t>
  </si>
  <si>
    <t>WP_003858732.1</t>
  </si>
  <si>
    <t>CGL_RS06870</t>
  </si>
  <si>
    <t>excinuclease ABC subunit UvrA</t>
  </si>
  <si>
    <t>uvrA</t>
  </si>
  <si>
    <t>WP_011014319.1</t>
  </si>
  <si>
    <t>CGL_RS06875</t>
  </si>
  <si>
    <t>WP_011014320.1</t>
  </si>
  <si>
    <t>CGL_RS06880</t>
  </si>
  <si>
    <t>translation initiation factor IF-3</t>
  </si>
  <si>
    <t>infC</t>
  </si>
  <si>
    <t>WP_011014321.1</t>
  </si>
  <si>
    <t>CGL_RS06885</t>
  </si>
  <si>
    <t>50S ribosomal protein L35</t>
  </si>
  <si>
    <t>rpmI</t>
  </si>
  <si>
    <t>WP_003858721.1</t>
  </si>
  <si>
    <t>CGL_RS06890</t>
  </si>
  <si>
    <t>50S ribosomal protein L20</t>
  </si>
  <si>
    <t>rplT</t>
  </si>
  <si>
    <t>WP_003858719.1</t>
  </si>
  <si>
    <t>CGL_RS06895</t>
  </si>
  <si>
    <t>GIY-YIG nuclease family protein</t>
  </si>
  <si>
    <t>WP_011014322.1</t>
  </si>
  <si>
    <t>CGL_RS06900</t>
  </si>
  <si>
    <t>DUF6508 domain-containing protein</t>
  </si>
  <si>
    <t>WP_011265736.1</t>
  </si>
  <si>
    <t>CGL_RS06905</t>
  </si>
  <si>
    <t>WP_011265737.1</t>
  </si>
  <si>
    <t>CGL_RS06910</t>
  </si>
  <si>
    <t>WP_011014325.1</t>
  </si>
  <si>
    <t>CGL_RS06915</t>
  </si>
  <si>
    <t>WP_011014326.1</t>
  </si>
  <si>
    <t>CGL_RS06920</t>
  </si>
  <si>
    <t>WP_011014327.1</t>
  </si>
  <si>
    <t>CGL_RS06925</t>
  </si>
  <si>
    <t>glycerophosphodiester phosphodiesterase</t>
  </si>
  <si>
    <t>WP_011014328.1</t>
  </si>
  <si>
    <t>CGL_RS06930</t>
  </si>
  <si>
    <t>WP_003858706.1</t>
  </si>
  <si>
    <t>CGL_RS06935</t>
  </si>
  <si>
    <t>phenylalanine--tRNA ligase subunit alpha</t>
  </si>
  <si>
    <t>pheS</t>
  </si>
  <si>
    <t>WP_011897202.1</t>
  </si>
  <si>
    <t>CGL_RS06940</t>
  </si>
  <si>
    <t>phenylalanine--tRNA ligase subunit beta</t>
  </si>
  <si>
    <t>pheT</t>
  </si>
  <si>
    <t>WP_011014330.1</t>
  </si>
  <si>
    <t>CGL_RS06945</t>
  </si>
  <si>
    <t>WP_003858702.1</t>
  </si>
  <si>
    <t>CGL_RS06950</t>
  </si>
  <si>
    <t>WP_011014331.1</t>
  </si>
  <si>
    <t>CGL_RS06955</t>
  </si>
  <si>
    <t>WP_003861594.1</t>
  </si>
  <si>
    <t>CGL_RS06960</t>
  </si>
  <si>
    <t>N-acetyl-gamma-glutamyl-phosphate reductase</t>
  </si>
  <si>
    <t>argC</t>
  </si>
  <si>
    <t>WP_003858698.1</t>
  </si>
  <si>
    <t>CGL_RS06965</t>
  </si>
  <si>
    <t>bifunctional glutamate N-acetyltransferase/amino-acid acetyltransferase ArgJ</t>
  </si>
  <si>
    <t>argJ</t>
  </si>
  <si>
    <t>WP_011014333.1</t>
  </si>
  <si>
    <t>CGL_RS06970</t>
  </si>
  <si>
    <t>acetylglutamate kinase</t>
  </si>
  <si>
    <t>argB</t>
  </si>
  <si>
    <t>WP_003858695.1</t>
  </si>
  <si>
    <t>CGL_RS06975</t>
  </si>
  <si>
    <t>acetylornithine transaminase</t>
  </si>
  <si>
    <t>WP_011014334.1</t>
  </si>
  <si>
    <t>CGL_RS06980</t>
  </si>
  <si>
    <t>argF</t>
  </si>
  <si>
    <t>WP_011014335.1</t>
  </si>
  <si>
    <t>CGL_RS06985</t>
  </si>
  <si>
    <t>arginine repressor</t>
  </si>
  <si>
    <t>WP_003858683.1</t>
  </si>
  <si>
    <t>CGL_RS06990</t>
  </si>
  <si>
    <t>argininosuccinate synthase</t>
  </si>
  <si>
    <t>WP_003858678.1</t>
  </si>
  <si>
    <t>CGL_RS06995</t>
  </si>
  <si>
    <t>argininosuccinate lyase</t>
  </si>
  <si>
    <t>argH</t>
  </si>
  <si>
    <t>WP_011014337.1</t>
  </si>
  <si>
    <t>CGL_RS07000</t>
  </si>
  <si>
    <t>WP_011014338.1</t>
  </si>
  <si>
    <t>CGL_RS07005</t>
  </si>
  <si>
    <t>WP_011014339.1</t>
  </si>
  <si>
    <t>CGL_RS07010</t>
  </si>
  <si>
    <t>WP_011014340.1</t>
  </si>
  <si>
    <t>CGL_RS07015</t>
  </si>
  <si>
    <t>Trm112 family protein</t>
  </si>
  <si>
    <t>WP_003861608.1</t>
  </si>
  <si>
    <t>CGL_RS07020</t>
  </si>
  <si>
    <t>tyrosine--tRNA ligase</t>
  </si>
  <si>
    <t>tyrS</t>
  </si>
  <si>
    <t>WP_011014341.1</t>
  </si>
  <si>
    <t>CGL_RS07025</t>
  </si>
  <si>
    <t>WP_011014342.1</t>
  </si>
  <si>
    <t>CGL_RS07030</t>
  </si>
  <si>
    <t>CGL_RS07040</t>
  </si>
  <si>
    <t>CGL_RS07045</t>
  </si>
  <si>
    <t>CGL_RS07050</t>
  </si>
  <si>
    <t>tetratricopeptide repeat protein</t>
  </si>
  <si>
    <t>WP_011014343.1</t>
  </si>
  <si>
    <t>CGL_RS07055</t>
  </si>
  <si>
    <t>HAD-IIA family hydrolase</t>
  </si>
  <si>
    <t>WP_011014344.1</t>
  </si>
  <si>
    <t>CGL_RS07060</t>
  </si>
  <si>
    <t>WP_003856298.1</t>
  </si>
  <si>
    <t>CGL_RS15440</t>
  </si>
  <si>
    <t>TlyA family rRNA (cytidine-2'-O)-methyltransferase</t>
  </si>
  <si>
    <t>WP_003856296.1</t>
  </si>
  <si>
    <t>CGL_RS07065</t>
  </si>
  <si>
    <t>NAD kinase</t>
  </si>
  <si>
    <t>WP_011014345.1</t>
  </si>
  <si>
    <t>CGL_RS07070</t>
  </si>
  <si>
    <t>DNA repair protein RecN</t>
  </si>
  <si>
    <t>recN</t>
  </si>
  <si>
    <t>WP_011014346.1</t>
  </si>
  <si>
    <t>CGL_RS07075</t>
  </si>
  <si>
    <t>putative cytokinetic ring protein SteA</t>
  </si>
  <si>
    <t>steA</t>
  </si>
  <si>
    <t>WP_011014347.1</t>
  </si>
  <si>
    <t>CGL_RS07080</t>
  </si>
  <si>
    <t>copper transporter</t>
  </si>
  <si>
    <t>WP_011014348.1</t>
  </si>
  <si>
    <t>CGL_RS07085</t>
  </si>
  <si>
    <t>CTP synthase</t>
  </si>
  <si>
    <t>WP_003856281.1</t>
  </si>
  <si>
    <t>CGL_RS07090</t>
  </si>
  <si>
    <t>WP_011014349.1</t>
  </si>
  <si>
    <t>CGL_RS07095</t>
  </si>
  <si>
    <t>site-specific tyrosine recombinase XerD</t>
  </si>
  <si>
    <t>xerD</t>
  </si>
  <si>
    <t>WP_011014350.1</t>
  </si>
  <si>
    <t>CGL_RS07100</t>
  </si>
  <si>
    <t>WP_011014351.1</t>
  </si>
  <si>
    <t>CGL_RS07105</t>
  </si>
  <si>
    <t>ParA family protein</t>
  </si>
  <si>
    <t>WP_011014352.1</t>
  </si>
  <si>
    <t>CGL_RS07110</t>
  </si>
  <si>
    <t>segregation and condensation protein A</t>
  </si>
  <si>
    <t>WP_003863780.1</t>
  </si>
  <si>
    <t>CGL_RS07115</t>
  </si>
  <si>
    <t>WP_011014354.1</t>
  </si>
  <si>
    <t>CGL_RS07120</t>
  </si>
  <si>
    <t>WP_011014355.1</t>
  </si>
  <si>
    <t>CGL_RS07125</t>
  </si>
  <si>
    <t>SMC-Scp complex subunit ScpB</t>
  </si>
  <si>
    <t>scpB</t>
  </si>
  <si>
    <t>WP_011014356.1</t>
  </si>
  <si>
    <t>CGL_RS07130</t>
  </si>
  <si>
    <t>pseudouridine synthase</t>
  </si>
  <si>
    <t>WP_003863777.1</t>
  </si>
  <si>
    <t>CGL_RS07135</t>
  </si>
  <si>
    <t>(d)CMP kinase</t>
  </si>
  <si>
    <t>cmk</t>
  </si>
  <si>
    <t>WP_003863776.1</t>
  </si>
  <si>
    <t>CGL_RS07140</t>
  </si>
  <si>
    <t>ribosome biogenesis GTPase Der</t>
  </si>
  <si>
    <t>der</t>
  </si>
  <si>
    <t>WP_172769660.1</t>
  </si>
  <si>
    <t>CGL_RS07145</t>
  </si>
  <si>
    <t>pentapeptide repeat-containing protein</t>
  </si>
  <si>
    <t>WP_011014358.1</t>
  </si>
  <si>
    <t>CGL_RS07150</t>
  </si>
  <si>
    <t>GyrI-like domain-containing protein</t>
  </si>
  <si>
    <t>WP_011014359.1</t>
  </si>
  <si>
    <t>CGL_RS07155</t>
  </si>
  <si>
    <t>WP_011014360.1</t>
  </si>
  <si>
    <t>CGL_RS07160</t>
  </si>
  <si>
    <t>WP_011265741.1</t>
  </si>
  <si>
    <t>CGL_RS07165</t>
  </si>
  <si>
    <t>WP_011014362.1</t>
  </si>
  <si>
    <t>CGL_RS07170</t>
  </si>
  <si>
    <t>zinc transporter ZupT</t>
  </si>
  <si>
    <t>zupT</t>
  </si>
  <si>
    <t>WP_011014363.1</t>
  </si>
  <si>
    <t>CGL_RS07175</t>
  </si>
  <si>
    <t>WP_011014364.1</t>
  </si>
  <si>
    <t>CGL_RS07180</t>
  </si>
  <si>
    <t>WP_003863766.1</t>
  </si>
  <si>
    <t>CGL_RS07185</t>
  </si>
  <si>
    <t>CGL_RS07190</t>
  </si>
  <si>
    <t>YchJ family protein</t>
  </si>
  <si>
    <t>WP_011014365.1</t>
  </si>
  <si>
    <t>CGL_RS07195</t>
  </si>
  <si>
    <t>bifunctional alpha/beta hydrolase/OsmC family protein</t>
  </si>
  <si>
    <t>WP_003863764.1</t>
  </si>
  <si>
    <t>CGL_RS07200</t>
  </si>
  <si>
    <t>accessory Sec system translocase SecA2</t>
  </si>
  <si>
    <t>secA2</t>
  </si>
  <si>
    <t>WP_011014367.1</t>
  </si>
  <si>
    <t>CGL_RS07205</t>
  </si>
  <si>
    <t>oxoglutarate dehydrogenase inhibitor Odhl</t>
  </si>
  <si>
    <t>odhI</t>
  </si>
  <si>
    <t>WP_003856253.1</t>
  </si>
  <si>
    <t>CGL_RS07210</t>
  </si>
  <si>
    <t>transcriptional regulator FtsR</t>
  </si>
  <si>
    <t>WP_003856252.1</t>
  </si>
  <si>
    <t>CGL_RS07215</t>
  </si>
  <si>
    <t>bifunctional nuclease family protein</t>
  </si>
  <si>
    <t>WP_003863762.1</t>
  </si>
  <si>
    <t>CGL_RS07220</t>
  </si>
  <si>
    <t>MerR family transcriptional regulator</t>
  </si>
  <si>
    <t>WP_003856248.1</t>
  </si>
  <si>
    <t>CGL_RS07225</t>
  </si>
  <si>
    <t>WP_003856246.1</t>
  </si>
  <si>
    <t>CGL_RS07230</t>
  </si>
  <si>
    <t>WP_011014368.1</t>
  </si>
  <si>
    <t>CGL_RS07235</t>
  </si>
  <si>
    <t>WP_020309556.1</t>
  </si>
  <si>
    <t>CGL_RS07240</t>
  </si>
  <si>
    <t>WP_011014370.1</t>
  </si>
  <si>
    <t>CGL_RS07245</t>
  </si>
  <si>
    <t>WP_011014371.1</t>
  </si>
  <si>
    <t>CGL_RS07250</t>
  </si>
  <si>
    <t>WP_003856236.1</t>
  </si>
  <si>
    <t>CGL_RS07255</t>
  </si>
  <si>
    <t>WP_011014372.1</t>
  </si>
  <si>
    <t>CGL_RS07260</t>
  </si>
  <si>
    <t>NADP-dependent phosphogluconate dehydrogenase</t>
  </si>
  <si>
    <t>gndA</t>
  </si>
  <si>
    <t>WP_003863756.1</t>
  </si>
  <si>
    <t>CGL_RS07265</t>
  </si>
  <si>
    <t>PaaI family thioesterase</t>
  </si>
  <si>
    <t>WP_011014373.1</t>
  </si>
  <si>
    <t>CGL_RS07270</t>
  </si>
  <si>
    <t>WP_003856229.1</t>
  </si>
  <si>
    <t>CGL_RS07275</t>
  </si>
  <si>
    <t>WP_011014374.1</t>
  </si>
  <si>
    <t>CGL_RS07280</t>
  </si>
  <si>
    <t>WP_011014375.1</t>
  </si>
  <si>
    <t>CGL_RS07285</t>
  </si>
  <si>
    <t>MurR/RpiR family transcriptional regulator</t>
  </si>
  <si>
    <t>WP_011014376.1</t>
  </si>
  <si>
    <t>CGL_RS07290</t>
  </si>
  <si>
    <t>phosphonate ABC transporter, permease protein PhnE</t>
  </si>
  <si>
    <t>phnE</t>
  </si>
  <si>
    <t>WP_011014377.1</t>
  </si>
  <si>
    <t>CGL_RS07295</t>
  </si>
  <si>
    <t>WP_011014378.1</t>
  </si>
  <si>
    <t>CGL_RS07300</t>
  </si>
  <si>
    <t>phosphonate ABC transporter ATP-binding protein</t>
  </si>
  <si>
    <t>phnC</t>
  </si>
  <si>
    <t>WP_011014379.1</t>
  </si>
  <si>
    <t>CGL_RS07305</t>
  </si>
  <si>
    <t>phosphate/phosphite/phosphonate ABC transporter substrate-binding protein</t>
  </si>
  <si>
    <t>phnD</t>
  </si>
  <si>
    <t>WP_011014380.1</t>
  </si>
  <si>
    <t>CGL_RS07310</t>
  </si>
  <si>
    <t>WP_230471393.1</t>
  </si>
  <si>
    <t>CGL_RS07315</t>
  </si>
  <si>
    <t>bifunctional hydroxymethylpyrimidine kinase/phosphomethylpyrimidine kinase</t>
  </si>
  <si>
    <t>WP_011014382.1</t>
  </si>
  <si>
    <t>CGL_RS07320</t>
  </si>
  <si>
    <t>hydroxyethylthiazole kinase</t>
  </si>
  <si>
    <t>thiM</t>
  </si>
  <si>
    <t>WP_011014383.1</t>
  </si>
  <si>
    <t>CGL_RS07325</t>
  </si>
  <si>
    <t>WP_003863745.1</t>
  </si>
  <si>
    <t>CGL_RS07330</t>
  </si>
  <si>
    <t>WP_011014384.1</t>
  </si>
  <si>
    <t>CGL_RS07335</t>
  </si>
  <si>
    <t>WP_011014385.1</t>
  </si>
  <si>
    <t>CGL_RS07340</t>
  </si>
  <si>
    <t>phosphoribosyltransferase</t>
  </si>
  <si>
    <t>WP_003856205.1</t>
  </si>
  <si>
    <t>CGL_RS07345</t>
  </si>
  <si>
    <t>manganese efflux pump MntP</t>
  </si>
  <si>
    <t>WP_011014386.1</t>
  </si>
  <si>
    <t>CGL_RS07350</t>
  </si>
  <si>
    <t>arsenic resistance protein</t>
  </si>
  <si>
    <t>WP_011014387.1</t>
  </si>
  <si>
    <t>CGL_RS07355</t>
  </si>
  <si>
    <t>WP_003863742.1</t>
  </si>
  <si>
    <t>CGL_RS07360</t>
  </si>
  <si>
    <t>WP_020948576.1</t>
  </si>
  <si>
    <t>CGL_RS07365</t>
  </si>
  <si>
    <t>WP_011014389.1</t>
  </si>
  <si>
    <t>CGL_RS07370</t>
  </si>
  <si>
    <t>WP_003856199.1</t>
  </si>
  <si>
    <t>CGL_RS07375</t>
  </si>
  <si>
    <t>WP_003856198.1</t>
  </si>
  <si>
    <t>CGL_RS07380</t>
  </si>
  <si>
    <t>WP_003863737.1</t>
  </si>
  <si>
    <t>CGL_RS07385</t>
  </si>
  <si>
    <t>WP_011265749.1</t>
  </si>
  <si>
    <t>CGL_RS07390</t>
  </si>
  <si>
    <t>RNA polymerase-binding protein RbpA</t>
  </si>
  <si>
    <t>WP_003863735.1</t>
  </si>
  <si>
    <t>CGL_RS07395</t>
  </si>
  <si>
    <t>polyprenol monophosphomannose synthase</t>
  </si>
  <si>
    <t>WP_003856192.1</t>
  </si>
  <si>
    <t>CGL_RS07400</t>
  </si>
  <si>
    <t>apolipoprotein N-acyltransferase</t>
  </si>
  <si>
    <t>lnt</t>
  </si>
  <si>
    <t>WP_011014392.1</t>
  </si>
  <si>
    <t>CGL_RS07405</t>
  </si>
  <si>
    <t>FxsA family protein</t>
  </si>
  <si>
    <t>WP_003856190.1</t>
  </si>
  <si>
    <t>CGL_RS07410</t>
  </si>
  <si>
    <t>lipase family protein</t>
  </si>
  <si>
    <t>WP_020948578.1</t>
  </si>
  <si>
    <t>CGL_RS07415</t>
  </si>
  <si>
    <t>nitrite/sulfite reductase</t>
  </si>
  <si>
    <t>WP_011014395.1</t>
  </si>
  <si>
    <t>CGL_RS07420</t>
  </si>
  <si>
    <t>precorrin-6y C5,15-methyltransferase (decarboxylating) subunit CbiE</t>
  </si>
  <si>
    <t>cbiE</t>
  </si>
  <si>
    <t>WP_011014396.1</t>
  </si>
  <si>
    <t>CGL_RS07425</t>
  </si>
  <si>
    <t>WP_148235595.1</t>
  </si>
  <si>
    <t>CGL_RS07430</t>
  </si>
  <si>
    <t>WP_080558828.1</t>
  </si>
  <si>
    <t>CGL_RS07435</t>
  </si>
  <si>
    <t>WP_011014397.1</t>
  </si>
  <si>
    <t>CGL_RS07440</t>
  </si>
  <si>
    <t>WP_011014398.1</t>
  </si>
  <si>
    <t>CGL_RS07445</t>
  </si>
  <si>
    <t>WP_003859992.1</t>
  </si>
  <si>
    <t>CGL_RS07450</t>
  </si>
  <si>
    <t>WP_011014399.1</t>
  </si>
  <si>
    <t>CGL_RS07455</t>
  </si>
  <si>
    <t>twin-arginine translocase subunit TatC</t>
  </si>
  <si>
    <t>tatC</t>
  </si>
  <si>
    <t>WP_011014400.1</t>
  </si>
  <si>
    <t>CGL_RS07460</t>
  </si>
  <si>
    <t>Sec-independent protein translocase subunit TatA</t>
  </si>
  <si>
    <t>tatA</t>
  </si>
  <si>
    <t>WP_011014401.1</t>
  </si>
  <si>
    <t>CGL_RS07465</t>
  </si>
  <si>
    <t>WP_011014402.1</t>
  </si>
  <si>
    <t>CGL_RS07470</t>
  </si>
  <si>
    <t>WP_011014403.1</t>
  </si>
  <si>
    <t>CGL_RS07475</t>
  </si>
  <si>
    <t>Pup--protein ligase</t>
  </si>
  <si>
    <t>pafA</t>
  </si>
  <si>
    <t>WP_227747724.1</t>
  </si>
  <si>
    <t>CGL_RS07480</t>
  </si>
  <si>
    <t>ubiquitin-like protein Pup</t>
  </si>
  <si>
    <t>WP_003856167.1</t>
  </si>
  <si>
    <t>CGL_RS07485</t>
  </si>
  <si>
    <t>depupylase/deamidase Dop</t>
  </si>
  <si>
    <t>dop</t>
  </si>
  <si>
    <t>WP_011014405.1</t>
  </si>
  <si>
    <t>CGL_RS07490</t>
  </si>
  <si>
    <t>proteasome ATPase</t>
  </si>
  <si>
    <t>arc</t>
  </si>
  <si>
    <t>WP_011265753.1</t>
  </si>
  <si>
    <t>CGL_RS07495</t>
  </si>
  <si>
    <t>tRNA (adenine-N1)-methyltransferase</t>
  </si>
  <si>
    <t>WP_003860005.1</t>
  </si>
  <si>
    <t>CGL_RS07500</t>
  </si>
  <si>
    <t>M18 family aminopeptidase</t>
  </si>
  <si>
    <t>WP_003860006.1</t>
  </si>
  <si>
    <t>CGL_RS07505</t>
  </si>
  <si>
    <t>RecB family exonuclease</t>
  </si>
  <si>
    <t>WP_003856159.1</t>
  </si>
  <si>
    <t>CGL_RS07510</t>
  </si>
  <si>
    <t>WP_011265754.1</t>
  </si>
  <si>
    <t>CGL_RS07515</t>
  </si>
  <si>
    <t>WP_011014408.1</t>
  </si>
  <si>
    <t>CGL_RS07520</t>
  </si>
  <si>
    <t>aspartate ammonia-lyase</t>
  </si>
  <si>
    <t>aspA</t>
  </si>
  <si>
    <t>WP_011014409.1</t>
  </si>
  <si>
    <t>CGL_RS07525</t>
  </si>
  <si>
    <t>ATP phosphoribosyltransferase</t>
  </si>
  <si>
    <t>hisG</t>
  </si>
  <si>
    <t>WP_003856149.1</t>
  </si>
  <si>
    <t>CGL_RS07530</t>
  </si>
  <si>
    <t>phosphoribosyl-ATP diphosphatase</t>
  </si>
  <si>
    <t>WP_011897259.1</t>
  </si>
  <si>
    <t>CGL_RS07535</t>
  </si>
  <si>
    <t>WP_011014410.1</t>
  </si>
  <si>
    <t>CGL_RS07540</t>
  </si>
  <si>
    <t>methionine synthase</t>
  </si>
  <si>
    <t>metH</t>
  </si>
  <si>
    <t>WP_011014411.1</t>
  </si>
  <si>
    <t>CGL_RS07545</t>
  </si>
  <si>
    <t>WP_011014412.1</t>
  </si>
  <si>
    <t>CGL_RS07550</t>
  </si>
  <si>
    <t>ArsO family NAD(P)H-dependent flavin-containing monooxygenase</t>
  </si>
  <si>
    <t>WP_011014413.1</t>
  </si>
  <si>
    <t>CGL_RS07555</t>
  </si>
  <si>
    <t>WP_011265756.1</t>
  </si>
  <si>
    <t>CGL_RS07560</t>
  </si>
  <si>
    <t>WP_011265757.1</t>
  </si>
  <si>
    <t>CGL_RS07565</t>
  </si>
  <si>
    <t>WP_011014415.1</t>
  </si>
  <si>
    <t>CGL_RS07570</t>
  </si>
  <si>
    <t>arsenate reductase ArsC</t>
  </si>
  <si>
    <t>WP_011014416.1</t>
  </si>
  <si>
    <t>CGL_RS07575</t>
  </si>
  <si>
    <t>WP_003856129.1</t>
  </si>
  <si>
    <t>CGL_RS07580</t>
  </si>
  <si>
    <t>cysteine--1-D-myo-inosityl 2-amino-2-deoxy-alpha-D-glucopyranoside ligase</t>
  </si>
  <si>
    <t>mshC</t>
  </si>
  <si>
    <t>WP_011014417.1</t>
  </si>
  <si>
    <t>CGL_RS07585</t>
  </si>
  <si>
    <t>undecaprenyl-diphosphate phosphatase</t>
  </si>
  <si>
    <t>WP_003856127.1</t>
  </si>
  <si>
    <t>CGL_RS07590</t>
  </si>
  <si>
    <t>WP_011265758.1</t>
  </si>
  <si>
    <t>CGL_RS07595</t>
  </si>
  <si>
    <t>WP_011265759.1</t>
  </si>
  <si>
    <t>CGL_RS07600</t>
  </si>
  <si>
    <t>quinone-dependent dihydroorotate dehydrogenase</t>
  </si>
  <si>
    <t>WP_011014420.1</t>
  </si>
  <si>
    <t>CGL_RS07605</t>
  </si>
  <si>
    <t>WP_011265760.1</t>
  </si>
  <si>
    <t>CGL_RS07610</t>
  </si>
  <si>
    <t>WP_011014422.1</t>
  </si>
  <si>
    <t>CGL_RS07615</t>
  </si>
  <si>
    <t>WP_011014423.1</t>
  </si>
  <si>
    <t>CGL_RS07620</t>
  </si>
  <si>
    <t>WP_003856120.1</t>
  </si>
  <si>
    <t>CGL_RS07625</t>
  </si>
  <si>
    <t>YbhB/YbcL family Raf kinase inhibitor-like protein</t>
  </si>
  <si>
    <t>WP_003856119.1</t>
  </si>
  <si>
    <t>CGL_RS07630</t>
  </si>
  <si>
    <t>WP_011014424.1</t>
  </si>
  <si>
    <t>CGL_RS07635</t>
  </si>
  <si>
    <t>WP_020948580.1</t>
  </si>
  <si>
    <t>CGL_RS07640</t>
  </si>
  <si>
    <t>CGL_RS07645</t>
  </si>
  <si>
    <t>CGL_RS07650</t>
  </si>
  <si>
    <t>WP_003862331.1</t>
  </si>
  <si>
    <t>CGL_RS07655</t>
  </si>
  <si>
    <t>methylmalonyl Co-A mutase-associated GTPase MeaB</t>
  </si>
  <si>
    <t>meaB</t>
  </si>
  <si>
    <t>WP_011014426.1</t>
  </si>
  <si>
    <t>CGL_RS07660</t>
  </si>
  <si>
    <t>methylmalonyl-CoA mutase</t>
  </si>
  <si>
    <t>scpA</t>
  </si>
  <si>
    <t>WP_011014427.1</t>
  </si>
  <si>
    <t>CGL_RS07665</t>
  </si>
  <si>
    <t>methylmalonyl-CoA mutase family protein</t>
  </si>
  <si>
    <t>WP_011014428.1</t>
  </si>
  <si>
    <t>CGL_RS07670</t>
  </si>
  <si>
    <t>TVP38/TMEM64 family protein</t>
  </si>
  <si>
    <t>WP_172820730.1</t>
  </si>
  <si>
    <t>CGL_RS07675</t>
  </si>
  <si>
    <t>WP_011014430.1</t>
  </si>
  <si>
    <t>CGL_RS07680</t>
  </si>
  <si>
    <t>WP_011014431.1</t>
  </si>
  <si>
    <t>CGL_RS07685</t>
  </si>
  <si>
    <t>NfeD family protein</t>
  </si>
  <si>
    <t>WP_003862316.1</t>
  </si>
  <si>
    <t>CGL_RS07690</t>
  </si>
  <si>
    <t>DUF3097 domain-containing protein</t>
  </si>
  <si>
    <t>WP_011014432.1</t>
  </si>
  <si>
    <t>CGL_RS07695</t>
  </si>
  <si>
    <t>WP_011014433.1</t>
  </si>
  <si>
    <t>CGL_RS07700</t>
  </si>
  <si>
    <t>ferrochelatase</t>
  </si>
  <si>
    <t>WP_011014434.1</t>
  </si>
  <si>
    <t>CGL_RS07705</t>
  </si>
  <si>
    <t>DIP1281 family NlpC/P60 protein</t>
  </si>
  <si>
    <t>WP_020948581.1</t>
  </si>
  <si>
    <t>CGL_RS07710</t>
  </si>
  <si>
    <t>DUF6676 family protein</t>
  </si>
  <si>
    <t>WP_011014436.1</t>
  </si>
  <si>
    <t>CGL_RS07715</t>
  </si>
  <si>
    <t>aconitate hydratase</t>
  </si>
  <si>
    <t>can</t>
  </si>
  <si>
    <t>WP_170844367.1</t>
  </si>
  <si>
    <t>CGL_RS07720</t>
  </si>
  <si>
    <t>TetR/AcrR family transcriptional regulator AcnR</t>
  </si>
  <si>
    <t>acnR</t>
  </si>
  <si>
    <t>WP_003856101.1</t>
  </si>
  <si>
    <t>CGL_RS07725</t>
  </si>
  <si>
    <t>glutamine amidotransferase</t>
  </si>
  <si>
    <t>WP_011014437.1</t>
  </si>
  <si>
    <t>CGL_RS07730</t>
  </si>
  <si>
    <t>NAD(P)-binding oxidoreductase</t>
  </si>
  <si>
    <t>WP_020948582.1</t>
  </si>
  <si>
    <t>CGL_RS07735</t>
  </si>
  <si>
    <t>PLDc N-terminal domain-containing protein</t>
  </si>
  <si>
    <t>WP_011265761.1</t>
  </si>
  <si>
    <t>CGL_RS07740</t>
  </si>
  <si>
    <t>ACT domain-containing protein</t>
  </si>
  <si>
    <t>WP_003856097.1</t>
  </si>
  <si>
    <t>CGL_RS07745</t>
  </si>
  <si>
    <t>PFL family protein</t>
  </si>
  <si>
    <t>WP_003856096.1</t>
  </si>
  <si>
    <t>CGL_RS07750</t>
  </si>
  <si>
    <t>cation-transporting P-type ATPase</t>
  </si>
  <si>
    <t>WP_011014439.1</t>
  </si>
  <si>
    <t>CGL_RS07755</t>
  </si>
  <si>
    <t>DUF1990 domain-containing protein</t>
  </si>
  <si>
    <t>WP_020948584.1</t>
  </si>
  <si>
    <t>CGL_RS07760</t>
  </si>
  <si>
    <t>HIRAN domain-containing protein</t>
  </si>
  <si>
    <t>WP_003862296.1</t>
  </si>
  <si>
    <t>CGL_RS07765</t>
  </si>
  <si>
    <t>Ltp family lipoprotein</t>
  </si>
  <si>
    <t>WP_011014441.1</t>
  </si>
  <si>
    <t>CGL_RS15530</t>
  </si>
  <si>
    <t>tyrosine-type recombinase/integrase</t>
  </si>
  <si>
    <t>WP_231838290.1</t>
  </si>
  <si>
    <t>CGL_RS07775</t>
  </si>
  <si>
    <t>WP_011014443.1</t>
  </si>
  <si>
    <t>CGL_RS07780</t>
  </si>
  <si>
    <t>NEW3 domain-containing protein</t>
  </si>
  <si>
    <t>WP_011014444.1</t>
  </si>
  <si>
    <t>CGL_RS15650</t>
  </si>
  <si>
    <t>sialidase family protein</t>
  </si>
  <si>
    <t>WP_011014445.1</t>
  </si>
  <si>
    <t>CGL_RS15655</t>
  </si>
  <si>
    <t>CGL_RS07790</t>
  </si>
  <si>
    <t>WP_011014446.1</t>
  </si>
  <si>
    <t>CGL_RS07795</t>
  </si>
  <si>
    <t>metal-sulfur cluster assembly factor</t>
  </si>
  <si>
    <t>WP_003856083.1</t>
  </si>
  <si>
    <t>CGL_RS07800</t>
  </si>
  <si>
    <t>Fe-S cluster assembly sulfur transfer protein SufU</t>
  </si>
  <si>
    <t>sufU</t>
  </si>
  <si>
    <t>WP_003856080.1</t>
  </si>
  <si>
    <t>CGL_RS07805</t>
  </si>
  <si>
    <t>cysteine desulfurase</t>
  </si>
  <si>
    <t>WP_011014447.1</t>
  </si>
  <si>
    <t>CGL_RS07810</t>
  </si>
  <si>
    <t>Fe-S cluster assembly ATPase SufC</t>
  </si>
  <si>
    <t>sufC</t>
  </si>
  <si>
    <t>WP_003856078.1</t>
  </si>
  <si>
    <t>CGL_RS07815</t>
  </si>
  <si>
    <t>Fe-S cluster assembly protein SufD</t>
  </si>
  <si>
    <t>sufD</t>
  </si>
  <si>
    <t>WP_011014448.1</t>
  </si>
  <si>
    <t>CGL_RS07820</t>
  </si>
  <si>
    <t>Fe-S cluster assembly protein SufB</t>
  </si>
  <si>
    <t>sufB</t>
  </si>
  <si>
    <t>WP_003862284.1</t>
  </si>
  <si>
    <t>CGL_RS07825</t>
  </si>
  <si>
    <t>CGL_RS07830</t>
  </si>
  <si>
    <t>polyprenol phosphomannose-dependent alpha 1,6 mannosyltransferase MptB</t>
  </si>
  <si>
    <t>mptB</t>
  </si>
  <si>
    <t>WP_020948585.1</t>
  </si>
  <si>
    <t>CGL_RS07835</t>
  </si>
  <si>
    <t>WP_011014450.1</t>
  </si>
  <si>
    <t>CGL_RS07840</t>
  </si>
  <si>
    <t>WP_011014451.1</t>
  </si>
  <si>
    <t>CGL_RS07845</t>
  </si>
  <si>
    <t>COX15/CtaA family protein</t>
  </si>
  <si>
    <t>WP_011014452.1</t>
  </si>
  <si>
    <t>CGL_RS07850</t>
  </si>
  <si>
    <t>TOTE conflict system archaeo-eukaryotic primase domain-containing protein</t>
  </si>
  <si>
    <t>WP_011014453.1</t>
  </si>
  <si>
    <t>CGL_RS07855</t>
  </si>
  <si>
    <t>quinone oxidoreductase family protein</t>
  </si>
  <si>
    <t>WP_020948586.1</t>
  </si>
  <si>
    <t>CGL_RS07860</t>
  </si>
  <si>
    <t>heme o synthase</t>
  </si>
  <si>
    <t>WP_020948587.1</t>
  </si>
  <si>
    <t>CGL_RS07865</t>
  </si>
  <si>
    <t>transketolase</t>
  </si>
  <si>
    <t>tkt</t>
  </si>
  <si>
    <t>WP_172820728.1</t>
  </si>
  <si>
    <t>CGL_RS07870</t>
  </si>
  <si>
    <t>transaldolase</t>
  </si>
  <si>
    <t>tal</t>
  </si>
  <si>
    <t>WP_003856053.1</t>
  </si>
  <si>
    <t>CGL_RS07875</t>
  </si>
  <si>
    <t>glucose-6-phosphate dehydrogenase</t>
  </si>
  <si>
    <t>zwf</t>
  </si>
  <si>
    <t>WP_011014457.1</t>
  </si>
  <si>
    <t>CGL_RS07880</t>
  </si>
  <si>
    <t>glucose-6-phosphate dehydrogenase assembly protein OpcA</t>
  </si>
  <si>
    <t>WP_011014458.1</t>
  </si>
  <si>
    <t>CGL_RS07885</t>
  </si>
  <si>
    <t>6-phosphogluconolactonase</t>
  </si>
  <si>
    <t>pgl</t>
  </si>
  <si>
    <t>WP_003862263.1</t>
  </si>
  <si>
    <t>CGL_RS07890</t>
  </si>
  <si>
    <t>CGL_RS07895</t>
  </si>
  <si>
    <t>IS1380-like element IS1677 family transposase</t>
  </si>
  <si>
    <t>WP_010991835.1</t>
  </si>
  <si>
    <t>CGL_RS07900</t>
  </si>
  <si>
    <t>CGL_RS07905</t>
  </si>
  <si>
    <t>tyramine oxidase subunit B</t>
  </si>
  <si>
    <t>WP_011014462.1</t>
  </si>
  <si>
    <t>CGL_RS07910</t>
  </si>
  <si>
    <t>ammonium transporter</t>
  </si>
  <si>
    <t>WP_011014463.1</t>
  </si>
  <si>
    <t>CGL_RS07915</t>
  </si>
  <si>
    <t>preprotein translocase subunit SecG</t>
  </si>
  <si>
    <t>secG</t>
  </si>
  <si>
    <t>WP_011014464.1</t>
  </si>
  <si>
    <t>CGL_RS07920</t>
  </si>
  <si>
    <t>phosphoenolpyruvate carboxylase</t>
  </si>
  <si>
    <t>ppc</t>
  </si>
  <si>
    <t>WP_011014465.1</t>
  </si>
  <si>
    <t>CGL_RS07925</t>
  </si>
  <si>
    <t>triose-phosphate isomerase</t>
  </si>
  <si>
    <t>tpiA</t>
  </si>
  <si>
    <t>WP_011014466.1</t>
  </si>
  <si>
    <t>CGL_RS07930</t>
  </si>
  <si>
    <t>phosphoglycerate kinase</t>
  </si>
  <si>
    <t>pgk</t>
  </si>
  <si>
    <t>WP_003862252.1</t>
  </si>
  <si>
    <t>CGL_RS07935</t>
  </si>
  <si>
    <t>type I glyceraldehyde-3-phosphate dehydrogenase</t>
  </si>
  <si>
    <t>gap</t>
  </si>
  <si>
    <t>WP_003862250.1</t>
  </si>
  <si>
    <t>CGL_RS07940</t>
  </si>
  <si>
    <t>DNA-binding protein WhiA</t>
  </si>
  <si>
    <t>whiA</t>
  </si>
  <si>
    <t>WP_003862248.1</t>
  </si>
  <si>
    <t>CGL_RS07945</t>
  </si>
  <si>
    <t>gluconeogenesis factor YvcK family protein</t>
  </si>
  <si>
    <t>yvcK</t>
  </si>
  <si>
    <t>WP_011014467.1</t>
  </si>
  <si>
    <t>CGL_RS07950</t>
  </si>
  <si>
    <t>RNase adapter RapZ</t>
  </si>
  <si>
    <t>rapZ</t>
  </si>
  <si>
    <t>WP_003856023.1</t>
  </si>
  <si>
    <t>CGL_RS07955</t>
  </si>
  <si>
    <t>excinuclease ABC subunit UvrC</t>
  </si>
  <si>
    <t>uvrC</t>
  </si>
  <si>
    <t>WP_011014468.1</t>
  </si>
  <si>
    <t>CGL_RS07960</t>
  </si>
  <si>
    <t>WP_011014469.1</t>
  </si>
  <si>
    <t>CGL_RS07965</t>
  </si>
  <si>
    <t>6,7-dimethyl-8-ribityllumazine synthase</t>
  </si>
  <si>
    <t>ribH</t>
  </si>
  <si>
    <t>WP_003856018.1</t>
  </si>
  <si>
    <t>CGL_RS07970</t>
  </si>
  <si>
    <t>bifunctional 3,4-dihydroxy-2-butanone-4-phosphate synthase/GTP cyclohydrolase II</t>
  </si>
  <si>
    <t>WP_003856016.1</t>
  </si>
  <si>
    <t>CGL_RS07975</t>
  </si>
  <si>
    <t>riboflavin synthase</t>
  </si>
  <si>
    <t>WP_011014470.1</t>
  </si>
  <si>
    <t>CGL_RS07980</t>
  </si>
  <si>
    <t>bifunctional diaminohydroxyphosphoribosylaminopyrimidine deaminase/5-amino-6-(5-phosphoribosylamino)uracil reductase RibD</t>
  </si>
  <si>
    <t>ribD</t>
  </si>
  <si>
    <t>WP_011014471.1</t>
  </si>
  <si>
    <t>CGL_RS07985</t>
  </si>
  <si>
    <t>ribulose-phosphate 3-epimerase</t>
  </si>
  <si>
    <t>rpe</t>
  </si>
  <si>
    <t>WP_011014472.1</t>
  </si>
  <si>
    <t>CGL_RS07990</t>
  </si>
  <si>
    <t>RsmB/NOP family class I SAM-dependent RNA methyltransferase</t>
  </si>
  <si>
    <t>WP_011265767.1</t>
  </si>
  <si>
    <t>CGL_RS07995</t>
  </si>
  <si>
    <t>methionyl-tRNA formyltransferase</t>
  </si>
  <si>
    <t>fmt</t>
  </si>
  <si>
    <t>WP_003862229.1</t>
  </si>
  <si>
    <t>CGL_RS08000</t>
  </si>
  <si>
    <t>peptide deformylase</t>
  </si>
  <si>
    <t>def</t>
  </si>
  <si>
    <t>WP_003856004.1</t>
  </si>
  <si>
    <t>CGL_RS08005</t>
  </si>
  <si>
    <t>primosomal protein N'</t>
  </si>
  <si>
    <t>WP_011014474.1</t>
  </si>
  <si>
    <t>CGL_RS08010</t>
  </si>
  <si>
    <t>methionine adenosyltransferase</t>
  </si>
  <si>
    <t>metK</t>
  </si>
  <si>
    <t>WP_003856000.1</t>
  </si>
  <si>
    <t>CGL_RS08015</t>
  </si>
  <si>
    <t>bifunctional phosphopantothenoylcysteine decarboxylase/phosphopantothenate--cysteine ligase CoaBC</t>
  </si>
  <si>
    <t>coaBC</t>
  </si>
  <si>
    <t>WP_011014475.1</t>
  </si>
  <si>
    <t>CGL_RS08020</t>
  </si>
  <si>
    <t>DNA-directed RNA polymerase subunit omega</t>
  </si>
  <si>
    <t>rpoZ</t>
  </si>
  <si>
    <t>WP_003855993.1</t>
  </si>
  <si>
    <t>CGL_RS08025</t>
  </si>
  <si>
    <t>guanylate kinase</t>
  </si>
  <si>
    <t>gmk</t>
  </si>
  <si>
    <t>WP_003855988.1</t>
  </si>
  <si>
    <t>CGL_RS08030</t>
  </si>
  <si>
    <t>integration host factor, actinobacterial type</t>
  </si>
  <si>
    <t>mihF</t>
  </si>
  <si>
    <t>WP_003862221.1</t>
  </si>
  <si>
    <t>CGL_RS08035</t>
  </si>
  <si>
    <t>orotidine-5'-phosphate decarboxylase</t>
  </si>
  <si>
    <t>pyrF</t>
  </si>
  <si>
    <t>WP_011014477.1</t>
  </si>
  <si>
    <t>CGL_RS08040</t>
  </si>
  <si>
    <t>carbamoyl-phosphate synthase large subunit</t>
  </si>
  <si>
    <t>carB</t>
  </si>
  <si>
    <t>WP_003862217.1</t>
  </si>
  <si>
    <t>CGL_RS08045</t>
  </si>
  <si>
    <t>glutamine-hydrolyzing carbamoyl-phosphate synthase small subunit</t>
  </si>
  <si>
    <t>carA</t>
  </si>
  <si>
    <t>WP_011014478.1</t>
  </si>
  <si>
    <t>CGL_RS08050</t>
  </si>
  <si>
    <t>dihydroorotase</t>
  </si>
  <si>
    <t>WP_011014479.1</t>
  </si>
  <si>
    <t>CGL_RS08055</t>
  </si>
  <si>
    <t>aspartate carbamoyltransferase catalytic subunit</t>
  </si>
  <si>
    <t>WP_003862210.1</t>
  </si>
  <si>
    <t>CGL_RS08060</t>
  </si>
  <si>
    <t>bifunctional pyr operon transcriptional regulator/uracil phosphoribosyltransferase PyrR</t>
  </si>
  <si>
    <t>pyrR</t>
  </si>
  <si>
    <t>WP_003862208.1</t>
  </si>
  <si>
    <t>CGL_RS08065</t>
  </si>
  <si>
    <t>TIGR01777 family oxidoreductase</t>
  </si>
  <si>
    <t>WP_020948589.1</t>
  </si>
  <si>
    <t>CGL_RS08070</t>
  </si>
  <si>
    <t>WP_011014481.1</t>
  </si>
  <si>
    <t>CGL_RS08075</t>
  </si>
  <si>
    <t>WP_011014482.1</t>
  </si>
  <si>
    <t>CGL_RS08080</t>
  </si>
  <si>
    <t>WP_011265771.1</t>
  </si>
  <si>
    <t>CGL_RS08085</t>
  </si>
  <si>
    <t>transcription antitermination factor NusB</t>
  </si>
  <si>
    <t>nusB</t>
  </si>
  <si>
    <t>WP_011014484.1</t>
  </si>
  <si>
    <t>CGL_RS08090</t>
  </si>
  <si>
    <t>elongation factor P</t>
  </si>
  <si>
    <t>efp</t>
  </si>
  <si>
    <t>WP_003855973.1</t>
  </si>
  <si>
    <t>CGL_RS08095</t>
  </si>
  <si>
    <t>aminopeptidase P family protein</t>
  </si>
  <si>
    <t>WP_011014485.1</t>
  </si>
  <si>
    <t>CGL_RS08100</t>
  </si>
  <si>
    <t>3-dehydroquinate synthase</t>
  </si>
  <si>
    <t>aroB</t>
  </si>
  <si>
    <t>WP_011014486.1</t>
  </si>
  <si>
    <t>CGL_RS08105</t>
  </si>
  <si>
    <t>shikimate kinase</t>
  </si>
  <si>
    <t>WP_011014487.1</t>
  </si>
  <si>
    <t>CGL_RS08110</t>
  </si>
  <si>
    <t>chorismate synthase</t>
  </si>
  <si>
    <t>aroC</t>
  </si>
  <si>
    <t>WP_020948590.1</t>
  </si>
  <si>
    <t>CGL_RS08115</t>
  </si>
  <si>
    <t>prepilin peptidase</t>
  </si>
  <si>
    <t>WP_011014489.1</t>
  </si>
  <si>
    <t>CGL_RS08120</t>
  </si>
  <si>
    <t>WP_003855958.1</t>
  </si>
  <si>
    <t>CGL_RS08125</t>
  </si>
  <si>
    <t>WP_011014490.1</t>
  </si>
  <si>
    <t>CGL_RS08130</t>
  </si>
  <si>
    <t>WP_011014491.1</t>
  </si>
  <si>
    <t>CGL_RS08135</t>
  </si>
  <si>
    <t>WP_011014492.1</t>
  </si>
  <si>
    <t>CGL_RS08140</t>
  </si>
  <si>
    <t>shikimate dehydrogenase</t>
  </si>
  <si>
    <t>WP_011014493.1</t>
  </si>
  <si>
    <t>CGL_RS08145</t>
  </si>
  <si>
    <t>endolytic transglycosylase MltG</t>
  </si>
  <si>
    <t>mltG</t>
  </si>
  <si>
    <t>WP_011014494.1</t>
  </si>
  <si>
    <t>CGL_RS08150</t>
  </si>
  <si>
    <t>Holliday junction resolvase RuvX</t>
  </si>
  <si>
    <t>ruvX</t>
  </si>
  <si>
    <t>WP_011014495.1</t>
  </si>
  <si>
    <t>CGL_RS08155</t>
  </si>
  <si>
    <t>alanine--tRNA ligase</t>
  </si>
  <si>
    <t>alaS</t>
  </si>
  <si>
    <t>WP_011014496.1</t>
  </si>
  <si>
    <t>CGL_RS08160</t>
  </si>
  <si>
    <t>replication-associated recombination protein A</t>
  </si>
  <si>
    <t>WP_003855936.1</t>
  </si>
  <si>
    <t>CGL_RS08165</t>
  </si>
  <si>
    <t>phosphotransferase family protein</t>
  </si>
  <si>
    <t>WP_011014497.1</t>
  </si>
  <si>
    <t>CGL_RS08170</t>
  </si>
  <si>
    <t>aspartate--tRNA ligase</t>
  </si>
  <si>
    <t>aspS</t>
  </si>
  <si>
    <t>WP_011014498.1</t>
  </si>
  <si>
    <t>CGL_RS08175</t>
  </si>
  <si>
    <t>KPN_02809 family neutral zinc metallopeptidase</t>
  </si>
  <si>
    <t>WP_011265774.1</t>
  </si>
  <si>
    <t>CGL_RS08180</t>
  </si>
  <si>
    <t>WP_011014500.1</t>
  </si>
  <si>
    <t>CGL_RS08185</t>
  </si>
  <si>
    <t>WP_011014501.1</t>
  </si>
  <si>
    <t>CGL_RS08190</t>
  </si>
  <si>
    <t>WP_003855924.1</t>
  </si>
  <si>
    <t>CGL_RS08195</t>
  </si>
  <si>
    <t>WP_011014502.1</t>
  </si>
  <si>
    <t>CGL_RS08200</t>
  </si>
  <si>
    <t>WP_011014503.1</t>
  </si>
  <si>
    <t>CGL_RS08205</t>
  </si>
  <si>
    <t>CE1758 family FMN-dependent luciferase-like monooxygenase</t>
  </si>
  <si>
    <t>WP_011014504.1</t>
  </si>
  <si>
    <t>CGL_RS08210</t>
  </si>
  <si>
    <t>CGL_RS08215</t>
  </si>
  <si>
    <t>L-serine ammonia-lyase</t>
  </si>
  <si>
    <t>WP_011014507.1</t>
  </si>
  <si>
    <t>CGL_RS08220</t>
  </si>
  <si>
    <t>glycerol-3-phosphate dehydrogenase/oxidase</t>
  </si>
  <si>
    <t>WP_020948593.1</t>
  </si>
  <si>
    <t>CGL_RS08225</t>
  </si>
  <si>
    <t>histidine--tRNA ligase</t>
  </si>
  <si>
    <t>hisS</t>
  </si>
  <si>
    <t>WP_011014509.1</t>
  </si>
  <si>
    <t>CGL_RS08230</t>
  </si>
  <si>
    <t>WP_011014510.1</t>
  </si>
  <si>
    <t>CGL_RS08235</t>
  </si>
  <si>
    <t>WP_011014511.1</t>
  </si>
  <si>
    <t>CGL_RS08240</t>
  </si>
  <si>
    <t>putative Ig domain-containing protein</t>
  </si>
  <si>
    <t>WP_011014512.1</t>
  </si>
  <si>
    <t>CGL_RS08245</t>
  </si>
  <si>
    <t>WP_011014513.1</t>
  </si>
  <si>
    <t>CGL_RS08250</t>
  </si>
  <si>
    <t>RelA/SpoT family protein</t>
  </si>
  <si>
    <t>WP_003855910.1</t>
  </si>
  <si>
    <t>CGL_RS08255</t>
  </si>
  <si>
    <t>adenine phosphoribosyltransferase</t>
  </si>
  <si>
    <t>WP_011014514.1</t>
  </si>
  <si>
    <t>CGL_RS08260</t>
  </si>
  <si>
    <t>WP_011014515.1</t>
  </si>
  <si>
    <t>CGL_RS08265</t>
  </si>
  <si>
    <t>protein translocase subunit SecF</t>
  </si>
  <si>
    <t>secF</t>
  </si>
  <si>
    <t>WP_011014516.1</t>
  </si>
  <si>
    <t>CGL_RS08270</t>
  </si>
  <si>
    <t>protein translocase subunit SecD</t>
  </si>
  <si>
    <t>secD</t>
  </si>
  <si>
    <t>WP_011265778.1</t>
  </si>
  <si>
    <t>CGL_RS08275</t>
  </si>
  <si>
    <t>preprotein translocase subunit YajC</t>
  </si>
  <si>
    <t>yajC</t>
  </si>
  <si>
    <t>WP_011014518.1</t>
  </si>
  <si>
    <t>CGL_RS08280</t>
  </si>
  <si>
    <t>Holliday junction branch migration DNA helicase RuvB</t>
  </si>
  <si>
    <t>ruvB</t>
  </si>
  <si>
    <t>WP_003855899.1</t>
  </si>
  <si>
    <t>CGL_RS08285</t>
  </si>
  <si>
    <t>Holliday junction branch migration protein RuvA</t>
  </si>
  <si>
    <t>ruvA</t>
  </si>
  <si>
    <t>WP_003859897.1</t>
  </si>
  <si>
    <t>CGL_RS08290</t>
  </si>
  <si>
    <t>crossover junction endodeoxyribonuclease RuvC</t>
  </si>
  <si>
    <t>ruvC</t>
  </si>
  <si>
    <t>WP_011014519.1</t>
  </si>
  <si>
    <t>CGL_RS08295</t>
  </si>
  <si>
    <t>YebC/PmpR family DNA-binding transcriptional regulator</t>
  </si>
  <si>
    <t>WP_011014520.1</t>
  </si>
  <si>
    <t>CGL_RS08300</t>
  </si>
  <si>
    <t>acyl-CoA thioesterase</t>
  </si>
  <si>
    <t>WP_011014521.1</t>
  </si>
  <si>
    <t>CGL_RS08305</t>
  </si>
  <si>
    <t>DUF3817 domain-containing protein</t>
  </si>
  <si>
    <t>WP_011014522.1</t>
  </si>
  <si>
    <t>CGL_RS08310</t>
  </si>
  <si>
    <t>WP_003855892.1</t>
  </si>
  <si>
    <t>CGL_RS08315</t>
  </si>
  <si>
    <t>WP_003859886.1</t>
  </si>
  <si>
    <t>CGL_RS08320</t>
  </si>
  <si>
    <t>phosphatidylinositol mannoside acyltransferase</t>
  </si>
  <si>
    <t>WP_011014523.1</t>
  </si>
  <si>
    <t>CGL_RS08325</t>
  </si>
  <si>
    <t>phosphatidylinositol phosphate synthase</t>
  </si>
  <si>
    <t>pgsA</t>
  </si>
  <si>
    <t>WP_003859882.1</t>
  </si>
  <si>
    <t>CGL_RS08330</t>
  </si>
  <si>
    <t>HIT family protein</t>
  </si>
  <si>
    <t>WP_003859881.1</t>
  </si>
  <si>
    <t>CGL_RS08335</t>
  </si>
  <si>
    <t>threonine--tRNA ligase</t>
  </si>
  <si>
    <t>thrS</t>
  </si>
  <si>
    <t>WP_011014525.1</t>
  </si>
  <si>
    <t>CGL_RS08340</t>
  </si>
  <si>
    <t>Dyp-type peroxidase</t>
  </si>
  <si>
    <t>WP_003859878.1</t>
  </si>
  <si>
    <t>CGL_RS08345</t>
  </si>
  <si>
    <t>copper chaperone PCu(A)C</t>
  </si>
  <si>
    <t>WP_011014526.1</t>
  </si>
  <si>
    <t>CGL_RS08350</t>
  </si>
  <si>
    <t>copper resistance CopC family protein</t>
  </si>
  <si>
    <t>WP_041625472.1</t>
  </si>
  <si>
    <t>CGL_RS08355</t>
  </si>
  <si>
    <t>tRNA-Gly</t>
  </si>
  <si>
    <t>CGL_RS08360</t>
  </si>
  <si>
    <t>tRNA-Val</t>
  </si>
  <si>
    <t>CGL_RS08365</t>
  </si>
  <si>
    <t>tRNA-Cys</t>
  </si>
  <si>
    <t>CGL_RS08370</t>
  </si>
  <si>
    <t>CGL_RS08375</t>
  </si>
  <si>
    <t>CGL_RS08380</t>
  </si>
  <si>
    <t>CGL_RS08385</t>
  </si>
  <si>
    <t>CGL_RS08390</t>
  </si>
  <si>
    <t>WP_011014528.1</t>
  </si>
  <si>
    <t>CGL_RS08395</t>
  </si>
  <si>
    <t>WP_011265782.1</t>
  </si>
  <si>
    <t>CGL_RS08400</t>
  </si>
  <si>
    <t>WP_011014530.1</t>
  </si>
  <si>
    <t>CGL_RS08405</t>
  </si>
  <si>
    <t>WP_041625669.1</t>
  </si>
  <si>
    <t>CGL_RS08410</t>
  </si>
  <si>
    <t>WP_011014532.1</t>
  </si>
  <si>
    <t>CGL_RS08415</t>
  </si>
  <si>
    <t>WP_011014533.1</t>
  </si>
  <si>
    <t>CGL_RS08420</t>
  </si>
  <si>
    <t>WP_011014534.1</t>
  </si>
  <si>
    <t>CGL_RS08425</t>
  </si>
  <si>
    <t>WP_011014535.1</t>
  </si>
  <si>
    <t>CGL_RS08430</t>
  </si>
  <si>
    <t>WP_011014536.1</t>
  </si>
  <si>
    <t>CGL_RS08435</t>
  </si>
  <si>
    <t>WP_011014537.1</t>
  </si>
  <si>
    <t>CGL_RS08440</t>
  </si>
  <si>
    <t>WP_011014538.1</t>
  </si>
  <si>
    <t>CGL_RS08445</t>
  </si>
  <si>
    <t>WP_011265784.1</t>
  </si>
  <si>
    <t>CGL_RS08450</t>
  </si>
  <si>
    <t>WP_011014540.1</t>
  </si>
  <si>
    <t>CGL_RS08455</t>
  </si>
  <si>
    <t>WP_231838265.1</t>
  </si>
  <si>
    <t>CGL_RS08460</t>
  </si>
  <si>
    <t>WP_011014542.1</t>
  </si>
  <si>
    <t>CGL_RS08465</t>
  </si>
  <si>
    <t>T3SS effector HopA1 family protein</t>
  </si>
  <si>
    <t>WP_011265786.1</t>
  </si>
  <si>
    <t>CGL_RS08470</t>
  </si>
  <si>
    <t>flavoprotein</t>
  </si>
  <si>
    <t>WP_231838295.1</t>
  </si>
  <si>
    <t>CGL_RS08475</t>
  </si>
  <si>
    <t>WP_011265788.1</t>
  </si>
  <si>
    <t>CGL_RS08480</t>
  </si>
  <si>
    <t>WP_157665529.1</t>
  </si>
  <si>
    <t>CGL_RS08485</t>
  </si>
  <si>
    <t>WP_011014545.1</t>
  </si>
  <si>
    <t>CGL_RS08490</t>
  </si>
  <si>
    <t>WP_011014546.1</t>
  </si>
  <si>
    <t>CGL_RS08495</t>
  </si>
  <si>
    <t>NADAR domain-containing protein</t>
  </si>
  <si>
    <t>WP_231838296.1</t>
  </si>
  <si>
    <t>CGL_RS08500</t>
  </si>
  <si>
    <t>WP_011014548.1</t>
  </si>
  <si>
    <t>CGL_RS08505</t>
  </si>
  <si>
    <t>WP_157665528.1</t>
  </si>
  <si>
    <t>CGL_RS08510</t>
  </si>
  <si>
    <t>WP_011265791.1</t>
  </si>
  <si>
    <t>CGL_RS15820</t>
  </si>
  <si>
    <t>WP_011014549.1</t>
  </si>
  <si>
    <t>CGL_RS08515</t>
  </si>
  <si>
    <t>WP_011014550.1</t>
  </si>
  <si>
    <t>CGL_RS08520</t>
  </si>
  <si>
    <t>WP_011014551.1</t>
  </si>
  <si>
    <t>CGL_RS08525</t>
  </si>
  <si>
    <t>WP_011014552.1</t>
  </si>
  <si>
    <t>CGL_RS08530</t>
  </si>
  <si>
    <t>WP_011014553.1</t>
  </si>
  <si>
    <t>CGL_RS08535</t>
  </si>
  <si>
    <t>WP_011014554.1</t>
  </si>
  <si>
    <t>CGL_RS08540</t>
  </si>
  <si>
    <t>WP_011014555.1</t>
  </si>
  <si>
    <t>CGL_RS08545</t>
  </si>
  <si>
    <t>WP_011014556.1</t>
  </si>
  <si>
    <t>CGL_RS08550</t>
  </si>
  <si>
    <t>WP_011014557.1</t>
  </si>
  <si>
    <t>CGL_RS08555</t>
  </si>
  <si>
    <t>WP_257151957.1</t>
  </si>
  <si>
    <t>CGL_RS15825</t>
  </si>
  <si>
    <t>WP_011014558.1</t>
  </si>
  <si>
    <t>CGL_RS08560</t>
  </si>
  <si>
    <t>WP_011014559.1</t>
  </si>
  <si>
    <t>CGL_RS08565</t>
  </si>
  <si>
    <t>WP_011014560.1</t>
  </si>
  <si>
    <t>CGL_RS08570</t>
  </si>
  <si>
    <t>WP_011014561.1</t>
  </si>
  <si>
    <t>CGL_RS08575</t>
  </si>
  <si>
    <t>recombinase family protein</t>
  </si>
  <si>
    <t>WP_011014562.1</t>
  </si>
  <si>
    <t>CGL_RS08580</t>
  </si>
  <si>
    <t>WP_011265796.1</t>
  </si>
  <si>
    <t>CGL_RS08585</t>
  </si>
  <si>
    <t>WP_011014564.1</t>
  </si>
  <si>
    <t>CGL_RS08590</t>
  </si>
  <si>
    <t>dual specificity protein phosphatase family protein</t>
  </si>
  <si>
    <t>WP_011014565.1</t>
  </si>
  <si>
    <t>CGL_RS08595</t>
  </si>
  <si>
    <t>WP_011014566.1</t>
  </si>
  <si>
    <t>CGL_RS08600</t>
  </si>
  <si>
    <t>FadR/GntR family transcriptional regulator</t>
  </si>
  <si>
    <t>WP_011014567.1</t>
  </si>
  <si>
    <t>CGL_RS08605</t>
  </si>
  <si>
    <t>WP_011014568.1</t>
  </si>
  <si>
    <t>CGL_RS08610</t>
  </si>
  <si>
    <t>WP_011014569.1</t>
  </si>
  <si>
    <t>CGL_RS08615</t>
  </si>
  <si>
    <t>WP_011014570.1</t>
  </si>
  <si>
    <t>CGL_RS08620</t>
  </si>
  <si>
    <t>WP_227747663.1</t>
  </si>
  <si>
    <t>CGL_RS08625</t>
  </si>
  <si>
    <t>WP_011265797.1</t>
  </si>
  <si>
    <t>CGL_RS08630</t>
  </si>
  <si>
    <t>WP_011265798.1</t>
  </si>
  <si>
    <t>CGL_RS15535</t>
  </si>
  <si>
    <t>WP_011265799.1</t>
  </si>
  <si>
    <t>CGL_RS08640</t>
  </si>
  <si>
    <t>WP_011265800.1</t>
  </si>
  <si>
    <t>CGL_RS08645</t>
  </si>
  <si>
    <t>KAP family NTPase</t>
  </si>
  <si>
    <t>WP_208400643.1</t>
  </si>
  <si>
    <t>CGL_RS08650</t>
  </si>
  <si>
    <t>WP_011014576.1</t>
  </si>
  <si>
    <t>CGL_RS08655</t>
  </si>
  <si>
    <t>WP_011014577.1</t>
  </si>
  <si>
    <t>CGL_RS08660</t>
  </si>
  <si>
    <t>WP_011014578.1</t>
  </si>
  <si>
    <t>CGL_RS08665</t>
  </si>
  <si>
    <t>WP_101677571.1</t>
  </si>
  <si>
    <t>CGL_RS08670</t>
  </si>
  <si>
    <t>WP_011014583.1</t>
  </si>
  <si>
    <t>CGL_RS08680</t>
  </si>
  <si>
    <t>DHH family phosphoesterase</t>
  </si>
  <si>
    <t>WP_011014584.1</t>
  </si>
  <si>
    <t>CGL_RS08685</t>
  </si>
  <si>
    <t>WP_011014585.1</t>
  </si>
  <si>
    <t>CGL_RS08690</t>
  </si>
  <si>
    <t>DNA primase family protein</t>
  </si>
  <si>
    <t>WP_011014586.1</t>
  </si>
  <si>
    <t>CGL_RS08695</t>
  </si>
  <si>
    <t>WP_011014587.1</t>
  </si>
  <si>
    <t>CGL_RS08700</t>
  </si>
  <si>
    <t>VRR-NUC domain-containing protein</t>
  </si>
  <si>
    <t>WP_011014588.1</t>
  </si>
  <si>
    <t>CGL_RS08705</t>
  </si>
  <si>
    <t>WP_011014589.1</t>
  </si>
  <si>
    <t>CGL_RS08710</t>
  </si>
  <si>
    <t>WP_011014590.1</t>
  </si>
  <si>
    <t>CGL_RS08715</t>
  </si>
  <si>
    <t>WP_011014591.1</t>
  </si>
  <si>
    <t>CGL_RS08720</t>
  </si>
  <si>
    <t>DUF4406 domain-containing protein</t>
  </si>
  <si>
    <t>WP_011014592.1</t>
  </si>
  <si>
    <t>CGL_RS08725</t>
  </si>
  <si>
    <t>histone-like nucleoid-structuring protein Lsr2</t>
  </si>
  <si>
    <t>WP_011014593.1</t>
  </si>
  <si>
    <t>CGL_RS08730</t>
  </si>
  <si>
    <t>WP_011265805.1</t>
  </si>
  <si>
    <t>CGL_RS08735</t>
  </si>
  <si>
    <t>WP_011014595.1</t>
  </si>
  <si>
    <t>CGL_RS08740</t>
  </si>
  <si>
    <t>WP_011014596.1</t>
  </si>
  <si>
    <t>CGL_RS08745</t>
  </si>
  <si>
    <t>WP_011014597.1</t>
  </si>
  <si>
    <t>CGL_RS08750</t>
  </si>
  <si>
    <t>WP_011014598.1</t>
  </si>
  <si>
    <t>CGL_RS08755</t>
  </si>
  <si>
    <t>WP_011265806.1</t>
  </si>
  <si>
    <t>CGL_RS08760</t>
  </si>
  <si>
    <t>LysM peptidoglycan-binding domain-containing protein</t>
  </si>
  <si>
    <t>WP_011014599.1</t>
  </si>
  <si>
    <t>CGL_RS08765</t>
  </si>
  <si>
    <t>WP_011014600.1</t>
  </si>
  <si>
    <t>CGL_RS08770</t>
  </si>
  <si>
    <t>WP_011014601.1</t>
  </si>
  <si>
    <t>CGL_RS08775</t>
  </si>
  <si>
    <t>WP_011014602.1</t>
  </si>
  <si>
    <t>CGL_RS08780</t>
  </si>
  <si>
    <t>gyrase inhibitor Gip</t>
  </si>
  <si>
    <t>gip</t>
  </si>
  <si>
    <t>WP_011014603.1</t>
  </si>
  <si>
    <t>CGL_RS08785</t>
  </si>
  <si>
    <t>WP_011014604.1</t>
  </si>
  <si>
    <t>CGL_RS08790</t>
  </si>
  <si>
    <t>WP_227747664.1</t>
  </si>
  <si>
    <t>CGL_RS08795</t>
  </si>
  <si>
    <t>ATP-dependent Clp protease ATP-binding subunit</t>
  </si>
  <si>
    <t>WP_227747665.1</t>
  </si>
  <si>
    <t>CGL_RS08800</t>
  </si>
  <si>
    <t>WP_011014607.1</t>
  </si>
  <si>
    <t>CGL_RS08805</t>
  </si>
  <si>
    <t>WP_011014608.1</t>
  </si>
  <si>
    <t>CGL_RS15445</t>
  </si>
  <si>
    <t>UvrD-helicase domain-containing protein</t>
  </si>
  <si>
    <t>WP_011265807.1</t>
  </si>
  <si>
    <t>CGL_RS15660</t>
  </si>
  <si>
    <t>WP_227747666.1</t>
  </si>
  <si>
    <t>CGL_RS15665</t>
  </si>
  <si>
    <t>WP_011014611.1</t>
  </si>
  <si>
    <t>CGL_RS08820</t>
  </si>
  <si>
    <t>WP_011014612.1</t>
  </si>
  <si>
    <t>CGL_RS08825</t>
  </si>
  <si>
    <t>WP_011014613.1</t>
  </si>
  <si>
    <t>CGL_RS08830</t>
  </si>
  <si>
    <t>WP_011014614.1</t>
  </si>
  <si>
    <t>CGL_RS08835</t>
  </si>
  <si>
    <t>WP_011014615.1</t>
  </si>
  <si>
    <t>CGL_RS08840</t>
  </si>
  <si>
    <t>WP_011014616.1</t>
  </si>
  <si>
    <t>CGL_RS08845</t>
  </si>
  <si>
    <t>WP_011014617.1</t>
  </si>
  <si>
    <t>CGL_RS08850</t>
  </si>
  <si>
    <t>WP_011014618.1</t>
  </si>
  <si>
    <t>CGL_RS08855</t>
  </si>
  <si>
    <t>WP_011014619.1</t>
  </si>
  <si>
    <t>CGL_RS08860</t>
  </si>
  <si>
    <t>DNA cytosine methyltransferase</t>
  </si>
  <si>
    <t>WP_011265811.1</t>
  </si>
  <si>
    <t>CGL_RS08865</t>
  </si>
  <si>
    <t>restriction endonuclease PLD domain-containing protein</t>
  </si>
  <si>
    <t>WP_011014621.1</t>
  </si>
  <si>
    <t>CGL_RS08870</t>
  </si>
  <si>
    <t>Z1 domain-containing protein</t>
  </si>
  <si>
    <t>WP_227747667.1</t>
  </si>
  <si>
    <t>CGL_RS08875</t>
  </si>
  <si>
    <t>WP_011014623.1</t>
  </si>
  <si>
    <t>CGL_RS08880</t>
  </si>
  <si>
    <t>WP_011014624.1</t>
  </si>
  <si>
    <t>CGL_RS08885</t>
  </si>
  <si>
    <t>zinc-ribbon domain-containing protein</t>
  </si>
  <si>
    <t>WP_011014625.1</t>
  </si>
  <si>
    <t>CGL_RS08890</t>
  </si>
  <si>
    <t>WP_011014626.1</t>
  </si>
  <si>
    <t>CGL_RS08895</t>
  </si>
  <si>
    <t>helicase</t>
  </si>
  <si>
    <t>WP_227747668.1</t>
  </si>
  <si>
    <t>CGL_RS08900</t>
  </si>
  <si>
    <t>WP_227747669.1</t>
  </si>
  <si>
    <t>CGL_RS15670</t>
  </si>
  <si>
    <t>type IV secretory system conjugative DNA transfer family protein</t>
  </si>
  <si>
    <t>WP_011265814.1</t>
  </si>
  <si>
    <t>CGL_RS08910</t>
  </si>
  <si>
    <t>DUF7487 domain-containing protein</t>
  </si>
  <si>
    <t>WP_011014630.1</t>
  </si>
  <si>
    <t>CGL_RS08915</t>
  </si>
  <si>
    <t>WP_011014631.1</t>
  </si>
  <si>
    <t>CGL_RS08920</t>
  </si>
  <si>
    <t>WP_011014632.1</t>
  </si>
  <si>
    <t>CGL_RS08925</t>
  </si>
  <si>
    <t>WP_011014633.1</t>
  </si>
  <si>
    <t>CGL_RS08930</t>
  </si>
  <si>
    <t>DUF456 domain-containing protein</t>
  </si>
  <si>
    <t>WP_011014634.1</t>
  </si>
  <si>
    <t>CGL_RS08935</t>
  </si>
  <si>
    <t>WP_011014635.1</t>
  </si>
  <si>
    <t>CGL_RS08940</t>
  </si>
  <si>
    <t>WP_011014636.1</t>
  </si>
  <si>
    <t>CGL_RS08945</t>
  </si>
  <si>
    <t>WP_011014637.1</t>
  </si>
  <si>
    <t>CGL_RS08950</t>
  </si>
  <si>
    <t>relaxase MobL</t>
  </si>
  <si>
    <t>mobL</t>
  </si>
  <si>
    <t>WP_011014638.1</t>
  </si>
  <si>
    <t>CGL_RS08955</t>
  </si>
  <si>
    <t>WP_011014639.1</t>
  </si>
  <si>
    <t>CGL_RS08960</t>
  </si>
  <si>
    <t>WP_011014640.1</t>
  </si>
  <si>
    <t>CGL_RS08965</t>
  </si>
  <si>
    <t>WP_011014641.1</t>
  </si>
  <si>
    <t>CGL_RS08970</t>
  </si>
  <si>
    <t>WP_011014642.1</t>
  </si>
  <si>
    <t>CGL_RS08975</t>
  </si>
  <si>
    <t>WP_011014643.1</t>
  </si>
  <si>
    <t>CGL_RS08980</t>
  </si>
  <si>
    <t>phage tail tip lysozyme</t>
  </si>
  <si>
    <t>WP_011014644.1</t>
  </si>
  <si>
    <t>CGL_RS08985</t>
  </si>
  <si>
    <t>WP_231838266.1</t>
  </si>
  <si>
    <t>CGL_RS08990</t>
  </si>
  <si>
    <t>WP_011014646.1</t>
  </si>
  <si>
    <t>CGL_RS08995</t>
  </si>
  <si>
    <t>WP_011014647.1</t>
  </si>
  <si>
    <t>CGL_RS09000</t>
  </si>
  <si>
    <t>WP_227747670.1</t>
  </si>
  <si>
    <t>CGL_RS09005</t>
  </si>
  <si>
    <t>DUF2188 domain-containing protein</t>
  </si>
  <si>
    <t>WP_011014649.1</t>
  </si>
  <si>
    <t>CGL_RS09010</t>
  </si>
  <si>
    <t>WP_011014650.1</t>
  </si>
  <si>
    <t>CGL_RS09015</t>
  </si>
  <si>
    <t>WP_011265818.1</t>
  </si>
  <si>
    <t>CGL_RS09020</t>
  </si>
  <si>
    <t>WP_011014652.1</t>
  </si>
  <si>
    <t>CGL_RS09025</t>
  </si>
  <si>
    <t>WP_011014653.1</t>
  </si>
  <si>
    <t>CGL_RS09030</t>
  </si>
  <si>
    <t>WP_011014654.1</t>
  </si>
  <si>
    <t>CGL_RS09035</t>
  </si>
  <si>
    <t>WP_011014655.1</t>
  </si>
  <si>
    <t>CGL_RS09040</t>
  </si>
  <si>
    <t>WP_227747672.1</t>
  </si>
  <si>
    <t>CGL_RS09045</t>
  </si>
  <si>
    <t>adenine-specific methyltransferase EcoRI family protein</t>
  </si>
  <si>
    <t>WP_208400985.1</t>
  </si>
  <si>
    <t>CGL_RS09050</t>
  </si>
  <si>
    <t>WP_011014659.1</t>
  </si>
  <si>
    <t>CGL_RS09055</t>
  </si>
  <si>
    <t>WP_011265820.1</t>
  </si>
  <si>
    <t>CGL_RS09065</t>
  </si>
  <si>
    <t>WP_227747673.1</t>
  </si>
  <si>
    <t>CGL_RS09070</t>
  </si>
  <si>
    <t>WP_011265821.1</t>
  </si>
  <si>
    <t>CGL_RS09075</t>
  </si>
  <si>
    <t>Cgl1822 family protein</t>
  </si>
  <si>
    <t>WP_011265822.1</t>
  </si>
  <si>
    <t>CGL_RS09080</t>
  </si>
  <si>
    <t>S49 family peptidase</t>
  </si>
  <si>
    <t>WP_011014665.1</t>
  </si>
  <si>
    <t>CGL_RS09085</t>
  </si>
  <si>
    <t>WP_011014666.1</t>
  </si>
  <si>
    <t>CGL_RS09090</t>
  </si>
  <si>
    <t>WP_227747674.1</t>
  </si>
  <si>
    <t>CGL_RS15675</t>
  </si>
  <si>
    <t>WP_227747675.1</t>
  </si>
  <si>
    <t>CGL_RS09105</t>
  </si>
  <si>
    <t>WP_227747676.1</t>
  </si>
  <si>
    <t>CGL_RS09110</t>
  </si>
  <si>
    <t>WP_011014671.1</t>
  </si>
  <si>
    <t>CGL_RS09115</t>
  </si>
  <si>
    <t>WP_011014672.1</t>
  </si>
  <si>
    <t>CGL_RS09120</t>
  </si>
  <si>
    <t>WP_011014673.1</t>
  </si>
  <si>
    <t>CGL_RS09125</t>
  </si>
  <si>
    <t>WP_011014674.1</t>
  </si>
  <si>
    <t>CGL_RS09130</t>
  </si>
  <si>
    <t>WP_227747677.1</t>
  </si>
  <si>
    <t>CGL_RS15680</t>
  </si>
  <si>
    <t>WP_011014678.1</t>
  </si>
  <si>
    <t>CGL_RS09145</t>
  </si>
  <si>
    <t>CGL_RS09150</t>
  </si>
  <si>
    <t>WP_011014680.1</t>
  </si>
  <si>
    <t>CGL_RS09155</t>
  </si>
  <si>
    <t>WP_011014682.1</t>
  </si>
  <si>
    <t>CGL_RS09160</t>
  </si>
  <si>
    <t>WP_011014683.1</t>
  </si>
  <si>
    <t>CGL_RS09165</t>
  </si>
  <si>
    <t>WP_011014684.1</t>
  </si>
  <si>
    <t>CGL_RS09170</t>
  </si>
  <si>
    <t>WP_011014685.1</t>
  </si>
  <si>
    <t>CGL_RS09175</t>
  </si>
  <si>
    <t>DNA topoisomerase</t>
  </si>
  <si>
    <t>WP_011014686.1</t>
  </si>
  <si>
    <t>CGL_RS09180</t>
  </si>
  <si>
    <t>DEAD/DEAH box helicase family protein</t>
  </si>
  <si>
    <t>WP_231838267.1</t>
  </si>
  <si>
    <t>CGL_RS09185</t>
  </si>
  <si>
    <t>WP_011014688.1</t>
  </si>
  <si>
    <t>CGL_RS09190</t>
  </si>
  <si>
    <t>WP_011014689.1</t>
  </si>
  <si>
    <t>CGL_RS09195</t>
  </si>
  <si>
    <t>WP_011014690.1</t>
  </si>
  <si>
    <t>CGL_RS09200</t>
  </si>
  <si>
    <t>WP_011014691.1</t>
  </si>
  <si>
    <t>CGL_RS09205</t>
  </si>
  <si>
    <t>WP_011014692.1</t>
  </si>
  <si>
    <t>CGL_RS09210</t>
  </si>
  <si>
    <t>WP_208400638.1</t>
  </si>
  <si>
    <t>CGL_RS09215</t>
  </si>
  <si>
    <t>WP_011014694.1</t>
  </si>
  <si>
    <t>CGL_RS09220</t>
  </si>
  <si>
    <t>WP_011014695.1</t>
  </si>
  <si>
    <t>CGL_RS09225</t>
  </si>
  <si>
    <t>thermonuclease family protein</t>
  </si>
  <si>
    <t>WP_011014696.1</t>
  </si>
  <si>
    <t>CGL_RS09230</t>
  </si>
  <si>
    <t>WP_158295297.1</t>
  </si>
  <si>
    <t>CGL_RS09235</t>
  </si>
  <si>
    <t>WP_011014697.1</t>
  </si>
  <si>
    <t>CGL_RS09240</t>
  </si>
  <si>
    <t>WP_011014698.1</t>
  </si>
  <si>
    <t>CGL_RS09245</t>
  </si>
  <si>
    <t>WP_011014699.1</t>
  </si>
  <si>
    <t>CGL_RS09250</t>
  </si>
  <si>
    <t>WP_011014700.1</t>
  </si>
  <si>
    <t>CGL_RS09255</t>
  </si>
  <si>
    <t>WP_011014701.1</t>
  </si>
  <si>
    <t>CGL_RS09260</t>
  </si>
  <si>
    <t>WP_011014702.1</t>
  </si>
  <si>
    <t>CGL_RS09265</t>
  </si>
  <si>
    <t>WP_011014703.1</t>
  </si>
  <si>
    <t>CGL_RS09270</t>
  </si>
  <si>
    <t>WP_011014704.1</t>
  </si>
  <si>
    <t>CGL_RS09275</t>
  </si>
  <si>
    <t>single-stranded DNA-binding protein</t>
  </si>
  <si>
    <t>WP_011014705.1</t>
  </si>
  <si>
    <t>CGL_RS09280</t>
  </si>
  <si>
    <t>WP_011014706.1</t>
  </si>
  <si>
    <t>CGL_RS09285</t>
  </si>
  <si>
    <t>WP_011014707.1</t>
  </si>
  <si>
    <t>CGL_RS09290</t>
  </si>
  <si>
    <t>WP_011014708.1</t>
  </si>
  <si>
    <t>CGL_RS09295</t>
  </si>
  <si>
    <t>WP_011014709.1</t>
  </si>
  <si>
    <t>CGL_RS09300</t>
  </si>
  <si>
    <t>WP_011014710.1</t>
  </si>
  <si>
    <t>CGL_RS09305</t>
  </si>
  <si>
    <t>WP_011014711.1</t>
  </si>
  <si>
    <t>CGL_RS09310</t>
  </si>
  <si>
    <t>WP_011014712.1</t>
  </si>
  <si>
    <t>CGL_RS09315</t>
  </si>
  <si>
    <t>WP_231838268.1</t>
  </si>
  <si>
    <t>CGL_RS09320</t>
  </si>
  <si>
    <t>WP_011014714.1</t>
  </si>
  <si>
    <t>CGL_RS09325</t>
  </si>
  <si>
    <t>WP_011014715.1</t>
  </si>
  <si>
    <t>CGL_RS09330</t>
  </si>
  <si>
    <t>WP_011014716.1</t>
  </si>
  <si>
    <t>CGL_RS09335</t>
  </si>
  <si>
    <t>WP_158295298.1</t>
  </si>
  <si>
    <t>CGL_RS09340</t>
  </si>
  <si>
    <t>WP_011014717.1</t>
  </si>
  <si>
    <t>CGL_RS09345</t>
  </si>
  <si>
    <t>WP_011014718.1</t>
  </si>
  <si>
    <t>CGL_RS09350</t>
  </si>
  <si>
    <t>WP_231838269.1</t>
  </si>
  <si>
    <t>CGL_RS09355</t>
  </si>
  <si>
    <t>WP_011014720.1</t>
  </si>
  <si>
    <t>CGL_RS09360</t>
  </si>
  <si>
    <t>WP_011014721.1</t>
  </si>
  <si>
    <t>CGL_RS09365</t>
  </si>
  <si>
    <t>WP_011014722.1</t>
  </si>
  <si>
    <t>CGL_RS09370</t>
  </si>
  <si>
    <t>WP_231838270.1</t>
  </si>
  <si>
    <t>CGL_RS09375</t>
  </si>
  <si>
    <t>CGL_RS09380</t>
  </si>
  <si>
    <t>IS5-like element ISCgl6 family transposase</t>
  </si>
  <si>
    <t>WP_011014728.1</t>
  </si>
  <si>
    <t>CGL_RS09385</t>
  </si>
  <si>
    <t>WP_011014729.1</t>
  </si>
  <si>
    <t>CGL_RS09390</t>
  </si>
  <si>
    <t>WP_011014730.1</t>
  </si>
  <si>
    <t>CGL_RS09395</t>
  </si>
  <si>
    <t>CGL_RS09400</t>
  </si>
  <si>
    <t>WP_011014731.1</t>
  </si>
  <si>
    <t>CGL_RS09405</t>
  </si>
  <si>
    <t>WP_227747653.1</t>
  </si>
  <si>
    <t>CGL_RS09410</t>
  </si>
  <si>
    <t>CGL_RS09415</t>
  </si>
  <si>
    <t>glycerate kinase</t>
  </si>
  <si>
    <t>WP_011014734.1</t>
  </si>
  <si>
    <t>CGL_RS09420</t>
  </si>
  <si>
    <t>WP_011014735.1</t>
  </si>
  <si>
    <t>CGL_RS09425</t>
  </si>
  <si>
    <t>WP_003857322.1</t>
  </si>
  <si>
    <t>CGL_RS09430</t>
  </si>
  <si>
    <t>pyrimidine reductase family protein</t>
  </si>
  <si>
    <t>WP_011014736.1</t>
  </si>
  <si>
    <t>CGL_RS09435</t>
  </si>
  <si>
    <t>arabinofuranan 3-O-arabinosyltransferase</t>
  </si>
  <si>
    <t>aftC</t>
  </si>
  <si>
    <t>WP_011265835.1</t>
  </si>
  <si>
    <t>CGL_RS09440</t>
  </si>
  <si>
    <t>peptide-methionine (R)-S-oxide reductase MsrB</t>
  </si>
  <si>
    <t>msrB</t>
  </si>
  <si>
    <t>WP_003857328.1</t>
  </si>
  <si>
    <t>CGL_RS09445</t>
  </si>
  <si>
    <t>hydrogen peroxide-dependent heme synthase</t>
  </si>
  <si>
    <t>hemQ</t>
  </si>
  <si>
    <t>WP_011014738.1</t>
  </si>
  <si>
    <t>CGL_RS09450</t>
  </si>
  <si>
    <t>DUF3000 domain-containing protein</t>
  </si>
  <si>
    <t>WP_003859862.1</t>
  </si>
  <si>
    <t>CGL_RS09455</t>
  </si>
  <si>
    <t>ribonuclease D</t>
  </si>
  <si>
    <t>WP_011014740.1</t>
  </si>
  <si>
    <t>CGL_RS09460</t>
  </si>
  <si>
    <t>1-deoxy-D-xylulose-5-phosphate synthase</t>
  </si>
  <si>
    <t>dxs</t>
  </si>
  <si>
    <t>WP_011014741.1</t>
  </si>
  <si>
    <t>CGL_RS09465</t>
  </si>
  <si>
    <t>class I SAM-dependent RNA methyltransferase</t>
  </si>
  <si>
    <t>WP_011014742.1</t>
  </si>
  <si>
    <t>CGL_RS09470</t>
  </si>
  <si>
    <t>DUF3710 domain-containing protein</t>
  </si>
  <si>
    <t>WP_011014743.1</t>
  </si>
  <si>
    <t>CGL_RS09475</t>
  </si>
  <si>
    <t>dUTP diphosphatase</t>
  </si>
  <si>
    <t>dut</t>
  </si>
  <si>
    <t>WP_011014744.1</t>
  </si>
  <si>
    <t>CGL_RS09480</t>
  </si>
  <si>
    <t>DUF3093 domain-containing protein</t>
  </si>
  <si>
    <t>WP_003859852.1</t>
  </si>
  <si>
    <t>CGL_RS09485</t>
  </si>
  <si>
    <t>WP_011014745.1</t>
  </si>
  <si>
    <t>CGL_RS09490</t>
  </si>
  <si>
    <t>DUF4193 domain-containing protein</t>
  </si>
  <si>
    <t>WP_003857344.1</t>
  </si>
  <si>
    <t>CGL_RS09495</t>
  </si>
  <si>
    <t>WP_011014746.1</t>
  </si>
  <si>
    <t>CGL_RS09500</t>
  </si>
  <si>
    <t>polyphosphate--glucose phosphotransferase</t>
  </si>
  <si>
    <t>ppgK</t>
  </si>
  <si>
    <t>WP_011014747.1</t>
  </si>
  <si>
    <t>CGL_RS09505</t>
  </si>
  <si>
    <t>WP_011265837.1</t>
  </si>
  <si>
    <t>CGL_RS09510</t>
  </si>
  <si>
    <t>DUF418 domain-containing protein</t>
  </si>
  <si>
    <t>WP_011014749.1</t>
  </si>
  <si>
    <t>CGL_RS09515</t>
  </si>
  <si>
    <t>WP_003857354.1</t>
  </si>
  <si>
    <t>CGL_RS09520</t>
  </si>
  <si>
    <t>WP_003859837.1</t>
  </si>
  <si>
    <t>CGL_RS09525</t>
  </si>
  <si>
    <t>DUF3039 domain-containing protein</t>
  </si>
  <si>
    <t>WP_003857359.1</t>
  </si>
  <si>
    <t>CGL_RS09530</t>
  </si>
  <si>
    <t>DUF3099 domain-containing protein</t>
  </si>
  <si>
    <t>WP_011014750.1</t>
  </si>
  <si>
    <t>CGL_RS09535</t>
  </si>
  <si>
    <t>DUF7059 domain-containing protein</t>
  </si>
  <si>
    <t>WP_011014751.1</t>
  </si>
  <si>
    <t>CGL_RS09540</t>
  </si>
  <si>
    <t>D-aminoacyl-tRNA deacylase</t>
  </si>
  <si>
    <t>dtd</t>
  </si>
  <si>
    <t>WP_003859832.1</t>
  </si>
  <si>
    <t>CGL_RS09545</t>
  </si>
  <si>
    <t>WP_011014752.1</t>
  </si>
  <si>
    <t>CGL_RS09550</t>
  </si>
  <si>
    <t>iron dependent repressor, metal binding and dimerization domain protein</t>
  </si>
  <si>
    <t>WP_011014753.1</t>
  </si>
  <si>
    <t>CGL_RS09555</t>
  </si>
  <si>
    <t>UDP-glucose 4-epimerase GalE</t>
  </si>
  <si>
    <t>galE</t>
  </si>
  <si>
    <t>WP_011014754.1</t>
  </si>
  <si>
    <t>CGL_RS09560</t>
  </si>
  <si>
    <t>DUF4192 domain-containing protein</t>
  </si>
  <si>
    <t>WP_020948595.1</t>
  </si>
  <si>
    <t>CGL_RS09565</t>
  </si>
  <si>
    <t>proteasome assembly chaperone family protein</t>
  </si>
  <si>
    <t>WP_003859825.1</t>
  </si>
  <si>
    <t>CGL_RS09570</t>
  </si>
  <si>
    <t>WP_020948596.1</t>
  </si>
  <si>
    <t>CGL_RS09575</t>
  </si>
  <si>
    <t>hydrogen peroxide-inducible genes activator</t>
  </si>
  <si>
    <t>WP_011014757.1</t>
  </si>
  <si>
    <t>CGL_RS09580</t>
  </si>
  <si>
    <t>DUF2189 domain-containing protein</t>
  </si>
  <si>
    <t>WP_011014758.1</t>
  </si>
  <si>
    <t>CGL_RS09585</t>
  </si>
  <si>
    <t>ATP-dependent RNA helicase HrpA</t>
  </si>
  <si>
    <t>hrpA</t>
  </si>
  <si>
    <t>WP_011014759.1</t>
  </si>
  <si>
    <t>CGL_RS09590</t>
  </si>
  <si>
    <t>transcriptional regulator NrdR</t>
  </si>
  <si>
    <t>nrdR</t>
  </si>
  <si>
    <t>WP_003857385.1</t>
  </si>
  <si>
    <t>CGL_RS09595</t>
  </si>
  <si>
    <t>WP_011265842.1</t>
  </si>
  <si>
    <t>CGL_RS15685</t>
  </si>
  <si>
    <t>transcriptional repressor LexA</t>
  </si>
  <si>
    <t>lexA</t>
  </si>
  <si>
    <t>WP_003857389.1</t>
  </si>
  <si>
    <t>CGL_RS09605</t>
  </si>
  <si>
    <t>WP_011014761.1</t>
  </si>
  <si>
    <t>CGL_RS09610</t>
  </si>
  <si>
    <t>1-phosphofructokinase family hexose kinase</t>
  </si>
  <si>
    <t>WP_011014762.1</t>
  </si>
  <si>
    <t>CGL_RS09615</t>
  </si>
  <si>
    <t>phosphoenolpyruvate--protein phosphotransferase</t>
  </si>
  <si>
    <t>ptsP</t>
  </si>
  <si>
    <t>WP_374057885.1</t>
  </si>
  <si>
    <t>CGL_RS09620</t>
  </si>
  <si>
    <t>WP_011014764.1</t>
  </si>
  <si>
    <t>CGL_RS09625</t>
  </si>
  <si>
    <t>1-phosphofructokinase</t>
  </si>
  <si>
    <t>WP_011014765.1</t>
  </si>
  <si>
    <t>CGL_RS09630</t>
  </si>
  <si>
    <t>fructose-specific PTS transporter subunit EIIC</t>
  </si>
  <si>
    <t>WP_011014766.1</t>
  </si>
  <si>
    <t>CGL_RS09635</t>
  </si>
  <si>
    <t>HPr family phosphocarrier protein</t>
  </si>
  <si>
    <t>WP_003857409.1</t>
  </si>
  <si>
    <t>CGL_RS09640</t>
  </si>
  <si>
    <t>WP_011014767.1</t>
  </si>
  <si>
    <t>CGL_RS09645</t>
  </si>
  <si>
    <t>uracil-xanthine permease family protein</t>
  </si>
  <si>
    <t>WP_011014768.1</t>
  </si>
  <si>
    <t>CGL_RS09650</t>
  </si>
  <si>
    <t>GTPase HflX</t>
  </si>
  <si>
    <t>hflX</t>
  </si>
  <si>
    <t>WP_011265844.1</t>
  </si>
  <si>
    <t>CGL_RS09655</t>
  </si>
  <si>
    <t>WP_011014770.1</t>
  </si>
  <si>
    <t>CGL_RS09660</t>
  </si>
  <si>
    <t>WP_011014771.1</t>
  </si>
  <si>
    <t>CGL_RS09665</t>
  </si>
  <si>
    <t>diaminopimelate epimerase</t>
  </si>
  <si>
    <t>dapF</t>
  </si>
  <si>
    <t>WP_011014772.1</t>
  </si>
  <si>
    <t>CGL_RS09670</t>
  </si>
  <si>
    <t>tRNA (adenosine(37)-N6)-dimethylallyltransferase MiaA</t>
  </si>
  <si>
    <t>miaA</t>
  </si>
  <si>
    <t>WP_011014773.1</t>
  </si>
  <si>
    <t>CGL_RS09675</t>
  </si>
  <si>
    <t>WP_011014774.1</t>
  </si>
  <si>
    <t>CGL_RS09680</t>
  </si>
  <si>
    <t>DUF349 domain-containing protein</t>
  </si>
  <si>
    <t>WP_011014775.1</t>
  </si>
  <si>
    <t>CGL_RS09685</t>
  </si>
  <si>
    <t>WP_011014776.1</t>
  </si>
  <si>
    <t>CGL_RS09690</t>
  </si>
  <si>
    <t>Rv2732c family membrane protein</t>
  </si>
  <si>
    <t>WP_003861637.1</t>
  </si>
  <si>
    <t>CGL_RS09695</t>
  </si>
  <si>
    <t>tRNA (N6-isopentenyl adenosine(37)-C2)-methylthiotransferase MiaB</t>
  </si>
  <si>
    <t>miaB</t>
  </si>
  <si>
    <t>WP_011014777.1</t>
  </si>
  <si>
    <t>CGL_RS09700</t>
  </si>
  <si>
    <t>glutamate ABC transporter ATP-binding protein GluA</t>
  </si>
  <si>
    <t>gluA</t>
  </si>
  <si>
    <t>WP_003857431.1</t>
  </si>
  <si>
    <t>CGL_RS09705</t>
  </si>
  <si>
    <t>glutamate ABC transporter substrate-binding protein GluB</t>
  </si>
  <si>
    <t>gluB</t>
  </si>
  <si>
    <t>WP_011014779.1</t>
  </si>
  <si>
    <t>CGL_RS09710</t>
  </si>
  <si>
    <t>glutamate ABC transporter permease GluC</t>
  </si>
  <si>
    <t>gluC</t>
  </si>
  <si>
    <t>WP_011014780.1</t>
  </si>
  <si>
    <t>CGL_RS09715</t>
  </si>
  <si>
    <t>WP_011014781.1</t>
  </si>
  <si>
    <t>CGL_RS09720</t>
  </si>
  <si>
    <t>recombination regulator RecX</t>
  </si>
  <si>
    <t>recX</t>
  </si>
  <si>
    <t>WP_011014782.1</t>
  </si>
  <si>
    <t>CGL_RS09725</t>
  </si>
  <si>
    <t>recombinase RecA</t>
  </si>
  <si>
    <t>recA</t>
  </si>
  <si>
    <t>WP_003857444.1</t>
  </si>
  <si>
    <t>CGL_RS09730</t>
  </si>
  <si>
    <t>DUF3046 domain-containing protein</t>
  </si>
  <si>
    <t>WP_003857447.1</t>
  </si>
  <si>
    <t>CGL_RS09735</t>
  </si>
  <si>
    <t>WP_231838271.1</t>
  </si>
  <si>
    <t>CGL_RS09740</t>
  </si>
  <si>
    <t>biotin transporter BioY</t>
  </si>
  <si>
    <t>bioY</t>
  </si>
  <si>
    <t>WP_003857452.1</t>
  </si>
  <si>
    <t>CGL_RS09745</t>
  </si>
  <si>
    <t>energy-coupling factor ABC transporter ATP-binding protein</t>
  </si>
  <si>
    <t>WP_011014785.1</t>
  </si>
  <si>
    <t>CGL_RS09750</t>
  </si>
  <si>
    <t>WP_003857456.1</t>
  </si>
  <si>
    <t>CGL_RS09755</t>
  </si>
  <si>
    <t>PspA/IM30 family protein</t>
  </si>
  <si>
    <t>WP_003857458.1</t>
  </si>
  <si>
    <t>CGL_RS09760</t>
  </si>
  <si>
    <t>WP_003861658.1</t>
  </si>
  <si>
    <t>CGL_RS09765</t>
  </si>
  <si>
    <t>CinA family protein</t>
  </si>
  <si>
    <t>WP_011014786.1</t>
  </si>
  <si>
    <t>CGL_RS09770</t>
  </si>
  <si>
    <t>CDP-diacylglycerol--glycerol-3-phosphate 3-phosphatidyltransferase</t>
  </si>
  <si>
    <t>WP_003861660.1</t>
  </si>
  <si>
    <t>CGL_RS09775</t>
  </si>
  <si>
    <t>YciI family protein</t>
  </si>
  <si>
    <t>WP_003857466.1</t>
  </si>
  <si>
    <t>CGL_RS09780</t>
  </si>
  <si>
    <t>TerC family protein</t>
  </si>
  <si>
    <t>WP_011014789.1</t>
  </si>
  <si>
    <t>CGL_RS09785</t>
  </si>
  <si>
    <t>FtsK/SpoIIIE family DNA translocase</t>
  </si>
  <si>
    <t>WP_011014790.1</t>
  </si>
  <si>
    <t>CGL_RS09790</t>
  </si>
  <si>
    <t>TIGR03085 family metal-binding protein</t>
  </si>
  <si>
    <t>WP_003857475.1</t>
  </si>
  <si>
    <t>CGL_RS09795</t>
  </si>
  <si>
    <t>ribonuclease J</t>
  </si>
  <si>
    <t>WP_011014791.1</t>
  </si>
  <si>
    <t>CGL_RS09800</t>
  </si>
  <si>
    <t>4-hydroxy-tetrahydrodipicolinate synthase</t>
  </si>
  <si>
    <t>dapA</t>
  </si>
  <si>
    <t>WP_011014792.1</t>
  </si>
  <si>
    <t>CGL_RS09805</t>
  </si>
  <si>
    <t>FAD-dependent thymidylate synthase</t>
  </si>
  <si>
    <t>thyX</t>
  </si>
  <si>
    <t>WP_011014793.1</t>
  </si>
  <si>
    <t>CGL_RS09810</t>
  </si>
  <si>
    <t>4-hydroxy-tetrahydrodipicolinate reductase</t>
  </si>
  <si>
    <t>dapB</t>
  </si>
  <si>
    <t>WP_011014794.1</t>
  </si>
  <si>
    <t>CGL_RS09815</t>
  </si>
  <si>
    <t>WP_011897393.1</t>
  </si>
  <si>
    <t>CGL_RS09820</t>
  </si>
  <si>
    <t>polyribonucleotide nucleotidyltransferase</t>
  </si>
  <si>
    <t>WP_011014796.1</t>
  </si>
  <si>
    <t>CGL_RS09825</t>
  </si>
  <si>
    <t>30S ribosomal protein S15</t>
  </si>
  <si>
    <t>rpsO</t>
  </si>
  <si>
    <t>WP_003857482.1</t>
  </si>
  <si>
    <t>CGL_RS09830</t>
  </si>
  <si>
    <t>WP_011014797.1</t>
  </si>
  <si>
    <t>CGL_RS09835</t>
  </si>
  <si>
    <t>bifunctional riboflavin kinase/FAD synthetase</t>
  </si>
  <si>
    <t>WP_011014798.1</t>
  </si>
  <si>
    <t>CGL_RS09840</t>
  </si>
  <si>
    <t>tRNA pseudouridine(55) synthase TruB</t>
  </si>
  <si>
    <t>truB</t>
  </si>
  <si>
    <t>WP_011014799.1</t>
  </si>
  <si>
    <t>CGL_RS09845</t>
  </si>
  <si>
    <t>4'-phosphopantetheinyl transferase family protein</t>
  </si>
  <si>
    <t>WP_003857486.1</t>
  </si>
  <si>
    <t>CGL_RS09850</t>
  </si>
  <si>
    <t>WP_003857487.1</t>
  </si>
  <si>
    <t>CGL_RS09855</t>
  </si>
  <si>
    <t>MATE family efflux transporter</t>
  </si>
  <si>
    <t>WP_011265854.1</t>
  </si>
  <si>
    <t>CGL_RS09860</t>
  </si>
  <si>
    <t>WP_011014801.1</t>
  </si>
  <si>
    <t>CGL_RS09865</t>
  </si>
  <si>
    <t>30S ribosome-binding factor RbfA</t>
  </si>
  <si>
    <t>rbfA</t>
  </si>
  <si>
    <t>WP_003861694.1</t>
  </si>
  <si>
    <t>CGL_RS09870</t>
  </si>
  <si>
    <t>translation initiation factor IF-2</t>
  </si>
  <si>
    <t>infB</t>
  </si>
  <si>
    <t>WP_011014802.1</t>
  </si>
  <si>
    <t>CGL_RS09875</t>
  </si>
  <si>
    <t>YlxR family protein</t>
  </si>
  <si>
    <t>WP_011014803.1</t>
  </si>
  <si>
    <t>CGL_RS09880</t>
  </si>
  <si>
    <t>transcription termination factor NusA</t>
  </si>
  <si>
    <t>nusA</t>
  </si>
  <si>
    <t>WP_003861701.1</t>
  </si>
  <si>
    <t>CGL_RS09885</t>
  </si>
  <si>
    <t>ribosome maturation factor RimP</t>
  </si>
  <si>
    <t>rimP</t>
  </si>
  <si>
    <t>WP_011014804.1</t>
  </si>
  <si>
    <t>CGL_RS09890</t>
  </si>
  <si>
    <t>DUF4439 domain-containing protein</t>
  </si>
  <si>
    <t>WP_011014805.1</t>
  </si>
  <si>
    <t>CGL_RS09895</t>
  </si>
  <si>
    <t>peptide ABC transporter substrate-binding protein</t>
  </si>
  <si>
    <t>WP_011014806.1</t>
  </si>
  <si>
    <t>CGL_RS09900</t>
  </si>
  <si>
    <t>WP_003857497.1</t>
  </si>
  <si>
    <t>CGL_RS09905</t>
  </si>
  <si>
    <t>WP_006284211.1</t>
  </si>
  <si>
    <t>CGL_RS09910</t>
  </si>
  <si>
    <t>WP_011014807.1</t>
  </si>
  <si>
    <t>CGL_RS09915</t>
  </si>
  <si>
    <t>proline--tRNA ligase</t>
  </si>
  <si>
    <t>WP_003857500.1</t>
  </si>
  <si>
    <t>CGL_RS09920</t>
  </si>
  <si>
    <t>peroxide stress protein YaaA</t>
  </si>
  <si>
    <t>yaaA</t>
  </si>
  <si>
    <t>WP_011014808.1</t>
  </si>
  <si>
    <t>CGL_RS09925</t>
  </si>
  <si>
    <t>WP_041625498.1</t>
  </si>
  <si>
    <t>CGL_RS09930</t>
  </si>
  <si>
    <t>WP_011014810.1</t>
  </si>
  <si>
    <t>CGL_RS09935</t>
  </si>
  <si>
    <t>uroporphyrinogen-III C-methyltransferase</t>
  </si>
  <si>
    <t>cobA</t>
  </si>
  <si>
    <t>WP_011014811.1</t>
  </si>
  <si>
    <t>CGL_RS09940</t>
  </si>
  <si>
    <t>protein adenylyltransferase SelO</t>
  </si>
  <si>
    <t>WP_011014812.1</t>
  </si>
  <si>
    <t>CGL_RS09945</t>
  </si>
  <si>
    <t>WP_011014813.1</t>
  </si>
  <si>
    <t>CGL_RS09950</t>
  </si>
  <si>
    <t>malate dehydrogenase (quinone)</t>
  </si>
  <si>
    <t>mqo</t>
  </si>
  <si>
    <t>WP_011014814.1</t>
  </si>
  <si>
    <t>CGL_RS09955</t>
  </si>
  <si>
    <t>WP_003861718.1</t>
  </si>
  <si>
    <t>CGL_RS09960</t>
  </si>
  <si>
    <t>mycothione reductase</t>
  </si>
  <si>
    <t>mtr</t>
  </si>
  <si>
    <t>WP_011014816.1</t>
  </si>
  <si>
    <t>CGL_RS09965</t>
  </si>
  <si>
    <t>WP_011014817.1</t>
  </si>
  <si>
    <t>CGL_RS09970</t>
  </si>
  <si>
    <t>WP_011014818.1</t>
  </si>
  <si>
    <t>CGL_RS09975</t>
  </si>
  <si>
    <t>WP_011265857.1</t>
  </si>
  <si>
    <t>CGL_RS09980</t>
  </si>
  <si>
    <t>WP_020948601.1</t>
  </si>
  <si>
    <t>CGL_RS09985</t>
  </si>
  <si>
    <t>WP_011014821.1</t>
  </si>
  <si>
    <t>CGL_RS09990</t>
  </si>
  <si>
    <t>WP_011014822.1</t>
  </si>
  <si>
    <t>CGL_RS09995</t>
  </si>
  <si>
    <t>WP_003857531.1</t>
  </si>
  <si>
    <t>CGL_RS10000</t>
  </si>
  <si>
    <t>WP_011014823.1</t>
  </si>
  <si>
    <t>CGL_RS10005</t>
  </si>
  <si>
    <t>WP_003857536.1</t>
  </si>
  <si>
    <t>CGL_RS10010</t>
  </si>
  <si>
    <t>flavodoxin-dependent (E)-4-hydroxy-3-methylbut-2-enyl-diphosphate synthase</t>
  </si>
  <si>
    <t>ispG</t>
  </si>
  <si>
    <t>WP_003857537.1</t>
  </si>
  <si>
    <t>CGL_RS10015</t>
  </si>
  <si>
    <t>M50 family metallopeptidase</t>
  </si>
  <si>
    <t>WP_011014824.1</t>
  </si>
  <si>
    <t>CGL_RS10020</t>
  </si>
  <si>
    <t>1-deoxy-D-xylulose-5-phosphate reductoisomerase</t>
  </si>
  <si>
    <t>dxr</t>
  </si>
  <si>
    <t>WP_011014825.1</t>
  </si>
  <si>
    <t>CGL_RS10025</t>
  </si>
  <si>
    <t>DUF2631 domain-containing protein</t>
  </si>
  <si>
    <t>WP_003857542.1</t>
  </si>
  <si>
    <t>CGL_RS10030</t>
  </si>
  <si>
    <t>WP_011014826.1</t>
  </si>
  <si>
    <t>CGL_RS10035</t>
  </si>
  <si>
    <t>WP_003861735.1</t>
  </si>
  <si>
    <t>CGL_RS10040</t>
  </si>
  <si>
    <t>23S rRNA (adenine(2503)-C(2))-methyltransferase RlmN</t>
  </si>
  <si>
    <t>rlmN</t>
  </si>
  <si>
    <t>WP_003861738.1</t>
  </si>
  <si>
    <t>CGL_RS10045</t>
  </si>
  <si>
    <t>LapA family protein</t>
  </si>
  <si>
    <t>WP_011897422.1</t>
  </si>
  <si>
    <t>CGL_RS10050</t>
  </si>
  <si>
    <t>phosphatidate cytidylyltransferase</t>
  </si>
  <si>
    <t>WP_003857552.1</t>
  </si>
  <si>
    <t>CGL_RS10055</t>
  </si>
  <si>
    <t>ribosome recycling factor</t>
  </si>
  <si>
    <t>frr</t>
  </si>
  <si>
    <t>WP_011014829.1</t>
  </si>
  <si>
    <t>CGL_RS10060</t>
  </si>
  <si>
    <t>UMP kinase</t>
  </si>
  <si>
    <t>pyrH</t>
  </si>
  <si>
    <t>WP_006284182.1</t>
  </si>
  <si>
    <t>CGL_RS10065</t>
  </si>
  <si>
    <t>translation elongation factor Ts</t>
  </si>
  <si>
    <t>tsf</t>
  </si>
  <si>
    <t>WP_011014830.1</t>
  </si>
  <si>
    <t>CGL_RS10070</t>
  </si>
  <si>
    <t>30S ribosomal protein S2</t>
  </si>
  <si>
    <t>rpsB</t>
  </si>
  <si>
    <t>WP_011014831.1</t>
  </si>
  <si>
    <t>CGL_RS10075</t>
  </si>
  <si>
    <t>WP_011014832.1</t>
  </si>
  <si>
    <t>CGL_RS10080</t>
  </si>
  <si>
    <t>tyrosine recombinase XerC</t>
  </si>
  <si>
    <t>WP_011014833.1</t>
  </si>
  <si>
    <t>CGL_RS10085</t>
  </si>
  <si>
    <t>DNA-processing protein DprA</t>
  </si>
  <si>
    <t>dprA</t>
  </si>
  <si>
    <t>WP_003861752.1</t>
  </si>
  <si>
    <t>CGL_RS10090</t>
  </si>
  <si>
    <t>YifB family Mg chelatase-like AAA ATPase</t>
  </si>
  <si>
    <t>WP_011014834.1</t>
  </si>
  <si>
    <t>CGL_RS10095</t>
  </si>
  <si>
    <t>YraN family protein</t>
  </si>
  <si>
    <t>WP_011014835.1</t>
  </si>
  <si>
    <t>CGL_RS10100</t>
  </si>
  <si>
    <t>DUF2469 domain-containing protein</t>
  </si>
  <si>
    <t>WP_003857573.1</t>
  </si>
  <si>
    <t>CGL_RS10105</t>
  </si>
  <si>
    <t>ribonuclease HII</t>
  </si>
  <si>
    <t>WP_003861890.1</t>
  </si>
  <si>
    <t>CGL_RS10110</t>
  </si>
  <si>
    <t>signal peptidase I</t>
  </si>
  <si>
    <t>lepB</t>
  </si>
  <si>
    <t>WP_011014836.1</t>
  </si>
  <si>
    <t>CGL_RS10115</t>
  </si>
  <si>
    <t>WP_011265861.1</t>
  </si>
  <si>
    <t>CGL_RS10120</t>
  </si>
  <si>
    <t>50S ribosomal protein L19</t>
  </si>
  <si>
    <t>rplS</t>
  </si>
  <si>
    <t>WP_011014838.1</t>
  </si>
  <si>
    <t>CGL_RS10125</t>
  </si>
  <si>
    <t>thiamine phosphate synthase</t>
  </si>
  <si>
    <t>WP_011014839.1</t>
  </si>
  <si>
    <t>CGL_RS10130</t>
  </si>
  <si>
    <t>glycine oxidase ThiO</t>
  </si>
  <si>
    <t>thiO</t>
  </si>
  <si>
    <t>WP_003861894.1</t>
  </si>
  <si>
    <t>CGL_RS10135</t>
  </si>
  <si>
    <t>sulfur carrier protein ThiS</t>
  </si>
  <si>
    <t>thiS</t>
  </si>
  <si>
    <t>WP_003857586.1</t>
  </si>
  <si>
    <t>CGL_RS10140</t>
  </si>
  <si>
    <t>thiazole synthase</t>
  </si>
  <si>
    <t>WP_003857587.1</t>
  </si>
  <si>
    <t>CGL_RS10145</t>
  </si>
  <si>
    <t>WP_011014840.1</t>
  </si>
  <si>
    <t>CGL_RS10150</t>
  </si>
  <si>
    <t>Tex family protein</t>
  </si>
  <si>
    <t>WP_011014841.1</t>
  </si>
  <si>
    <t>CGL_RS10155</t>
  </si>
  <si>
    <t>WP_003857593.1</t>
  </si>
  <si>
    <t>CGL_RS10160</t>
  </si>
  <si>
    <t>DASS family sodium-coupled anion symporter</t>
  </si>
  <si>
    <t>WP_011265863.1</t>
  </si>
  <si>
    <t>CGL_RS10165</t>
  </si>
  <si>
    <t>adenylosuccinate lyase</t>
  </si>
  <si>
    <t>WP_011014843.1</t>
  </si>
  <si>
    <t>CGL_RS10170</t>
  </si>
  <si>
    <t>WP_011014844.1</t>
  </si>
  <si>
    <t>CGL_RS10175</t>
  </si>
  <si>
    <t>WP_003856330.1</t>
  </si>
  <si>
    <t>CGL_RS10180</t>
  </si>
  <si>
    <t>tRNA (guanosine(37)-N1)-methyltransferase TrmD</t>
  </si>
  <si>
    <t>trmD</t>
  </si>
  <si>
    <t>WP_011014845.1</t>
  </si>
  <si>
    <t>CGL_RS10185</t>
  </si>
  <si>
    <t>DUF4232 domain-containing protein</t>
  </si>
  <si>
    <t>WP_011014846.1</t>
  </si>
  <si>
    <t>CGL_RS10190</t>
  </si>
  <si>
    <t>ribosome maturation factor RimM</t>
  </si>
  <si>
    <t>rimM</t>
  </si>
  <si>
    <t>WP_011014847.1</t>
  </si>
  <si>
    <t>CGL_RS10195</t>
  </si>
  <si>
    <t>WP_003861911.1</t>
  </si>
  <si>
    <t>CGL_RS10200</t>
  </si>
  <si>
    <t>30S ribosomal protein S16</t>
  </si>
  <si>
    <t>rpsP</t>
  </si>
  <si>
    <t>WP_011014848.1</t>
  </si>
  <si>
    <t>CGL_RS10205</t>
  </si>
  <si>
    <t>WP_003856346.1</t>
  </si>
  <si>
    <t>CGL_RS10210</t>
  </si>
  <si>
    <t>WP_011014849.1</t>
  </si>
  <si>
    <t>CGL_RS10215</t>
  </si>
  <si>
    <t>WP_011014850.1</t>
  </si>
  <si>
    <t>CGL_RS10220</t>
  </si>
  <si>
    <t>signal recognition particle protein</t>
  </si>
  <si>
    <t>ffh</t>
  </si>
  <si>
    <t>WP_011014851.1</t>
  </si>
  <si>
    <t>CGL_RS10225</t>
  </si>
  <si>
    <t>[protein-PII] uridylyltransferase</t>
  </si>
  <si>
    <t>WP_011014852.1</t>
  </si>
  <si>
    <t>CGL_RS10230</t>
  </si>
  <si>
    <t>P-II family nitrogen regulator GlnK</t>
  </si>
  <si>
    <t>glnK</t>
  </si>
  <si>
    <t>WP_011014853.1</t>
  </si>
  <si>
    <t>CGL_RS10235</t>
  </si>
  <si>
    <t>WP_011014854.1</t>
  </si>
  <si>
    <t>CGL_RS10240</t>
  </si>
  <si>
    <t>signal recognition particle-docking protein FtsY</t>
  </si>
  <si>
    <t>ftsY</t>
  </si>
  <si>
    <t>WP_011014855.1</t>
  </si>
  <si>
    <t>CGL_RS10245</t>
  </si>
  <si>
    <t>WP_011014856.1</t>
  </si>
  <si>
    <t>CGL_RS10250</t>
  </si>
  <si>
    <t>chromosome segregation protein SMC</t>
  </si>
  <si>
    <t>smc</t>
  </si>
  <si>
    <t>WP_011014857.1</t>
  </si>
  <si>
    <t>CGL_RS10255</t>
  </si>
  <si>
    <t>acylphosphatase</t>
  </si>
  <si>
    <t>WP_003856367.1</t>
  </si>
  <si>
    <t>CGL_RS10260</t>
  </si>
  <si>
    <t>WP_011265868.1</t>
  </si>
  <si>
    <t>CGL_RS10265</t>
  </si>
  <si>
    <t>WP_011014859.1</t>
  </si>
  <si>
    <t>CGL_RS10270</t>
  </si>
  <si>
    <t>WP_011014860.1</t>
  </si>
  <si>
    <t>CGL_RS10275</t>
  </si>
  <si>
    <t>WP_011014861.1</t>
  </si>
  <si>
    <t>CGL_RS10280</t>
  </si>
  <si>
    <t>cation transporter</t>
  </si>
  <si>
    <t>WP_011014862.1</t>
  </si>
  <si>
    <t>CGL_RS10285</t>
  </si>
  <si>
    <t>bifunctional DNA-formamidopyrimidine glycosylase/DNA-(apurinic or apyrimidinic site) lyase</t>
  </si>
  <si>
    <t>mutM</t>
  </si>
  <si>
    <t>WP_011014863.1</t>
  </si>
  <si>
    <t>CGL_RS10290</t>
  </si>
  <si>
    <t>ribonuclease III</t>
  </si>
  <si>
    <t>rnc</t>
  </si>
  <si>
    <t>WP_003861938.1</t>
  </si>
  <si>
    <t>CGL_RS10295</t>
  </si>
  <si>
    <t>YceD family protein</t>
  </si>
  <si>
    <t>WP_003861940.1</t>
  </si>
  <si>
    <t>CGL_RS10300</t>
  </si>
  <si>
    <t>DivIVA domain-containing protein</t>
  </si>
  <si>
    <t>WP_003861943.1</t>
  </si>
  <si>
    <t>CGL_RS10305</t>
  </si>
  <si>
    <t>WP_011265869.1</t>
  </si>
  <si>
    <t>CGL_RS10310</t>
  </si>
  <si>
    <t>amino acid ABC transporter ATP-binding/permease protein</t>
  </si>
  <si>
    <t>WP_011014865.1</t>
  </si>
  <si>
    <t>CGL_RS10315</t>
  </si>
  <si>
    <t>NADP-specific glutamate dehydrogenase</t>
  </si>
  <si>
    <t>gdhA</t>
  </si>
  <si>
    <t>WP_003856385.1</t>
  </si>
  <si>
    <t>CGL_RS10320</t>
  </si>
  <si>
    <t>WP_011014866.1</t>
  </si>
  <si>
    <t>CGL_RS10325</t>
  </si>
  <si>
    <t>WP_003856390.1</t>
  </si>
  <si>
    <t>CGL_RS10330</t>
  </si>
  <si>
    <t>DUF4921 family protein</t>
  </si>
  <si>
    <t>WP_011014867.1</t>
  </si>
  <si>
    <t>CGL_RS10335</t>
  </si>
  <si>
    <t>amidohydrolase</t>
  </si>
  <si>
    <t>WP_011014868.1</t>
  </si>
  <si>
    <t>CGL_RS10340</t>
  </si>
  <si>
    <t>WP_011014869.1</t>
  </si>
  <si>
    <t>CGL_RS10345</t>
  </si>
  <si>
    <t>WP_011014870.1</t>
  </si>
  <si>
    <t>CGL_RS10350</t>
  </si>
  <si>
    <t>alpha-glucan family phosphorylase</t>
  </si>
  <si>
    <t>glgP</t>
  </si>
  <si>
    <t>WP_231838273.1</t>
  </si>
  <si>
    <t>CGL_RS10355</t>
  </si>
  <si>
    <t>WP_011014872.1</t>
  </si>
  <si>
    <t>CGL_RS10360</t>
  </si>
  <si>
    <t>pyruvate kinase</t>
  </si>
  <si>
    <t>pyk</t>
  </si>
  <si>
    <t>WP_011014873.1</t>
  </si>
  <si>
    <t>CGL_RS10365</t>
  </si>
  <si>
    <t>prolipoprotein diacylglyceryl transferase</t>
  </si>
  <si>
    <t>lgt</t>
  </si>
  <si>
    <t>WP_011014874.1</t>
  </si>
  <si>
    <t>CGL_RS10370</t>
  </si>
  <si>
    <t>indole-3-glycerol-phosphate synthase</t>
  </si>
  <si>
    <t>WP_003856406.1</t>
  </si>
  <si>
    <t>CGL_RS10375</t>
  </si>
  <si>
    <t>TIGR02234 family membrane protein</t>
  </si>
  <si>
    <t>WP_011014875.1</t>
  </si>
  <si>
    <t>CGL_RS10380</t>
  </si>
  <si>
    <t>phosphoribosyl-AMP cyclohydrolase</t>
  </si>
  <si>
    <t>hisI</t>
  </si>
  <si>
    <t>WP_011014876.1</t>
  </si>
  <si>
    <t>CGL_RS10385</t>
  </si>
  <si>
    <t>imidazole glycerol phosphate synthase subunit HisF</t>
  </si>
  <si>
    <t>hisF</t>
  </si>
  <si>
    <t>WP_003856413.1</t>
  </si>
  <si>
    <t>CGL_RS10390</t>
  </si>
  <si>
    <t>WP_003861968.1</t>
  </si>
  <si>
    <t>CGL_RS10395</t>
  </si>
  <si>
    <t>bifunctional 1-(5-phosphoribosyl)-5-((5-phosphoribosylamino)methylideneamino)imidazole-4-carboxamide isomerase/phosphoribosylanthranilate isomerase PriA</t>
  </si>
  <si>
    <t>priA</t>
  </si>
  <si>
    <t>WP_003856418.1</t>
  </si>
  <si>
    <t>CGL_RS10400</t>
  </si>
  <si>
    <t>imidazole glycerol phosphate synthase subunit HisH</t>
  </si>
  <si>
    <t>hisH</t>
  </si>
  <si>
    <t>WP_011014877.1</t>
  </si>
  <si>
    <t>CGL_RS10405</t>
  </si>
  <si>
    <t>CGL_RS15690</t>
  </si>
  <si>
    <t>WP_040968195.1</t>
  </si>
  <si>
    <t>CGL_RS10410</t>
  </si>
  <si>
    <t>WP_011014879.1</t>
  </si>
  <si>
    <t>CGL_RS10415</t>
  </si>
  <si>
    <t>imidazoleglycerol-phosphate dehydratase HisB</t>
  </si>
  <si>
    <t>hisB</t>
  </si>
  <si>
    <t>WP_003861983.1</t>
  </si>
  <si>
    <t>CGL_RS10420</t>
  </si>
  <si>
    <t>WP_011014880.1</t>
  </si>
  <si>
    <t>CGL_RS10425</t>
  </si>
  <si>
    <t>histidinol dehydrogenase</t>
  </si>
  <si>
    <t>hisD</t>
  </si>
  <si>
    <t>WP_011014881.1</t>
  </si>
  <si>
    <t>CGL_RS10430</t>
  </si>
  <si>
    <t>WP_011014882.1</t>
  </si>
  <si>
    <t>CGL_RS10435</t>
  </si>
  <si>
    <t>WP_003861988.1</t>
  </si>
  <si>
    <t>CGL_RS10440</t>
  </si>
  <si>
    <t>WP_011014883.1</t>
  </si>
  <si>
    <t>CGL_RS10445</t>
  </si>
  <si>
    <t>WP_011014884.1</t>
  </si>
  <si>
    <t>CGL_RS10450</t>
  </si>
  <si>
    <t>glycogen debranching protein GlgX</t>
  </si>
  <si>
    <t>glgX</t>
  </si>
  <si>
    <t>WP_011014885.1</t>
  </si>
  <si>
    <t>CGL_RS10455</t>
  </si>
  <si>
    <t>WP_011014886.1</t>
  </si>
  <si>
    <t>CGL_RS10460</t>
  </si>
  <si>
    <t>hydroxypyruvate isomerase family protein</t>
  </si>
  <si>
    <t>WP_011014887.1</t>
  </si>
  <si>
    <t>CGL_RS10465</t>
  </si>
  <si>
    <t>WP_011014888.1</t>
  </si>
  <si>
    <t>CGL_RS10470</t>
  </si>
  <si>
    <t>WP_011014889.1</t>
  </si>
  <si>
    <t>CGL_RS10475</t>
  </si>
  <si>
    <t>WP_003856445.1</t>
  </si>
  <si>
    <t>CGL_RS10480</t>
  </si>
  <si>
    <t>WP_172820752.1</t>
  </si>
  <si>
    <t>CGL_RS10485</t>
  </si>
  <si>
    <t>WP_011265874.1</t>
  </si>
  <si>
    <t>CGL_RS10490</t>
  </si>
  <si>
    <t>WP_003856451.1</t>
  </si>
  <si>
    <t>CGL_RS10495</t>
  </si>
  <si>
    <t>WP_041625511.1</t>
  </si>
  <si>
    <t>CGL_RS10500</t>
  </si>
  <si>
    <t>WP_006284123.1</t>
  </si>
  <si>
    <t>CGL_RS10505</t>
  </si>
  <si>
    <t>malto-oligosyltrehalose synthase</t>
  </si>
  <si>
    <t>treY</t>
  </si>
  <si>
    <t>WP_011014893.1</t>
  </si>
  <si>
    <t>CGL_RS10510</t>
  </si>
  <si>
    <t>WP_003856459.1</t>
  </si>
  <si>
    <t>CGL_RS10515</t>
  </si>
  <si>
    <t>WP_003856460.1</t>
  </si>
  <si>
    <t>CGL_RS15830</t>
  </si>
  <si>
    <t>WP_011265876.1</t>
  </si>
  <si>
    <t>CGL_RS10520</t>
  </si>
  <si>
    <t>WP_020948609.1</t>
  </si>
  <si>
    <t>CGL_RS10525</t>
  </si>
  <si>
    <t>WP_011014896.1</t>
  </si>
  <si>
    <t>CGL_RS10530</t>
  </si>
  <si>
    <t>WP_011014897.1</t>
  </si>
  <si>
    <t>CGL_RS10535</t>
  </si>
  <si>
    <t>WP_003862025.1</t>
  </si>
  <si>
    <t>CGL_RS10540</t>
  </si>
  <si>
    <t>YigZ family protein</t>
  </si>
  <si>
    <t>WP_011014898.1</t>
  </si>
  <si>
    <t>CGL_RS10545</t>
  </si>
  <si>
    <t>malto-oligosyltrehalose trehalohydrolase</t>
  </si>
  <si>
    <t>treZ</t>
  </si>
  <si>
    <t>WP_020948610.1</t>
  </si>
  <si>
    <t>CGL_RS10550</t>
  </si>
  <si>
    <t>threonine ammonia-lyase IlvA</t>
  </si>
  <si>
    <t>ilvA</t>
  </si>
  <si>
    <t>WP_003862033.1</t>
  </si>
  <si>
    <t>CGL_RS10555</t>
  </si>
  <si>
    <t>WP_041625516.1</t>
  </si>
  <si>
    <t>CGL_RS10560</t>
  </si>
  <si>
    <t>cobalamin-independent methionine synthase II family protein</t>
  </si>
  <si>
    <t>WP_003856473.1</t>
  </si>
  <si>
    <t>CGL_RS10565</t>
  </si>
  <si>
    <t>DNA polymerase III subunit alpha</t>
  </si>
  <si>
    <t>dnaE</t>
  </si>
  <si>
    <t>WP_011265882.1</t>
  </si>
  <si>
    <t>CGL_RS10570</t>
  </si>
  <si>
    <t>EamA family transporter RarD</t>
  </si>
  <si>
    <t>rarD</t>
  </si>
  <si>
    <t>WP_011014902.1</t>
  </si>
  <si>
    <t>CGL_RS10575</t>
  </si>
  <si>
    <t>transporter substrate-binding domain-containing protein</t>
  </si>
  <si>
    <t>WP_011014903.1</t>
  </si>
  <si>
    <t>CGL_RS10580</t>
  </si>
  <si>
    <t>WP_011014904.1</t>
  </si>
  <si>
    <t>CGL_RS10585</t>
  </si>
  <si>
    <t>WP_011014905.1</t>
  </si>
  <si>
    <t>CGL_RS10590</t>
  </si>
  <si>
    <t>FAD/NAD(P)-binding protein</t>
  </si>
  <si>
    <t>WP_011265883.1</t>
  </si>
  <si>
    <t>CGL_RS10595</t>
  </si>
  <si>
    <t>pyridoxal-phosphate dependent enzyme</t>
  </si>
  <si>
    <t>WP_011014907.1</t>
  </si>
  <si>
    <t>CGL_RS10600</t>
  </si>
  <si>
    <t>WP_011014908.1</t>
  </si>
  <si>
    <t>CGL_RS10605</t>
  </si>
  <si>
    <t>WP_003856488.1</t>
  </si>
  <si>
    <t>CGL_RS10610</t>
  </si>
  <si>
    <t>signal peptidase II</t>
  </si>
  <si>
    <t>lspA</t>
  </si>
  <si>
    <t>WP_003860409.1</t>
  </si>
  <si>
    <t>CGL_RS10615</t>
  </si>
  <si>
    <t>WP_172820751.1</t>
  </si>
  <si>
    <t>CGL_RS10620</t>
  </si>
  <si>
    <t>WP_011014910.1</t>
  </si>
  <si>
    <t>CGL_RS10625</t>
  </si>
  <si>
    <t>WP_003860404.1</t>
  </si>
  <si>
    <t>CGL_RS10630</t>
  </si>
  <si>
    <t>asparaginase</t>
  </si>
  <si>
    <t>WP_003860401.1</t>
  </si>
  <si>
    <t>CGL_RS10635</t>
  </si>
  <si>
    <t>DNA polymerase IV</t>
  </si>
  <si>
    <t>WP_011014912.1</t>
  </si>
  <si>
    <t>CGL_RS10645</t>
  </si>
  <si>
    <t>WP_011014913.1</t>
  </si>
  <si>
    <t>CGL_RS10650</t>
  </si>
  <si>
    <t>WP_011014914.1</t>
  </si>
  <si>
    <t>CGL_RS10655</t>
  </si>
  <si>
    <t>WP_011014915.1</t>
  </si>
  <si>
    <t>CGL_RS10660</t>
  </si>
  <si>
    <t>isoleucine--tRNA ligase</t>
  </si>
  <si>
    <t>ileS</t>
  </si>
  <si>
    <t>WP_011014916.1</t>
  </si>
  <si>
    <t>CGL_RS10665</t>
  </si>
  <si>
    <t>WP_011265889.1</t>
  </si>
  <si>
    <t>CGL_RS10670</t>
  </si>
  <si>
    <t>WP_003860384.1</t>
  </si>
  <si>
    <t>CGL_RS10675</t>
  </si>
  <si>
    <t>YggT family protein</t>
  </si>
  <si>
    <t>WP_011014917.1</t>
  </si>
  <si>
    <t>CGL_RS10680</t>
  </si>
  <si>
    <t>cell division protein SepF</t>
  </si>
  <si>
    <t>WP_003856516.1</t>
  </si>
  <si>
    <t>CGL_RS10685</t>
  </si>
  <si>
    <t>YggS family pyridoxal phosphate-dependent enzyme</t>
  </si>
  <si>
    <t>WP_011014918.1</t>
  </si>
  <si>
    <t>CGL_RS10690</t>
  </si>
  <si>
    <t>peptidoglycan editing factor PgeF</t>
  </si>
  <si>
    <t>pgeF</t>
  </si>
  <si>
    <t>WP_011014919.1</t>
  </si>
  <si>
    <t>CGL_RS10695</t>
  </si>
  <si>
    <t>cell division protein FtsZ</t>
  </si>
  <si>
    <t>ftsZ</t>
  </si>
  <si>
    <t>WP_011014920.1</t>
  </si>
  <si>
    <t>CGL_RS10700</t>
  </si>
  <si>
    <t>cell division protein FtsQ</t>
  </si>
  <si>
    <t>ftsQ</t>
  </si>
  <si>
    <t>WP_003860375.1</t>
  </si>
  <si>
    <t>CGL_RS10705</t>
  </si>
  <si>
    <t>UDP-N-acetylmuramate--L-alanine ligase</t>
  </si>
  <si>
    <t>murC</t>
  </si>
  <si>
    <t>WP_231838297.1</t>
  </si>
  <si>
    <t>CGL_RS10710</t>
  </si>
  <si>
    <t>undecaprenyldiphospho-muramoylpentapeptide beta-N-acetylglucosaminyltransferase</t>
  </si>
  <si>
    <t>murG</t>
  </si>
  <si>
    <t>WP_003860372.1</t>
  </si>
  <si>
    <t>CGL_RS10715</t>
  </si>
  <si>
    <t>peptidoglycan glycosyltransferase FtsW</t>
  </si>
  <si>
    <t>WP_011014922.1</t>
  </si>
  <si>
    <t>CGL_RS10720</t>
  </si>
  <si>
    <t>UDP-N-acetylmuramoyl-L-alanine--D-glutamate ligase</t>
  </si>
  <si>
    <t>murD</t>
  </si>
  <si>
    <t>WP_011014923.1</t>
  </si>
  <si>
    <t>CGL_RS10725</t>
  </si>
  <si>
    <t>phospho-N-acetylmuramoyl-pentapeptide-transferase</t>
  </si>
  <si>
    <t>mraY</t>
  </si>
  <si>
    <t>WP_011014924.1</t>
  </si>
  <si>
    <t>CGL_RS10730</t>
  </si>
  <si>
    <t>UDP-N-acetylmuramoyl-tripeptide--D-alanyl-D-alanine ligase</t>
  </si>
  <si>
    <t>murF</t>
  </si>
  <si>
    <t>WP_011014925.1</t>
  </si>
  <si>
    <t>CGL_RS10735</t>
  </si>
  <si>
    <t>UDP-N-acetylmuramoyl-L-alanyl-D-glutamate--2,6-diaminopimelate ligase</t>
  </si>
  <si>
    <t>WP_003856539.1</t>
  </si>
  <si>
    <t>CGL_RS10740</t>
  </si>
  <si>
    <t>peptidoglycan D,D-transpeptidase FtsI family protein</t>
  </si>
  <si>
    <t>WP_011014926.1</t>
  </si>
  <si>
    <t>CGL_RS10745</t>
  </si>
  <si>
    <t>WP_011014927.1</t>
  </si>
  <si>
    <t>CGL_RS10750</t>
  </si>
  <si>
    <t>16S rRNA (cytosine(1402)-N(4))-methyltransferase RsmH</t>
  </si>
  <si>
    <t>rsmH</t>
  </si>
  <si>
    <t>WP_003860361.1</t>
  </si>
  <si>
    <t>CGL_RS10755</t>
  </si>
  <si>
    <t>division/cell wall cluster transcriptional repressor MraZ</t>
  </si>
  <si>
    <t>mraZ</t>
  </si>
  <si>
    <t>WP_003856549.1</t>
  </si>
  <si>
    <t>CGL_RS10760</t>
  </si>
  <si>
    <t>CGL_RS10765</t>
  </si>
  <si>
    <t>SAV_6107 family HEPN domain-containing protein</t>
  </si>
  <si>
    <t>WP_011014929.1</t>
  </si>
  <si>
    <t>CGL_RS10770</t>
  </si>
  <si>
    <t>WP_003856553.1</t>
  </si>
  <si>
    <t>CGL_RS10775</t>
  </si>
  <si>
    <t>methylenetetrahydrofolate reductase [NAD(P)H]</t>
  </si>
  <si>
    <t>metF</t>
  </si>
  <si>
    <t>WP_011014930.1</t>
  </si>
  <si>
    <t>CGL_RS10780</t>
  </si>
  <si>
    <t>geranylgeranyl pyrophosphate synthase IdsA</t>
  </si>
  <si>
    <t>idsA</t>
  </si>
  <si>
    <t>WP_011265892.1</t>
  </si>
  <si>
    <t>CGL_RS10785</t>
  </si>
  <si>
    <t>alpha-(1-&gt;6)-mannopyranosyltransferase A</t>
  </si>
  <si>
    <t>WP_011014932.1</t>
  </si>
  <si>
    <t>CGL_RS10790</t>
  </si>
  <si>
    <t>Rv2175c family DNA-binding protein</t>
  </si>
  <si>
    <t>WP_003856558.1</t>
  </si>
  <si>
    <t>CGL_RS10795</t>
  </si>
  <si>
    <t>WP_011014933.1</t>
  </si>
  <si>
    <t>CGL_RS10800</t>
  </si>
  <si>
    <t>glycosyltransferase 87 family protein</t>
  </si>
  <si>
    <t>WP_011014934.1</t>
  </si>
  <si>
    <t>CGL_RS10805</t>
  </si>
  <si>
    <t>alpha-(1-2)-mannopyranosyltransferase MptD</t>
  </si>
  <si>
    <t>mptD</t>
  </si>
  <si>
    <t>WP_011014935.1</t>
  </si>
  <si>
    <t>CGL_RS10810</t>
  </si>
  <si>
    <t>class II 3-deoxy-7-phosphoheptulonate synthase</t>
  </si>
  <si>
    <t>WP_003856581.1</t>
  </si>
  <si>
    <t>CGL_RS10815</t>
  </si>
  <si>
    <t>polyadenylate-specific 3'-exoribonuclease AS</t>
  </si>
  <si>
    <t>WP_003856583.1</t>
  </si>
  <si>
    <t>CGL_RS10820</t>
  </si>
  <si>
    <t>alpha-(1-2)-mannopyranosyltransferase MptC</t>
  </si>
  <si>
    <t>mptC</t>
  </si>
  <si>
    <t>WP_011014937.1</t>
  </si>
  <si>
    <t>CGL_RS10825</t>
  </si>
  <si>
    <t>WP_011014938.1</t>
  </si>
  <si>
    <t>CGL_RS10830</t>
  </si>
  <si>
    <t>WP_011014939.1</t>
  </si>
  <si>
    <t>CGL_RS10835</t>
  </si>
  <si>
    <t>WP_011014940.1</t>
  </si>
  <si>
    <t>CGL_RS10840</t>
  </si>
  <si>
    <t>lysophospholipid acyltransferase family protein</t>
  </si>
  <si>
    <t>WP_011014941.1</t>
  </si>
  <si>
    <t>CGL_RS10845</t>
  </si>
  <si>
    <t>ROK family glucokinase</t>
  </si>
  <si>
    <t>WP_011014942.1</t>
  </si>
  <si>
    <t>CGL_RS10850</t>
  </si>
  <si>
    <t>GDP-mannose-dependent monoacylated alpha-(1-6)-phosphatidylinositol monomannoside mannosyltransferase</t>
  </si>
  <si>
    <t>pimB</t>
  </si>
  <si>
    <t>WP_011014943.1</t>
  </si>
  <si>
    <t>CGL_RS10855</t>
  </si>
  <si>
    <t>NlpC/P60 family protein</t>
  </si>
  <si>
    <t>WP_011265894.1</t>
  </si>
  <si>
    <t>CGL_RS10860</t>
  </si>
  <si>
    <t>WP_011014945.1</t>
  </si>
  <si>
    <t>CGL_RS10865</t>
  </si>
  <si>
    <t>cytochrome bc1 complex cytochrome b subunit</t>
  </si>
  <si>
    <t>qcrB</t>
  </si>
  <si>
    <t>WP_003856609.1</t>
  </si>
  <si>
    <t>CGL_RS10870</t>
  </si>
  <si>
    <t>cytochrome bc1 complex Rieske iron-sulfur subunit</t>
  </si>
  <si>
    <t>WP_011014946.1</t>
  </si>
  <si>
    <t>CGL_RS10875</t>
  </si>
  <si>
    <t>cytochrome bc1 complex diheme cytochrome c subunit</t>
  </si>
  <si>
    <t>WP_172820726.1</t>
  </si>
  <si>
    <t>CGL_RS10880</t>
  </si>
  <si>
    <t>aa3-type cytochrome oxidase subunit III</t>
  </si>
  <si>
    <t>WP_011014948.1</t>
  </si>
  <si>
    <t>CGL_RS10885</t>
  </si>
  <si>
    <t>aa3-type cytochrome oxidase subunit IV</t>
  </si>
  <si>
    <t>WP_011014950.1</t>
  </si>
  <si>
    <t>CGL_RS10890</t>
  </si>
  <si>
    <t>aa3-type cytochrome oxidase subunit II</t>
  </si>
  <si>
    <t>WP_011014951.1</t>
  </si>
  <si>
    <t>CGL_RS10895</t>
  </si>
  <si>
    <t>asparagine synthase (glutamine-hydrolyzing)</t>
  </si>
  <si>
    <t>asnB</t>
  </si>
  <si>
    <t>WP_011014952.1</t>
  </si>
  <si>
    <t>CGL_RS10900</t>
  </si>
  <si>
    <t>HesB/IscA family protein</t>
  </si>
  <si>
    <t>WP_003856623.1</t>
  </si>
  <si>
    <t>CGL_RS10905</t>
  </si>
  <si>
    <t>DUF3043 domain-containing protein</t>
  </si>
  <si>
    <t>WP_020948613.1</t>
  </si>
  <si>
    <t>CGL_RS10910</t>
  </si>
  <si>
    <t>bifunctional adenosylcobinamide kinase/adenosylcobinamide-phosphate guanylyltransferase</t>
  </si>
  <si>
    <t>WP_003856625.1</t>
  </si>
  <si>
    <t>CGL_RS10915</t>
  </si>
  <si>
    <t>nicotinate-nucleotide--dimethylbenzimidazole phosphoribosyltransferase</t>
  </si>
  <si>
    <t>cobT</t>
  </si>
  <si>
    <t>WP_011014954.1</t>
  </si>
  <si>
    <t>CGL_RS10920</t>
  </si>
  <si>
    <t>adenosylcobinamide-GDP ribazoletransferase</t>
  </si>
  <si>
    <t>WP_011014955.1</t>
  </si>
  <si>
    <t>CGL_RS10925</t>
  </si>
  <si>
    <t>WP_003856628.1</t>
  </si>
  <si>
    <t>CGL_RS10930</t>
  </si>
  <si>
    <t>branched-chain amino acid aminotransferase</t>
  </si>
  <si>
    <t>WP_011014956.1</t>
  </si>
  <si>
    <t>CGL_RS10935</t>
  </si>
  <si>
    <t>leucyl aminopeptidase</t>
  </si>
  <si>
    <t>WP_011014957.1</t>
  </si>
  <si>
    <t>CGL_RS10940</t>
  </si>
  <si>
    <t>WP_003856631.1</t>
  </si>
  <si>
    <t>CGL_RS10945</t>
  </si>
  <si>
    <t>2-oxoglutarate dehydrogenase, E2 component, dihydrolipoamide succinyltransferase</t>
  </si>
  <si>
    <t>sucB</t>
  </si>
  <si>
    <t>WP_011014958.1</t>
  </si>
  <si>
    <t>CGL_RS10950</t>
  </si>
  <si>
    <t>lipoyl(octanoyl) transferase LipB</t>
  </si>
  <si>
    <t>lipB</t>
  </si>
  <si>
    <t>WP_003856633.1</t>
  </si>
  <si>
    <t>CGL_RS10955</t>
  </si>
  <si>
    <t>lipoyl synthase</t>
  </si>
  <si>
    <t>lipA</t>
  </si>
  <si>
    <t>WP_003856634.1</t>
  </si>
  <si>
    <t>CGL_RS10960</t>
  </si>
  <si>
    <t>DUF4191 domain-containing protein</t>
  </si>
  <si>
    <t>WP_003859641.1</t>
  </si>
  <si>
    <t>CGL_RS10965</t>
  </si>
  <si>
    <t>WP_003859640.1</t>
  </si>
  <si>
    <t>CGL_RS10970</t>
  </si>
  <si>
    <t>CGL_RS10975</t>
  </si>
  <si>
    <t>WP_003856936.1</t>
  </si>
  <si>
    <t>CGL_RS10980</t>
  </si>
  <si>
    <t>type I glutamate--ammonia ligase</t>
  </si>
  <si>
    <t>glnA</t>
  </si>
  <si>
    <t>WP_011014960.1</t>
  </si>
  <si>
    <t>CGL_RS10985</t>
  </si>
  <si>
    <t>WP_003856940.1</t>
  </si>
  <si>
    <t>CGL_RS15450</t>
  </si>
  <si>
    <t>WP_011014962.1</t>
  </si>
  <si>
    <t>CGL_RS10990</t>
  </si>
  <si>
    <t>WP_003859635.1</t>
  </si>
  <si>
    <t>CGL_RS10995</t>
  </si>
  <si>
    <t>LLM class oxidoreductase</t>
  </si>
  <si>
    <t>WP_011014963.1</t>
  </si>
  <si>
    <t>CGL_RS11000</t>
  </si>
  <si>
    <t>WP_003859631.1</t>
  </si>
  <si>
    <t>CGL_RS11005</t>
  </si>
  <si>
    <t>threonine synthase</t>
  </si>
  <si>
    <t>thrC</t>
  </si>
  <si>
    <t>WP_011014964.1</t>
  </si>
  <si>
    <t>CGL_RS11010</t>
  </si>
  <si>
    <t>WP_011014965.1</t>
  </si>
  <si>
    <t>CGL_RS11015</t>
  </si>
  <si>
    <t>WP_011014966.1</t>
  </si>
  <si>
    <t>CGL_RS11020</t>
  </si>
  <si>
    <t>WP_011014967.1</t>
  </si>
  <si>
    <t>CGL_RS15695</t>
  </si>
  <si>
    <t>WP_231838274.1</t>
  </si>
  <si>
    <t>CGL_RS15700</t>
  </si>
  <si>
    <t>WP_227747714.1</t>
  </si>
  <si>
    <t>CGL_RS15705</t>
  </si>
  <si>
    <t>WP_003859624.1</t>
  </si>
  <si>
    <t>CGL_RS11030</t>
  </si>
  <si>
    <t>heme oxygenase (biliverdin-producing)</t>
  </si>
  <si>
    <t>WP_011014970.1</t>
  </si>
  <si>
    <t>CGL_RS11035</t>
  </si>
  <si>
    <t>bifunctional [glutamine synthetase] adenylyltransferase/[glutamine synthetase]-adenylyl-L-tyrosine phosphorylase</t>
  </si>
  <si>
    <t>WP_011014971.1</t>
  </si>
  <si>
    <t>CGL_RS11040</t>
  </si>
  <si>
    <t>glutamine synthetase family protein</t>
  </si>
  <si>
    <t>WP_003856962.1</t>
  </si>
  <si>
    <t>CGL_RS11045</t>
  </si>
  <si>
    <t>DUF2786 domain-containing protein</t>
  </si>
  <si>
    <t>WP_011014972.1</t>
  </si>
  <si>
    <t>CGL_RS11050</t>
  </si>
  <si>
    <t>CYTH and CHAD domain-containing protein</t>
  </si>
  <si>
    <t>WP_011265901.1</t>
  </si>
  <si>
    <t>CGL_RS11055</t>
  </si>
  <si>
    <t>WP_003856969.1</t>
  </si>
  <si>
    <t>CGL_RS11060</t>
  </si>
  <si>
    <t>galactokinase family protein</t>
  </si>
  <si>
    <t>WP_003856970.1</t>
  </si>
  <si>
    <t>CGL_RS11065</t>
  </si>
  <si>
    <t>ribonuclease R family protein</t>
  </si>
  <si>
    <t>WP_020948617.1</t>
  </si>
  <si>
    <t>CGL_RS11070</t>
  </si>
  <si>
    <t>RNase P RNA component class A</t>
  </si>
  <si>
    <t>rnpB</t>
  </si>
  <si>
    <t>RNase_P_RNA</t>
  </si>
  <si>
    <t>CGL_RS11075</t>
  </si>
  <si>
    <t>bifunctional RNase H/acid phosphatase</t>
  </si>
  <si>
    <t>WP_003859605.1</t>
  </si>
  <si>
    <t>CGL_RS11080</t>
  </si>
  <si>
    <t>zinc ribbon domain-containing protein</t>
  </si>
  <si>
    <t>WP_011014976.1</t>
  </si>
  <si>
    <t>CGL_RS11085</t>
  </si>
  <si>
    <t>Nif3-like dinuclear metal center hexameric protein</t>
  </si>
  <si>
    <t>WP_011014977.1</t>
  </si>
  <si>
    <t>CGL_RS11090</t>
  </si>
  <si>
    <t>WP_003856980.1</t>
  </si>
  <si>
    <t>CGL_RS11095</t>
  </si>
  <si>
    <t>low molecular weight protein-tyrosine-phosphatase</t>
  </si>
  <si>
    <t>WP_011265906.1</t>
  </si>
  <si>
    <t>CGL_RS11100</t>
  </si>
  <si>
    <t>SURF1 family cytochrome oxidase biogenesis protein</t>
  </si>
  <si>
    <t>WP_011265907.1</t>
  </si>
  <si>
    <t>CGL_RS11105</t>
  </si>
  <si>
    <t>CGL_RS11110</t>
  </si>
  <si>
    <t>WP_231838275.1</t>
  </si>
  <si>
    <t>CGL_RS11115</t>
  </si>
  <si>
    <t>CGL_RS11120</t>
  </si>
  <si>
    <t>DUF3052 domain-containing protein</t>
  </si>
  <si>
    <t>WP_003859595.1</t>
  </si>
  <si>
    <t>CGL_RS11125</t>
  </si>
  <si>
    <t>pyruvate dehydrogenase (acetyl-transferring), homodimeric type</t>
  </si>
  <si>
    <t>aceE</t>
  </si>
  <si>
    <t>WP_011014985.1</t>
  </si>
  <si>
    <t>CGL_RS11130</t>
  </si>
  <si>
    <t>WP_003856990.1</t>
  </si>
  <si>
    <t>CGL_RS11135</t>
  </si>
  <si>
    <t>WP_003856992.1</t>
  </si>
  <si>
    <t>CGL_RS11140</t>
  </si>
  <si>
    <t>WP_003856994.1</t>
  </si>
  <si>
    <t>CGL_RS11145</t>
  </si>
  <si>
    <t>CGL_RS15710</t>
  </si>
  <si>
    <t>WP_011014986.1</t>
  </si>
  <si>
    <t>CGL_RS15715</t>
  </si>
  <si>
    <t>WP_003856997.1</t>
  </si>
  <si>
    <t>CGL_RS15720</t>
  </si>
  <si>
    <t>WP_011265913.1</t>
  </si>
  <si>
    <t>CGL_RS11155</t>
  </si>
  <si>
    <t>acyl carrier protein</t>
  </si>
  <si>
    <t>WP_003859586.1</t>
  </si>
  <si>
    <t>CGL_RS11160</t>
  </si>
  <si>
    <t>WP_003859582.1</t>
  </si>
  <si>
    <t>CGL_RS11165</t>
  </si>
  <si>
    <t>App1 family protein</t>
  </si>
  <si>
    <t>WP_011014988.1</t>
  </si>
  <si>
    <t>CGL_RS11170</t>
  </si>
  <si>
    <t>WP_003857008.1</t>
  </si>
  <si>
    <t>CGL_RS11175</t>
  </si>
  <si>
    <t>serine hydrolase domain-containing protein</t>
  </si>
  <si>
    <t>WP_003857011.1</t>
  </si>
  <si>
    <t>CGL_RS11180</t>
  </si>
  <si>
    <t>DUF4274 domain-containing protein</t>
  </si>
  <si>
    <t>WP_011014990.1</t>
  </si>
  <si>
    <t>CGL_RS11185</t>
  </si>
  <si>
    <t>WP_011014991.1</t>
  </si>
  <si>
    <t>CGL_RS11190</t>
  </si>
  <si>
    <t>WP_011014992.1</t>
  </si>
  <si>
    <t>CGL_RS11195</t>
  </si>
  <si>
    <t>WP_011014993.1</t>
  </si>
  <si>
    <t>CGL_RS11200</t>
  </si>
  <si>
    <t>WP_011014994.1</t>
  </si>
  <si>
    <t>CGL_RS11205</t>
  </si>
  <si>
    <t>WP_011014995.1</t>
  </si>
  <si>
    <t>CGL_RS11210</t>
  </si>
  <si>
    <t>CGL_RS11215</t>
  </si>
  <si>
    <t>alkaline phosphatase D family protein</t>
  </si>
  <si>
    <t>WP_011014996.1</t>
  </si>
  <si>
    <t>CGL_RS11220</t>
  </si>
  <si>
    <t>tRNA-Asn</t>
  </si>
  <si>
    <t>CGL_RS11225</t>
  </si>
  <si>
    <t>CGL_RS11230</t>
  </si>
  <si>
    <t>glycoside hydrolase family 15 protein</t>
  </si>
  <si>
    <t>WP_011014997.1</t>
  </si>
  <si>
    <t>CGL_RS11235</t>
  </si>
  <si>
    <t>WP_011014998.1</t>
  </si>
  <si>
    <t>CGL_RS11240</t>
  </si>
  <si>
    <t>DNA primase</t>
  </si>
  <si>
    <t>dnaG</t>
  </si>
  <si>
    <t>WP_003857029.1</t>
  </si>
  <si>
    <t>CGL_RS11245</t>
  </si>
  <si>
    <t>ribonuclease</t>
  </si>
  <si>
    <t>WP_003859561.1</t>
  </si>
  <si>
    <t>CGL_RS11250</t>
  </si>
  <si>
    <t>WP_003857033.1</t>
  </si>
  <si>
    <t>CGL_RS11255</t>
  </si>
  <si>
    <t>glutamine--fructose-6-phosphate transaminase (isomerizing)</t>
  </si>
  <si>
    <t>glmS</t>
  </si>
  <si>
    <t>WP_011015000.1</t>
  </si>
  <si>
    <t>CGL_RS11260</t>
  </si>
  <si>
    <t>deoxyguanosinetriphosphate triphosphohydrolase</t>
  </si>
  <si>
    <t>WP_011015002.1</t>
  </si>
  <si>
    <t>CGL_RS11270</t>
  </si>
  <si>
    <t>WP_011265918.1</t>
  </si>
  <si>
    <t>CGL_RS11275</t>
  </si>
  <si>
    <t>TPM domain-containing protein</t>
  </si>
  <si>
    <t>WP_011015004.1</t>
  </si>
  <si>
    <t>CGL_RS11280</t>
  </si>
  <si>
    <t>WP_011015005.1</t>
  </si>
  <si>
    <t>CGL_RS11285</t>
  </si>
  <si>
    <t>WP_011015006.1</t>
  </si>
  <si>
    <t>CGL_RS11290</t>
  </si>
  <si>
    <t>glycine--tRNA ligase</t>
  </si>
  <si>
    <t>WP_003857047.1</t>
  </si>
  <si>
    <t>CGL_RS11295</t>
  </si>
  <si>
    <t>WP_003857049.1</t>
  </si>
  <si>
    <t>CGL_RS11300</t>
  </si>
  <si>
    <t>Fur family transcriptional regulator</t>
  </si>
  <si>
    <t>WP_011015007.1</t>
  </si>
  <si>
    <t>CGL_RS11305</t>
  </si>
  <si>
    <t>WP_011015008.1</t>
  </si>
  <si>
    <t>CGL_RS11310</t>
  </si>
  <si>
    <t>VIT1/CCC1 transporter family protein</t>
  </si>
  <si>
    <t>WP_011015009.1</t>
  </si>
  <si>
    <t>CGL_RS11315</t>
  </si>
  <si>
    <t>WP_011015010.1</t>
  </si>
  <si>
    <t>CGL_RS11320</t>
  </si>
  <si>
    <t>DNA repair protein RecO</t>
  </si>
  <si>
    <t>recO</t>
  </si>
  <si>
    <t>WP_003859464.1</t>
  </si>
  <si>
    <t>CGL_RS11325</t>
  </si>
  <si>
    <t>GTPase Era</t>
  </si>
  <si>
    <t>era</t>
  </si>
  <si>
    <t>WP_011015011.1</t>
  </si>
  <si>
    <t>CGL_RS11330</t>
  </si>
  <si>
    <t>WP_003859459.1</t>
  </si>
  <si>
    <t>CGL_RS11335</t>
  </si>
  <si>
    <t>rRNA maturation RNase YbeY</t>
  </si>
  <si>
    <t>ybeY</t>
  </si>
  <si>
    <t>WP_011015012.1</t>
  </si>
  <si>
    <t>CGL_RS11340</t>
  </si>
  <si>
    <t>WP_230582022.1</t>
  </si>
  <si>
    <t>CGL_RS11345</t>
  </si>
  <si>
    <t>16S rRNA (uracil(1498)-N(3))-methyltransferase</t>
  </si>
  <si>
    <t>WP_011015014.1</t>
  </si>
  <si>
    <t>CGL_RS11350</t>
  </si>
  <si>
    <t>molecular chaperone DnaJ</t>
  </si>
  <si>
    <t>dnaJ</t>
  </si>
  <si>
    <t>WP_011015015.1</t>
  </si>
  <si>
    <t>CGL_RS11355</t>
  </si>
  <si>
    <t>heat-inducible transcriptional repressor HrcA</t>
  </si>
  <si>
    <t>hrcA</t>
  </si>
  <si>
    <t>WP_003859450.1</t>
  </si>
  <si>
    <t>CGL_RS11360</t>
  </si>
  <si>
    <t>radical SAM family heme chaperone HemW</t>
  </si>
  <si>
    <t>hemW</t>
  </si>
  <si>
    <t>WP_011015017.1</t>
  </si>
  <si>
    <t>CGL_RS11365</t>
  </si>
  <si>
    <t>WP_041625527.1</t>
  </si>
  <si>
    <t>CGL_RS11370</t>
  </si>
  <si>
    <t>WP_003859444.1</t>
  </si>
  <si>
    <t>CGL_RS11375</t>
  </si>
  <si>
    <t>WP_003859442.1</t>
  </si>
  <si>
    <t>CGL_RS11380</t>
  </si>
  <si>
    <t>AMP-dependent synthetase/ligase</t>
  </si>
  <si>
    <t>WP_003859440.1</t>
  </si>
  <si>
    <t>CGL_RS11385</t>
  </si>
  <si>
    <t>4-alpha-glucanotransferase</t>
  </si>
  <si>
    <t>malQ</t>
  </si>
  <si>
    <t>WP_011015019.1</t>
  </si>
  <si>
    <t>CGL_RS11390</t>
  </si>
  <si>
    <t>WP_011015020.1</t>
  </si>
  <si>
    <t>CGL_RS11395</t>
  </si>
  <si>
    <t>WP_003859434.1</t>
  </si>
  <si>
    <t>CGL_RS15460</t>
  </si>
  <si>
    <t>WP_003859432.1</t>
  </si>
  <si>
    <t>CGL_RS11400</t>
  </si>
  <si>
    <t>M3 family metallopeptidase</t>
  </si>
  <si>
    <t>WP_011015021.1</t>
  </si>
  <si>
    <t>CGL_RS11405</t>
  </si>
  <si>
    <t>carboxylesterase family protein</t>
  </si>
  <si>
    <t>WP_011015022.1</t>
  </si>
  <si>
    <t>CGL_RS11410</t>
  </si>
  <si>
    <t>maltose alpha-D-glucosyltransferase</t>
  </si>
  <si>
    <t>treS</t>
  </si>
  <si>
    <t>WP_011265922.1</t>
  </si>
  <si>
    <t>CGL_RS11415</t>
  </si>
  <si>
    <t>trehalose synthase</t>
  </si>
  <si>
    <t>WP_011015024.1</t>
  </si>
  <si>
    <t>CGL_RS11420</t>
  </si>
  <si>
    <t>isopentenyl-diphosphate Delta-isomerase</t>
  </si>
  <si>
    <t>idi</t>
  </si>
  <si>
    <t>WP_020948619.1</t>
  </si>
  <si>
    <t>CGL_RS11425</t>
  </si>
  <si>
    <t>WP_011015026.1</t>
  </si>
  <si>
    <t>CGL_RS11430</t>
  </si>
  <si>
    <t>DUF3558 domain-containing protein</t>
  </si>
  <si>
    <t>WP_011015027.1</t>
  </si>
  <si>
    <t>CGL_RS11435</t>
  </si>
  <si>
    <t>WP_011015028.1</t>
  </si>
  <si>
    <t>CGL_RS11440</t>
  </si>
  <si>
    <t>MalY/PatB family protein</t>
  </si>
  <si>
    <t>WP_011015029.1</t>
  </si>
  <si>
    <t>CGL_RS11445</t>
  </si>
  <si>
    <t>branched-chain amino acid transport system II carrier protein</t>
  </si>
  <si>
    <t>brnQ</t>
  </si>
  <si>
    <t>WP_011015030.1</t>
  </si>
  <si>
    <t>CGL_RS11450</t>
  </si>
  <si>
    <t>WP_011015031.1</t>
  </si>
  <si>
    <t>CGL_RS11455</t>
  </si>
  <si>
    <t>BCCT family transporter</t>
  </si>
  <si>
    <t>WP_011015032.1</t>
  </si>
  <si>
    <t>CGL_RS11460</t>
  </si>
  <si>
    <t>WP_003859410.1</t>
  </si>
  <si>
    <t>CGL_RS11465</t>
  </si>
  <si>
    <t>AEC family transporter</t>
  </si>
  <si>
    <t>WP_003859408.1</t>
  </si>
  <si>
    <t>CGL_RS11470</t>
  </si>
  <si>
    <t>FAD-binding and (Fe-S)-binding domain-containing protein</t>
  </si>
  <si>
    <t>WP_011015033.1</t>
  </si>
  <si>
    <t>CGL_RS11475</t>
  </si>
  <si>
    <t>WP_011265924.1</t>
  </si>
  <si>
    <t>CGL_RS11480</t>
  </si>
  <si>
    <t>WP_011015035.1</t>
  </si>
  <si>
    <t>CGL_RS11485</t>
  </si>
  <si>
    <t>TRAP transporter permease</t>
  </si>
  <si>
    <t>WP_004567745.1</t>
  </si>
  <si>
    <t>CGL_RS11490</t>
  </si>
  <si>
    <t>WP_227747712.1</t>
  </si>
  <si>
    <t>CGL_RS15725</t>
  </si>
  <si>
    <t>WP_011015037.1</t>
  </si>
  <si>
    <t>CGL_RS11500</t>
  </si>
  <si>
    <t>WP_011015038.1</t>
  </si>
  <si>
    <t>CGL_RS11505</t>
  </si>
  <si>
    <t>WP_011015039.1</t>
  </si>
  <si>
    <t>CGL_RS11510</t>
  </si>
  <si>
    <t>dipeptide ABC transporter ATP-binding protein</t>
  </si>
  <si>
    <t>WP_011015040.1</t>
  </si>
  <si>
    <t>CGL_RS11515</t>
  </si>
  <si>
    <t>RNA 2',3'-cyclic phosphodiesterase</t>
  </si>
  <si>
    <t>thpR</t>
  </si>
  <si>
    <t>WP_003859391.1</t>
  </si>
  <si>
    <t>CGL_RS11520</t>
  </si>
  <si>
    <t>WP_011015041.1</t>
  </si>
  <si>
    <t>CGL_RS11525</t>
  </si>
  <si>
    <t>PepSY-associated TM helix domain-containing protein</t>
  </si>
  <si>
    <t>WP_020948620.1</t>
  </si>
  <si>
    <t>CGL_RS11530</t>
  </si>
  <si>
    <t>WP_003859383.1</t>
  </si>
  <si>
    <t>CGL_RS11535</t>
  </si>
  <si>
    <t>D-hexose-6-phosphate mutarotase</t>
  </si>
  <si>
    <t>WP_011265927.1</t>
  </si>
  <si>
    <t>CGL_RS11540</t>
  </si>
  <si>
    <t>malate synthase G</t>
  </si>
  <si>
    <t>glcB</t>
  </si>
  <si>
    <t>WP_011015044.1</t>
  </si>
  <si>
    <t>CGL_RS11545</t>
  </si>
  <si>
    <t>isocitrate lyase</t>
  </si>
  <si>
    <t>aceA</t>
  </si>
  <si>
    <t>WP_003859378.1</t>
  </si>
  <si>
    <t>CGL_RS11550</t>
  </si>
  <si>
    <t>thiamine biosynthesis protein ThiX</t>
  </si>
  <si>
    <t>thiX</t>
  </si>
  <si>
    <t>WP_011015045.1</t>
  </si>
  <si>
    <t>CGL_RS11555</t>
  </si>
  <si>
    <t>WP_011015046.1</t>
  </si>
  <si>
    <t>CGL_RS11560</t>
  </si>
  <si>
    <t>WP_011015047.1</t>
  </si>
  <si>
    <t>CGL_RS11565</t>
  </si>
  <si>
    <t>three-helix bundle dimerization domain-containing protein</t>
  </si>
  <si>
    <t>WP_003859360.1</t>
  </si>
  <si>
    <t>CGL_RS11570</t>
  </si>
  <si>
    <t>WP_011015048.1</t>
  </si>
  <si>
    <t>CGL_RS11575</t>
  </si>
  <si>
    <t>lamin tail domain-containing protein</t>
  </si>
  <si>
    <t>WP_011015049.1</t>
  </si>
  <si>
    <t>CGL_RS11580</t>
  </si>
  <si>
    <t>WP_011015050.1</t>
  </si>
  <si>
    <t>CGL_RS11585</t>
  </si>
  <si>
    <t>TRAP transporter large permease</t>
  </si>
  <si>
    <t>WP_011015051.1</t>
  </si>
  <si>
    <t>CGL_RS11590</t>
  </si>
  <si>
    <t>TRAP transporter small permease</t>
  </si>
  <si>
    <t>WP_011015052.1</t>
  </si>
  <si>
    <t>CGL_RS11595</t>
  </si>
  <si>
    <t>TRAP transporter substrate-binding protein DctP</t>
  </si>
  <si>
    <t>dctP</t>
  </si>
  <si>
    <t>WP_227747711.1</t>
  </si>
  <si>
    <t>CGL_RS11600</t>
  </si>
  <si>
    <t>translation elongation factor 4</t>
  </si>
  <si>
    <t>lepA</t>
  </si>
  <si>
    <t>WP_011015054.1</t>
  </si>
  <si>
    <t>CGL_RS11605</t>
  </si>
  <si>
    <t>type II toxin-antitoxin system PemK/MazF family toxin</t>
  </si>
  <si>
    <t>WP_003859345.1</t>
  </si>
  <si>
    <t>CGL_RS11610</t>
  </si>
  <si>
    <t>30S ribosomal protein S20</t>
  </si>
  <si>
    <t>rpsT</t>
  </si>
  <si>
    <t>WP_003859343.1</t>
  </si>
  <si>
    <t>CGL_RS11615</t>
  </si>
  <si>
    <t>WP_011015055.1</t>
  </si>
  <si>
    <t>CGL_RS11620</t>
  </si>
  <si>
    <t>WP_011265930.1</t>
  </si>
  <si>
    <t>CGL_RS11625</t>
  </si>
  <si>
    <t>DNA polymerase III subunit delta</t>
  </si>
  <si>
    <t>holA</t>
  </si>
  <si>
    <t>WP_011015057.1</t>
  </si>
  <si>
    <t>CGL_RS11630</t>
  </si>
  <si>
    <t>ComEC/Rec2 family competence protein</t>
  </si>
  <si>
    <t>WP_011015058.1</t>
  </si>
  <si>
    <t>CGL_RS11635</t>
  </si>
  <si>
    <t>ComEA family DNA-binding protein</t>
  </si>
  <si>
    <t>WP_011015059.1</t>
  </si>
  <si>
    <t>CGL_RS11640</t>
  </si>
  <si>
    <t>DegV family protein</t>
  </si>
  <si>
    <t>WP_011015060.1</t>
  </si>
  <si>
    <t>CGL_RS11645</t>
  </si>
  <si>
    <t>WP_003859329.1</t>
  </si>
  <si>
    <t>CGL_RS11650</t>
  </si>
  <si>
    <t>ribosome silencing factor</t>
  </si>
  <si>
    <t>rsfS</t>
  </si>
  <si>
    <t>WP_003859327.1</t>
  </si>
  <si>
    <t>CGL_RS11655</t>
  </si>
  <si>
    <t>nicotinate-nucleotide adenylyltransferase</t>
  </si>
  <si>
    <t>nadD</t>
  </si>
  <si>
    <t>WP_011015061.1</t>
  </si>
  <si>
    <t>CGL_RS11660</t>
  </si>
  <si>
    <t>PE-PPE domain-containing protein</t>
  </si>
  <si>
    <t>WP_011015062.1</t>
  </si>
  <si>
    <t>CGL_RS11665</t>
  </si>
  <si>
    <t>glutamate-5-semialdehyde dehydrogenase</t>
  </si>
  <si>
    <t>WP_003859321.1</t>
  </si>
  <si>
    <t>CGL_RS11670</t>
  </si>
  <si>
    <t>WP_003859319.1</t>
  </si>
  <si>
    <t>CGL_RS11675</t>
  </si>
  <si>
    <t>glutamate 5-kinase</t>
  </si>
  <si>
    <t>proB</t>
  </si>
  <si>
    <t>WP_011015063.1</t>
  </si>
  <si>
    <t>CGL_RS11680</t>
  </si>
  <si>
    <t>GTPase ObgE</t>
  </si>
  <si>
    <t>obgE</t>
  </si>
  <si>
    <t>WP_011015064.1</t>
  </si>
  <si>
    <t>CGL_RS11685</t>
  </si>
  <si>
    <t>solute carrier family 23 protein</t>
  </si>
  <si>
    <t>WP_011015065.1</t>
  </si>
  <si>
    <t>CGL_RS11690</t>
  </si>
  <si>
    <t>WP_011265932.1</t>
  </si>
  <si>
    <t>CGL_RS11695</t>
  </si>
  <si>
    <t>WP_011015067.1</t>
  </si>
  <si>
    <t>CGL_RS11700</t>
  </si>
  <si>
    <t>WP_003859305.1</t>
  </si>
  <si>
    <t>CGL_RS11705</t>
  </si>
  <si>
    <t>50S ribosomal protein L27</t>
  </si>
  <si>
    <t>rpmA</t>
  </si>
  <si>
    <t>WP_003859304.1</t>
  </si>
  <si>
    <t>CGL_RS11710</t>
  </si>
  <si>
    <t>50S ribosomal protein L21</t>
  </si>
  <si>
    <t>rplU</t>
  </si>
  <si>
    <t>WP_003859302.1</t>
  </si>
  <si>
    <t>CGL_RS11715</t>
  </si>
  <si>
    <t>translation initiation factor IF-2 N-terminal domain-containing protein</t>
  </si>
  <si>
    <t>WP_011015068.1</t>
  </si>
  <si>
    <t>CGL_RS11720</t>
  </si>
  <si>
    <t>WP_011015069.1</t>
  </si>
  <si>
    <t>CGL_RS11725</t>
  </si>
  <si>
    <t>CGL_RS11730</t>
  </si>
  <si>
    <t>WP_011015071.1</t>
  </si>
  <si>
    <t>CGL_RS11735</t>
  </si>
  <si>
    <t>CGL_RS11740</t>
  </si>
  <si>
    <t>WP_004567670.1</t>
  </si>
  <si>
    <t>CGL_RS11745</t>
  </si>
  <si>
    <t>nucleoside-diphosphate kinase</t>
  </si>
  <si>
    <t>ndk</t>
  </si>
  <si>
    <t>WP_003859294.1</t>
  </si>
  <si>
    <t>CGL_RS11750</t>
  </si>
  <si>
    <t>WP_011015073.1</t>
  </si>
  <si>
    <t>CGL_RS11755</t>
  </si>
  <si>
    <t>WP_003859291.1</t>
  </si>
  <si>
    <t>CGL_RS11760</t>
  </si>
  <si>
    <t>WP_003859290.1</t>
  </si>
  <si>
    <t>CGL_RS11765</t>
  </si>
  <si>
    <t>DUF4233 domain-containing protein</t>
  </si>
  <si>
    <t>WP_004567665.1</t>
  </si>
  <si>
    <t>CGL_RS11770</t>
  </si>
  <si>
    <t>bifunctional tetrahydrofolate synthase/dihydrofolate synthase</t>
  </si>
  <si>
    <t>folC</t>
  </si>
  <si>
    <t>WP_011265933.1</t>
  </si>
  <si>
    <t>CGL_RS11775</t>
  </si>
  <si>
    <t>valine--tRNA ligase</t>
  </si>
  <si>
    <t>WP_011015075.1</t>
  </si>
  <si>
    <t>CGL_RS11780</t>
  </si>
  <si>
    <t>WP_011015076.1</t>
  </si>
  <si>
    <t>CGL_RS11785</t>
  </si>
  <si>
    <t>Hsp70 family protein</t>
  </si>
  <si>
    <t>WP_011015077.1</t>
  </si>
  <si>
    <t>CGL_RS11790</t>
  </si>
  <si>
    <t>WP_011015078.1</t>
  </si>
  <si>
    <t>CGL_RS11795</t>
  </si>
  <si>
    <t>malate dehydrogenase</t>
  </si>
  <si>
    <t>WP_011015079.1</t>
  </si>
  <si>
    <t>CGL_RS11800</t>
  </si>
  <si>
    <t>WP_011015080.1</t>
  </si>
  <si>
    <t>CGL_RS11805</t>
  </si>
  <si>
    <t>WP_208400921.1</t>
  </si>
  <si>
    <t>CGL_RS11810</t>
  </si>
  <si>
    <t>aromatic ring-hydroxylating oxygenase subunit alpha</t>
  </si>
  <si>
    <t>WP_011015082.1</t>
  </si>
  <si>
    <t>CGL_RS11815</t>
  </si>
  <si>
    <t>PDR/VanB family oxidoreductase</t>
  </si>
  <si>
    <t>WP_003859269.1</t>
  </si>
  <si>
    <t>CGL_RS11820</t>
  </si>
  <si>
    <t>WP_011015083.1</t>
  </si>
  <si>
    <t>CGL_RS11825</t>
  </si>
  <si>
    <t>WP_011015084.1</t>
  </si>
  <si>
    <t>CGL_RS11830</t>
  </si>
  <si>
    <t>ATP-dependent Clp protease ATP-binding subunit ClpX</t>
  </si>
  <si>
    <t>clpX</t>
  </si>
  <si>
    <t>WP_011015085.1</t>
  </si>
  <si>
    <t>CGL_RS11835</t>
  </si>
  <si>
    <t>WP_011015086.1</t>
  </si>
  <si>
    <t>CGL_RS11840</t>
  </si>
  <si>
    <t>CoA transferase subunit B</t>
  </si>
  <si>
    <t>WP_003859257.1</t>
  </si>
  <si>
    <t>CGL_RS11845</t>
  </si>
  <si>
    <t>CoA transferase subunit A</t>
  </si>
  <si>
    <t>WP_003859254.1</t>
  </si>
  <si>
    <t>CGL_RS11850</t>
  </si>
  <si>
    <t>IclR family transcriptional regulator domain-containing protein</t>
  </si>
  <si>
    <t>WP_011015087.1</t>
  </si>
  <si>
    <t>CGL_RS11855</t>
  </si>
  <si>
    <t>acetyl-CoA C-acetyltransferase</t>
  </si>
  <si>
    <t>WP_003859251.1</t>
  </si>
  <si>
    <t>CGL_RS11860</t>
  </si>
  <si>
    <t>3-oxoadipate enol-lactonase</t>
  </si>
  <si>
    <t>pcaD</t>
  </si>
  <si>
    <t>WP_011015088.1</t>
  </si>
  <si>
    <t>CGL_RS11865</t>
  </si>
  <si>
    <t>LuxR family transcriptional regulator</t>
  </si>
  <si>
    <t>WP_011015089.1</t>
  </si>
  <si>
    <t>CGL_RS11870</t>
  </si>
  <si>
    <t>4-carboxymuconolactone decarboxylase</t>
  </si>
  <si>
    <t>pcaC</t>
  </si>
  <si>
    <t>WP_003859243.1</t>
  </si>
  <si>
    <t>CGL_RS11875</t>
  </si>
  <si>
    <t>3-carboxy-cis,cis-muconate cycloisomerase</t>
  </si>
  <si>
    <t>pcaB</t>
  </si>
  <si>
    <t>WP_011015090.1</t>
  </si>
  <si>
    <t>CGL_RS11880</t>
  </si>
  <si>
    <t>protocatechuate 3,4-dioxygenase subunit alpha</t>
  </si>
  <si>
    <t>pcaG</t>
  </si>
  <si>
    <t>WP_004567634.1</t>
  </si>
  <si>
    <t>CGL_RS11885</t>
  </si>
  <si>
    <t>pcaH</t>
  </si>
  <si>
    <t>WP_003859237.1</t>
  </si>
  <si>
    <t>CGL_RS11890</t>
  </si>
  <si>
    <t>WP_011015091.1</t>
  </si>
  <si>
    <t>CGL_RS11895</t>
  </si>
  <si>
    <t>muconolactone Delta-isomerase</t>
  </si>
  <si>
    <t>catC</t>
  </si>
  <si>
    <t>WP_003859234.1</t>
  </si>
  <si>
    <t>CGL_RS11900</t>
  </si>
  <si>
    <t>muconate/chloromuconate family cycloisomerase</t>
  </si>
  <si>
    <t>WP_011015092.1</t>
  </si>
  <si>
    <t>CGL_RS11905</t>
  </si>
  <si>
    <t>catechol 1,2-dioxygenase</t>
  </si>
  <si>
    <t>catA</t>
  </si>
  <si>
    <t>WP_011015093.1</t>
  </si>
  <si>
    <t>CGL_RS11910</t>
  </si>
  <si>
    <t>benzoate 1,2-dioxygenase large subunit</t>
  </si>
  <si>
    <t>benA</t>
  </si>
  <si>
    <t>WP_011015094.1</t>
  </si>
  <si>
    <t>CGL_RS11915</t>
  </si>
  <si>
    <t>benzoate 1,2-dioxygenase small subunit</t>
  </si>
  <si>
    <t>benB</t>
  </si>
  <si>
    <t>WP_011015095.1</t>
  </si>
  <si>
    <t>CGL_RS11920</t>
  </si>
  <si>
    <t>benzoate 1,2-dioxygenase electron transfer component BenC</t>
  </si>
  <si>
    <t>benC</t>
  </si>
  <si>
    <t>WP_003859226.1</t>
  </si>
  <si>
    <t>CGL_RS11925</t>
  </si>
  <si>
    <t>1,6-dihydroxycyclohexa-2,4-diene-1-carboxylate dehydrogenase</t>
  </si>
  <si>
    <t>WP_011015096.1</t>
  </si>
  <si>
    <t>CGL_RS11930</t>
  </si>
  <si>
    <t>WP_011265935.1</t>
  </si>
  <si>
    <t>CGL_RS11935</t>
  </si>
  <si>
    <t>WP_011015098.1</t>
  </si>
  <si>
    <t>CGL_RS11940</t>
  </si>
  <si>
    <t>benzoate/H(+) symporter BenE family transporter</t>
  </si>
  <si>
    <t>WP_011015099.1</t>
  </si>
  <si>
    <t>CGL_RS11945</t>
  </si>
  <si>
    <t>ATP-dependent Clp protease proteolytic subunit</t>
  </si>
  <si>
    <t>WP_003859221.1</t>
  </si>
  <si>
    <t>CGL_RS11950</t>
  </si>
  <si>
    <t>WP_003859220.1</t>
  </si>
  <si>
    <t>CGL_RS11955</t>
  </si>
  <si>
    <t>trigger factor</t>
  </si>
  <si>
    <t>tig</t>
  </si>
  <si>
    <t>WP_004567596.1</t>
  </si>
  <si>
    <t>CGL_RS11960</t>
  </si>
  <si>
    <t>CGL_RS11965</t>
  </si>
  <si>
    <t>WP_011015100.1</t>
  </si>
  <si>
    <t>CGL_RS11970</t>
  </si>
  <si>
    <t>WP_011015101.1</t>
  </si>
  <si>
    <t>CGL_RS11975</t>
  </si>
  <si>
    <t>WP_011015102.1</t>
  </si>
  <si>
    <t>CGL_RS11980</t>
  </si>
  <si>
    <t>CGL_RS11985</t>
  </si>
  <si>
    <t>WP_003859215.1</t>
  </si>
  <si>
    <t>CGL_RS11990</t>
  </si>
  <si>
    <t>CGL_RS11995</t>
  </si>
  <si>
    <t>WP_011015105.1</t>
  </si>
  <si>
    <t>CGL_RS12000</t>
  </si>
  <si>
    <t>ribose-5-phosphate isomerase</t>
  </si>
  <si>
    <t>WP_003859211.1</t>
  </si>
  <si>
    <t>CGL_RS12005</t>
  </si>
  <si>
    <t>WP_011015106.1</t>
  </si>
  <si>
    <t>CGL_RS12010</t>
  </si>
  <si>
    <t>WP_011015107.1</t>
  </si>
  <si>
    <t>CGL_RS12015</t>
  </si>
  <si>
    <t>aminopeptidase N</t>
  </si>
  <si>
    <t>pepN</t>
  </si>
  <si>
    <t>WP_011015108.1</t>
  </si>
  <si>
    <t>CGL_RS12020</t>
  </si>
  <si>
    <t>type I restriction enzyme HsdR N-terminal domain-containing protein</t>
  </si>
  <si>
    <t>WP_011015109.1</t>
  </si>
  <si>
    <t>CGL_RS12025</t>
  </si>
  <si>
    <t>WP_011265937.1</t>
  </si>
  <si>
    <t>CGL_RS12030</t>
  </si>
  <si>
    <t>WP_011015111.1</t>
  </si>
  <si>
    <t>CGL_RS12035</t>
  </si>
  <si>
    <t>WP_011015112.1</t>
  </si>
  <si>
    <t>CGL_RS15465</t>
  </si>
  <si>
    <t>crtI</t>
  </si>
  <si>
    <t>CGL_RS12040</t>
  </si>
  <si>
    <t>WP_042383442.1</t>
  </si>
  <si>
    <t>CGL_RS12045</t>
  </si>
  <si>
    <t>WP_011015116.1</t>
  </si>
  <si>
    <t>CGL_RS12050</t>
  </si>
  <si>
    <t>alkylhydroperoxidase domain protein</t>
  </si>
  <si>
    <t>WP_011015117.1</t>
  </si>
  <si>
    <t>CGL_RS12055</t>
  </si>
  <si>
    <t>WP_011015118.1</t>
  </si>
  <si>
    <t>CGL_RS12060</t>
  </si>
  <si>
    <t>WP_003863669.1</t>
  </si>
  <si>
    <t>CGL_RS12065</t>
  </si>
  <si>
    <t>WP_011015119.1</t>
  </si>
  <si>
    <t>CGL_RS12070</t>
  </si>
  <si>
    <t>TIGR04028 family ABC transporter substrate-binding protein</t>
  </si>
  <si>
    <t>WP_011015120.1</t>
  </si>
  <si>
    <t>CGL_RS12075</t>
  </si>
  <si>
    <t>WP_011015121.1</t>
  </si>
  <si>
    <t>CGL_RS12080</t>
  </si>
  <si>
    <t>aspartate aminotransferase family protein</t>
  </si>
  <si>
    <t>WP_011015122.1</t>
  </si>
  <si>
    <t>CGL_RS12085</t>
  </si>
  <si>
    <t>WP_011015123.1</t>
  </si>
  <si>
    <t>CGL_RS12090</t>
  </si>
  <si>
    <t>WP_011015124.1</t>
  </si>
  <si>
    <t>CGL_RS12095</t>
  </si>
  <si>
    <t>WP_011015125.1</t>
  </si>
  <si>
    <t>CGL_RS12100</t>
  </si>
  <si>
    <t>WP_011015126.1</t>
  </si>
  <si>
    <t>CGL_RS12105</t>
  </si>
  <si>
    <t>cystathionine gamma-synthase</t>
  </si>
  <si>
    <t>WP_011015127.1</t>
  </si>
  <si>
    <t>CGL_RS12110</t>
  </si>
  <si>
    <t>WP_011265940.1</t>
  </si>
  <si>
    <t>CGL_RS12115</t>
  </si>
  <si>
    <t>globin</t>
  </si>
  <si>
    <t>WP_011015129.1</t>
  </si>
  <si>
    <t>CGL_RS12120</t>
  </si>
  <si>
    <t>chromate efflux transporter</t>
  </si>
  <si>
    <t>chrA</t>
  </si>
  <si>
    <t>WP_011015130.1</t>
  </si>
  <si>
    <t>CGL_RS12125</t>
  </si>
  <si>
    <t>WP_004567537.1</t>
  </si>
  <si>
    <t>CGL_RS12130</t>
  </si>
  <si>
    <t>WP_004567531.1</t>
  </si>
  <si>
    <t>CGL_RS12135</t>
  </si>
  <si>
    <t>alkaline phosphatase family protein</t>
  </si>
  <si>
    <t>WP_011265941.1</t>
  </si>
  <si>
    <t>CGL_RS12140</t>
  </si>
  <si>
    <t>energy-dependent translational throttle protein EttA</t>
  </si>
  <si>
    <t>ettA</t>
  </si>
  <si>
    <t>WP_011015133.1</t>
  </si>
  <si>
    <t>CGL_RS12150</t>
  </si>
  <si>
    <t>WP_011015134.1</t>
  </si>
  <si>
    <t>CGL_RS12155</t>
  </si>
  <si>
    <t>cytochrome c oxidase assembly protein</t>
  </si>
  <si>
    <t>WP_011015135.1</t>
  </si>
  <si>
    <t>CGL_RS12160</t>
  </si>
  <si>
    <t>CGL_RS12165</t>
  </si>
  <si>
    <t>alkaline phosphatase</t>
  </si>
  <si>
    <t>WP_011015136.1</t>
  </si>
  <si>
    <t>CGL_RS12170</t>
  </si>
  <si>
    <t>tRNA-His</t>
  </si>
  <si>
    <t>CGL_RS12175</t>
  </si>
  <si>
    <t>ABC transport system MusEFGK2I component MusI</t>
  </si>
  <si>
    <t>musI</t>
  </si>
  <si>
    <t>WP_003860887.1</t>
  </si>
  <si>
    <t>CGL_RS12180</t>
  </si>
  <si>
    <t>WP_011015137.1</t>
  </si>
  <si>
    <t>CGL_RS12185</t>
  </si>
  <si>
    <t>WP_004567523.1</t>
  </si>
  <si>
    <t>CGL_RS12190</t>
  </si>
  <si>
    <t>WP_011015138.1</t>
  </si>
  <si>
    <t>CGL_RS12195</t>
  </si>
  <si>
    <t>DUF4032 domain-containing protein</t>
  </si>
  <si>
    <t>WP_227747732.1</t>
  </si>
  <si>
    <t>CGL_RS12200</t>
  </si>
  <si>
    <t>WP_227747733.1</t>
  </si>
  <si>
    <t>CGL_RS15730</t>
  </si>
  <si>
    <t>WP_011015140.1</t>
  </si>
  <si>
    <t>CGL_RS12205</t>
  </si>
  <si>
    <t>CGL_RS12210</t>
  </si>
  <si>
    <t>WP_227747730.1</t>
  </si>
  <si>
    <t>CGL_RS12215</t>
  </si>
  <si>
    <t>WP_158024313.1</t>
  </si>
  <si>
    <t>CGL_RS12220</t>
  </si>
  <si>
    <t>WP_003860878.1</t>
  </si>
  <si>
    <t>CGL_RS12225</t>
  </si>
  <si>
    <t>WP_011015143.1</t>
  </si>
  <si>
    <t>CGL_RS12230</t>
  </si>
  <si>
    <t>CGL_RS12235</t>
  </si>
  <si>
    <t>nickel pincer cofactor biosynthesis protein LarB</t>
  </si>
  <si>
    <t>larB</t>
  </si>
  <si>
    <t>WP_011015145.1</t>
  </si>
  <si>
    <t>CGL_RS12240</t>
  </si>
  <si>
    <t>nickel pincer cofactor biosynthesis protein LarC</t>
  </si>
  <si>
    <t>larC</t>
  </si>
  <si>
    <t>WP_011015146.1</t>
  </si>
  <si>
    <t>CGL_RS12245</t>
  </si>
  <si>
    <t>WP_011015147.1</t>
  </si>
  <si>
    <t>CGL_RS12250</t>
  </si>
  <si>
    <t>mycolate reductase</t>
  </si>
  <si>
    <t>cmrA</t>
  </si>
  <si>
    <t>WP_011015148.1</t>
  </si>
  <si>
    <t>CGL_RS12255</t>
  </si>
  <si>
    <t>oligoribonuclease</t>
  </si>
  <si>
    <t>orn</t>
  </si>
  <si>
    <t>WP_011015149.1</t>
  </si>
  <si>
    <t>CGL_RS12260</t>
  </si>
  <si>
    <t>WP_003860847.1</t>
  </si>
  <si>
    <t>CGL_RS12265</t>
  </si>
  <si>
    <t>WP_011015151.1</t>
  </si>
  <si>
    <t>CGL_RS12270</t>
  </si>
  <si>
    <t>tRNA-Lys</t>
  </si>
  <si>
    <t>CGL_RS12275</t>
  </si>
  <si>
    <t>CGL_RS12280</t>
  </si>
  <si>
    <t>WP_011015152.1</t>
  </si>
  <si>
    <t>CGL_RS12285</t>
  </si>
  <si>
    <t>WP_011015153.1</t>
  </si>
  <si>
    <t>CGL_RS12290</t>
  </si>
  <si>
    <t>CGL_RS12300</t>
  </si>
  <si>
    <t>WP_011015155.1</t>
  </si>
  <si>
    <t>CGL_RS12305</t>
  </si>
  <si>
    <t>WP_011265947.1</t>
  </si>
  <si>
    <t>CGL_RS12310</t>
  </si>
  <si>
    <t>glutaminase</t>
  </si>
  <si>
    <t>WP_003860838.1</t>
  </si>
  <si>
    <t>CGL_RS12315</t>
  </si>
  <si>
    <t>WP_080558835.1</t>
  </si>
  <si>
    <t>CGL_RS12320</t>
  </si>
  <si>
    <t>WP_143340968.1</t>
  </si>
  <si>
    <t>CGL_RS12325</t>
  </si>
  <si>
    <t>WP_011015158.1</t>
  </si>
  <si>
    <t>CGL_RS12330</t>
  </si>
  <si>
    <t>glucuronate isomerase</t>
  </si>
  <si>
    <t>uxaC</t>
  </si>
  <si>
    <t>WP_011015159.1</t>
  </si>
  <si>
    <t>CGL_RS12335</t>
  </si>
  <si>
    <t>gluconokinase</t>
  </si>
  <si>
    <t>WP_011015160.1</t>
  </si>
  <si>
    <t>CGL_RS12340</t>
  </si>
  <si>
    <t>WP_011015161.1</t>
  </si>
  <si>
    <t>CGL_RS12345</t>
  </si>
  <si>
    <t>isochorismatase family protein</t>
  </si>
  <si>
    <t>WP_011015162.1</t>
  </si>
  <si>
    <t>CGL_RS12350</t>
  </si>
  <si>
    <t>DUF3618 domain-containing protein</t>
  </si>
  <si>
    <t>WP_011015163.1</t>
  </si>
  <si>
    <t>CGL_RS12355</t>
  </si>
  <si>
    <t>thioredoxin-dependent thiol peroxidase</t>
  </si>
  <si>
    <t>bcp</t>
  </si>
  <si>
    <t>WP_011015164.1</t>
  </si>
  <si>
    <t>CGL_RS12360</t>
  </si>
  <si>
    <t>WP_003857691.1</t>
  </si>
  <si>
    <t>CGL_RS12365</t>
  </si>
  <si>
    <t>holo-ACP synthase AcpS</t>
  </si>
  <si>
    <t>WP_011015166.1</t>
  </si>
  <si>
    <t>CGL_RS12370</t>
  </si>
  <si>
    <t>WP_011015167.1</t>
  </si>
  <si>
    <t>CGL_RS12375</t>
  </si>
  <si>
    <t>WP_011265952.1</t>
  </si>
  <si>
    <t>CGL_RS12385</t>
  </si>
  <si>
    <t>WP_011015170.1</t>
  </si>
  <si>
    <t>CGL_RS12390</t>
  </si>
  <si>
    <t>WP_003857695.1</t>
  </si>
  <si>
    <t>CGL_RS12395</t>
  </si>
  <si>
    <t>WP_011015171.1</t>
  </si>
  <si>
    <t>CGL_RS12400</t>
  </si>
  <si>
    <t>WP_003857696.1</t>
  </si>
  <si>
    <t>CGL_RS12405</t>
  </si>
  <si>
    <t>CGL_RS12410</t>
  </si>
  <si>
    <t>WP_003857998.1</t>
  </si>
  <si>
    <t>CGL_RS12415</t>
  </si>
  <si>
    <t>WP_003857996.1</t>
  </si>
  <si>
    <t>CGL_RS12420</t>
  </si>
  <si>
    <t>RdgB/HAM1 family non-canonical purine NTP pyrophosphatase</t>
  </si>
  <si>
    <t>rdgB</t>
  </si>
  <si>
    <t>WP_011015172.1</t>
  </si>
  <si>
    <t>CGL_RS12425</t>
  </si>
  <si>
    <t>ribonuclease PH</t>
  </si>
  <si>
    <t>rph</t>
  </si>
  <si>
    <t>WP_003857993.1</t>
  </si>
  <si>
    <t>CGL_RS12430</t>
  </si>
  <si>
    <t>WP_011015173.1</t>
  </si>
  <si>
    <t>CGL_RS12435</t>
  </si>
  <si>
    <t>WP_011015174.1</t>
  </si>
  <si>
    <t>CGL_RS12440</t>
  </si>
  <si>
    <t>CGL_RS12450</t>
  </si>
  <si>
    <t>DUF2254 domain-containing protein</t>
  </si>
  <si>
    <t>WP_020948629.1</t>
  </si>
  <si>
    <t>CGL_RS12455</t>
  </si>
  <si>
    <t>CGL_RS12460</t>
  </si>
  <si>
    <t>3',5'-cyclic adenosine monophosphate phosphodiesterase CpdA</t>
  </si>
  <si>
    <t>cdpA</t>
  </si>
  <si>
    <t>WP_003857989.1</t>
  </si>
  <si>
    <t>CGL_RS12470</t>
  </si>
  <si>
    <t>glutamate racemase</t>
  </si>
  <si>
    <t>murI</t>
  </si>
  <si>
    <t>WP_011015179.1</t>
  </si>
  <si>
    <t>CGL_RS12475</t>
  </si>
  <si>
    <t>putative secreted protein</t>
  </si>
  <si>
    <t>WP_020948631.1</t>
  </si>
  <si>
    <t>CGL_RS12480</t>
  </si>
  <si>
    <t>WP_011015181.1</t>
  </si>
  <si>
    <t>CGL_RS12485</t>
  </si>
  <si>
    <t>WP_003860306.1</t>
  </si>
  <si>
    <t>CGL_RS12490</t>
  </si>
  <si>
    <t>P1 family peptidase</t>
  </si>
  <si>
    <t>WP_011015182.1</t>
  </si>
  <si>
    <t>CGL_RS12495</t>
  </si>
  <si>
    <t>DUF2017 domain-containing protein</t>
  </si>
  <si>
    <t>WP_003857980.1</t>
  </si>
  <si>
    <t>CGL_RS12500</t>
  </si>
  <si>
    <t>ATP-dependent Clp protease adapter ClpS</t>
  </si>
  <si>
    <t>clpS</t>
  </si>
  <si>
    <t>WP_011897801.1</t>
  </si>
  <si>
    <t>CGL_RS12505</t>
  </si>
  <si>
    <t>WP_011015183.1</t>
  </si>
  <si>
    <t>CGL_RS12510</t>
  </si>
  <si>
    <t>nicotinate phosphoribosyltransferase</t>
  </si>
  <si>
    <t>WP_011015184.1</t>
  </si>
  <si>
    <t>CGL_RS12515</t>
  </si>
  <si>
    <t>ATP-dependent DNA helicase</t>
  </si>
  <si>
    <t>WP_011015186.1</t>
  </si>
  <si>
    <t>CGL_RS12520</t>
  </si>
  <si>
    <t>WP_011015187.1</t>
  </si>
  <si>
    <t>CGL_RS12525</t>
  </si>
  <si>
    <t>WP_227747768.1</t>
  </si>
  <si>
    <t>CGL_RS12530</t>
  </si>
  <si>
    <t>phosphoserine phosphatase SerB</t>
  </si>
  <si>
    <t>serB</t>
  </si>
  <si>
    <t>WP_003860289.1</t>
  </si>
  <si>
    <t>CGL_RS12535</t>
  </si>
  <si>
    <t>aa3-type cytochrome oxidase subunit I</t>
  </si>
  <si>
    <t>ctaD</t>
  </si>
  <si>
    <t>WP_011015188.1</t>
  </si>
  <si>
    <t>CGL_RS12540</t>
  </si>
  <si>
    <t>class 1b ribonucleoside-diphosphate reductase subunit beta</t>
  </si>
  <si>
    <t>nrdF</t>
  </si>
  <si>
    <t>WP_011015189.1</t>
  </si>
  <si>
    <t>CGL_RS12545</t>
  </si>
  <si>
    <t>ferritin</t>
  </si>
  <si>
    <t>WP_003860285.1</t>
  </si>
  <si>
    <t>CGL_RS12550</t>
  </si>
  <si>
    <t>WP_227747767.1</t>
  </si>
  <si>
    <t>CGL_RS12555</t>
  </si>
  <si>
    <t>WP_011265961.1</t>
  </si>
  <si>
    <t>CGL_RS12560</t>
  </si>
  <si>
    <t>CGL_RS12565</t>
  </si>
  <si>
    <t>class 1b ribonucleoside-diphosphate reductase subunit alpha</t>
  </si>
  <si>
    <t>nrdE</t>
  </si>
  <si>
    <t>WP_042383447.1</t>
  </si>
  <si>
    <t>CGL_RS12570</t>
  </si>
  <si>
    <t>class Ib ribonucleoside-diphosphate reductase assembly flavoprotein NrdI</t>
  </si>
  <si>
    <t>nrdI</t>
  </si>
  <si>
    <t>WP_003857951.1</t>
  </si>
  <si>
    <t>CGL_RS12575</t>
  </si>
  <si>
    <t>glutaredoxin-like protein NrdH</t>
  </si>
  <si>
    <t>nrdH</t>
  </si>
  <si>
    <t>WP_003857948.1</t>
  </si>
  <si>
    <t>CGL_RS12580</t>
  </si>
  <si>
    <t>type B 50S ribosomal protein L36</t>
  </si>
  <si>
    <t>ykgO</t>
  </si>
  <si>
    <t>WP_003857945.1</t>
  </si>
  <si>
    <t>CGL_RS12585</t>
  </si>
  <si>
    <t>ammonia-dependent NAD(+) synthetase</t>
  </si>
  <si>
    <t>nadE</t>
  </si>
  <si>
    <t>WP_011015194.1</t>
  </si>
  <si>
    <t>CGL_RS12590</t>
  </si>
  <si>
    <t>fructosamine kinase family protein</t>
  </si>
  <si>
    <t>WP_011015195.1</t>
  </si>
  <si>
    <t>CGL_RS12595</t>
  </si>
  <si>
    <t>pyridoxamine 5'-phosphate oxidase family protein</t>
  </si>
  <si>
    <t>WP_011015196.1</t>
  </si>
  <si>
    <t>CGL_RS12600</t>
  </si>
  <si>
    <t>MDR family oxidoreductase</t>
  </si>
  <si>
    <t>WP_011015197.1</t>
  </si>
  <si>
    <t>CGL_RS12605</t>
  </si>
  <si>
    <t>MmgE/PrpD family protein</t>
  </si>
  <si>
    <t>WP_003860267.1</t>
  </si>
  <si>
    <t>CGL_RS12610</t>
  </si>
  <si>
    <t>phosphosulfolactate synthase</t>
  </si>
  <si>
    <t>WP_003860265.1</t>
  </si>
  <si>
    <t>CGL_RS12615</t>
  </si>
  <si>
    <t>CGL_RS12620</t>
  </si>
  <si>
    <t>WP_011265962.1</t>
  </si>
  <si>
    <t>CGL_RS12625</t>
  </si>
  <si>
    <t>phosphoglucomutase (alpha-D-glucose-1,6-bisphosphate-dependent)</t>
  </si>
  <si>
    <t>pgm</t>
  </si>
  <si>
    <t>WP_011015199.1</t>
  </si>
  <si>
    <t>CGL_RS12630</t>
  </si>
  <si>
    <t>fluoride efflux transporter family protein</t>
  </si>
  <si>
    <t>WP_011015200.1</t>
  </si>
  <si>
    <t>CGL_RS12635</t>
  </si>
  <si>
    <t>fluoride efflux transporter FluC</t>
  </si>
  <si>
    <t>WP_003860253.1</t>
  </si>
  <si>
    <t>CGL_RS12640</t>
  </si>
  <si>
    <t>putative hydro-lyase</t>
  </si>
  <si>
    <t>WP_011015201.1</t>
  </si>
  <si>
    <t>CGL_RS12645</t>
  </si>
  <si>
    <t>IS1380-like element ISCgl4 family transposase</t>
  </si>
  <si>
    <t>WP_011015202.1</t>
  </si>
  <si>
    <t>CGL_RS12655</t>
  </si>
  <si>
    <t>WP_011015203.1</t>
  </si>
  <si>
    <t>CGL_RS12660</t>
  </si>
  <si>
    <t>CGL_RS12670</t>
  </si>
  <si>
    <t>CGL_RS12675</t>
  </si>
  <si>
    <t>DUF1648 domain-containing protein</t>
  </si>
  <si>
    <t>WP_011265963.1</t>
  </si>
  <si>
    <t>CGL_RS12680</t>
  </si>
  <si>
    <t>dicarboxylate/amino acid:cation symporter</t>
  </si>
  <si>
    <t>WP_011015206.1</t>
  </si>
  <si>
    <t>CGL_RS12685</t>
  </si>
  <si>
    <t>WP_011265965.1</t>
  </si>
  <si>
    <t>CGL_RS12690</t>
  </si>
  <si>
    <t>WP_003860245.1</t>
  </si>
  <si>
    <t>CGL_RS12695</t>
  </si>
  <si>
    <t>CGL_RS12700</t>
  </si>
  <si>
    <t>CGL_RS12705</t>
  </si>
  <si>
    <t>CGL_RS12710</t>
  </si>
  <si>
    <t>WP_011015208.1</t>
  </si>
  <si>
    <t>CGL_RS12715</t>
  </si>
  <si>
    <t>CGL_RS12720</t>
  </si>
  <si>
    <t>WP_011015210.1</t>
  </si>
  <si>
    <t>CGL_RS12725</t>
  </si>
  <si>
    <t>CGL_RS12730</t>
  </si>
  <si>
    <t>CGL_RS12735</t>
  </si>
  <si>
    <t>CGL_RS12740</t>
  </si>
  <si>
    <t>murA</t>
  </si>
  <si>
    <t>WP_011015212.1</t>
  </si>
  <si>
    <t>CGL_RS12745</t>
  </si>
  <si>
    <t>cob(I)yrinic acid a,c-diamide adenosyltransferase</t>
  </si>
  <si>
    <t>WP_011015213.1</t>
  </si>
  <si>
    <t>CGL_RS12750</t>
  </si>
  <si>
    <t>acetate metabolism transcriptional regulator RamA</t>
  </si>
  <si>
    <t>ramA</t>
  </si>
  <si>
    <t>WP_003857068.1</t>
  </si>
  <si>
    <t>CGL_RS12755</t>
  </si>
  <si>
    <t>cysteine synthase A</t>
  </si>
  <si>
    <t>cysK</t>
  </si>
  <si>
    <t>WP_011265967.1</t>
  </si>
  <si>
    <t>CGL_RS12765</t>
  </si>
  <si>
    <t>serine O-acetyltransferase EpsC</t>
  </si>
  <si>
    <t>epsC</t>
  </si>
  <si>
    <t>WP_006286028.1</t>
  </si>
  <si>
    <t>CGL_RS12770</t>
  </si>
  <si>
    <t>WP_011015215.1</t>
  </si>
  <si>
    <t>CGL_RS12775</t>
  </si>
  <si>
    <t>tRNA-Phe</t>
  </si>
  <si>
    <t>CGL_RS12780</t>
  </si>
  <si>
    <t>tRNA-Asp</t>
  </si>
  <si>
    <t>CGL_RS12785</t>
  </si>
  <si>
    <t>succinate--CoA ligase subunit alpha</t>
  </si>
  <si>
    <t>sucD</t>
  </si>
  <si>
    <t>WP_003863158.1</t>
  </si>
  <si>
    <t>CGL_RS12790</t>
  </si>
  <si>
    <t>ADP-forming succinate--CoA ligase subunit beta</t>
  </si>
  <si>
    <t>sucC</t>
  </si>
  <si>
    <t>WP_011015216.1</t>
  </si>
  <si>
    <t>CGL_RS12795</t>
  </si>
  <si>
    <t>CGL_RS12800</t>
  </si>
  <si>
    <t>CGL_RS12805</t>
  </si>
  <si>
    <t>DsbA family oxidoreductase</t>
  </si>
  <si>
    <t>WP_011015217.1</t>
  </si>
  <si>
    <t>CGL_RS12810</t>
  </si>
  <si>
    <t>WP_011265970.1</t>
  </si>
  <si>
    <t>CGL_RS12815</t>
  </si>
  <si>
    <t>CGL_RS12820</t>
  </si>
  <si>
    <t>acetyl-CoA hydrolase/transferase family protein</t>
  </si>
  <si>
    <t>WP_011015219.1</t>
  </si>
  <si>
    <t>CGL_RS12825</t>
  </si>
  <si>
    <t>tRNA dihydrouridine synthase DusB</t>
  </si>
  <si>
    <t>dusB</t>
  </si>
  <si>
    <t>WP_003858945.1</t>
  </si>
  <si>
    <t>CGL_RS12830</t>
  </si>
  <si>
    <t>phosphate signaling complex protein PhoU</t>
  </si>
  <si>
    <t>phoU</t>
  </si>
  <si>
    <t>WP_011015220.1</t>
  </si>
  <si>
    <t>CGL_RS12835</t>
  </si>
  <si>
    <t>phosphate ABC transporter ATP-binding protein PstB</t>
  </si>
  <si>
    <t>pstB</t>
  </si>
  <si>
    <t>WP_011015221.1</t>
  </si>
  <si>
    <t>CGL_RS12840</t>
  </si>
  <si>
    <t>phosphate ABC transporter permease PstA</t>
  </si>
  <si>
    <t>pstA</t>
  </si>
  <si>
    <t>WP_011015222.1</t>
  </si>
  <si>
    <t>CGL_RS12845</t>
  </si>
  <si>
    <t>phosphate ABC transporter permease subunit PstC</t>
  </si>
  <si>
    <t>pstC</t>
  </si>
  <si>
    <t>WP_011265971.1</t>
  </si>
  <si>
    <t>CGL_RS12850</t>
  </si>
  <si>
    <t>phosphate ABC transporter substrate-binding protein PstS</t>
  </si>
  <si>
    <t>pstS</t>
  </si>
  <si>
    <t>WP_011015224.1</t>
  </si>
  <si>
    <t>CGL_RS12855</t>
  </si>
  <si>
    <t>mycothiol synthase</t>
  </si>
  <si>
    <t>mshD</t>
  </si>
  <si>
    <t>WP_011015225.1</t>
  </si>
  <si>
    <t>CGL_RS12860</t>
  </si>
  <si>
    <t>WP_011265972.1</t>
  </si>
  <si>
    <t>CGL_RS12865</t>
  </si>
  <si>
    <t>diacylglycerol/lipid kinase family protein</t>
  </si>
  <si>
    <t>WP_011015227.1</t>
  </si>
  <si>
    <t>CGL_RS12870</t>
  </si>
  <si>
    <t>FABP family protein</t>
  </si>
  <si>
    <t>WP_003863137.1</t>
  </si>
  <si>
    <t>CGL_RS12875</t>
  </si>
  <si>
    <t>aminodeoxychorismate lyase</t>
  </si>
  <si>
    <t>WP_011015228.1</t>
  </si>
  <si>
    <t>CGL_RS12880</t>
  </si>
  <si>
    <t>YgfZ/GcvT domain-containing protein</t>
  </si>
  <si>
    <t>WP_011015229.1</t>
  </si>
  <si>
    <t>CGL_RS12885</t>
  </si>
  <si>
    <t>DUF3073 domain-containing protein</t>
  </si>
  <si>
    <t>WP_003863131.1</t>
  </si>
  <si>
    <t>CGL_RS12890</t>
  </si>
  <si>
    <t>phosphoribosylformylglycinamidine cyclo-ligase</t>
  </si>
  <si>
    <t>purM</t>
  </si>
  <si>
    <t>WP_003863129.1</t>
  </si>
  <si>
    <t>CGL_RS12895</t>
  </si>
  <si>
    <t>amidophosphoribosyltransferase</t>
  </si>
  <si>
    <t>purF</t>
  </si>
  <si>
    <t>WP_011265975.1</t>
  </si>
  <si>
    <t>CGL_RS12900</t>
  </si>
  <si>
    <t>sterol carrier family protein</t>
  </si>
  <si>
    <t>WP_003863125.1</t>
  </si>
  <si>
    <t>CGL_RS12905</t>
  </si>
  <si>
    <t>WP_011015231.1</t>
  </si>
  <si>
    <t>CGL_RS12910</t>
  </si>
  <si>
    <t>PAQR family membrane homeostasis protein TrhA</t>
  </si>
  <si>
    <t>WP_011015232.1</t>
  </si>
  <si>
    <t>CGL_RS12915</t>
  </si>
  <si>
    <t>phosphoribosylformylglycinamidine synthase subunit PurL</t>
  </si>
  <si>
    <t>purL</t>
  </si>
  <si>
    <t>WP_011015233.1</t>
  </si>
  <si>
    <t>CGL_RS12920</t>
  </si>
  <si>
    <t>phosphoribosylformylglycinamidine synthase subunit PurQ</t>
  </si>
  <si>
    <t>purQ</t>
  </si>
  <si>
    <t>WP_003863118.1</t>
  </si>
  <si>
    <t>CGL_RS12925</t>
  </si>
  <si>
    <t>phosphoribosylformylglycinamidine synthase subunit PurS</t>
  </si>
  <si>
    <t>purS</t>
  </si>
  <si>
    <t>WP_003854010.1</t>
  </si>
  <si>
    <t>CGL_RS12930</t>
  </si>
  <si>
    <t>glutathione peroxidase</t>
  </si>
  <si>
    <t>WP_011015234.1</t>
  </si>
  <si>
    <t>CGL_RS12935</t>
  </si>
  <si>
    <t>endonuclease/exonuclease/phosphatase family protein</t>
  </si>
  <si>
    <t>WP_011015235.1</t>
  </si>
  <si>
    <t>CGL_RS12940</t>
  </si>
  <si>
    <t>DUF2334 domain-containing protein</t>
  </si>
  <si>
    <t>WP_003854006.1</t>
  </si>
  <si>
    <t>CGL_RS12945</t>
  </si>
  <si>
    <t>C4-dicarboxylate transporter DctA</t>
  </si>
  <si>
    <t>WP_003863112.1</t>
  </si>
  <si>
    <t>CGL_RS12950</t>
  </si>
  <si>
    <t>S9 family peptidase</t>
  </si>
  <si>
    <t>WP_011015237.1</t>
  </si>
  <si>
    <t>CGL_RS12955</t>
  </si>
  <si>
    <t>phosphoribosylaminoimidazolesuccinocarboxamide synthase</t>
  </si>
  <si>
    <t>WP_003863110.1</t>
  </si>
  <si>
    <t>CGL_RS12960</t>
  </si>
  <si>
    <t>purB</t>
  </si>
  <si>
    <t>WP_172820771.1</t>
  </si>
  <si>
    <t>CGL_RS12965</t>
  </si>
  <si>
    <t>WP_006285864.1</t>
  </si>
  <si>
    <t>CGL_RS12970</t>
  </si>
  <si>
    <t>phosphoribosylamine--glycine ligase</t>
  </si>
  <si>
    <t>purD</t>
  </si>
  <si>
    <t>WP_003863105.1</t>
  </si>
  <si>
    <t>CGL_RS12975</t>
  </si>
  <si>
    <t>WP_011015240.1</t>
  </si>
  <si>
    <t>CGL_RS12980</t>
  </si>
  <si>
    <t>WP_011015241.1</t>
  </si>
  <si>
    <t>CGL_RS12985</t>
  </si>
  <si>
    <t>peptide MFS transporter</t>
  </si>
  <si>
    <t>WP_011265978.1</t>
  </si>
  <si>
    <t>CGL_RS12990</t>
  </si>
  <si>
    <t>adenosylmethionine--8-amino-7-oxononanoate transaminase</t>
  </si>
  <si>
    <t>WP_011015243.1</t>
  </si>
  <si>
    <t>CGL_RS12995</t>
  </si>
  <si>
    <t>dethiobiotin synthase</t>
  </si>
  <si>
    <t>bioD</t>
  </si>
  <si>
    <t>WP_011015244.1</t>
  </si>
  <si>
    <t>CGL_RS13000</t>
  </si>
  <si>
    <t>WP_011015245.1</t>
  </si>
  <si>
    <t>CGL_RS13005</t>
  </si>
  <si>
    <t>WP_003863097.1</t>
  </si>
  <si>
    <t>CGL_RS13010</t>
  </si>
  <si>
    <t>WP_011015246.1</t>
  </si>
  <si>
    <t>CGL_RS13015</t>
  </si>
  <si>
    <t>D-TA family PLP-dependent enzyme</t>
  </si>
  <si>
    <t>WP_003863093.1</t>
  </si>
  <si>
    <t>CGL_RS13020</t>
  </si>
  <si>
    <t>pyruvate dehydrogenase</t>
  </si>
  <si>
    <t>WP_011015247.1</t>
  </si>
  <si>
    <t>CGL_RS13025</t>
  </si>
  <si>
    <t>WP_011015248.1</t>
  </si>
  <si>
    <t>CGL_RS13030</t>
  </si>
  <si>
    <t>WP_011015249.1</t>
  </si>
  <si>
    <t>CGL_RS13035</t>
  </si>
  <si>
    <t>WP_011015250.1</t>
  </si>
  <si>
    <t>CGL_RS13040</t>
  </si>
  <si>
    <t>glycoside hydrolase family 16 protein</t>
  </si>
  <si>
    <t>WP_011265980.1</t>
  </si>
  <si>
    <t>CGL_RS13045</t>
  </si>
  <si>
    <t>FAD-binding protein</t>
  </si>
  <si>
    <t>WP_011015252.1</t>
  </si>
  <si>
    <t>CGL_RS13050</t>
  </si>
  <si>
    <t>WP_011015253.1</t>
  </si>
  <si>
    <t>CGL_RS13055</t>
  </si>
  <si>
    <t>diaminopimelate dehydrogenase</t>
  </si>
  <si>
    <t>WP_011015254.1</t>
  </si>
  <si>
    <t>CGL_RS13060</t>
  </si>
  <si>
    <t>alpha/beta hydrolase family esterase</t>
  </si>
  <si>
    <t>WP_011015255.1</t>
  </si>
  <si>
    <t>CGL_RS13065</t>
  </si>
  <si>
    <t>WP_003853955.1</t>
  </si>
  <si>
    <t>CGL_RS13070</t>
  </si>
  <si>
    <t>WP_011265982.1</t>
  </si>
  <si>
    <t>CGL_RS13075</t>
  </si>
  <si>
    <t>WP_003853941.1</t>
  </si>
  <si>
    <t>CGL_RS13080</t>
  </si>
  <si>
    <t>CGL_RS13085</t>
  </si>
  <si>
    <t>threonine/serine exporter ThrE</t>
  </si>
  <si>
    <t>thrE</t>
  </si>
  <si>
    <t>WP_003853939.1</t>
  </si>
  <si>
    <t>CGL_RS13090</t>
  </si>
  <si>
    <t>WP_003853934.1</t>
  </si>
  <si>
    <t>CGL_RS13095</t>
  </si>
  <si>
    <t>alpha,alpha-trehalose-phosphate synthase (UDP-forming)</t>
  </si>
  <si>
    <t>WP_011015258.1</t>
  </si>
  <si>
    <t>CGL_RS13100</t>
  </si>
  <si>
    <t>WP_003863057.1</t>
  </si>
  <si>
    <t>CGL_RS13105</t>
  </si>
  <si>
    <t>trehalose-phosphatase</t>
  </si>
  <si>
    <t>otsB</t>
  </si>
  <si>
    <t>WP_003863055.1</t>
  </si>
  <si>
    <t>CGL_RS13110</t>
  </si>
  <si>
    <t>WP_011015259.1</t>
  </si>
  <si>
    <t>CGL_RS13115</t>
  </si>
  <si>
    <t>metal ABC transporter solute-binding protein</t>
  </si>
  <si>
    <t>WP_011015260.1</t>
  </si>
  <si>
    <t>CGL_RS13120</t>
  </si>
  <si>
    <t>metal ABC transporter ATP-binding protein</t>
  </si>
  <si>
    <t>WP_011015261.1</t>
  </si>
  <si>
    <t>CGL_RS13125</t>
  </si>
  <si>
    <t>metal ABC transporter permease</t>
  </si>
  <si>
    <t>WP_011015262.1</t>
  </si>
  <si>
    <t>CGL_RS13130</t>
  </si>
  <si>
    <t>CGL_RS13135</t>
  </si>
  <si>
    <t>FAD-dependent oxidoreductase</t>
  </si>
  <si>
    <t>WP_011015264.1</t>
  </si>
  <si>
    <t>CGL_RS13145</t>
  </si>
  <si>
    <t>TIM barrel protein</t>
  </si>
  <si>
    <t>WP_011015265.1</t>
  </si>
  <si>
    <t>CGL_RS13150</t>
  </si>
  <si>
    <t>CGL_RS15870</t>
  </si>
  <si>
    <t>CGL_RS15875</t>
  </si>
  <si>
    <t>WP_011015270.1</t>
  </si>
  <si>
    <t>CGL_RS13170</t>
  </si>
  <si>
    <t>23S rRNA (guanosine(2251)-2'-O)-methyltransferase RlmB</t>
  </si>
  <si>
    <t>rlmB</t>
  </si>
  <si>
    <t>WP_003863034.1</t>
  </si>
  <si>
    <t>CGL_RS13175</t>
  </si>
  <si>
    <t>cysteine--tRNA ligase</t>
  </si>
  <si>
    <t>cysS</t>
  </si>
  <si>
    <t>WP_011015271.1</t>
  </si>
  <si>
    <t>CGL_RS13180</t>
  </si>
  <si>
    <t>sucrose-specific PTS transporter subunit IIBC</t>
  </si>
  <si>
    <t>WP_011015272.1</t>
  </si>
  <si>
    <t>CGL_RS13185</t>
  </si>
  <si>
    <t>sucrose-6-phosphate hydrolase</t>
  </si>
  <si>
    <t>scrB</t>
  </si>
  <si>
    <t>WP_011015273.1</t>
  </si>
  <si>
    <t>CGL_RS13190</t>
  </si>
  <si>
    <t>glucosamine-6-phosphate deaminase</t>
  </si>
  <si>
    <t>nagB</t>
  </si>
  <si>
    <t>WP_011015274.1</t>
  </si>
  <si>
    <t>CGL_RS13195</t>
  </si>
  <si>
    <t>N-acetylglucosamine-6-phosphate deacetylase</t>
  </si>
  <si>
    <t>WP_011265984.1</t>
  </si>
  <si>
    <t>CGL_RS13200</t>
  </si>
  <si>
    <t>dihydrodipicolinate synthase family protein</t>
  </si>
  <si>
    <t>WP_011015276.1</t>
  </si>
  <si>
    <t>CGL_RS13205</t>
  </si>
  <si>
    <t>ROK family protein</t>
  </si>
  <si>
    <t>WP_011015277.1</t>
  </si>
  <si>
    <t>CGL_RS13210</t>
  </si>
  <si>
    <t>N-acetylmannosamine-6-phosphate 2-epimerase</t>
  </si>
  <si>
    <t>WP_011015278.1</t>
  </si>
  <si>
    <t>CGL_RS13215</t>
  </si>
  <si>
    <t>WP_011015279.1</t>
  </si>
  <si>
    <t>CGL_RS13220</t>
  </si>
  <si>
    <t>WP_011015280.1</t>
  </si>
  <si>
    <t>CGL_RS13225</t>
  </si>
  <si>
    <t>WP_011265985.1</t>
  </si>
  <si>
    <t>CGL_RS13230</t>
  </si>
  <si>
    <t>WP_003853884.1</t>
  </si>
  <si>
    <t>CGL_RS13235</t>
  </si>
  <si>
    <t>dipeptide/oligopeptide/nickel ABC transporter permease/ATP-binding protein</t>
  </si>
  <si>
    <t>WP_011265986.1</t>
  </si>
  <si>
    <t>CGL_RS13240</t>
  </si>
  <si>
    <t>WP_011015284.1</t>
  </si>
  <si>
    <t>CGL_RS13245</t>
  </si>
  <si>
    <t>WP_011015285.1</t>
  </si>
  <si>
    <t>CGL_RS13250</t>
  </si>
  <si>
    <t>WP_011015286.1</t>
  </si>
  <si>
    <t>CGL_RS13255</t>
  </si>
  <si>
    <t>WP_011015287.1</t>
  </si>
  <si>
    <t>CGL_RS13260</t>
  </si>
  <si>
    <t>2-C-methyl-D-erythritol 2,4-cyclodiphosphate synthase</t>
  </si>
  <si>
    <t>ispF</t>
  </si>
  <si>
    <t>WP_011015288.1</t>
  </si>
  <si>
    <t>CGL_RS13265</t>
  </si>
  <si>
    <t>2-C-methyl-D-erythritol 4-phosphate cytidylyltransferase</t>
  </si>
  <si>
    <t>ispD</t>
  </si>
  <si>
    <t>WP_011015289.1</t>
  </si>
  <si>
    <t>CGL_RS13270</t>
  </si>
  <si>
    <t>CarD family transcriptional regulator</t>
  </si>
  <si>
    <t>WP_003853867.1</t>
  </si>
  <si>
    <t>CGL_RS13275</t>
  </si>
  <si>
    <t>WP_003853866.1</t>
  </si>
  <si>
    <t>CGL_RS13280</t>
  </si>
  <si>
    <t>WP_011015290.1</t>
  </si>
  <si>
    <t>CGL_RS13285</t>
  </si>
  <si>
    <t>WP_011015291.1</t>
  </si>
  <si>
    <t>CGL_RS13290</t>
  </si>
  <si>
    <t>DNA repair protein RadA</t>
  </si>
  <si>
    <t>radA</t>
  </si>
  <si>
    <t>WP_011015292.1</t>
  </si>
  <si>
    <t>CGL_RS13295</t>
  </si>
  <si>
    <t>DNA integrity scanning diadenylate cyclase DisA</t>
  </si>
  <si>
    <t>disA</t>
  </si>
  <si>
    <t>WP_011015293.1</t>
  </si>
  <si>
    <t>CGL_RS13300</t>
  </si>
  <si>
    <t>WP_011015294.1</t>
  </si>
  <si>
    <t>CGL_RS13305</t>
  </si>
  <si>
    <t>WP_011015295.1</t>
  </si>
  <si>
    <t>CGL_RS13310</t>
  </si>
  <si>
    <t>carbonic anhydrase</t>
  </si>
  <si>
    <t>WP_003853851.1</t>
  </si>
  <si>
    <t>CGL_RS13315</t>
  </si>
  <si>
    <t>A/G-specific adenine glycosylase</t>
  </si>
  <si>
    <t>WP_011015296.1</t>
  </si>
  <si>
    <t>CGL_RS13320</t>
  </si>
  <si>
    <t>WP_011015297.1</t>
  </si>
  <si>
    <t>CGL_RS13325</t>
  </si>
  <si>
    <t>DUF4236 domain-containing protein</t>
  </si>
  <si>
    <t>WP_020948639.1</t>
  </si>
  <si>
    <t>CGL_RS13330</t>
  </si>
  <si>
    <t>acetoin reductase</t>
  </si>
  <si>
    <t>WP_011015298.1</t>
  </si>
  <si>
    <t>CGL_RS13335</t>
  </si>
  <si>
    <t>Rib/alpha-like domain-containing protein</t>
  </si>
  <si>
    <t>WP_011015299.1</t>
  </si>
  <si>
    <t>CGL_RS13340</t>
  </si>
  <si>
    <t>WP_011015300.1</t>
  </si>
  <si>
    <t>CGL_RS13345</t>
  </si>
  <si>
    <t>WP_011015301.1</t>
  </si>
  <si>
    <t>CGL_RS13350</t>
  </si>
  <si>
    <t>GuaB1 family IMP dehydrogenase-related protein</t>
  </si>
  <si>
    <t>WP_011015302.1</t>
  </si>
  <si>
    <t>CGL_RS13355</t>
  </si>
  <si>
    <t>WP_172820748.1</t>
  </si>
  <si>
    <t>CGL_RS13360</t>
  </si>
  <si>
    <t>phenol hydroxylase</t>
  </si>
  <si>
    <t>WP_011015304.1</t>
  </si>
  <si>
    <t>CGL_RS13365</t>
  </si>
  <si>
    <t>WP_011015305.1</t>
  </si>
  <si>
    <t>CGL_RS13370</t>
  </si>
  <si>
    <t>WP_011015306.1</t>
  </si>
  <si>
    <t>CGL_RS13375</t>
  </si>
  <si>
    <t>WP_011015307.1</t>
  </si>
  <si>
    <t>CGL_RS13380</t>
  </si>
  <si>
    <t>WP_011015308.1</t>
  </si>
  <si>
    <t>CGL_RS13385</t>
  </si>
  <si>
    <t>DUF559 domain-containing protein</t>
  </si>
  <si>
    <t>WP_011015309.1</t>
  </si>
  <si>
    <t>CGL_RS13390</t>
  </si>
  <si>
    <t>lysine--tRNA ligase</t>
  </si>
  <si>
    <t>lysS</t>
  </si>
  <si>
    <t>WP_011015310.1</t>
  </si>
  <si>
    <t>CGL_RS13395</t>
  </si>
  <si>
    <t>4-phosphopantoate--beta-alanine ligase</t>
  </si>
  <si>
    <t>WP_011015311.1</t>
  </si>
  <si>
    <t>CGL_RS13400</t>
  </si>
  <si>
    <t>WP_011015312.1</t>
  </si>
  <si>
    <t>CGL_RS13405</t>
  </si>
  <si>
    <t>DUF6779 domain-containing protein</t>
  </si>
  <si>
    <t>WP_011265991.1</t>
  </si>
  <si>
    <t>CGL_RS13410</t>
  </si>
  <si>
    <t>DUF3180 domain-containing protein</t>
  </si>
  <si>
    <t>WP_003853810.1</t>
  </si>
  <si>
    <t>CGL_RS13415</t>
  </si>
  <si>
    <t>2-amino-4-hydroxy-6-hydroxymethyldihydropteridine diphosphokinase</t>
  </si>
  <si>
    <t>folK</t>
  </si>
  <si>
    <t>WP_011015314.1</t>
  </si>
  <si>
    <t>CGL_RS13420</t>
  </si>
  <si>
    <t>dihydroneopterin aldolase</t>
  </si>
  <si>
    <t>folB</t>
  </si>
  <si>
    <t>WP_003853806.1</t>
  </si>
  <si>
    <t>CGL_RS13425</t>
  </si>
  <si>
    <t>WP_003853803.1</t>
  </si>
  <si>
    <t>CGL_RS13430</t>
  </si>
  <si>
    <t>GTP cyclohydrolase I FolE</t>
  </si>
  <si>
    <t>folE</t>
  </si>
  <si>
    <t>WP_011015316.1</t>
  </si>
  <si>
    <t>CGL_RS13435</t>
  </si>
  <si>
    <t>ATP-dependent zinc metalloprotease FtsH</t>
  </si>
  <si>
    <t>ftsH</t>
  </si>
  <si>
    <t>WP_011015317.1</t>
  </si>
  <si>
    <t>CGL_RS13440</t>
  </si>
  <si>
    <t>hypoxanthine phosphoribosyltransferase</t>
  </si>
  <si>
    <t>hpt</t>
  </si>
  <si>
    <t>WP_006285928.1</t>
  </si>
  <si>
    <t>CGL_RS13445</t>
  </si>
  <si>
    <t>tRNA lysidine(34) synthetase TilS</t>
  </si>
  <si>
    <t>tilS</t>
  </si>
  <si>
    <t>WP_011015318.1</t>
  </si>
  <si>
    <t>CGL_RS13450</t>
  </si>
  <si>
    <t>D-alanyl-D-alanine carboxypeptidase/D-alanyl-D-alanine endopeptidase</t>
  </si>
  <si>
    <t>dacB</t>
  </si>
  <si>
    <t>WP_011015319.1</t>
  </si>
  <si>
    <t>CGL_RS13455</t>
  </si>
  <si>
    <t>inorganic diphosphatase</t>
  </si>
  <si>
    <t>WP_011015320.1</t>
  </si>
  <si>
    <t>CGL_RS13460</t>
  </si>
  <si>
    <t>polyamine aminopropyltransferase</t>
  </si>
  <si>
    <t>WP_003862946.1</t>
  </si>
  <si>
    <t>CGL_RS13465</t>
  </si>
  <si>
    <t>DUF350 domain-containing protein</t>
  </si>
  <si>
    <t>WP_011015321.1</t>
  </si>
  <si>
    <t>CGL_RS13470</t>
  </si>
  <si>
    <t>DUF4247 domain-containing protein</t>
  </si>
  <si>
    <t>WP_003853779.1</t>
  </si>
  <si>
    <t>CGL_RS13475</t>
  </si>
  <si>
    <t>DUF2617 family protein</t>
  </si>
  <si>
    <t>WP_003853776.1</t>
  </si>
  <si>
    <t>CGL_RS13480</t>
  </si>
  <si>
    <t>DUF4178 domain-containing protein</t>
  </si>
  <si>
    <t>WP_003862941.1</t>
  </si>
  <si>
    <t>CGL_RS13485</t>
  </si>
  <si>
    <t>WP_003862939.1</t>
  </si>
  <si>
    <t>CGL_RS15745</t>
  </si>
  <si>
    <t>WP_011015323.1</t>
  </si>
  <si>
    <t>CGL_RS13505</t>
  </si>
  <si>
    <t>WP_003862931.1</t>
  </si>
  <si>
    <t>CGL_RS13510</t>
  </si>
  <si>
    <t>WP_011015324.1</t>
  </si>
  <si>
    <t>CGL_RS13515</t>
  </si>
  <si>
    <t>Pls/PosA family non-ribosomal peptide synthetase</t>
  </si>
  <si>
    <t>WP_011015325.1</t>
  </si>
  <si>
    <t>CGL_RS13520</t>
  </si>
  <si>
    <t>succinic semialdehyde dehydrogenase</t>
  </si>
  <si>
    <t>WP_011015326.1</t>
  </si>
  <si>
    <t>CGL_RS13525</t>
  </si>
  <si>
    <t>WP_003862924.1</t>
  </si>
  <si>
    <t>CGL_RS13530</t>
  </si>
  <si>
    <t>PorA family porin</t>
  </si>
  <si>
    <t>WP_011265994.1</t>
  </si>
  <si>
    <t>CGL_RS13535</t>
  </si>
  <si>
    <t>PorH family porin</t>
  </si>
  <si>
    <t>WP_011265995.1</t>
  </si>
  <si>
    <t>CGL_RS13540</t>
  </si>
  <si>
    <t>WP_003862917.1</t>
  </si>
  <si>
    <t>CGL_RS13545</t>
  </si>
  <si>
    <t>WP_011015328.1</t>
  </si>
  <si>
    <t>CGL_RS13550</t>
  </si>
  <si>
    <t>WP_011015329.1</t>
  </si>
  <si>
    <t>CGL_RS13555</t>
  </si>
  <si>
    <t>WP_003853745.1</t>
  </si>
  <si>
    <t>CGL_RS13560</t>
  </si>
  <si>
    <t>WP_041625578.1</t>
  </si>
  <si>
    <t>CGL_RS13565</t>
  </si>
  <si>
    <t>WP_011015331.1</t>
  </si>
  <si>
    <t>CGL_RS13570</t>
  </si>
  <si>
    <t>WP_011015332.1</t>
  </si>
  <si>
    <t>CGL_RS13575</t>
  </si>
  <si>
    <t>tubulin-like doman-containing protein</t>
  </si>
  <si>
    <t>WP_011015333.1</t>
  </si>
  <si>
    <t>CGL_RS13580</t>
  </si>
  <si>
    <t>WP_011015334.1</t>
  </si>
  <si>
    <t>CGL_RS13585</t>
  </si>
  <si>
    <t>WP_011015335.1</t>
  </si>
  <si>
    <t>CGL_RS13590</t>
  </si>
  <si>
    <t>dipeptidase</t>
  </si>
  <si>
    <t>WP_011015336.1</t>
  </si>
  <si>
    <t>CGL_RS13595</t>
  </si>
  <si>
    <t>WP_003862907.1</t>
  </si>
  <si>
    <t>CGL_RS13600</t>
  </si>
  <si>
    <t>Na+/H+ antiporter subunit A</t>
  </si>
  <si>
    <t>WP_011015337.1</t>
  </si>
  <si>
    <t>CGL_RS13605</t>
  </si>
  <si>
    <t>Na(+)/H(+) antiporter subunit C</t>
  </si>
  <si>
    <t>WP_003853720.1</t>
  </si>
  <si>
    <t>CGL_RS13610</t>
  </si>
  <si>
    <t>Na+/H+ antiporter subunit D</t>
  </si>
  <si>
    <t>WP_011265998.1</t>
  </si>
  <si>
    <t>CGL_RS13615</t>
  </si>
  <si>
    <t>Na+/H+ antiporter subunit E</t>
  </si>
  <si>
    <t>WP_011015339.1</t>
  </si>
  <si>
    <t>CGL_RS13620</t>
  </si>
  <si>
    <t>monovalent cation/H+ antiporter complex subunit F</t>
  </si>
  <si>
    <t>WP_003862899.1</t>
  </si>
  <si>
    <t>CGL_RS13625</t>
  </si>
  <si>
    <t>monovalent cation/H(+) antiporter subunit G</t>
  </si>
  <si>
    <t>mnhG</t>
  </si>
  <si>
    <t>WP_003853711.1</t>
  </si>
  <si>
    <t>CGL_RS13630</t>
  </si>
  <si>
    <t>WP_003853708.1</t>
  </si>
  <si>
    <t>CGL_RS13635</t>
  </si>
  <si>
    <t>glutamate--cysteine ligase</t>
  </si>
  <si>
    <t>WP_003853704.1</t>
  </si>
  <si>
    <t>CGL_RS13640</t>
  </si>
  <si>
    <t>LytR C-terminal domain-containing protein</t>
  </si>
  <si>
    <t>WP_011015340.1</t>
  </si>
  <si>
    <t>CGL_RS13645</t>
  </si>
  <si>
    <t>DUF3263 domain-containing protein</t>
  </si>
  <si>
    <t>WP_003853699.1</t>
  </si>
  <si>
    <t>CGL_RS13650</t>
  </si>
  <si>
    <t>WP_003862894.1</t>
  </si>
  <si>
    <t>CGL_RS13655</t>
  </si>
  <si>
    <t>N-acetylglutamate synthase, CG3035 family</t>
  </si>
  <si>
    <t>WP_011015341.1</t>
  </si>
  <si>
    <t>CGL_RS13660</t>
  </si>
  <si>
    <t>WP_003853692.1</t>
  </si>
  <si>
    <t>CGL_RS13665</t>
  </si>
  <si>
    <t>phospholipase D-like domain-containing protein</t>
  </si>
  <si>
    <t>WP_003853689.1</t>
  </si>
  <si>
    <t>CGL_RS13670</t>
  </si>
  <si>
    <t>multidrug effflux MFS transporter</t>
  </si>
  <si>
    <t>WP_003862889.1</t>
  </si>
  <si>
    <t>CGL_RS13675</t>
  </si>
  <si>
    <t>Na/Pi cotransporter family protein</t>
  </si>
  <si>
    <t>WP_172820770.1</t>
  </si>
  <si>
    <t>CGL_RS13680</t>
  </si>
  <si>
    <t>PhzF family phenazine biosynthesis protein</t>
  </si>
  <si>
    <t>WP_011015343.1</t>
  </si>
  <si>
    <t>CGL_RS13685</t>
  </si>
  <si>
    <t>multidrug ABC transporter permease</t>
  </si>
  <si>
    <t>WP_003853677.1</t>
  </si>
  <si>
    <t>CGL_RS13690</t>
  </si>
  <si>
    <t>WP_011015345.1</t>
  </si>
  <si>
    <t>CGL_RS13695</t>
  </si>
  <si>
    <t>WP_011266001.1</t>
  </si>
  <si>
    <t>CGL_RS13700</t>
  </si>
  <si>
    <t>WP_011266002.1</t>
  </si>
  <si>
    <t>CGL_RS13705</t>
  </si>
  <si>
    <t>glutamate ABC transporter substrate-binding protein</t>
  </si>
  <si>
    <t>WP_011015348.1</t>
  </si>
  <si>
    <t>CGL_RS13710</t>
  </si>
  <si>
    <t>serine/threonine protein kinase</t>
  </si>
  <si>
    <t>WP_011015349.1</t>
  </si>
  <si>
    <t>CGL_RS13715</t>
  </si>
  <si>
    <t>acetate kinase</t>
  </si>
  <si>
    <t>WP_003862874.1</t>
  </si>
  <si>
    <t>CGL_RS13720</t>
  </si>
  <si>
    <t>phosphate acetyltransferase</t>
  </si>
  <si>
    <t>pta</t>
  </si>
  <si>
    <t>WP_011015350.1</t>
  </si>
  <si>
    <t>CGL_RS13725</t>
  </si>
  <si>
    <t>WP_011015351.1</t>
  </si>
  <si>
    <t>CGL_RS13730</t>
  </si>
  <si>
    <t>WP_011015352.1</t>
  </si>
  <si>
    <t>CGL_RS13735</t>
  </si>
  <si>
    <t>WP_011015353.1</t>
  </si>
  <si>
    <t>CGL_RS13740</t>
  </si>
  <si>
    <t>WP_011266003.1</t>
  </si>
  <si>
    <t>CGL_RS13745</t>
  </si>
  <si>
    <t>WP_011015355.1</t>
  </si>
  <si>
    <t>CGL_RS13750</t>
  </si>
  <si>
    <t>formate-dependent phosphoribosylglycinamide formyltransferase</t>
  </si>
  <si>
    <t>purT</t>
  </si>
  <si>
    <t>WP_003853648.1</t>
  </si>
  <si>
    <t>CGL_RS13755</t>
  </si>
  <si>
    <t>WP_227747700.1</t>
  </si>
  <si>
    <t>CGL_RS13760</t>
  </si>
  <si>
    <t>WP_011266004.1</t>
  </si>
  <si>
    <t>CGL_RS13765</t>
  </si>
  <si>
    <t>WP_096633838.1</t>
  </si>
  <si>
    <t>CGL_RS13770</t>
  </si>
  <si>
    <t>WP_011015359.1</t>
  </si>
  <si>
    <t>CGL_RS13775</t>
  </si>
  <si>
    <t>WP_011015360.1</t>
  </si>
  <si>
    <t>CGL_RS13780</t>
  </si>
  <si>
    <t>adenylosuccinate synthase</t>
  </si>
  <si>
    <t>WP_011015361.1</t>
  </si>
  <si>
    <t>CGL_RS13785</t>
  </si>
  <si>
    <t>WP_020948641.1</t>
  </si>
  <si>
    <t>CGL_RS13790</t>
  </si>
  <si>
    <t>WP_003862858.1</t>
  </si>
  <si>
    <t>CGL_RS13795</t>
  </si>
  <si>
    <t>WP_003853634.1</t>
  </si>
  <si>
    <t>CGL_RS13800</t>
  </si>
  <si>
    <t>class II fructose-bisphosphate aldolase</t>
  </si>
  <si>
    <t>fbaA</t>
  </si>
  <si>
    <t>WP_011015363.1</t>
  </si>
  <si>
    <t>CGL_RS13805</t>
  </si>
  <si>
    <t>glycoside hydrolase family 76 protein</t>
  </si>
  <si>
    <t>WP_011266006.1</t>
  </si>
  <si>
    <t>CGL_RS13810</t>
  </si>
  <si>
    <t>WP_011266007.1</t>
  </si>
  <si>
    <t>CGL_RS13815</t>
  </si>
  <si>
    <t>orotate phosphoribosyltransferase</t>
  </si>
  <si>
    <t>pyrE</t>
  </si>
  <si>
    <t>WP_003862850.1</t>
  </si>
  <si>
    <t>CGL_RS13820</t>
  </si>
  <si>
    <t>WP_041625587.1</t>
  </si>
  <si>
    <t>CGL_RS13825</t>
  </si>
  <si>
    <t>WP_011015366.1</t>
  </si>
  <si>
    <t>CGL_RS13830</t>
  </si>
  <si>
    <t>WP_011015367.1</t>
  </si>
  <si>
    <t>CGL_RS13835</t>
  </si>
  <si>
    <t>multidrug efflux MFS transporter Cmr</t>
  </si>
  <si>
    <t>cmr</t>
  </si>
  <si>
    <t>WP_011015368.1</t>
  </si>
  <si>
    <t>CGL_RS13840</t>
  </si>
  <si>
    <t>DUF4265 domain-containing protein</t>
  </si>
  <si>
    <t>WP_011015369.1</t>
  </si>
  <si>
    <t>CGL_RS13845</t>
  </si>
  <si>
    <t>ATP-dependent chaperone ClpB</t>
  </si>
  <si>
    <t>clpB</t>
  </si>
  <si>
    <t>WP_011015370.1</t>
  </si>
  <si>
    <t>CGL_RS13850</t>
  </si>
  <si>
    <t>sodium/glutamate symporter</t>
  </si>
  <si>
    <t>WP_011015371.1</t>
  </si>
  <si>
    <t>CGL_RS13855</t>
  </si>
  <si>
    <t>WP_020948644.1</t>
  </si>
  <si>
    <t>CGL_RS13860</t>
  </si>
  <si>
    <t>WP_011015373.1</t>
  </si>
  <si>
    <t>CGL_RS13865</t>
  </si>
  <si>
    <t>WP_011015374.1</t>
  </si>
  <si>
    <t>CGL_RS13870</t>
  </si>
  <si>
    <t>WP_011015375.1</t>
  </si>
  <si>
    <t>CGL_RS13875</t>
  </si>
  <si>
    <t>aminotransferase class I/II-fold pyridoxal phosphate-dependent enzyme</t>
  </si>
  <si>
    <t>WP_011015376.1</t>
  </si>
  <si>
    <t>CGL_RS13880</t>
  </si>
  <si>
    <t>WP_011015377.1</t>
  </si>
  <si>
    <t>CGL_RS13885</t>
  </si>
  <si>
    <t>CGL_RS15860</t>
  </si>
  <si>
    <t>type IV toxin-antitoxin system AbiEi family antitoxin</t>
  </si>
  <si>
    <t>WP_011015380.1</t>
  </si>
  <si>
    <t>CGL_RS13900</t>
  </si>
  <si>
    <t>WP_011015381.1</t>
  </si>
  <si>
    <t>CGL_RS13905</t>
  </si>
  <si>
    <t>WP_011015382.1</t>
  </si>
  <si>
    <t>CGL_RS13910</t>
  </si>
  <si>
    <t>carbon-nitrogen hydrolase family protein</t>
  </si>
  <si>
    <t>WP_011015383.1</t>
  </si>
  <si>
    <t>CGL_RS13915</t>
  </si>
  <si>
    <t>WP_011015384.1</t>
  </si>
  <si>
    <t>CGL_RS13920</t>
  </si>
  <si>
    <t>WP_011015385.1</t>
  </si>
  <si>
    <t>CGL_RS13925</t>
  </si>
  <si>
    <t>acetaldehyde dehydrogenase ExaC</t>
  </si>
  <si>
    <t>WP_011015386.1</t>
  </si>
  <si>
    <t>CGL_RS13930</t>
  </si>
  <si>
    <t>heat shock protein transcriptional repressor HspR</t>
  </si>
  <si>
    <t>WP_011015387.1</t>
  </si>
  <si>
    <t>CGL_RS13935</t>
  </si>
  <si>
    <t>WP_011015388.1</t>
  </si>
  <si>
    <t>CGL_RS13940</t>
  </si>
  <si>
    <t>nucleotide exchange factor GrpE</t>
  </si>
  <si>
    <t>grpE</t>
  </si>
  <si>
    <t>WP_011015389.1</t>
  </si>
  <si>
    <t>CGL_RS13945</t>
  </si>
  <si>
    <t>molecular chaperone DnaK</t>
  </si>
  <si>
    <t>dnaK</t>
  </si>
  <si>
    <t>WP_011015390.1</t>
  </si>
  <si>
    <t>CGL_RS13950</t>
  </si>
  <si>
    <t>WP_011015391.1</t>
  </si>
  <si>
    <t>CGL_RS13955</t>
  </si>
  <si>
    <t>nucleosidase</t>
  </si>
  <si>
    <t>WP_011015392.1</t>
  </si>
  <si>
    <t>CGL_RS13960</t>
  </si>
  <si>
    <t>Wadjet anti-phage system protein JetD domain-containing protein</t>
  </si>
  <si>
    <t>WP_011015393.1</t>
  </si>
  <si>
    <t>CGL_RS13965</t>
  </si>
  <si>
    <t>WP_011015394.1</t>
  </si>
  <si>
    <t>CGL_RS13970</t>
  </si>
  <si>
    <t>DUF4194 domain-containing protein</t>
  </si>
  <si>
    <t>WP_011015395.1</t>
  </si>
  <si>
    <t>CGL_RS13975</t>
  </si>
  <si>
    <t>DUF3375 domain-containing protein</t>
  </si>
  <si>
    <t>WP_011015396.1</t>
  </si>
  <si>
    <t>CGL_RS13980</t>
  </si>
  <si>
    <t>alcohol dehydrogenase AdhP</t>
  </si>
  <si>
    <t>adhP</t>
  </si>
  <si>
    <t>WP_011015397.1</t>
  </si>
  <si>
    <t>CGL_RS13985</t>
  </si>
  <si>
    <t>CGL_RS15755</t>
  </si>
  <si>
    <t>WP_011015399.1</t>
  </si>
  <si>
    <t>CGL_RS15760</t>
  </si>
  <si>
    <t>CGL_RS15765</t>
  </si>
  <si>
    <t>WP_011015401.1</t>
  </si>
  <si>
    <t>CGL_RS14000</t>
  </si>
  <si>
    <t>sirohydrochlorin chelatase</t>
  </si>
  <si>
    <t>WP_011015402.1</t>
  </si>
  <si>
    <t>CGL_RS14005</t>
  </si>
  <si>
    <t>WP_003862775.1</t>
  </si>
  <si>
    <t>CGL_RS14010</t>
  </si>
  <si>
    <t>sulfate adenylyltransferase subunit CysD</t>
  </si>
  <si>
    <t>cysD</t>
  </si>
  <si>
    <t>WP_011015403.1</t>
  </si>
  <si>
    <t>CGL_RS14015</t>
  </si>
  <si>
    <t>phosphoadenylyl-sulfate reductase</t>
  </si>
  <si>
    <t>WP_003853541.1</t>
  </si>
  <si>
    <t>CGL_RS14020</t>
  </si>
  <si>
    <t>WP_011015405.1</t>
  </si>
  <si>
    <t>CGL_RS14030</t>
  </si>
  <si>
    <t>WP_011015406.1</t>
  </si>
  <si>
    <t>CGL_RS14035</t>
  </si>
  <si>
    <t>WP_003862769.1</t>
  </si>
  <si>
    <t>CGL_RS14040</t>
  </si>
  <si>
    <t>WP_020948647.1</t>
  </si>
  <si>
    <t>CGL_RS14045</t>
  </si>
  <si>
    <t>WP_003853529.1</t>
  </si>
  <si>
    <t>CGL_RS14050</t>
  </si>
  <si>
    <t>WP_011015408.1</t>
  </si>
  <si>
    <t>CGL_RS14055</t>
  </si>
  <si>
    <t>tripartite tricarboxylate transporter permease TctA</t>
  </si>
  <si>
    <t>tctA</t>
  </si>
  <si>
    <t>WP_011015409.1</t>
  </si>
  <si>
    <t>CGL_RS14060</t>
  </si>
  <si>
    <t>tripartite tricarboxylate transporter TctB</t>
  </si>
  <si>
    <t>tctB</t>
  </si>
  <si>
    <t>WP_011015410.1</t>
  </si>
  <si>
    <t>CGL_RS14065</t>
  </si>
  <si>
    <t>tripartite tricarboxylate transporter substrate binding protein TctC</t>
  </si>
  <si>
    <t>tctC</t>
  </si>
  <si>
    <t>WP_011015411.1</t>
  </si>
  <si>
    <t>CGL_RS14070</t>
  </si>
  <si>
    <t>WP_011015412.1</t>
  </si>
  <si>
    <t>CGL_RS14075</t>
  </si>
  <si>
    <t>WP_011015413.1</t>
  </si>
  <si>
    <t>CGL_RS14080</t>
  </si>
  <si>
    <t>WP_011015414.1</t>
  </si>
  <si>
    <t>CGL_RS14085</t>
  </si>
  <si>
    <t>M20/M25/M40 family metallo-hydrolase</t>
  </si>
  <si>
    <t>WP_011015415.1</t>
  </si>
  <si>
    <t>CGL_RS14090</t>
  </si>
  <si>
    <t>cytochrome b/b6 domain-containing protein</t>
  </si>
  <si>
    <t>WP_011015416.1</t>
  </si>
  <si>
    <t>CGL_RS15845</t>
  </si>
  <si>
    <t>WP_011266014.1</t>
  </si>
  <si>
    <t>CGL_RS14100</t>
  </si>
  <si>
    <t>WP_011015418.1</t>
  </si>
  <si>
    <t>CGL_RS14105</t>
  </si>
  <si>
    <t>WP_011015419.1</t>
  </si>
  <si>
    <t>CGL_RS14110</t>
  </si>
  <si>
    <t>NADPH-dependent oxidoreductase</t>
  </si>
  <si>
    <t>WP_011015420.1</t>
  </si>
  <si>
    <t>CGL_RS14115</t>
  </si>
  <si>
    <t>WP_011015421.1</t>
  </si>
  <si>
    <t>CGL_RS14120</t>
  </si>
  <si>
    <t>WP_011015422.1</t>
  </si>
  <si>
    <t>CGL_RS14125</t>
  </si>
  <si>
    <t>WP_011015423.1</t>
  </si>
  <si>
    <t>CGL_RS14130</t>
  </si>
  <si>
    <t>WP_011015424.1</t>
  </si>
  <si>
    <t>CGL_RS14135</t>
  </si>
  <si>
    <t>globin domain-containing protein</t>
  </si>
  <si>
    <t>WP_011015425.1</t>
  </si>
  <si>
    <t>CGL_RS14140</t>
  </si>
  <si>
    <t>WP_003853486.1</t>
  </si>
  <si>
    <t>CGL_RS14145</t>
  </si>
  <si>
    <t>WP_011015426.1</t>
  </si>
  <si>
    <t>CGL_RS14150</t>
  </si>
  <si>
    <t>PRD domain-containing protein</t>
  </si>
  <si>
    <t>WP_227747698.1</t>
  </si>
  <si>
    <t>CGL_RS14155</t>
  </si>
  <si>
    <t>CGL_RS15880</t>
  </si>
  <si>
    <t>WP_003862692.1</t>
  </si>
  <si>
    <t>CGL_RS15550</t>
  </si>
  <si>
    <t>WP_003862691.1</t>
  </si>
  <si>
    <t>CGL_RS14170</t>
  </si>
  <si>
    <t>CGL_RS14175</t>
  </si>
  <si>
    <t>YibE/F family protein</t>
  </si>
  <si>
    <t>WP_011015432.1</t>
  </si>
  <si>
    <t>CGL_RS14180</t>
  </si>
  <si>
    <t>UDP-glucose dehydrogenase family protein</t>
  </si>
  <si>
    <t>WP_011015433.1</t>
  </si>
  <si>
    <t>CGL_RS14185</t>
  </si>
  <si>
    <t>dCTP deaminase</t>
  </si>
  <si>
    <t>dcd</t>
  </si>
  <si>
    <t>WP_003853460.1</t>
  </si>
  <si>
    <t>CGL_RS14190</t>
  </si>
  <si>
    <t>CGL_RS14195</t>
  </si>
  <si>
    <t>WP_011015434.1</t>
  </si>
  <si>
    <t>CGL_RS14200</t>
  </si>
  <si>
    <t>VanW family protein</t>
  </si>
  <si>
    <t>WP_011015435.1</t>
  </si>
  <si>
    <t>CGL_RS14205</t>
  </si>
  <si>
    <t>glycoside hydrolase family 3 N-terminal domain-containing protein</t>
  </si>
  <si>
    <t>WP_011266018.1</t>
  </si>
  <si>
    <t>CGL_RS14210</t>
  </si>
  <si>
    <t>WP_011015437.1</t>
  </si>
  <si>
    <t>CGL_RS14215</t>
  </si>
  <si>
    <t>DUF2613 domain-containing protein</t>
  </si>
  <si>
    <t>WP_003853449.1</t>
  </si>
  <si>
    <t>CGL_RS14220</t>
  </si>
  <si>
    <t>DUF3367 domain-containing protein</t>
  </si>
  <si>
    <t>WP_041625594.1</t>
  </si>
  <si>
    <t>CGL_RS14225</t>
  </si>
  <si>
    <t>trehalose corynomycolate mycolyl acetyltransferase TmaT</t>
  </si>
  <si>
    <t>tmaT</t>
  </si>
  <si>
    <t>WP_011015440.1</t>
  </si>
  <si>
    <t>CGL_RS14235</t>
  </si>
  <si>
    <t>porin PorA family protein</t>
  </si>
  <si>
    <t>WP_011015441.1</t>
  </si>
  <si>
    <t>CGL_RS14240</t>
  </si>
  <si>
    <t>WP_011015442.1</t>
  </si>
  <si>
    <t>CGL_RS14245</t>
  </si>
  <si>
    <t>WP_011015443.1</t>
  </si>
  <si>
    <t>CGL_RS14250</t>
  </si>
  <si>
    <t>WP_011266020.1</t>
  </si>
  <si>
    <t>CGL_RS14255</t>
  </si>
  <si>
    <t>WP_011015445.1</t>
  </si>
  <si>
    <t>CGL_RS14260</t>
  </si>
  <si>
    <t>phosphoenolpyruvate carboxykinase (GTP)</t>
  </si>
  <si>
    <t>WP_011015446.1</t>
  </si>
  <si>
    <t>CGL_RS14265</t>
  </si>
  <si>
    <t>TDT family transporter</t>
  </si>
  <si>
    <t>WP_011015447.1</t>
  </si>
  <si>
    <t>CGL_RS14270</t>
  </si>
  <si>
    <t>tRNA (guanosine(46)-N7)-methyltransferase TrmB</t>
  </si>
  <si>
    <t>trmB</t>
  </si>
  <si>
    <t>WP_011015448.1</t>
  </si>
  <si>
    <t>CGL_RS14275</t>
  </si>
  <si>
    <t>NYN domain-containing protein</t>
  </si>
  <si>
    <t>WP_003857880.1</t>
  </si>
  <si>
    <t>CGL_RS14280</t>
  </si>
  <si>
    <t>WP_011015449.1</t>
  </si>
  <si>
    <t>CGL_RS14285</t>
  </si>
  <si>
    <t>lysylphosphatidylglycerol synthase transmembrane domain-containing protein</t>
  </si>
  <si>
    <t>WP_011015450.1</t>
  </si>
  <si>
    <t>CGL_RS14290</t>
  </si>
  <si>
    <t>DUF3054 domain-containing protein</t>
  </si>
  <si>
    <t>WP_003857875.1</t>
  </si>
  <si>
    <t>CGL_RS14295</t>
  </si>
  <si>
    <t>WP_003857874.1</t>
  </si>
  <si>
    <t>CGL_RS14300</t>
  </si>
  <si>
    <t>CGL_RS15885</t>
  </si>
  <si>
    <t>CGL_RS14305</t>
  </si>
  <si>
    <t>FadD32-like long-chain-fatty-acid--AMP ligase</t>
  </si>
  <si>
    <t>WP_011015452.1</t>
  </si>
  <si>
    <t>CGL_RS14310</t>
  </si>
  <si>
    <t>cutinase family protein</t>
  </si>
  <si>
    <t>WP_011015453.1</t>
  </si>
  <si>
    <t>CGL_RS14315</t>
  </si>
  <si>
    <t>DUF732 domain-containing protein</t>
  </si>
  <si>
    <t>WP_011015454.1</t>
  </si>
  <si>
    <t>CGL_RS14320</t>
  </si>
  <si>
    <t>alpha/beta hydrolase-fold protein</t>
  </si>
  <si>
    <t>WP_011015455.1</t>
  </si>
  <si>
    <t>CGL_RS14325</t>
  </si>
  <si>
    <t>WP_011015456.1</t>
  </si>
  <si>
    <t>CGL_RS14330</t>
  </si>
  <si>
    <t>WP_011015457.1</t>
  </si>
  <si>
    <t>CGL_RS14335</t>
  </si>
  <si>
    <t>beta-(1-&gt;2)-arabinofuranosyltransferase</t>
  </si>
  <si>
    <t>aftB</t>
  </si>
  <si>
    <t>WP_011015458.1</t>
  </si>
  <si>
    <t>CGL_RS14340</t>
  </si>
  <si>
    <t>decaprenyl-phosphate phosphoribosyltransferase</t>
  </si>
  <si>
    <t>WP_011015459.1</t>
  </si>
  <si>
    <t>CGL_RS14345</t>
  </si>
  <si>
    <t>phosphatase PAP2 family protein</t>
  </si>
  <si>
    <t>WP_011015460.1</t>
  </si>
  <si>
    <t>CGL_RS14350</t>
  </si>
  <si>
    <t>WP_006284777.1</t>
  </si>
  <si>
    <t>CGL_RS14355</t>
  </si>
  <si>
    <t>DUF5129 domain-containing protein</t>
  </si>
  <si>
    <t>WP_011015462.1</t>
  </si>
  <si>
    <t>CGL_RS14360</t>
  </si>
  <si>
    <t>WP_011015463.1</t>
  </si>
  <si>
    <t>CGL_RS14365</t>
  </si>
  <si>
    <t>WP_011015464.1</t>
  </si>
  <si>
    <t>CGL_RS14370</t>
  </si>
  <si>
    <t>WP_011015465.1</t>
  </si>
  <si>
    <t>CGL_RS14375</t>
  </si>
  <si>
    <t>UDP-galactopyranose mutase</t>
  </si>
  <si>
    <t>glf</t>
  </si>
  <si>
    <t>WP_011015466.1</t>
  </si>
  <si>
    <t>CGL_RS14380</t>
  </si>
  <si>
    <t>WP_011015467.1</t>
  </si>
  <si>
    <t>CGL_RS14385</t>
  </si>
  <si>
    <t>glycerol kinase GlpK</t>
  </si>
  <si>
    <t>glpK</t>
  </si>
  <si>
    <t>WP_003857839.1</t>
  </si>
  <si>
    <t>CGL_RS14390</t>
  </si>
  <si>
    <t>WP_011015468.1</t>
  </si>
  <si>
    <t>CGL_RS14395</t>
  </si>
  <si>
    <t>WP_011015469.1</t>
  </si>
  <si>
    <t>CGL_RS14400</t>
  </si>
  <si>
    <t>serine--tRNA ligase</t>
  </si>
  <si>
    <t>serS</t>
  </si>
  <si>
    <t>WP_003857828.1</t>
  </si>
  <si>
    <t>CGL_RS14405</t>
  </si>
  <si>
    <t>WP_003862621.1</t>
  </si>
  <si>
    <t>CGL_RS14410</t>
  </si>
  <si>
    <t>WP_173361799.1</t>
  </si>
  <si>
    <t>CGL_RS14415</t>
  </si>
  <si>
    <t>WP_003862613.1</t>
  </si>
  <si>
    <t>CGL_RS14420</t>
  </si>
  <si>
    <t>WP_011015472.1</t>
  </si>
  <si>
    <t>CGL_RS14425</t>
  </si>
  <si>
    <t>prephenate dehydratase</t>
  </si>
  <si>
    <t>pheA</t>
  </si>
  <si>
    <t>WP_003862609.1</t>
  </si>
  <si>
    <t>CGL_RS14430</t>
  </si>
  <si>
    <t>amidase</t>
  </si>
  <si>
    <t>WP_011266027.1</t>
  </si>
  <si>
    <t>CGL_RS14435</t>
  </si>
  <si>
    <t>CPBP family intramembrane glutamic endopeptidase</t>
  </si>
  <si>
    <t>WP_011266028.1</t>
  </si>
  <si>
    <t>CGL_RS14440</t>
  </si>
  <si>
    <t>LCP family protein</t>
  </si>
  <si>
    <t>WP_011266029.1</t>
  </si>
  <si>
    <t>CGL_RS14450</t>
  </si>
  <si>
    <t>WP_011266030.1</t>
  </si>
  <si>
    <t>CGL_RS14455</t>
  </si>
  <si>
    <t>WP_011015477.1</t>
  </si>
  <si>
    <t>CGL_RS14460</t>
  </si>
  <si>
    <t>WP_011015478.1</t>
  </si>
  <si>
    <t>CGL_RS14465</t>
  </si>
  <si>
    <t>DUF5926 family protein</t>
  </si>
  <si>
    <t>WP_003862592.1</t>
  </si>
  <si>
    <t>CGL_RS14470</t>
  </si>
  <si>
    <t>WP_011266031.1</t>
  </si>
  <si>
    <t>CGL_RS14475</t>
  </si>
  <si>
    <t>GntP family permease</t>
  </si>
  <si>
    <t>WP_011015481.1</t>
  </si>
  <si>
    <t>CGL_RS14480</t>
  </si>
  <si>
    <t>WP_011015482.1</t>
  </si>
  <si>
    <t>CGL_RS14485</t>
  </si>
  <si>
    <t>L-lactate dehydrogenase</t>
  </si>
  <si>
    <t>WP_011015483.1</t>
  </si>
  <si>
    <t>CGL_RS14490</t>
  </si>
  <si>
    <t>WP_011015484.1</t>
  </si>
  <si>
    <t>CGL_RS14495</t>
  </si>
  <si>
    <t>WP_011015485.1</t>
  </si>
  <si>
    <t>CGL_RS14500</t>
  </si>
  <si>
    <t>WP_011015486.1</t>
  </si>
  <si>
    <t>CGL_RS14505</t>
  </si>
  <si>
    <t>WP_011015487.1</t>
  </si>
  <si>
    <t>CGL_RS14510</t>
  </si>
  <si>
    <t>WP_011015488.1</t>
  </si>
  <si>
    <t>CGL_RS14515</t>
  </si>
  <si>
    <t>WP_011015489.1</t>
  </si>
  <si>
    <t>CGL_RS14520</t>
  </si>
  <si>
    <t>quinone-dependent L-lactate dehydrogenase</t>
  </si>
  <si>
    <t>lldD</t>
  </si>
  <si>
    <t>WP_011015490.1</t>
  </si>
  <si>
    <t>CGL_RS14525</t>
  </si>
  <si>
    <t>WP_020948652.1</t>
  </si>
  <si>
    <t>CGL_RS14535</t>
  </si>
  <si>
    <t>purple acid phosphatase family protein</t>
  </si>
  <si>
    <t>WP_011015494.1</t>
  </si>
  <si>
    <t>CGL_RS14540</t>
  </si>
  <si>
    <t>LURP-one-related/scramblase family protein</t>
  </si>
  <si>
    <t>WP_011015495.1</t>
  </si>
  <si>
    <t>CGL_RS14545</t>
  </si>
  <si>
    <t>CGL_RS14550</t>
  </si>
  <si>
    <t>peptide-methionine (S)-S-oxide reductase MsrA</t>
  </si>
  <si>
    <t>msrA</t>
  </si>
  <si>
    <t>WP_011015498.1</t>
  </si>
  <si>
    <t>CGL_RS14555</t>
  </si>
  <si>
    <t>superoxide dismutase</t>
  </si>
  <si>
    <t>WP_003862560.1</t>
  </si>
  <si>
    <t>CGL_RS14560</t>
  </si>
  <si>
    <t>WP_011015499.1</t>
  </si>
  <si>
    <t>CGL_RS14565</t>
  </si>
  <si>
    <t>WP_011015500.1</t>
  </si>
  <si>
    <t>CGL_RS14570</t>
  </si>
  <si>
    <t>cupredoxin domain-containing protein</t>
  </si>
  <si>
    <t>WP_011015501.1</t>
  </si>
  <si>
    <t>CGL_RS14575</t>
  </si>
  <si>
    <t>TM0106 family RecB-like putative nuclease</t>
  </si>
  <si>
    <t>WP_011015502.1</t>
  </si>
  <si>
    <t>CGL_RS14580</t>
  </si>
  <si>
    <t>DUF6474 family protein</t>
  </si>
  <si>
    <t>WP_011015503.1</t>
  </si>
  <si>
    <t>CGL_RS14585</t>
  </si>
  <si>
    <t>WP_011015504.1</t>
  </si>
  <si>
    <t>CGL_RS14590</t>
  </si>
  <si>
    <t>WP_003862546.1</t>
  </si>
  <si>
    <t>CGL_RS14595</t>
  </si>
  <si>
    <t>LuxR C-terminal-related transcriptional regulator</t>
  </si>
  <si>
    <t>WP_003862544.1</t>
  </si>
  <si>
    <t>CGL_RS14600</t>
  </si>
  <si>
    <t>WP_011015505.1</t>
  </si>
  <si>
    <t>CGL_RS14605</t>
  </si>
  <si>
    <t>DUF2020 domain-containing protein</t>
  </si>
  <si>
    <t>WP_011015506.1</t>
  </si>
  <si>
    <t>CGL_RS14610</t>
  </si>
  <si>
    <t>WP_003858985.1</t>
  </si>
  <si>
    <t>CGL_RS15475</t>
  </si>
  <si>
    <t>class E sortase</t>
  </si>
  <si>
    <t>WP_011015507.1</t>
  </si>
  <si>
    <t>CGL_RS14615</t>
  </si>
  <si>
    <t>membrane protein insertase YidC</t>
  </si>
  <si>
    <t>yidC</t>
  </si>
  <si>
    <t>WP_011015508.1</t>
  </si>
  <si>
    <t>CGL_RS14620</t>
  </si>
  <si>
    <t>TetR/AcrR family transcriptional regulator MbcR</t>
  </si>
  <si>
    <t>mcbR</t>
  </si>
  <si>
    <t>WP_011015509.1</t>
  </si>
  <si>
    <t>CGL_RS14625</t>
  </si>
  <si>
    <t>GlsB/YeaQ/YmgE family stress response membrane protein</t>
  </si>
  <si>
    <t>WP_011015510.1</t>
  </si>
  <si>
    <t>CGL_RS14630</t>
  </si>
  <si>
    <t>WP_011015511.1</t>
  </si>
  <si>
    <t>CGL_RS14635</t>
  </si>
  <si>
    <t>WP_011015512.1</t>
  </si>
  <si>
    <t>CGL_RS14640</t>
  </si>
  <si>
    <t>WP_003862521.1</t>
  </si>
  <si>
    <t>CGL_RS15480</t>
  </si>
  <si>
    <t>WP_011015513.1</t>
  </si>
  <si>
    <t>CGL_RS14645</t>
  </si>
  <si>
    <t>CGL_RS14650</t>
  </si>
  <si>
    <t>CGL_RS14655</t>
  </si>
  <si>
    <t>CGL_RS14660</t>
  </si>
  <si>
    <t>WP_011015515.1</t>
  </si>
  <si>
    <t>CGL_RS14670</t>
  </si>
  <si>
    <t>WP_011015516.1</t>
  </si>
  <si>
    <t>CGL_RS14675</t>
  </si>
  <si>
    <t>rod-shaped morphology protein RsmP</t>
  </si>
  <si>
    <t>rsmP</t>
  </si>
  <si>
    <t>WP_003855053.1</t>
  </si>
  <si>
    <t>CGL_RS14680</t>
  </si>
  <si>
    <t>WP_011015518.1</t>
  </si>
  <si>
    <t>CGL_RS14685</t>
  </si>
  <si>
    <t>molybdopterin-dependent oxidoreductase</t>
  </si>
  <si>
    <t>WP_227747683.1</t>
  </si>
  <si>
    <t>CGL_RS14690</t>
  </si>
  <si>
    <t>WP_034983375.1</t>
  </si>
  <si>
    <t>CGL_RS14695</t>
  </si>
  <si>
    <t>WP_011015520.1</t>
  </si>
  <si>
    <t>CGL_RS14700</t>
  </si>
  <si>
    <t>class I SAM-dependent DNA methyltransferase</t>
  </si>
  <si>
    <t>WP_227747684.1</t>
  </si>
  <si>
    <t>CGL_RS14705</t>
  </si>
  <si>
    <t>WP_011015522.1</t>
  </si>
  <si>
    <t>CGL_RS14710</t>
  </si>
  <si>
    <t>WP_231133819.1</t>
  </si>
  <si>
    <t>CGL_RS14715</t>
  </si>
  <si>
    <t>WP_020948655.1</t>
  </si>
  <si>
    <t>CGL_RS15785</t>
  </si>
  <si>
    <t>WP_011015523.1</t>
  </si>
  <si>
    <t>CGL_RS15790</t>
  </si>
  <si>
    <t>WP_011015524.1</t>
  </si>
  <si>
    <t>CGL_RS14725</t>
  </si>
  <si>
    <t>WP_003859505.1</t>
  </si>
  <si>
    <t>CGL_RS14730</t>
  </si>
  <si>
    <t>hexameric tyrosine-coordinated heme protein</t>
  </si>
  <si>
    <t>WP_024127858.1</t>
  </si>
  <si>
    <t>CGL_RS14735</t>
  </si>
  <si>
    <t>CGL_RS14740</t>
  </si>
  <si>
    <t>CGL_RS15850</t>
  </si>
  <si>
    <t>DUF305 domain-containing protein</t>
  </si>
  <si>
    <t>WP_011015525.1</t>
  </si>
  <si>
    <t>CGL_RS14750</t>
  </si>
  <si>
    <t>copper-translocating P-type ATPase</t>
  </si>
  <si>
    <t>WP_011015526.1</t>
  </si>
  <si>
    <t>CGL_RS14755</t>
  </si>
  <si>
    <t>WP_011015527.1</t>
  </si>
  <si>
    <t>CGL_RS14760</t>
  </si>
  <si>
    <t>WP_011015528.1</t>
  </si>
  <si>
    <t>CGL_RS15795</t>
  </si>
  <si>
    <t>WP_011015529.1</t>
  </si>
  <si>
    <t>CGL_RS14765</t>
  </si>
  <si>
    <t>WP_011015530.1</t>
  </si>
  <si>
    <t>CGL_RS14770</t>
  </si>
  <si>
    <t>WP_011015531.1</t>
  </si>
  <si>
    <t>CGL_RS14775</t>
  </si>
  <si>
    <t>WP_003859486.1</t>
  </si>
  <si>
    <t>CGL_RS14780</t>
  </si>
  <si>
    <t>CGL_RS14785</t>
  </si>
  <si>
    <t>NADP-dependent oxidoreductase</t>
  </si>
  <si>
    <t>WP_231838278.1</t>
  </si>
  <si>
    <t>CGL_RS14790</t>
  </si>
  <si>
    <t>WP_227747685.1</t>
  </si>
  <si>
    <t>CGL_RS14795</t>
  </si>
  <si>
    <t>WP_227747686.1</t>
  </si>
  <si>
    <t>CGL_RS14800</t>
  </si>
  <si>
    <t>WP_011015535.1</t>
  </si>
  <si>
    <t>CGL_RS14805</t>
  </si>
  <si>
    <t>WP_011015536.1</t>
  </si>
  <si>
    <t>CGL_RS14810</t>
  </si>
  <si>
    <t>WP_011015537.1</t>
  </si>
  <si>
    <t>CGL_RS14815</t>
  </si>
  <si>
    <t>CGL_RS14820</t>
  </si>
  <si>
    <t>trxA</t>
  </si>
  <si>
    <t>WP_003861174.1</t>
  </si>
  <si>
    <t>CGL_RS14825</t>
  </si>
  <si>
    <t>WP_011015540.1</t>
  </si>
  <si>
    <t>CGL_RS14830</t>
  </si>
  <si>
    <t>WP_003861178.1</t>
  </si>
  <si>
    <t>CGL_RS14835</t>
  </si>
  <si>
    <t>WP_227747687.1</t>
  </si>
  <si>
    <t>CGL_RS14840</t>
  </si>
  <si>
    <t>WP_011015542.1</t>
  </si>
  <si>
    <t>CGL_RS14845</t>
  </si>
  <si>
    <t>replicative DNA helicase</t>
  </si>
  <si>
    <t>dnaB</t>
  </si>
  <si>
    <t>WP_011015543.1</t>
  </si>
  <si>
    <t>CGL_RS14850</t>
  </si>
  <si>
    <t>50S ribosomal protein L9</t>
  </si>
  <si>
    <t>rplI</t>
  </si>
  <si>
    <t>WP_011015544.1</t>
  </si>
  <si>
    <t>CGL_RS14855</t>
  </si>
  <si>
    <t>WP_011015545.1</t>
  </si>
  <si>
    <t>CGL_RS14860</t>
  </si>
  <si>
    <t>30S ribosomal protein S6</t>
  </si>
  <si>
    <t>rpsF</t>
  </si>
  <si>
    <t>WP_003855074.1</t>
  </si>
  <si>
    <t>CGL_RS14865</t>
  </si>
  <si>
    <t>WP_003855075.1</t>
  </si>
  <si>
    <t>CGL_RS15490</t>
  </si>
  <si>
    <t>WP_003861194.1</t>
  </si>
  <si>
    <t>CGL_RS14870</t>
  </si>
  <si>
    <t>glycosyltransferase family 87 protein</t>
  </si>
  <si>
    <t>WP_011015546.1</t>
  </si>
  <si>
    <t>CGL_RS14875</t>
  </si>
  <si>
    <t>WP_011015547.1</t>
  </si>
  <si>
    <t>CGL_RS14880</t>
  </si>
  <si>
    <t>DUF5318 family protein</t>
  </si>
  <si>
    <t>WP_011015548.1</t>
  </si>
  <si>
    <t>CGL_RS14885</t>
  </si>
  <si>
    <t>MarR family transcriptional regulator CarR</t>
  </si>
  <si>
    <t>carR</t>
  </si>
  <si>
    <t>WP_003855083.1</t>
  </si>
  <si>
    <t>CGL_RS14890</t>
  </si>
  <si>
    <t>WP_003861200.1</t>
  </si>
  <si>
    <t>CGL_RS14895</t>
  </si>
  <si>
    <t>WP_003861203.1</t>
  </si>
  <si>
    <t>CGL_RS14900</t>
  </si>
  <si>
    <t>WP_011015550.1</t>
  </si>
  <si>
    <t>CGL_RS14905</t>
  </si>
  <si>
    <t>rhodanese-related sulfurtransferase</t>
  </si>
  <si>
    <t>WP_011015551.1</t>
  </si>
  <si>
    <t>CGL_RS14910</t>
  </si>
  <si>
    <t>WP_011015552.1</t>
  </si>
  <si>
    <t>CGL_RS14915</t>
  </si>
  <si>
    <t>WP_003855103.1</t>
  </si>
  <si>
    <t>CGL_RS14920</t>
  </si>
  <si>
    <t>efflux RND transporter periplasmic adaptor subunit</t>
  </si>
  <si>
    <t>WP_011015553.1</t>
  </si>
  <si>
    <t>CGL_RS14925</t>
  </si>
  <si>
    <t>inositol-3-phosphate synthase</t>
  </si>
  <si>
    <t>WP_003855107.1</t>
  </si>
  <si>
    <t>CGL_RS14930</t>
  </si>
  <si>
    <t>WP_011266052.1</t>
  </si>
  <si>
    <t>CGL_RS14935</t>
  </si>
  <si>
    <t>DUF1846 domain-containing protein</t>
  </si>
  <si>
    <t>WP_011015555.1</t>
  </si>
  <si>
    <t>CGL_RS14940</t>
  </si>
  <si>
    <t>DNA starvation/stationary phase protection protein Dps</t>
  </si>
  <si>
    <t>dps</t>
  </si>
  <si>
    <t>WP_003861220.1</t>
  </si>
  <si>
    <t>CGL_RS14945</t>
  </si>
  <si>
    <t>WP_011266054.1</t>
  </si>
  <si>
    <t>CGL_RS14950</t>
  </si>
  <si>
    <t>RtcB family protein</t>
  </si>
  <si>
    <t>WP_011015557.1</t>
  </si>
  <si>
    <t>CGL_RS14955</t>
  </si>
  <si>
    <t>WP_011266055.1</t>
  </si>
  <si>
    <t>CGL_RS14960</t>
  </si>
  <si>
    <t>methylated-DNA--[protein]-cysteine S-methyltransferase</t>
  </si>
  <si>
    <t>WP_011015559.1</t>
  </si>
  <si>
    <t>CGL_RS14965</t>
  </si>
  <si>
    <t>zinc-binding alcohol dehydrogenase family protein</t>
  </si>
  <si>
    <t>WP_011015560.1</t>
  </si>
  <si>
    <t>CGL_RS14970</t>
  </si>
  <si>
    <t>WP_011015561.1</t>
  </si>
  <si>
    <t>CGL_RS14975</t>
  </si>
  <si>
    <t>NAD(P)-dependent malic enzyme</t>
  </si>
  <si>
    <t>WP_011015562.1</t>
  </si>
  <si>
    <t>CGL_RS14980</t>
  </si>
  <si>
    <t>WP_011015563.1</t>
  </si>
  <si>
    <t>CGL_RS14985</t>
  </si>
  <si>
    <t>VanZ family protein</t>
  </si>
  <si>
    <t>WP_011015564.1</t>
  </si>
  <si>
    <t>CGL_RS14990</t>
  </si>
  <si>
    <t>WP_011015565.1</t>
  </si>
  <si>
    <t>CGL_RS14995</t>
  </si>
  <si>
    <t>WP_041625711.1</t>
  </si>
  <si>
    <t>CGL_RS15000</t>
  </si>
  <si>
    <t>D-amino acid dehydrogenase</t>
  </si>
  <si>
    <t>WP_011015567.1</t>
  </si>
  <si>
    <t>CGL_RS15005</t>
  </si>
  <si>
    <t>WP_011015568.1</t>
  </si>
  <si>
    <t>CGL_RS15010</t>
  </si>
  <si>
    <t>WP_231838279.1</t>
  </si>
  <si>
    <t>CGL_RS15015</t>
  </si>
  <si>
    <t>WP_011015570.1</t>
  </si>
  <si>
    <t>CGL_RS15020</t>
  </si>
  <si>
    <t>malonic semialdehyde reductase</t>
  </si>
  <si>
    <t>WP_011015571.1</t>
  </si>
  <si>
    <t>CGL_RS15025</t>
  </si>
  <si>
    <t>WP_011015572.1</t>
  </si>
  <si>
    <t>CGL_RS15030</t>
  </si>
  <si>
    <t>leucine--tRNA ligase</t>
  </si>
  <si>
    <t>leuS</t>
  </si>
  <si>
    <t>WP_011015573.1</t>
  </si>
  <si>
    <t>CGL_RS15035</t>
  </si>
  <si>
    <t>YbaN family protein</t>
  </si>
  <si>
    <t>WP_011015574.1</t>
  </si>
  <si>
    <t>CGL_RS15040</t>
  </si>
  <si>
    <t>WP_011015575.1</t>
  </si>
  <si>
    <t>CGL_RS15045</t>
  </si>
  <si>
    <t>mycothiol-dependent maleylpyruvate isomerase NagL</t>
  </si>
  <si>
    <t>nagL</t>
  </si>
  <si>
    <t>WP_003855155.1</t>
  </si>
  <si>
    <t>CGL_RS15050</t>
  </si>
  <si>
    <t>WP_004567937.1</t>
  </si>
  <si>
    <t>CGL_RS15055</t>
  </si>
  <si>
    <t>WP_011015576.1</t>
  </si>
  <si>
    <t>CGL_RS15060</t>
  </si>
  <si>
    <t>WP_004567940.1</t>
  </si>
  <si>
    <t>CGL_RS15065</t>
  </si>
  <si>
    <t>WP_011015577.1</t>
  </si>
  <si>
    <t>CGL_RS15070</t>
  </si>
  <si>
    <t>3-hydroxybenzoate 6-hydroxylase</t>
  </si>
  <si>
    <t>WP_011015578.1</t>
  </si>
  <si>
    <t>CGL_RS15075</t>
  </si>
  <si>
    <t>WP_011015579.1</t>
  </si>
  <si>
    <t>CGL_RS15085</t>
  </si>
  <si>
    <t>WP_003855171.1</t>
  </si>
  <si>
    <t>CGL_RS15090</t>
  </si>
  <si>
    <t>trp operon leader peptide</t>
  </si>
  <si>
    <t>trpL</t>
  </si>
  <si>
    <t>WP_020948662.1</t>
  </si>
  <si>
    <t>CGL_RS15555</t>
  </si>
  <si>
    <t>anthranilate synthase component 1</t>
  </si>
  <si>
    <t>WP_011015581.1</t>
  </si>
  <si>
    <t>CGL_RS15095</t>
  </si>
  <si>
    <t>anthranilate synthase component II</t>
  </si>
  <si>
    <t>WP_003855176.1</t>
  </si>
  <si>
    <t>CGL_RS15100</t>
  </si>
  <si>
    <t>anthranilate phosphoribosyltransferase</t>
  </si>
  <si>
    <t>trpD</t>
  </si>
  <si>
    <t>WP_003855178.1</t>
  </si>
  <si>
    <t>CGL_RS15105</t>
  </si>
  <si>
    <t>bifunctional indole-3-glycerol-phosphate synthase TrpC/phosphoribosylanthranilate isomerase TrpF</t>
  </si>
  <si>
    <t>trpCF</t>
  </si>
  <si>
    <t>WP_011015582.1</t>
  </si>
  <si>
    <t>CGL_RS15110</t>
  </si>
  <si>
    <t>tryptophan synthase subunit beta</t>
  </si>
  <si>
    <t>trpB</t>
  </si>
  <si>
    <t>WP_004567953.1</t>
  </si>
  <si>
    <t>CGL_RS15115</t>
  </si>
  <si>
    <t>tryptophan synthase subunit alpha</t>
  </si>
  <si>
    <t>trpA</t>
  </si>
  <si>
    <t>WP_004567954.1</t>
  </si>
  <si>
    <t>CGL_RS15120</t>
  </si>
  <si>
    <t>PTS ascorbate transporter subunit IIC</t>
  </si>
  <si>
    <t>WP_011015583.1</t>
  </si>
  <si>
    <t>CGL_RS15125</t>
  </si>
  <si>
    <t>PTS sugar transporter subunit IIA</t>
  </si>
  <si>
    <t>WP_011015584.1</t>
  </si>
  <si>
    <t>CGL_RS15130</t>
  </si>
  <si>
    <t>WP_004567959.1</t>
  </si>
  <si>
    <t>CGL_RS15135</t>
  </si>
  <si>
    <t>WP_011015585.1</t>
  </si>
  <si>
    <t>CGL_RS15140</t>
  </si>
  <si>
    <t>Rieske (2Fe-2S) protein</t>
  </si>
  <si>
    <t>WP_003855195.1</t>
  </si>
  <si>
    <t>CGL_RS15145</t>
  </si>
  <si>
    <t>NADH:flavin oxidoreductase/NADH oxidase</t>
  </si>
  <si>
    <t>WP_011015587.1</t>
  </si>
  <si>
    <t>CGL_RS15150</t>
  </si>
  <si>
    <t>WP_020948664.1</t>
  </si>
  <si>
    <t>CGL_RS15155</t>
  </si>
  <si>
    <t>DUF1684 domain-containing protein</t>
  </si>
  <si>
    <t>WP_011015589.1</t>
  </si>
  <si>
    <t>CGL_RS15160</t>
  </si>
  <si>
    <t>WP_003855203.1</t>
  </si>
  <si>
    <t>CGL_RS15165</t>
  </si>
  <si>
    <t>WP_011015590.1</t>
  </si>
  <si>
    <t>CGL_RS15170</t>
  </si>
  <si>
    <t>WP_011015591.1</t>
  </si>
  <si>
    <t>CGL_RS15175</t>
  </si>
  <si>
    <t>type I toxin-antitoxin system antitoxin GrtC</t>
  </si>
  <si>
    <t>grtC</t>
  </si>
  <si>
    <t>WP_003855208.1</t>
  </si>
  <si>
    <t>CGL_RS15495</t>
  </si>
  <si>
    <t>type I toxin-antitoxin system antitoxin GrtB</t>
  </si>
  <si>
    <t>grtB</t>
  </si>
  <si>
    <t>WP_011015592.1</t>
  </si>
  <si>
    <t>CGL_RS15500</t>
  </si>
  <si>
    <t>type I toxin-antitoxin system antitoxin GrtA</t>
  </si>
  <si>
    <t>grtA</t>
  </si>
  <si>
    <t>WP_011015593.1</t>
  </si>
  <si>
    <t>CGL_RS15505</t>
  </si>
  <si>
    <t>WP_011015594.1</t>
  </si>
  <si>
    <t>CGL_RS15180</t>
  </si>
  <si>
    <t>WP_003855212.1</t>
  </si>
  <si>
    <t>CGL_RS15185</t>
  </si>
  <si>
    <t>WP_003855213.1</t>
  </si>
  <si>
    <t>CGL_RS15190</t>
  </si>
  <si>
    <t>WP_011015595.1</t>
  </si>
  <si>
    <t>CGL_RS15195</t>
  </si>
  <si>
    <t>dioxygenase</t>
  </si>
  <si>
    <t>WP_011015596.1</t>
  </si>
  <si>
    <t>CGL_RS15200</t>
  </si>
  <si>
    <t>WP_011015597.1</t>
  </si>
  <si>
    <t>CGL_RS15205</t>
  </si>
  <si>
    <t>WP_011015598.1</t>
  </si>
  <si>
    <t>CGL_RS15210</t>
  </si>
  <si>
    <t>WP_011266064.1</t>
  </si>
  <si>
    <t>CGL_RS15215</t>
  </si>
  <si>
    <t>WP_011015600.1</t>
  </si>
  <si>
    <t>CGL_RS15220</t>
  </si>
  <si>
    <t>WP_011015601.1</t>
  </si>
  <si>
    <t>CGL_RS15225</t>
  </si>
  <si>
    <t>inositol 2-dehydrogenase</t>
  </si>
  <si>
    <t>iolG</t>
  </si>
  <si>
    <t>WP_003855225.1</t>
  </si>
  <si>
    <t>CGL_RS15230</t>
  </si>
  <si>
    <t>WP_011015602.1</t>
  </si>
  <si>
    <t>CGL_RS15235</t>
  </si>
  <si>
    <t>WP_011266065.1</t>
  </si>
  <si>
    <t>CGL_RS15240</t>
  </si>
  <si>
    <t>WP_011015604.1</t>
  </si>
  <si>
    <t>CGL_RS15245</t>
  </si>
  <si>
    <t>WP_011015605.1</t>
  </si>
  <si>
    <t>CGL_RS15250</t>
  </si>
  <si>
    <t>slipin family protein</t>
  </si>
  <si>
    <t>WP_011266067.1</t>
  </si>
  <si>
    <t>CGL_RS15255</t>
  </si>
  <si>
    <t>WP_011015607.1</t>
  </si>
  <si>
    <t>CGL_RS15260</t>
  </si>
  <si>
    <t>WP_011015608.1</t>
  </si>
  <si>
    <t>CGL_RS15265</t>
  </si>
  <si>
    <t>DUF4395 domain-containing protein</t>
  </si>
  <si>
    <t>WP_011015609.1</t>
  </si>
  <si>
    <t>CGL_RS15270</t>
  </si>
  <si>
    <t>CGL_RS15275</t>
  </si>
  <si>
    <t>WP_306556787.1</t>
  </si>
  <si>
    <t>CGL_RS15800</t>
  </si>
  <si>
    <t>WP_003860938.1</t>
  </si>
  <si>
    <t>CGL_RS15280</t>
  </si>
  <si>
    <t>WP_011266071.1</t>
  </si>
  <si>
    <t>CGL_RS15285</t>
  </si>
  <si>
    <t>WP_011015613.1</t>
  </si>
  <si>
    <t>CGL_RS15290</t>
  </si>
  <si>
    <t>zinc-binding dehydrogenase</t>
  </si>
  <si>
    <t>WP_011015614.1</t>
  </si>
  <si>
    <t>CGL_RS15295</t>
  </si>
  <si>
    <t>DUF1304 domain-containing protein</t>
  </si>
  <si>
    <t>WP_011015615.1</t>
  </si>
  <si>
    <t>CGL_RS15300</t>
  </si>
  <si>
    <t>WP_020948667.1</t>
  </si>
  <si>
    <t>CGL_RS15305</t>
  </si>
  <si>
    <t>thiD</t>
  </si>
  <si>
    <t>WP_011015616.1</t>
  </si>
  <si>
    <t>CGL_RS15310</t>
  </si>
  <si>
    <t>WP_011015617.1</t>
  </si>
  <si>
    <t>CGL_RS15315</t>
  </si>
  <si>
    <t>WP_003855276.1</t>
  </si>
  <si>
    <t>CGL_RS15320</t>
  </si>
  <si>
    <t>branched-chain amino acid transporter permease</t>
  </si>
  <si>
    <t>WP_011015618.1</t>
  </si>
  <si>
    <t>CGL_RS15325</t>
  </si>
  <si>
    <t>AzlC family ABC transporter permease</t>
  </si>
  <si>
    <t>WP_011015619.1</t>
  </si>
  <si>
    <t>CGL_RS15330</t>
  </si>
  <si>
    <t>YqgE/AlgH family protein</t>
  </si>
  <si>
    <t>WP_003860953.1</t>
  </si>
  <si>
    <t>CGL_RS15335</t>
  </si>
  <si>
    <t>CCA tRNA nucleotidyltransferase</t>
  </si>
  <si>
    <t>WP_003855284.1</t>
  </si>
  <si>
    <t>CGL_RS15340</t>
  </si>
  <si>
    <t>WP_011015620.1</t>
  </si>
  <si>
    <t>CGL_RS15560</t>
  </si>
  <si>
    <t>WP_011015621.1</t>
  </si>
  <si>
    <t>CGL_RS15355</t>
  </si>
  <si>
    <t>virulence factor</t>
  </si>
  <si>
    <t>WP_011015622.1</t>
  </si>
  <si>
    <t>CGL_RS15360</t>
  </si>
  <si>
    <t>WP_003855298.1</t>
  </si>
  <si>
    <t>CGL_RS15365</t>
  </si>
  <si>
    <t>thioredoxin-disulfide reductase</t>
  </si>
  <si>
    <t>trxB</t>
  </si>
  <si>
    <t>WP_003855300.1</t>
  </si>
  <si>
    <t>CGL_RS15370</t>
  </si>
  <si>
    <t>WP_011015624.1</t>
  </si>
  <si>
    <t>CGL_RS15375</t>
  </si>
  <si>
    <t>N-acetylmuramoyl-L-alanine amidase</t>
  </si>
  <si>
    <t>WP_041625627.1</t>
  </si>
  <si>
    <t>CGL_RS15380</t>
  </si>
  <si>
    <t>WP_011015626.1</t>
  </si>
  <si>
    <t>CGL_RS15385</t>
  </si>
  <si>
    <t>ParB/RepB/Spo0J family partition protein</t>
  </si>
  <si>
    <t>WP_003855307.1</t>
  </si>
  <si>
    <t>CGL_RS15390</t>
  </si>
  <si>
    <t>WP_003855308.1</t>
  </si>
  <si>
    <t>CGL_RS15395</t>
  </si>
  <si>
    <t>16S rRNA (guanine(527)-N(7))-methyltransferase RsmG</t>
  </si>
  <si>
    <t>rsmG</t>
  </si>
  <si>
    <t>WP_011266076.1</t>
  </si>
  <si>
    <t>CGL_RS15400</t>
  </si>
  <si>
    <t>WP_003855313.1</t>
  </si>
  <si>
    <t>CGL_RS15405</t>
  </si>
  <si>
    <t>membrane protein insertion efficiency factor YidD</t>
  </si>
  <si>
    <t>yidD</t>
  </si>
  <si>
    <t>WP_011266077.1</t>
  </si>
  <si>
    <t>CGL_RS15410</t>
  </si>
  <si>
    <t>ribonuclease P protein component</t>
  </si>
  <si>
    <t>rnpA</t>
  </si>
  <si>
    <t>WP_003860977.1</t>
  </si>
  <si>
    <t>CGL_RS15415</t>
  </si>
  <si>
    <t>50S ribosomal protein L34</t>
  </si>
  <si>
    <t>rpmH</t>
  </si>
  <si>
    <t>WP_003855320.1</t>
  </si>
  <si>
    <t>CGL_RS15420</t>
  </si>
  <si>
    <t>URL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</si>
  <si>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</si>
  <si>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</si>
  <si>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</si>
  <si>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</si>
  <si>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</si>
  <si>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>Ref Seq</t>
  </si>
  <si>
    <t>GenBank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</si>
  <si>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</si>
  <si>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</si>
  <si>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</si>
  <si>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</si>
  <si>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</si>
  <si>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</si>
  <si>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</si>
  <si>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</si>
  <si>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</si>
  <si>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</si>
  <si>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</si>
  <si>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>Complete Genome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</si>
  <si>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</si>
  <si>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</si>
  <si>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</si>
  <si>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</si>
  <si>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</si>
  <si>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</si>
  <si>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>EC Number</t>
  </si>
  <si>
    <t xml:space="preserve">New EC number </t>
  </si>
  <si>
    <t>KEGG Enzyme URL</t>
  </si>
  <si>
    <t>KEGG Reaction URL</t>
  </si>
  <si>
    <t>Reactants</t>
  </si>
  <si>
    <t>Products</t>
  </si>
  <si>
    <t>3.1.26.5</t>
  </si>
  <si>
    <t>Metabolites</t>
  </si>
  <si>
    <t>Initial Concentration (mM)</t>
  </si>
  <si>
    <t>Object</t>
  </si>
  <si>
    <t>No</t>
  </si>
  <si>
    <t xml:space="preserve">EC_number  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</si>
  <si>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</si>
  <si>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</si>
  <si>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</si>
  <si>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</si>
  <si>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</si>
  <si>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</si>
  <si>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</si>
  <si>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</si>
  <si>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</si>
  <si>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</si>
  <si>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</si>
  <si>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</si>
  <si>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</si>
  <si>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</si>
  <si>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</si>
  <si>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</si>
  <si>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</si>
  <si>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</si>
  <si>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 xml:space="preserve">Rate Law </t>
  </si>
  <si>
    <t xml:space="preserve"> Equation </t>
  </si>
  <si>
    <t>KEGG ENZYME: 3.1.26.5</t>
  </si>
  <si>
    <t>2.7.7.7</t>
  </si>
  <si>
    <t>5.6.2.2</t>
  </si>
  <si>
    <t>5.2.1.8</t>
  </si>
  <si>
    <t>KEGG REACTION: R04273</t>
  </si>
  <si>
    <t>3.4.21.105</t>
  </si>
  <si>
    <t>2.7.11.-</t>
  </si>
  <si>
    <t>2.4.99.28</t>
  </si>
  <si>
    <t>KEGG REACTION: R06178</t>
  </si>
  <si>
    <t xml:space="preserve"> </t>
  </si>
  <si>
    <t>2.1.1.170</t>
  </si>
  <si>
    <t>1.8.1.9</t>
  </si>
  <si>
    <t>KEGG ENZYME: 1.8.1.9</t>
  </si>
  <si>
    <t>KEGG REACTION: R02016</t>
  </si>
  <si>
    <t>3.6.1.-</t>
  </si>
  <si>
    <t>2.7.7.72</t>
  </si>
  <si>
    <t>KEGG ENZYME: 2.7.7.72</t>
  </si>
  <si>
    <t>KEGG REACTION: R09382</t>
  </si>
  <si>
    <t>2.7.1.49</t>
  </si>
  <si>
    <t>2.7.4.7</t>
  </si>
  <si>
    <t>KEGG ENZYME: 2.7.1.49</t>
  </si>
  <si>
    <t>KEGG REACTION: R03471</t>
  </si>
  <si>
    <t>KEGG ENZYME: 2.7.4.7</t>
  </si>
  <si>
    <t>KEGG REACTION: R04509</t>
  </si>
  <si>
    <t>2.1.1.63</t>
  </si>
  <si>
    <t>KEGG ENZYME: 2.1.1.63</t>
  </si>
  <si>
    <t>KEGG REACTION: R04314</t>
  </si>
  <si>
    <t>1.1.1.18</t>
  </si>
  <si>
    <t>KEGG ENZYME: 1.1.1.18</t>
  </si>
  <si>
    <t>KEGG REACTION: R01183</t>
  </si>
  <si>
    <t>1.3.1.-</t>
  </si>
  <si>
    <t>1.1.1.-</t>
  </si>
  <si>
    <t>2.1.1.-</t>
  </si>
  <si>
    <t>4.2.1.20</t>
  </si>
  <si>
    <t>KEGG ENZYME: 4.2.1.20</t>
  </si>
  <si>
    <t>KEGG REACTION: R00674</t>
  </si>
  <si>
    <t>4.1.1.48</t>
  </si>
  <si>
    <t>5.3.1.24</t>
  </si>
  <si>
    <t>KEGG ENZYME: 4.1.1.48</t>
  </si>
  <si>
    <t>KEGG REACTION: R03508</t>
  </si>
  <si>
    <t>C01302</t>
  </si>
  <si>
    <t>KEGG ENZYME: 5.3.1.24</t>
  </si>
  <si>
    <t>KEGG REACTION: R03509</t>
  </si>
  <si>
    <t>C04302</t>
  </si>
  <si>
    <t>2.4.2.18</t>
  </si>
  <si>
    <t>KEGG ENZYME: 2.4.2.18</t>
  </si>
  <si>
    <t>KEGG REACTION: R01073</t>
  </si>
  <si>
    <t>4.1.3.27</t>
  </si>
  <si>
    <t>KEGG ENZYME: 4.1.3.27</t>
  </si>
  <si>
    <t>KEGG REACTION: R00986</t>
  </si>
  <si>
    <t>KEGG REACTION: R00985</t>
  </si>
  <si>
    <t>1.14.13.24</t>
  </si>
  <si>
    <t>KEGG ENZYME: 1.14.13.24</t>
  </si>
  <si>
    <t>KEGG REACTION: R02589</t>
  </si>
  <si>
    <t>5.2.1.4</t>
  </si>
  <si>
    <t>KEGG ENZYME: 5.2.1.4</t>
  </si>
  <si>
    <t>KEGG REACTION: R03868</t>
  </si>
  <si>
    <t>C02167</t>
  </si>
  <si>
    <t>C02514</t>
  </si>
  <si>
    <t>6.1.1.4</t>
  </si>
  <si>
    <t>KEGG ENZYME: 6.1.1.4</t>
  </si>
  <si>
    <t>KEGG REACTION: R03657</t>
  </si>
  <si>
    <t>1.1.1.298</t>
  </si>
  <si>
    <t>KEGG ENZYME: 1.1.1.298</t>
  </si>
  <si>
    <t>KEGG REACTION: R09289</t>
  </si>
  <si>
    <t>2.7.1.12</t>
  </si>
  <si>
    <t>KEGG ENZYME: 2.7.1.12</t>
  </si>
  <si>
    <t>KEGG REACTION: R01737</t>
  </si>
  <si>
    <t>1.1.1.40</t>
  </si>
  <si>
    <t>KEGG ENZYME: 1.1.1.40</t>
  </si>
  <si>
    <t>KEGG REACTION: R00216</t>
  </si>
  <si>
    <t>6.5.1.8</t>
  </si>
  <si>
    <t>KEGG ENZYME: 6.5.1.8</t>
  </si>
  <si>
    <t>3.2.2.-</t>
  </si>
  <si>
    <t>4.2.99.-</t>
  </si>
  <si>
    <t>5.5.1.4</t>
  </si>
  <si>
    <t>KEGG ENZYME: 5.5.1.4</t>
  </si>
  <si>
    <t>KEGG REACTION: R07324</t>
  </si>
  <si>
    <t>C00092</t>
  </si>
  <si>
    <t>C04006</t>
  </si>
  <si>
    <t>7.6.2.-</t>
  </si>
  <si>
    <t>1.14.-.-</t>
  </si>
  <si>
    <t>1.-.-.-</t>
  </si>
  <si>
    <t>2.4.-.-</t>
  </si>
  <si>
    <t>5.6.2.3</t>
  </si>
  <si>
    <t>KEGG ENZYME: 5.6.2.3</t>
  </si>
  <si>
    <t>2.7.13.3</t>
  </si>
  <si>
    <t>KEGG ENZYME: 2.7.13.3</t>
  </si>
  <si>
    <t>3.6.3.-</t>
  </si>
  <si>
    <t>1.15.1.1</t>
  </si>
  <si>
    <t>KEGG ENZYME: 1.15.1.1</t>
  </si>
  <si>
    <t>KEGG REACTION: R00275</t>
  </si>
  <si>
    <t>1.8.4.11</t>
  </si>
  <si>
    <t>KEGG ENZYME: 1.8.4.11</t>
  </si>
  <si>
    <t>KEGG REACTION: R04120</t>
  </si>
  <si>
    <t>3.1.-.-</t>
  </si>
  <si>
    <t>3.-.-.-</t>
  </si>
  <si>
    <t>1.1.1.27</t>
  </si>
  <si>
    <t>KEGG ENZYME: 1.1.1.27</t>
  </si>
  <si>
    <t>KEGG REACTION: R00703</t>
  </si>
  <si>
    <t>3.4.-.-</t>
  </si>
  <si>
    <t>4.2.1.51</t>
  </si>
  <si>
    <t>KEGG ENZYME: 4.2.1.51</t>
  </si>
  <si>
    <t>KEGG REACTION: R01373</t>
  </si>
  <si>
    <t>C00254</t>
  </si>
  <si>
    <t>6.1.1.11</t>
  </si>
  <si>
    <t>KEGG ENZYME: 6.1.1.11</t>
  </si>
  <si>
    <t>KEGG REACTION: R03662</t>
  </si>
  <si>
    <t>2.3.1.-</t>
  </si>
  <si>
    <t>2.7.1.30</t>
  </si>
  <si>
    <t>KEGG ENZYME: 2.7.1.30</t>
  </si>
  <si>
    <t>KEGG REACTION: R00847</t>
  </si>
  <si>
    <t>5.4.99.9</t>
  </si>
  <si>
    <t>KEGG ENZYME: 5.4.99.9</t>
  </si>
  <si>
    <t>KEGG REACTION: R00505</t>
  </si>
  <si>
    <t xml:space="preserve">C00052 </t>
  </si>
  <si>
    <t>C03733</t>
  </si>
  <si>
    <t>2.7.-.-</t>
  </si>
  <si>
    <t>2.4.2.45</t>
  </si>
  <si>
    <t>KEGG ENZYME: 2.4.2.45</t>
  </si>
  <si>
    <t>KEGG REACTION: R10095</t>
  </si>
  <si>
    <t>2.4.2.-</t>
  </si>
  <si>
    <t>2.1.1.33</t>
  </si>
  <si>
    <t>KEGG ENZYME: 2.1.1.33</t>
  </si>
  <si>
    <t>KEGG REACTION: R00600</t>
  </si>
  <si>
    <t>4.1.1.32</t>
  </si>
  <si>
    <t>KEGG ENZYME: 4.1.1.32</t>
  </si>
  <si>
    <t>KEGG REACTION: R00431</t>
  </si>
  <si>
    <t>3.5.4.13</t>
  </si>
  <si>
    <t>KEGG ENZYME: 3.5.4.13</t>
  </si>
  <si>
    <t>KEGG REACTION: R02325</t>
  </si>
  <si>
    <t>2.6.1.-</t>
  </si>
  <si>
    <t>3.2.2.20</t>
  </si>
  <si>
    <t>KEGG ENZYME: 3.2.2.20</t>
  </si>
  <si>
    <t>1.8.-.-</t>
  </si>
  <si>
    <t>1.8.4.8</t>
  </si>
  <si>
    <t>KEGG ENZYME: 1.8.4.8</t>
  </si>
  <si>
    <t>KEGG REACTION: R02021</t>
  </si>
  <si>
    <t>2.7.7.4</t>
  </si>
  <si>
    <t>KEGG ENZYME: 2.7.7.4</t>
  </si>
  <si>
    <t>KEGG REACTION: R00529</t>
  </si>
  <si>
    <t>4.99.1.-</t>
  </si>
  <si>
    <t>1.1.1.1</t>
  </si>
  <si>
    <t>KEGG ENZYME: 1.1.1.1</t>
  </si>
  <si>
    <t>KEGG REACTION: R00623</t>
  </si>
  <si>
    <t>1.2.1.-</t>
  </si>
  <si>
    <t>2.8.1.-</t>
  </si>
  <si>
    <t>2.4.2.10</t>
  </si>
  <si>
    <t>KEGG ENZYME: 2.4.2.10</t>
  </si>
  <si>
    <t>KEGG REACTION: R01870</t>
  </si>
  <si>
    <t>3.2.1.-</t>
  </si>
  <si>
    <t>4.1.2.13</t>
  </si>
  <si>
    <t>KEGG ENZYME: 4.1.2.13</t>
  </si>
  <si>
    <t>KEGG REACTION: R01068</t>
  </si>
  <si>
    <t xml:space="preserve">C00354 </t>
  </si>
  <si>
    <t>6.3.4.4</t>
  </si>
  <si>
    <t>KEGG ENZYME: 6.3.4.4</t>
  </si>
  <si>
    <t>KEGG REACTION: R01135</t>
  </si>
  <si>
    <t>2.1.2.-</t>
  </si>
  <si>
    <t>2.3.-.-</t>
  </si>
  <si>
    <t>2.3.1.8</t>
  </si>
  <si>
    <t>KEGG ENZYME: 2.3.1.8</t>
  </si>
  <si>
    <t>KEGG REACTION: R00230</t>
  </si>
  <si>
    <t>2.7.2.1</t>
  </si>
  <si>
    <t>KEGG ENZYME: 2.7.2.1</t>
  </si>
  <si>
    <t>KEGG REACTION: R00315</t>
  </si>
  <si>
    <t>2.7.11.1</t>
  </si>
  <si>
    <t>KEGG ENZYME: 2.7.11.1</t>
  </si>
  <si>
    <t>KEGG REACTION: R00162</t>
  </si>
  <si>
    <t>7.5.2.-</t>
  </si>
  <si>
    <t>3.1.11.2</t>
  </si>
  <si>
    <t>KEGG ENZYME: 3.1.11.2</t>
  </si>
  <si>
    <t>2.3.1.1</t>
  </si>
  <si>
    <t>KEGG ENZYME: 2.3.1.1</t>
  </si>
  <si>
    <t>KEGG REACTION: R00259</t>
  </si>
  <si>
    <t>3.5.1.88</t>
  </si>
  <si>
    <t>KEGG ENZYME: 3.5.1.88</t>
  </si>
  <si>
    <t>KEGG REACTION: R05635</t>
  </si>
  <si>
    <t>6.3.2.2</t>
  </si>
  <si>
    <t>KEGG ENZYME: 6.3.2.2</t>
  </si>
  <si>
    <t>KEGG REACTION: R00894</t>
  </si>
  <si>
    <t>2.7.4.1</t>
  </si>
  <si>
    <t>KEGG ENZYME: 2.7.4.1</t>
  </si>
  <si>
    <t>KEGG REACTION: R02184</t>
  </si>
  <si>
    <t>1.2.1.79</t>
  </si>
  <si>
    <t>KEGG ENZYME: 1.2.1.79</t>
  </si>
  <si>
    <t>KEGG REACTION: R00714</t>
  </si>
  <si>
    <t>2.5.1.16</t>
  </si>
  <si>
    <t>KEGG ENZYME: 2.5.1.16</t>
  </si>
  <si>
    <t>KEGG REACTION: R01920</t>
  </si>
  <si>
    <t>3.6.1.1</t>
  </si>
  <si>
    <t>KEGG ENZYME: 3.6.1.1</t>
  </si>
  <si>
    <t>KEGG REACTION: R00004</t>
  </si>
  <si>
    <t>C00009</t>
  </si>
  <si>
    <t>3.4.16.4</t>
  </si>
  <si>
    <t>KEGG ENZYME: 3.4.16.4</t>
  </si>
  <si>
    <t>6.3.4.19</t>
  </si>
  <si>
    <t>KEGG ENZYME: 6.3.4.19</t>
  </si>
  <si>
    <t>KEGG REACTION: R09597</t>
  </si>
  <si>
    <t>2.4.2.8</t>
  </si>
  <si>
    <t>KEGG ENZYME: 2.4.2.8</t>
  </si>
  <si>
    <t>KEGG REACTION: R01132</t>
  </si>
  <si>
    <t>3.5.4.16</t>
  </si>
  <si>
    <t>KEGG ENZYME: 3.5.4.16</t>
  </si>
  <si>
    <t>KEGG REACTION: R00424</t>
  </si>
  <si>
    <t>2.5.1.15</t>
  </si>
  <si>
    <t>KEGG ENZYME: 2.5.1.15</t>
  </si>
  <si>
    <t>KEGG REACTION: R03067</t>
  </si>
  <si>
    <t>4.1.2.25</t>
  </si>
  <si>
    <t>KEGG ENZYME: 4.1.2.25</t>
  </si>
  <si>
    <t>KEGG REACTION: R03504</t>
  </si>
  <si>
    <t>C04874</t>
  </si>
  <si>
    <t>2.7.6.3</t>
  </si>
  <si>
    <t>KEGG ENZYME: 2.7.6.3</t>
  </si>
  <si>
    <t>KEGG REACTION: R03503</t>
  </si>
  <si>
    <t>6.3.2.1</t>
  </si>
  <si>
    <t>KEGG ENZYME: 6.3.2.1</t>
  </si>
  <si>
    <t>KEGG REACTION: R02473</t>
  </si>
  <si>
    <t>6.1.1.6</t>
  </si>
  <si>
    <t>KEGG ENZYME: 6.1.1.6</t>
  </si>
  <si>
    <t>KEGG REACTION: R03658</t>
  </si>
  <si>
    <t>1.2.1.64</t>
  </si>
  <si>
    <t>1.2.1.67</t>
  </si>
  <si>
    <t>1.2.1.96</t>
  </si>
  <si>
    <t>KEGG ENZYME: 1.2.1.64</t>
  </si>
  <si>
    <t>KEGG REACTION: R01293</t>
  </si>
  <si>
    <t>KEGG ENZYME: 1.2.1.67</t>
  </si>
  <si>
    <t>KEGG REACTION: R05699</t>
  </si>
  <si>
    <t>KEGG ENZYME: 1.2.1.96</t>
  </si>
  <si>
    <t>KEGG REACTION: R01294</t>
  </si>
  <si>
    <t>2.7.7.85</t>
  </si>
  <si>
    <t>KEGG ENZYME: 2.7.7.85</t>
  </si>
  <si>
    <t>KEGG REACTION: R10342</t>
  </si>
  <si>
    <t>C00002</t>
  </si>
  <si>
    <t>2.7.7.60</t>
  </si>
  <si>
    <t>KEGG ENZYME: 2.7.7.60</t>
  </si>
  <si>
    <t>KEGG REACTION: R05633</t>
  </si>
  <si>
    <t>4.6.1.12</t>
  </si>
  <si>
    <t>KEGG ENZYME: 4.6.1.12</t>
  </si>
  <si>
    <t>KEGG REACTION: R05637</t>
  </si>
  <si>
    <t>C11436</t>
  </si>
  <si>
    <t>KEGG REACTION: R03066</t>
  </si>
  <si>
    <t>5.1.3.9</t>
  </si>
  <si>
    <t>KEGG ENZYME: 5.1.3.9</t>
  </si>
  <si>
    <t>KEGG REACTION: R02770</t>
  </si>
  <si>
    <t>C00686</t>
  </si>
  <si>
    <t>C04136</t>
  </si>
  <si>
    <t>KEGG REACTION: R02087</t>
  </si>
  <si>
    <t>C00357</t>
  </si>
  <si>
    <t>C04257</t>
  </si>
  <si>
    <t>4.-.-.-</t>
  </si>
  <si>
    <t>3.5.1.25</t>
  </si>
  <si>
    <t>KEGG ENZYME: 3.5.1.25</t>
  </si>
  <si>
    <t>KEGG REACTION: R02059</t>
  </si>
  <si>
    <t>3.5.99.6</t>
  </si>
  <si>
    <t>KEGG ENZYME: 3.5.99.6</t>
  </si>
  <si>
    <t>KEGG REACTION: R00765</t>
  </si>
  <si>
    <t>2.7.1.211</t>
  </si>
  <si>
    <t>KEGG ENZYME: 2.7.1.211</t>
  </si>
  <si>
    <t>KEGG REACTION: R00811</t>
  </si>
  <si>
    <t>6.1.1.16</t>
  </si>
  <si>
    <t>KEGG ENZYME: 6.1.1.16</t>
  </si>
  <si>
    <t>KEGG REACTION: R03650</t>
  </si>
  <si>
    <t>3.1.3.12</t>
  </si>
  <si>
    <t>KEGG ENZYME: 3.1.3.12</t>
  </si>
  <si>
    <t>KEGG REACTION: R02778</t>
  </si>
  <si>
    <t>KEGG REACTION: R06228</t>
  </si>
  <si>
    <t>2.4.1.15</t>
  </si>
  <si>
    <t>KEGG ENZYME: 2.4.1.15</t>
  </si>
  <si>
    <t>KEGG REACTION: R00836</t>
  </si>
  <si>
    <t>KEGG REACTION: R06043</t>
  </si>
  <si>
    <t>KEGG REACTION: R02737</t>
  </si>
  <si>
    <t>KEGG REACTION: R06226</t>
  </si>
  <si>
    <t>3.1.3.-</t>
  </si>
  <si>
    <t>3.1.1.-</t>
  </si>
  <si>
    <t>1.4.1.16</t>
  </si>
  <si>
    <t>KEGG ENZYME: 1.4.1.16</t>
  </si>
  <si>
    <t>KEGG REACTION: R02755</t>
  </si>
  <si>
    <t>6.3.3.3</t>
  </si>
  <si>
    <t>KEGG ENZYME: 6.3.3.3</t>
  </si>
  <si>
    <t>KEGG REACTION: R03182</t>
  </si>
  <si>
    <t>KEGG REACTION: R12933</t>
  </si>
  <si>
    <t>C22458</t>
  </si>
  <si>
    <t>KEGG REACTION: R12934</t>
  </si>
  <si>
    <t>2.6.1.62</t>
  </si>
  <si>
    <t>KEGG ENZYME: 2.6.1.62</t>
  </si>
  <si>
    <t>KEGG REACTION: R03231</t>
  </si>
  <si>
    <t>6.3.4.13</t>
  </si>
  <si>
    <t>KEGG ENZYME: 6.3.4.13</t>
  </si>
  <si>
    <t>KEGG REACTION: R04144</t>
  </si>
  <si>
    <t>4.3.2.2</t>
  </si>
  <si>
    <t>KEGG ENZYME: 4.3.2.2</t>
  </si>
  <si>
    <t>KEGG REACTION: R01083</t>
  </si>
  <si>
    <t>C03794</t>
  </si>
  <si>
    <t>KEGG REACTION: R04559</t>
  </si>
  <si>
    <t>C04823</t>
  </si>
  <si>
    <t>KEGG REACTION: R12851</t>
  </si>
  <si>
    <t>C22395</t>
  </si>
  <si>
    <t>6.3.2.6</t>
  </si>
  <si>
    <t>KEGG ENZYME: 6.3.2.6</t>
  </si>
  <si>
    <t>KEGG REACTION: R04591</t>
  </si>
  <si>
    <t>1.11.1.-</t>
  </si>
  <si>
    <t>6.3.5.3</t>
  </si>
  <si>
    <t>KEGG ENZYME: 6.3.5.3</t>
  </si>
  <si>
    <t>KEGG REACTION: R04463</t>
  </si>
  <si>
    <t>3.5.1.2</t>
  </si>
  <si>
    <t>KEGG ENZYME: 3.5.1.2</t>
  </si>
  <si>
    <t>KEGG REACTION: R00256</t>
  </si>
  <si>
    <t>KEGG REACTION: R01579</t>
  </si>
  <si>
    <t>KEGG REACTION: R06134</t>
  </si>
  <si>
    <t>3.1.2.-</t>
  </si>
  <si>
    <t>2.4.2.14</t>
  </si>
  <si>
    <t>KEGG ENZYME: 2.4.2.14</t>
  </si>
  <si>
    <t>KEGG REACTION: R01072</t>
  </si>
  <si>
    <t>6.3.3.1</t>
  </si>
  <si>
    <t>KEGG ENZYME: 6.3.3.1</t>
  </si>
  <si>
    <t>KEGG REACTION: R04208</t>
  </si>
  <si>
    <t>4.1.3.38</t>
  </si>
  <si>
    <t>KEGG ENZYME: 4.1.3.38</t>
  </si>
  <si>
    <t>KEGG REACTION: R05553</t>
  </si>
  <si>
    <t>C11355</t>
  </si>
  <si>
    <t>2.7.1.-</t>
  </si>
  <si>
    <t>2.5.1.-</t>
  </si>
  <si>
    <t>2.3.1.189</t>
  </si>
  <si>
    <t>KEGG ENZYME: 2.3.1.189</t>
  </si>
  <si>
    <t>KEGG REACTION: R09622</t>
  </si>
  <si>
    <t>7.3.2.1</t>
  </si>
  <si>
    <t>KEGG ENZYME: 7.3.2.1</t>
  </si>
  <si>
    <t>2.8.3.-</t>
  </si>
  <si>
    <t>6.2.1.5</t>
  </si>
  <si>
    <t>KEGG ENZYME: 6.2.1.5</t>
  </si>
  <si>
    <t>KEGG REACTION: R00405</t>
  </si>
  <si>
    <t>KEGG REACTION: R02404</t>
  </si>
  <si>
    <t>2.5.1.47</t>
  </si>
  <si>
    <t>KEGG ENZYME: 2.5.1.47</t>
  </si>
  <si>
    <t>KEGG REACTION: R00897</t>
  </si>
  <si>
    <t>KEGG REACTION: R03601</t>
  </si>
  <si>
    <t>KEGG REACTION: R04859</t>
  </si>
  <si>
    <t>KEGG REACTION: R07274</t>
  </si>
  <si>
    <t>2.5.1.17</t>
  </si>
  <si>
    <t>KEGG ENZYME: 2.5.1.17</t>
  </si>
  <si>
    <t>KEGG REACTION: R12183</t>
  </si>
  <si>
    <t>KEGG REACTION: R12184</t>
  </si>
  <si>
    <t>KEGG REACTION: R01492</t>
  </si>
  <si>
    <t>KEGG REACTION: R05220</t>
  </si>
  <si>
    <t>KEGG REACTION: R07268</t>
  </si>
  <si>
    <t>2.5.1.7</t>
  </si>
  <si>
    <t>KEGG ENZYME: 2.5.1.7</t>
  </si>
  <si>
    <t>KEGG REACTION: R00660</t>
  </si>
  <si>
    <t>5.4.2.2</t>
  </si>
  <si>
    <t>KEGG ENZYME: 5.4.2.2</t>
  </si>
  <si>
    <t>KEGG REACTION: R08639</t>
  </si>
  <si>
    <t>C00103</t>
  </si>
  <si>
    <t>KEGG REACTION: R00959</t>
  </si>
  <si>
    <t>C00668</t>
  </si>
  <si>
    <t>KEGG REACTION: R01057</t>
  </si>
  <si>
    <t>C00620</t>
  </si>
  <si>
    <t>C00117</t>
  </si>
  <si>
    <t>KEGG REACTION: R03319</t>
  </si>
  <si>
    <t>C01171</t>
  </si>
  <si>
    <t>C03735</t>
  </si>
  <si>
    <t>6.3.1.5</t>
  </si>
  <si>
    <t>KEGG ENZYME: 6.3.1.5</t>
  </si>
  <si>
    <t>KEGG REACTION: R00189</t>
  </si>
  <si>
    <t>1.17.4.1</t>
  </si>
  <si>
    <t>KEGG ENZYME: 1.17.4.1</t>
  </si>
  <si>
    <t>KEGG REACTION: R04294</t>
  </si>
  <si>
    <t>KEGG REACTION: R02017</t>
  </si>
  <si>
    <t>KEGG REACTION: R02018</t>
  </si>
  <si>
    <t>KEGG REACTION: R02019</t>
  </si>
  <si>
    <t>KEGG REACTION: R02024</t>
  </si>
  <si>
    <t>KEGG REACTION: R08363</t>
  </si>
  <si>
    <t>KEGG REACTION: R08364</t>
  </si>
  <si>
    <t>KEGG REACTION: R11893</t>
  </si>
  <si>
    <t>3.1.3.3</t>
  </si>
  <si>
    <t>KEGG ENZYME: 3.1.3.3</t>
  </si>
  <si>
    <t>KEGG REACTION: R00582</t>
  </si>
  <si>
    <t>KEGG REACTION: R02853</t>
  </si>
  <si>
    <t>3.1.1.29</t>
  </si>
  <si>
    <t>KEGG ENZYME: 3.1.1.29</t>
  </si>
  <si>
    <t>KEGG REACTION: R04238</t>
  </si>
  <si>
    <t>3.6.4.12</t>
  </si>
  <si>
    <t>KEGG ENZYME: 3.6.4.12</t>
  </si>
  <si>
    <t>3.4.21.-</t>
  </si>
  <si>
    <t>KEGG ENZYME: 3.4.21.105</t>
  </si>
  <si>
    <t>5.1.1.3</t>
  </si>
  <si>
    <t>KEGG ENZYME: 5.1.1.3</t>
  </si>
  <si>
    <t>KEGG REACTION: R00260</t>
  </si>
  <si>
    <t>C00025</t>
  </si>
  <si>
    <t>C00217</t>
  </si>
  <si>
    <t>2.7.7.56</t>
  </si>
  <si>
    <t>KEGG ENZYME: 2.7.7.56</t>
  </si>
  <si>
    <t>KEGG REACTION: R07285</t>
  </si>
  <si>
    <t>3.6.1.66</t>
  </si>
  <si>
    <t>KEGG ENZYME: 3.6.1.66</t>
  </si>
  <si>
    <t>KEGG REACTION: R00720</t>
  </si>
  <si>
    <t>KEGG REACTION: R02720</t>
  </si>
  <si>
    <t>KEGG REACTION: R03531</t>
  </si>
  <si>
    <t>KEGG REACTION: R08243</t>
  </si>
  <si>
    <t>3.4.24.-</t>
  </si>
  <si>
    <t>2.3.1.85</t>
  </si>
  <si>
    <t>KEGG ENZYME: 2.3.1.85</t>
  </si>
  <si>
    <t>KEGG REACTION: R05188</t>
  </si>
  <si>
    <t>KEGG REACTION: R01624</t>
  </si>
  <si>
    <t>KEGG REACTION: R01626</t>
  </si>
  <si>
    <t>KEGG REACTION: R01706</t>
  </si>
  <si>
    <t>KEGG REACTION: R04355</t>
  </si>
  <si>
    <t>KEGG REACTION: R04428</t>
  </si>
  <si>
    <t>C04618</t>
  </si>
  <si>
    <t>KEGG REACTION: R04430</t>
  </si>
  <si>
    <t>KEGG REACTION: R04533</t>
  </si>
  <si>
    <t>KEGG REACTION: R04534</t>
  </si>
  <si>
    <t>KEGG REACTION: R04535</t>
  </si>
  <si>
    <t xml:space="preserve">C04619 </t>
  </si>
  <si>
    <t>KEGG REACTION: R04536</t>
  </si>
  <si>
    <t>KEGG REACTION: R04537</t>
  </si>
  <si>
    <t xml:space="preserve">C04620 </t>
  </si>
  <si>
    <t>KEGG REACTION: R04543</t>
  </si>
  <si>
    <t>KEGG REACTION: R04544</t>
  </si>
  <si>
    <t xml:space="preserve">C04633 </t>
  </si>
  <si>
    <t>KEGG REACTION: R04566</t>
  </si>
  <si>
    <t>KEGG REACTION: R04568</t>
  </si>
  <si>
    <t xml:space="preserve">C04688  </t>
  </si>
  <si>
    <t>KEGG REACTION: R04725</t>
  </si>
  <si>
    <t>KEGG REACTION: R04726</t>
  </si>
  <si>
    <t>KEGG REACTION: R04952</t>
  </si>
  <si>
    <t>KEGG REACTION: R04953</t>
  </si>
  <si>
    <t>KEGG REACTION: R04954</t>
  </si>
  <si>
    <t xml:space="preserve">C05747  </t>
  </si>
  <si>
    <t>KEGG REACTION: R04956</t>
  </si>
  <si>
    <t>KEGG REACTION: R04957</t>
  </si>
  <si>
    <t>KEGG REACTION: R04959</t>
  </si>
  <si>
    <t>KEGG REACTION: R04960</t>
  </si>
  <si>
    <t>KEGG REACTION: R04962</t>
  </si>
  <si>
    <t>KEGG REACTION: R04963</t>
  </si>
  <si>
    <t>KEGG REACTION: R04964</t>
  </si>
  <si>
    <t>KEGG REACTION: R04965</t>
  </si>
  <si>
    <t xml:space="preserve">C05757  </t>
  </si>
  <si>
    <t>KEGG REACTION: R04967</t>
  </si>
  <si>
    <t>KEGG REACTION: R04968</t>
  </si>
  <si>
    <t>KEGG REACTION: R04970</t>
  </si>
  <si>
    <t>2.7.8.7</t>
  </si>
  <si>
    <t>KEGG ENZYME: 2.7.8.7</t>
  </si>
  <si>
    <t>KEGG REACTION: R01625</t>
  </si>
  <si>
    <t>1.11.1.24</t>
  </si>
  <si>
    <t>KEGG ENZYME: 1.11.1.24</t>
  </si>
  <si>
    <t>KEGG REACTION: R12570</t>
  </si>
  <si>
    <t>5.3.1.12</t>
  </si>
  <si>
    <t>KEGG ENZYME: 5.3.1.12</t>
  </si>
  <si>
    <t>KEGG REACTION: R01482</t>
  </si>
  <si>
    <t xml:space="preserve">C00191 </t>
  </si>
  <si>
    <t>C00905</t>
  </si>
  <si>
    <t>KEGG REACTION: R01983</t>
  </si>
  <si>
    <t>C00333</t>
  </si>
  <si>
    <t>C00558</t>
  </si>
  <si>
    <t>2.3.2.-</t>
  </si>
  <si>
    <t>5.3.1.-</t>
  </si>
  <si>
    <t>4.99.1.12</t>
  </si>
  <si>
    <t>KEGG ENZYME: 4.99.1.12</t>
  </si>
  <si>
    <t>KEGG REACTION: R11921</t>
  </si>
  <si>
    <t>C21769</t>
  </si>
  <si>
    <t>3.1.3.1</t>
  </si>
  <si>
    <t>KEGG ENZYME: 3.1.3.1</t>
  </si>
  <si>
    <t>KEGG REACTION: R00626</t>
  </si>
  <si>
    <t>KEGG REACTION: R02135</t>
  </si>
  <si>
    <t>KEGG REACTION: R03024</t>
  </si>
  <si>
    <t>KEGG REACTION: R01010</t>
  </si>
  <si>
    <t>KEGG REACTION: R04620</t>
  </si>
  <si>
    <t>2.5.1.48</t>
  </si>
  <si>
    <t>KEGG ENZYME: 2.5.1.48</t>
  </si>
  <si>
    <t>KEGG REACTION: R03260</t>
  </si>
  <si>
    <t>KEGG REACTION: R00999</t>
  </si>
  <si>
    <t>KEGG REACTION: R01288</t>
  </si>
  <si>
    <t>KEGG REACTION: R02508</t>
  </si>
  <si>
    <t>KEGG REACTION: R03217</t>
  </si>
  <si>
    <t>KEGG REACTION: R04944</t>
  </si>
  <si>
    <t>KEGG REACTION: R04945</t>
  </si>
  <si>
    <t>KEGG REACTION: R04946</t>
  </si>
  <si>
    <t>7.4.2.-</t>
  </si>
  <si>
    <t>3.4.11.2</t>
  </si>
  <si>
    <t>KEGG ENZYME: 3.4.11.2</t>
  </si>
  <si>
    <t>KEGG REACTION: R00899</t>
  </si>
  <si>
    <t>KEGG REACTION: R04951</t>
  </si>
  <si>
    <t>5.3.1.6</t>
  </si>
  <si>
    <t>KEGG ENZYME: 5.3.1.6</t>
  </si>
  <si>
    <t>KEGG REACTION: R01056</t>
  </si>
  <si>
    <t>C00199</t>
  </si>
  <si>
    <t>KEGG REACTION: R09030</t>
  </si>
  <si>
    <t>C02962</t>
  </si>
  <si>
    <t>C18096</t>
  </si>
  <si>
    <t>C03798</t>
  </si>
  <si>
    <t>C03633</t>
  </si>
  <si>
    <t>KEGG ENZYME: 5.2.1.8</t>
  </si>
  <si>
    <t>1.3.1.25</t>
  </si>
  <si>
    <t>KEGG ENZYME: 1.3.1.25</t>
  </si>
  <si>
    <t>KEGG REACTION: R00813</t>
  </si>
  <si>
    <t>KEGG REACTION: R08111</t>
  </si>
  <si>
    <t>KEGG REACTION: R08112</t>
  </si>
  <si>
    <t>KEGG REACTION: R08113</t>
  </si>
  <si>
    <t>1.14.12.10</t>
  </si>
  <si>
    <t>KEGG ENZYME: 1.14.12.10</t>
  </si>
  <si>
    <t>KEGG REACTION: R07188</t>
  </si>
  <si>
    <t>KEGG REACTION: R05621</t>
  </si>
  <si>
    <t>KEGG REACTION: R05622</t>
  </si>
  <si>
    <t>KEGG REACTION: R08100</t>
  </si>
  <si>
    <t>KEGG REACTION: R08101</t>
  </si>
  <si>
    <t>KEGG REACTION: R08108</t>
  </si>
  <si>
    <t>KEGG REACTION: R08109</t>
  </si>
  <si>
    <t>KEGG REACTION: R08110</t>
  </si>
  <si>
    <t>1.13.11.1</t>
  </si>
  <si>
    <t>KEGG ENZYME: 1.13.11.1</t>
  </si>
  <si>
    <t>KEGG REACTION: R00817</t>
  </si>
  <si>
    <t>C02480</t>
  </si>
  <si>
    <t>KEGG REACTION: R04258</t>
  </si>
  <si>
    <t>C03585</t>
  </si>
  <si>
    <t>KEGG REACTION: R05299</t>
  </si>
  <si>
    <t>C04112</t>
  </si>
  <si>
    <t>KEGG REACTION: R08114</t>
  </si>
  <si>
    <t>C16475</t>
  </si>
  <si>
    <t>KEGG REACTION: R08115</t>
  </si>
  <si>
    <t>C16474</t>
  </si>
  <si>
    <t>KEGG REACTION: R09134</t>
  </si>
  <si>
    <t>C18241</t>
  </si>
  <si>
    <t>5.3.3.4</t>
  </si>
  <si>
    <t>KEGG ENZYME: 5.3.3.4</t>
  </si>
  <si>
    <t>KEGG REACTION: R06990</t>
  </si>
  <si>
    <t>C03586</t>
  </si>
  <si>
    <t>C14610</t>
  </si>
  <si>
    <t>KEGG REACTION: R04260</t>
  </si>
  <si>
    <t>C04105</t>
  </si>
  <si>
    <t>1.13.11.3</t>
  </si>
  <si>
    <t>KEGG ENZYME: 1.13.11.3</t>
  </si>
  <si>
    <t>KEGG REACTION: R01631</t>
  </si>
  <si>
    <t>C01163</t>
  </si>
  <si>
    <t>KEGG REACTION: R03549</t>
  </si>
  <si>
    <t>5.5.1.2</t>
  </si>
  <si>
    <t>KEGG ENZYME: 5.5.1.2</t>
  </si>
  <si>
    <t>KEGG REACTION: R03307</t>
  </si>
  <si>
    <t>C01278</t>
  </si>
  <si>
    <t>4.1.1.44</t>
  </si>
  <si>
    <t>KEGG ENZYME: 4.1.1.44</t>
  </si>
  <si>
    <t>KEGG REACTION: R03470</t>
  </si>
  <si>
    <t>3.1.1.24</t>
  </si>
  <si>
    <t>KEGG ENZYME: 3.1.1.24</t>
  </si>
  <si>
    <t>KEGG REACTION: R02991</t>
  </si>
  <si>
    <t>C00846</t>
  </si>
  <si>
    <t>2.3.1.9</t>
  </si>
  <si>
    <t>KEGG ENZYME: 2.3.1.9</t>
  </si>
  <si>
    <t>KEGG REACTION: R00238</t>
  </si>
  <si>
    <t>C00024</t>
  </si>
  <si>
    <t>KEGG REACTION: R00927</t>
  </si>
  <si>
    <t>KEGG REACTION: R01177</t>
  </si>
  <si>
    <t>1.1.1.37</t>
  </si>
  <si>
    <t>KEGG ENZYME: 1.1.1.37</t>
  </si>
  <si>
    <t>KEGG REACTION: R00342</t>
  </si>
  <si>
    <t>KEGG REACTION: R03431</t>
  </si>
  <si>
    <t>KEGG REACTION: R07136</t>
  </si>
  <si>
    <t>6.1.1.9</t>
  </si>
  <si>
    <t>KEGG ENZYME: 6.1.1.9</t>
  </si>
  <si>
    <t>KEGG REACTION: R03665</t>
  </si>
  <si>
    <t>6.3.2.12</t>
  </si>
  <si>
    <t>6.3.2.17</t>
  </si>
  <si>
    <t>KEGG ENZYME: 6.3.2.12</t>
  </si>
  <si>
    <t>KEGG REACTION: R02237</t>
  </si>
  <si>
    <t>KEGG REACTION: R01654</t>
  </si>
  <si>
    <t>KEGG ENZYME: 6.3.2.17</t>
  </si>
  <si>
    <t>KEGG REACTION: R04241</t>
  </si>
  <si>
    <t>KEGG REACTION: R00942</t>
  </si>
  <si>
    <t>KEGG REACTION: R05197</t>
  </si>
  <si>
    <t>2.7.4.6</t>
  </si>
  <si>
    <t>KEGG ENZYME: 2.7.4.6</t>
  </si>
  <si>
    <t>KEGG REACTION: R00331</t>
  </si>
  <si>
    <t>KEGG REACTION: R00124</t>
  </si>
  <si>
    <t>KEGG REACTION: R00139</t>
  </si>
  <si>
    <t>KEGG REACTION: R00156</t>
  </si>
  <si>
    <t>KEGG REACTION: R00330</t>
  </si>
  <si>
    <t>KEGG REACTION: R00570</t>
  </si>
  <si>
    <t>KEGG REACTION: R00722</t>
  </si>
  <si>
    <t>KEGG REACTION: R01137</t>
  </si>
  <si>
    <t>KEGG REACTION: R01857</t>
  </si>
  <si>
    <t>KEGG REACTION: R02093</t>
  </si>
  <si>
    <t>KEGG REACTION: R02326</t>
  </si>
  <si>
    <t>KEGG REACTION: R02331</t>
  </si>
  <si>
    <t>KEGG REACTION: R03530</t>
  </si>
  <si>
    <t>KEGG REACTION: R12853</t>
  </si>
  <si>
    <t>KEGG REACTION: R11894</t>
  </si>
  <si>
    <t>KEGG REACTION: R11895</t>
  </si>
  <si>
    <t>2.7.2.11</t>
  </si>
  <si>
    <t>KEGG ENZYME: 2.7.2.11</t>
  </si>
  <si>
    <t>KEGG REACTION: R00239</t>
  </si>
  <si>
    <t>1.2.1.41</t>
  </si>
  <si>
    <t>KEGG ENZYME: 1.2.1.41</t>
  </si>
  <si>
    <t>KEGG REACTION: R03313</t>
  </si>
  <si>
    <t>2.7.7.18</t>
  </si>
  <si>
    <t>KEGG ENZYME: 2.7.7.18</t>
  </si>
  <si>
    <t>KEGG REACTION: R03005</t>
  </si>
  <si>
    <t>KEGG REACTION: R00137</t>
  </si>
  <si>
    <t>3.6.5.n1</t>
  </si>
  <si>
    <t>4.1.3.1</t>
  </si>
  <si>
    <t>KEGG ENZYME: 4.1.3.1</t>
  </si>
  <si>
    <t>KEGG REACTION: R00479</t>
  </si>
  <si>
    <t>C00311</t>
  </si>
  <si>
    <t>2.3.3.9</t>
  </si>
  <si>
    <t>KEGG ENZYME: 2.3.3.9</t>
  </si>
  <si>
    <t>KEGG REACTION: R00472</t>
  </si>
  <si>
    <t>5.1.3.15</t>
  </si>
  <si>
    <t>KEGG ENZYME: 5.1.3.15</t>
  </si>
  <si>
    <t>KEGG REACTION: R02739</t>
  </si>
  <si>
    <t>7.-.-.-</t>
  </si>
  <si>
    <t>4.4.1.13</t>
  </si>
  <si>
    <t>KEGG ENZYME: 4.4.1.13</t>
  </si>
  <si>
    <t>KEGG REACTION: R12188</t>
  </si>
  <si>
    <t>KEGG REACTION: R01286</t>
  </si>
  <si>
    <t>KEGG REACTION: R02408</t>
  </si>
  <si>
    <t>KEGG REACTION: R02953</t>
  </si>
  <si>
    <t>KEGG REACTION: R03528</t>
  </si>
  <si>
    <t>KEGG REACTION: R00782</t>
  </si>
  <si>
    <t>KEGG REACTION: R04941</t>
  </si>
  <si>
    <t>KEGG REACTION: R09366</t>
  </si>
  <si>
    <t>5.3.3.2</t>
  </si>
  <si>
    <t>KEGG ENZYME: 5.3.3.2</t>
  </si>
  <si>
    <t>KEGG REACTION: R01123</t>
  </si>
  <si>
    <t>C00129</t>
  </si>
  <si>
    <t>C00235</t>
  </si>
  <si>
    <t>5.4.99.16</t>
  </si>
  <si>
    <t>KEGG ENZYME: 5.4.99.16</t>
  </si>
  <si>
    <t>KEGG REACTION: R01557</t>
  </si>
  <si>
    <t>C00208</t>
  </si>
  <si>
    <t>C01083</t>
  </si>
  <si>
    <t>KEGG REACTION: R06218</t>
  </si>
  <si>
    <t>G00275</t>
  </si>
  <si>
    <t>G00293</t>
  </si>
  <si>
    <t>2.4.1.25</t>
  </si>
  <si>
    <t>KEGG ENZYME: 2.4.1.25</t>
  </si>
  <si>
    <t>KEGG REACTION: R05196</t>
  </si>
  <si>
    <t>KEGG REACTION: R06069</t>
  </si>
  <si>
    <t>G10495</t>
  </si>
  <si>
    <t>6.2.1.-</t>
  </si>
  <si>
    <t>2.1.1.193</t>
  </si>
  <si>
    <t>KEGG ENZYME: 2.1.1.193</t>
  </si>
  <si>
    <t>6.1.1.14</t>
  </si>
  <si>
    <t>KEGG ENZYME: 6.1.1.14</t>
  </si>
  <si>
    <t>KEGG REACTION: R03654</t>
  </si>
  <si>
    <t>2.6.1.16</t>
  </si>
  <si>
    <t>KEGG ENZYME: 2.6.1.16</t>
  </si>
  <si>
    <t>KEGG REACTION: R00768</t>
  </si>
  <si>
    <t>1.2.4.1</t>
  </si>
  <si>
    <t>KEGG ENZYME: 1.2.4.1</t>
  </si>
  <si>
    <t>KEGG REACTION: R01699</t>
  </si>
  <si>
    <t>KEGG REACTION: R00014</t>
  </si>
  <si>
    <t>KEGG REACTION: R03270</t>
  </si>
  <si>
    <t>3.1.3.48</t>
  </si>
  <si>
    <t>KEGG ENZYME: 3.1.3.48</t>
  </si>
  <si>
    <t>KEGG REACTION: R02585</t>
  </si>
  <si>
    <t>3.6.1.25</t>
  </si>
  <si>
    <t>KEGG ENZYME: 3.6.1.25</t>
  </si>
  <si>
    <t>KEGG REACTION: R00138</t>
  </si>
  <si>
    <t>2.7.7.42</t>
  </si>
  <si>
    <t>2.7.7.89</t>
  </si>
  <si>
    <t>KEGG ENZYME: 2.7.7.42</t>
  </si>
  <si>
    <t>KEGG REACTION: R03473</t>
  </si>
  <si>
    <t>KEGG ENZYME: 2.7.7.89</t>
  </si>
  <si>
    <t>KEGG REACTION: R03474</t>
  </si>
  <si>
    <t>1.14.14.18</t>
  </si>
  <si>
    <t>KEGG ENZYME: 1.14.14.18</t>
  </si>
  <si>
    <t>KEGG REACTION: R00311</t>
  </si>
  <si>
    <t>4.2.3.1</t>
  </si>
  <si>
    <t>KEGG ENZYME: 4.2.3.1</t>
  </si>
  <si>
    <t>KEGG REACTION: R01466</t>
  </si>
  <si>
    <t>KEGG REACTION: R05086</t>
  </si>
  <si>
    <t>6.3.1.2</t>
  </si>
  <si>
    <t>KEGG ENZYME: 6.3.1.2</t>
  </si>
  <si>
    <t>KEGG REACTION: R00253</t>
  </si>
  <si>
    <t>2.8.1.8</t>
  </si>
  <si>
    <t>KEGG ENZYME: 2.8.1.8</t>
  </si>
  <si>
    <t>KEGG REACTION: R07767</t>
  </si>
  <si>
    <t>KEGG REACTION: R12423</t>
  </si>
  <si>
    <t>KEGG REACTION: R12424</t>
  </si>
  <si>
    <t>2.3.1.181</t>
  </si>
  <si>
    <t>KEGG ENZYME: 2.3.1.181</t>
  </si>
  <si>
    <t>KEGG REACTION: R07766</t>
  </si>
  <si>
    <t>KEGG REACTION: R12427</t>
  </si>
  <si>
    <t>KEGG REACTION: R12428</t>
  </si>
  <si>
    <t>KEGG REACTION: R07769</t>
  </si>
  <si>
    <t>3.4.11.1</t>
  </si>
  <si>
    <t>KEGG ENZYME: 3.4.11.1</t>
  </si>
  <si>
    <t>2.6.1.42</t>
  </si>
  <si>
    <t>KEGG ENZYME: 2.6.1.42</t>
  </si>
  <si>
    <t>KEGG REACTION: R01090</t>
  </si>
  <si>
    <t>KEGG REACTION: R01214</t>
  </si>
  <si>
    <t>KEGG REACTION: R02199</t>
  </si>
  <si>
    <t>KEGG REACTION: R10991</t>
  </si>
  <si>
    <t>2.7.8.26</t>
  </si>
  <si>
    <t>KEGG ENZYME: 2.7.8.26</t>
  </si>
  <si>
    <t>KEGG REACTION: R05223</t>
  </si>
  <si>
    <t>KEGG REACTION: R11174</t>
  </si>
  <si>
    <t>2.4.2.21</t>
  </si>
  <si>
    <t>KEGG ENZYME: 2.4.2.21</t>
  </si>
  <si>
    <t>KEGG REACTION: R04148</t>
  </si>
  <si>
    <t>2.7.1.156</t>
  </si>
  <si>
    <t>2.7.7.62</t>
  </si>
  <si>
    <t>KEGG ENZYME: 2.7.1.156</t>
  </si>
  <si>
    <t>KEGG REACTION: R05221</t>
  </si>
  <si>
    <t>KEGG REACTION: R06558</t>
  </si>
  <si>
    <t>KEGG ENZYME: 2.7.7.62</t>
  </si>
  <si>
    <t>KEGG REACTION: R05222</t>
  </si>
  <si>
    <t>6.3.5.4</t>
  </si>
  <si>
    <t>KEGG ENZYME: 6.3.5.4</t>
  </si>
  <si>
    <t>KEGG REACTION: R00483</t>
  </si>
  <si>
    <t>KEGG REACTION: R00578</t>
  </si>
  <si>
    <t>7.1.1.8</t>
  </si>
  <si>
    <t>KEGG ENZYME: 7.1.1.8</t>
  </si>
  <si>
    <t>KEGG REACTION: R13224</t>
  </si>
  <si>
    <t>KEGG REACTION: R02161</t>
  </si>
  <si>
    <t>2.4.1.346</t>
  </si>
  <si>
    <t>KEGG ENZYME: 2.4.1.346</t>
  </si>
  <si>
    <t>KEGG REACTION: R11703</t>
  </si>
  <si>
    <t>KEGG REACTION: R11704</t>
  </si>
  <si>
    <t>KEGG REACTION: R12040</t>
  </si>
  <si>
    <t>KEGG REACTION: R12041</t>
  </si>
  <si>
    <t>2.7.1.2</t>
  </si>
  <si>
    <t>KEGG ENZYME: 2.7.1.2</t>
  </si>
  <si>
    <t>KEGG REACTION: R00299</t>
  </si>
  <si>
    <t>KEGG REACTION: R01600</t>
  </si>
  <si>
    <t>KEGG REACTION: R01786</t>
  </si>
  <si>
    <t>2.5.1.54</t>
  </si>
  <si>
    <t>KEGG ENZYME: 2.5.1.54</t>
  </si>
  <si>
    <t>KEGG REACTION: R01826</t>
  </si>
  <si>
    <t>1.5.1.20</t>
  </si>
  <si>
    <t>KEGG ENZYME: 1.5.1.20</t>
  </si>
  <si>
    <t>KEGG REACTION: R01224</t>
  </si>
  <si>
    <t>KEGG REACTION: R07168</t>
  </si>
  <si>
    <t>2.1.1.199</t>
  </si>
  <si>
    <t>KEGG ENZYME: 2.1.1.199</t>
  </si>
  <si>
    <t>6.3.2.13</t>
  </si>
  <si>
    <t>KEGG ENZYME: 6.3.2.13</t>
  </si>
  <si>
    <t>KEGG REACTION: R02788</t>
  </si>
  <si>
    <t>6.3.2.10</t>
  </si>
  <si>
    <t>KEGG ENZYME: 6.3.2.10</t>
  </si>
  <si>
    <t>KEGG REACTION: R04573</t>
  </si>
  <si>
    <t>KEGG REACTION: R04617</t>
  </si>
  <si>
    <t>2.7.8.13</t>
  </si>
  <si>
    <t>KEGG ENZYME: 2.7.8.13</t>
  </si>
  <si>
    <t>KEGG REACTION: R05629</t>
  </si>
  <si>
    <t>KEGG REACTION: R05630</t>
  </si>
  <si>
    <t>6.3.2.9</t>
  </si>
  <si>
    <t>KEGG ENZYME: 6.3.2.9</t>
  </si>
  <si>
    <t>KEGG REACTION: R02783</t>
  </si>
  <si>
    <t>2.4.1.227</t>
  </si>
  <si>
    <t>KEGG ENZYME: 2.4.1.227</t>
  </si>
  <si>
    <t>KEGG REACTION: R05662</t>
  </si>
  <si>
    <t>KEGG REACTION: R06173</t>
  </si>
  <si>
    <t>KEGG REACTION: R05032</t>
  </si>
  <si>
    <t>KEGG REACTION: R06172</t>
  </si>
  <si>
    <t>KEGG REACTION: R06174</t>
  </si>
  <si>
    <t>6.3.2.8</t>
  </si>
  <si>
    <t>KEGG ENZYME: 6.3.2.8</t>
  </si>
  <si>
    <t>KEGG REACTION: R03193</t>
  </si>
  <si>
    <t>6.1.1.5</t>
  </si>
  <si>
    <t>KEGG ENZYME: 6.1.1.5</t>
  </si>
  <si>
    <t>KEGG REACTION: R03656</t>
  </si>
  <si>
    <t>KEGG ENZYME: 2.7.7.7</t>
  </si>
  <si>
    <t>KEGG REACTION: R00379</t>
  </si>
  <si>
    <t>KEGG REACTION: R00375</t>
  </si>
  <si>
    <t>KEGG REACTION: R00376</t>
  </si>
  <si>
    <t>KEGG REACTION: R00377</t>
  </si>
  <si>
    <t>KEGG REACTION: R00378</t>
  </si>
  <si>
    <t>KEGG REACTION: R11029</t>
  </si>
  <si>
    <t>C11039</t>
  </si>
  <si>
    <t>C21031</t>
  </si>
  <si>
    <t>3.5.1.-</t>
  </si>
  <si>
    <t>3.4.23.36</t>
  </si>
  <si>
    <t>KEGG ENZYME: 3.4.23.36</t>
  </si>
  <si>
    <t>4.3.1.19</t>
  </si>
  <si>
    <t>KEGG ENZYME: 4.3.1.19</t>
  </si>
  <si>
    <t>KEGG REACTION: R00996</t>
  </si>
  <si>
    <t>C00188</t>
  </si>
  <si>
    <t>KEGG REACTION: R11098</t>
  </si>
  <si>
    <t>KEGG REACTION: R11101</t>
  </si>
  <si>
    <t>C17234</t>
  </si>
  <si>
    <t>C20905</t>
  </si>
  <si>
    <t>KEGG REACTION: R00220</t>
  </si>
  <si>
    <t>C00065</t>
  </si>
  <si>
    <t>KEGG REACTION: R06131</t>
  </si>
  <si>
    <t>C05167</t>
  </si>
  <si>
    <t>3.2.1.141</t>
  </si>
  <si>
    <t>KEGG ENZYME: 3.2.1.141</t>
  </si>
  <si>
    <t>KEGG REACTION: R11256</t>
  </si>
  <si>
    <t>2.7.6.5</t>
  </si>
  <si>
    <t>KEGG ENZYME: 2.7.6.5</t>
  </si>
  <si>
    <t>KEGG REACTION: R00429</t>
  </si>
  <si>
    <t>5.4.99.15</t>
  </si>
  <si>
    <t>KEGG ENZYME: 5.4.99.15</t>
  </si>
  <si>
    <t>KEGG REACTION: R01824</t>
  </si>
  <si>
    <t>C01935</t>
  </si>
  <si>
    <t>C06400</t>
  </si>
  <si>
    <t>KEGG REACTION: R06243</t>
  </si>
  <si>
    <t>G10589</t>
  </si>
  <si>
    <t>3.2.1.196</t>
  </si>
  <si>
    <t>KEGG ENZYME: 3.2.1.196</t>
  </si>
  <si>
    <t>1.1.1.23</t>
  </si>
  <si>
    <t>KEGG ENZYME: 1.1.1.23</t>
  </si>
  <si>
    <t>KEGG REACTION: R01158</t>
  </si>
  <si>
    <t>KEGG REACTION: R01163</t>
  </si>
  <si>
    <t>KEGG REACTION: R03012</t>
  </si>
  <si>
    <t>2.6.1.9</t>
  </si>
  <si>
    <t>KEGG ENZYME: 2.6.1.9</t>
  </si>
  <si>
    <t>KEGG REACTION: R03243</t>
  </si>
  <si>
    <t>KEGG REACTION: R00694</t>
  </si>
  <si>
    <t>KEGG REACTION: R00734</t>
  </si>
  <si>
    <t>4.2.1.19</t>
  </si>
  <si>
    <t>KEGG ENZYME: 4.2.1.19</t>
  </si>
  <si>
    <t>KEGG REACTION: R03457</t>
  </si>
  <si>
    <t>C04666</t>
  </si>
  <si>
    <t>4.3.2.10</t>
  </si>
  <si>
    <t>KEGG ENZYME: 4.3.2.10</t>
  </si>
  <si>
    <t>KEGG REACTION: R04558</t>
  </si>
  <si>
    <t>KEGG REACTION: R12152</t>
  </si>
  <si>
    <t>5.3.1.16</t>
  </si>
  <si>
    <t>KEGG ENZYME: 5.3.1.16</t>
  </si>
  <si>
    <t>KEGG REACTION: R04640</t>
  </si>
  <si>
    <t>C04896</t>
  </si>
  <si>
    <t>C04916</t>
  </si>
  <si>
    <t>3.5.4.19</t>
  </si>
  <si>
    <t>KEGG ENZYME: 3.5.4.19</t>
  </si>
  <si>
    <t>KEGG REACTION: R04037</t>
  </si>
  <si>
    <t>2.5.1.145</t>
  </si>
  <si>
    <t>KEGG ENZYME: 2.5.1.145</t>
  </si>
  <si>
    <t>2.7.1.40</t>
  </si>
  <si>
    <t>KEGG ENZYME: 2.7.1.40</t>
  </si>
  <si>
    <t>KEGG REACTION: R00200</t>
  </si>
  <si>
    <t>KEGG REACTION: R00430</t>
  </si>
  <si>
    <t>KEGG REACTION: R00572</t>
  </si>
  <si>
    <t>KEGG REACTION: R00659</t>
  </si>
  <si>
    <t>KEGG REACTION: R00724</t>
  </si>
  <si>
    <t>KEGG REACTION: R01138</t>
  </si>
  <si>
    <t>KEGG REACTION: R01858</t>
  </si>
  <si>
    <t>KEGG REACTION: R02320</t>
  </si>
  <si>
    <t>2.7.1.31</t>
  </si>
  <si>
    <t>KEGG ENZYME: 2.7.1.31</t>
  </si>
  <si>
    <t>KEGG REACTION: R01514</t>
  </si>
  <si>
    <t>1.4.1.4</t>
  </si>
  <si>
    <t>KEGG ENZYME: 1.4.1.4</t>
  </si>
  <si>
    <t>KEGG REACTION: R00248</t>
  </si>
  <si>
    <t>KEGG REACTION: R00145</t>
  </si>
  <si>
    <t>KEGG REACTION: R00146</t>
  </si>
  <si>
    <t>7.1.2.2</t>
  </si>
  <si>
    <t>KEGG ENZYME: 7.1.2.2</t>
  </si>
  <si>
    <t>KEGG REACTION: R00086</t>
  </si>
  <si>
    <t>3.1.26.3</t>
  </si>
  <si>
    <t>KEGG ENZYME: 3.1.26.3</t>
  </si>
  <si>
    <t>3.2.2.23</t>
  </si>
  <si>
    <t>4.2.99.18</t>
  </si>
  <si>
    <t>KEGG ENZYME: 3.2.2.23</t>
  </si>
  <si>
    <t>KEGG ENZYME: 4.2.99.18</t>
  </si>
  <si>
    <t>3.6.1.7</t>
  </si>
  <si>
    <t>KEGG ENZYME: 3.6.1.7</t>
  </si>
  <si>
    <t>KEGG REACTION: R00539</t>
  </si>
  <si>
    <t>KEGG REACTION: R00317</t>
  </si>
  <si>
    <t>KEGG REACTION: R01421</t>
  </si>
  <si>
    <t>KEGG REACTION: R01515</t>
  </si>
  <si>
    <t>2.7.7.59</t>
  </si>
  <si>
    <t>KEGG ENZYME: 2.7.7.59</t>
  </si>
  <si>
    <t>KEGG REACTION: R04733</t>
  </si>
  <si>
    <t>2.1.1.228</t>
  </si>
  <si>
    <t>KEGG ENZYME: 2.1.1.228</t>
  </si>
  <si>
    <t>KEGG REACTION: R00597</t>
  </si>
  <si>
    <t>2.8.1.10</t>
  </si>
  <si>
    <t>KEGG ENZYME: 2.8.1.10</t>
  </si>
  <si>
    <t>KEGG REACTION: R10247</t>
  </si>
  <si>
    <t>1.4.3.19</t>
  </si>
  <si>
    <t>KEGG ENZYME: 1.4.3.19</t>
  </si>
  <si>
    <t>KEGG REACTION: R00366</t>
  </si>
  <si>
    <t>KEGG REACTION: R07463</t>
  </si>
  <si>
    <t>KEGG REACTION: R10245</t>
  </si>
  <si>
    <t>KEGG REACTION: R05861</t>
  </si>
  <si>
    <t>KEGG REACTION: R05862</t>
  </si>
  <si>
    <t>KEGG REACTION: R05863</t>
  </si>
  <si>
    <t>2.5.1.3</t>
  </si>
  <si>
    <t>KEGG ENZYME: 2.5.1.3</t>
  </si>
  <si>
    <t>KEGG REACTION: R03223</t>
  </si>
  <si>
    <t>KEGG REACTION: R10712</t>
  </si>
  <si>
    <t>KEGG REACTION: R11312</t>
  </si>
  <si>
    <t>3.4.21.89</t>
  </si>
  <si>
    <t>KEGG ENZYME: 3.4.21.89</t>
  </si>
  <si>
    <t>3.1.26.4</t>
  </si>
  <si>
    <t>KEGG ENZYME: 3.1.26.4</t>
  </si>
  <si>
    <t>2.7.4.22</t>
  </si>
  <si>
    <t>KEGG ENZYME: 2.7.4.22</t>
  </si>
  <si>
    <t>KEGG REACTION: R00158</t>
  </si>
  <si>
    <t>2.7.7.41</t>
  </si>
  <si>
    <t>KEGG ENZYME: 2.7.7.41</t>
  </si>
  <si>
    <t>KEGG REACTION: R01799</t>
  </si>
  <si>
    <t>2.1.1.192</t>
  </si>
  <si>
    <t>KEGG ENZYME: 2.1.1.192</t>
  </si>
  <si>
    <t>1.1.1.267</t>
  </si>
  <si>
    <t>KEGG ENZYME: 1.1.1.267</t>
  </si>
  <si>
    <t>KEGG REACTION: R05688</t>
  </si>
  <si>
    <t>1.17.7.1</t>
  </si>
  <si>
    <t>KEGG ENZYME: 1.17.7.1</t>
  </si>
  <si>
    <t>KEGG REACTION: R08689</t>
  </si>
  <si>
    <t>3.4.11.18</t>
  </si>
  <si>
    <t>KEGG ENZYME: 3.4.11.18</t>
  </si>
  <si>
    <t>1.8.1.15</t>
  </si>
  <si>
    <t>KEGG ENZYME: 1.8.1.15</t>
  </si>
  <si>
    <t>KEGG REACTION: R05715</t>
  </si>
  <si>
    <t>KEGG REACTION: R05716</t>
  </si>
  <si>
    <t>KEGG REACTION: R06289</t>
  </si>
  <si>
    <t>KEGG REACTION: R06290</t>
  </si>
  <si>
    <t>1.1.5.4</t>
  </si>
  <si>
    <t>KEGG ENZYME: 1.1.5.4</t>
  </si>
  <si>
    <t>KEGG REACTION: R00361</t>
  </si>
  <si>
    <t>KEGG REACTION: R00360</t>
  </si>
  <si>
    <t>KEGG REACTION: R01257</t>
  </si>
  <si>
    <t>2.7.7.108</t>
  </si>
  <si>
    <t>KEGG ENZYME: 2.7.7.108</t>
  </si>
  <si>
    <t>2.1.1.107</t>
  </si>
  <si>
    <t>KEGG ENZYME: 2.1.1.107</t>
  </si>
  <si>
    <t>KEGG REACTION: R03194</t>
  </si>
  <si>
    <t>KEGG REACTION: R07237</t>
  </si>
  <si>
    <t>KEGG REACTION: R07238</t>
  </si>
  <si>
    <t>KEGG REACTION: R03950</t>
  </si>
  <si>
    <t>6.1.1.15</t>
  </si>
  <si>
    <t>KEGG ENZYME: 6.1.1.15</t>
  </si>
  <si>
    <t>KEGG REACTION: R03661</t>
  </si>
  <si>
    <t>5.4.99.25</t>
  </si>
  <si>
    <t>KEGG ENZYME: 5.4.99.25</t>
  </si>
  <si>
    <t>2.7.1.26</t>
  </si>
  <si>
    <t>2.7.7.2</t>
  </si>
  <si>
    <t>KEGG ENZYME: 2.7.1.26</t>
  </si>
  <si>
    <t>KEGG REACTION: R00549</t>
  </si>
  <si>
    <t>KEGG ENZYME: 2.7.7.2</t>
  </si>
  <si>
    <t>KEGG REACTION: R00161</t>
  </si>
  <si>
    <t>2.7.7.8</t>
  </si>
  <si>
    <t>KEGG ENZYME: 2.7.7.8</t>
  </si>
  <si>
    <t>KEGG REACTION: R07282</t>
  </si>
  <si>
    <t>KEGG REACTION: R00437</t>
  </si>
  <si>
    <t>KEGG REACTION: R00438</t>
  </si>
  <si>
    <t>KEGG REACTION: R00439</t>
  </si>
  <si>
    <t>KEGG REACTION: R00440</t>
  </si>
  <si>
    <t>1.17.1.8</t>
  </si>
  <si>
    <t>KEGG ENZYME: 1.17.1.8</t>
  </si>
  <si>
    <t>KEGG REACTION: R04198</t>
  </si>
  <si>
    <t>KEGG REACTION: R04199</t>
  </si>
  <si>
    <t>2.1.1.148</t>
  </si>
  <si>
    <t>KEGG ENZYME: 2.1.1.148</t>
  </si>
  <si>
    <t>KEGG REACTION: R06613</t>
  </si>
  <si>
    <t>4.3.3.7</t>
  </si>
  <si>
    <t>KEGG ENZYME: 4.3.3.7</t>
  </si>
  <si>
    <t>KEGG REACTION: R10147</t>
  </si>
  <si>
    <t>2.7.8.5</t>
  </si>
  <si>
    <t>KEGG ENZYME: 2.7.8.5</t>
  </si>
  <si>
    <t>KEGG REACTION: R01801</t>
  </si>
  <si>
    <t>2.8.4.3</t>
  </si>
  <si>
    <t>KEGG ENZYME: 2.8.4.3</t>
  </si>
  <si>
    <t>KEGG REACTION: R10645</t>
  </si>
  <si>
    <t>KEGG REACTION: R10646</t>
  </si>
  <si>
    <t>KEGG REACTION: R10647</t>
  </si>
  <si>
    <t>2.5.1.75</t>
  </si>
  <si>
    <t>KEGG ENZYME: 2.5.1.75</t>
  </si>
  <si>
    <t>KEGG REACTION: R01122</t>
  </si>
  <si>
    <t>5.1.1.7</t>
  </si>
  <si>
    <t>KEGG ENZYME: 5.1.1.7</t>
  </si>
  <si>
    <t>KEGG REACTION: R02735</t>
  </si>
  <si>
    <t>C00666</t>
  </si>
  <si>
    <t>C00680</t>
  </si>
  <si>
    <t>2.7.1.56</t>
  </si>
  <si>
    <t>KEGG ENZYME: 2.7.1.56</t>
  </si>
  <si>
    <t>KEGG REACTION: R13203</t>
  </si>
  <si>
    <t>KEGG REACTION: R02071</t>
  </si>
  <si>
    <t>KEGG REACTION: R03236</t>
  </si>
  <si>
    <t>2.7.3.9</t>
  </si>
  <si>
    <t>KEGG ENZYME: 2.7.3.9</t>
  </si>
  <si>
    <t>KEGG REACTION: R02628</t>
  </si>
  <si>
    <t>3.4.21.88</t>
  </si>
  <si>
    <t>KEGG ENZYME: 3.4.21.88</t>
  </si>
  <si>
    <t>3.6.4.13</t>
  </si>
  <si>
    <t>KEGG ENZYME: 3.6.4.13</t>
  </si>
  <si>
    <t>3.6.4.-</t>
  </si>
  <si>
    <t>5.1.3.2</t>
  </si>
  <si>
    <t>KEGG ENZYME: 5.1.3.2</t>
  </si>
  <si>
    <t>KEGG REACTION: R00291</t>
  </si>
  <si>
    <t>C00029</t>
  </si>
  <si>
    <t>C00052</t>
  </si>
  <si>
    <t>KEGG REACTION: R00418</t>
  </si>
  <si>
    <t>C00043</t>
  </si>
  <si>
    <t>C00203</t>
  </si>
  <si>
    <t>KEGG REACTION: R02984</t>
  </si>
  <si>
    <t>C00842</t>
  </si>
  <si>
    <t>C02097</t>
  </si>
  <si>
    <t>3.1.1.96</t>
  </si>
  <si>
    <t>KEGG ENZYME: 3.1.1.96</t>
  </si>
  <si>
    <t>2.7.1.63</t>
  </si>
  <si>
    <t>KEGG ENZYME: 2.7.1.63</t>
  </si>
  <si>
    <t>KEGG REACTION: R02185</t>
  </si>
  <si>
    <t>KEGG REACTION: R02187</t>
  </si>
  <si>
    <t>KEGG REACTION: R02189</t>
  </si>
  <si>
    <t>3.6.1.23</t>
  </si>
  <si>
    <t>KEGG ENZYME: 3.6.1.23</t>
  </si>
  <si>
    <t>KEGG REACTION: R02100</t>
  </si>
  <si>
    <t>KEGG REACTION: R11896</t>
  </si>
  <si>
    <t>2.2.1.7</t>
  </si>
  <si>
    <t>KEGG ENZYME: 2.2.1.7</t>
  </si>
  <si>
    <t>KEGG REACTION: R05636</t>
  </si>
  <si>
    <t>3.1.13.5</t>
  </si>
  <si>
    <t>KEGG ENZYME: 3.1.13.5</t>
  </si>
  <si>
    <t>1.3.98.5</t>
  </si>
  <si>
    <t>KEGG ENZYME: 1.3.98.5</t>
  </si>
  <si>
    <t>KEGG REACTION: R11522</t>
  </si>
  <si>
    <t>KEGG REACTION: R12454</t>
  </si>
  <si>
    <t>KEGG REACTION: R12455</t>
  </si>
  <si>
    <t>1.8.4.12</t>
  </si>
  <si>
    <t>KEGG ENZYME: 1.8.4.12</t>
  </si>
  <si>
    <t>KEGG REACTION: R07607</t>
  </si>
  <si>
    <t>2.4.2.47</t>
  </si>
  <si>
    <t>KEGG ENZYME: 2.4.2.47</t>
  </si>
  <si>
    <t>5.6.2.-</t>
  </si>
  <si>
    <t>3.1.21.-</t>
  </si>
  <si>
    <t>2.1.1.37</t>
  </si>
  <si>
    <t>KEGG ENZYME: 2.1.1.37</t>
  </si>
  <si>
    <t>KEGG REACTION: R00380</t>
  </si>
  <si>
    <t>KEGG REACTION: R04858</t>
  </si>
  <si>
    <t>2.7.4.-</t>
  </si>
  <si>
    <t>3.1.3.16</t>
  </si>
  <si>
    <t>KEGG ENZYME: 3.1.3.16</t>
  </si>
  <si>
    <t>KEGG REACTION: R00164</t>
  </si>
  <si>
    <t>6.1.1.3</t>
  </si>
  <si>
    <t>KEGG ENZYME: 6.1.1.3</t>
  </si>
  <si>
    <t>KEGG REACTION: R03663</t>
  </si>
  <si>
    <t>2.7.8.-</t>
  </si>
  <si>
    <t>3.1.21.10</t>
  </si>
  <si>
    <t>KEGG ENZYME: 3.1.21.10</t>
  </si>
  <si>
    <t>2.4.2.7</t>
  </si>
  <si>
    <t>KEGG ENZYME: 2.4.2.7</t>
  </si>
  <si>
    <t>KEGG REACTION: R00190</t>
  </si>
  <si>
    <t>KEGG REACTION: R04378</t>
  </si>
  <si>
    <t>6.1.1.21</t>
  </si>
  <si>
    <t>KEGG ENZYME: 6.1.1.21</t>
  </si>
  <si>
    <t>KEGG REACTION: R03655</t>
  </si>
  <si>
    <t>1.1.-.-</t>
  </si>
  <si>
    <t>4.3.1.17</t>
  </si>
  <si>
    <t>KEGG ENZYME: 4.3.1.17</t>
  </si>
  <si>
    <t>KEGG REACTION: R00590</t>
  </si>
  <si>
    <t>KEGG REACTION: R11099</t>
  </si>
  <si>
    <t>KEGG REACTION: R11100</t>
  </si>
  <si>
    <t>C02218</t>
  </si>
  <si>
    <t>C20904</t>
  </si>
  <si>
    <t>6.1.1.12</t>
  </si>
  <si>
    <t>KEGG ENZYME: 6.1.1.12</t>
  </si>
  <si>
    <t>KEGG REACTION: R05577</t>
  </si>
  <si>
    <t>6.1.1.7</t>
  </si>
  <si>
    <t>KEGG ENZYME: 6.1.1.7</t>
  </si>
  <si>
    <t>KEGG REACTION: R03038</t>
  </si>
  <si>
    <t>1.1.1.25</t>
  </si>
  <si>
    <t>KEGG ENZYME: 1.1.1.25</t>
  </si>
  <si>
    <t>KEGG REACTION: R02413</t>
  </si>
  <si>
    <t>KEGG REACTION: R12885</t>
  </si>
  <si>
    <t>3.4.23.43</t>
  </si>
  <si>
    <t>KEGG ENZYME: 3.4.23.43</t>
  </si>
  <si>
    <t>4.2.3.5</t>
  </si>
  <si>
    <t>KEGG ENZYME: 4.2.3.5</t>
  </si>
  <si>
    <t>KEGG REACTION: R01714</t>
  </si>
  <si>
    <t>C01269</t>
  </si>
  <si>
    <t>2.7.1.71</t>
  </si>
  <si>
    <t>KEGG ENZYME: 2.7.1.71</t>
  </si>
  <si>
    <t>KEGG REACTION: R02412</t>
  </si>
  <si>
    <t>4.2.3.4</t>
  </si>
  <si>
    <t>KEGG ENZYME: 4.2.3.4</t>
  </si>
  <si>
    <t>KEGG REACTION: R03083</t>
  </si>
  <si>
    <t>C04691</t>
  </si>
  <si>
    <t>3.4.11.9</t>
  </si>
  <si>
    <t>KEGG ENZYME: 3.4.11.9</t>
  </si>
  <si>
    <t>2.4.2.9</t>
  </si>
  <si>
    <t>KEGG ENZYME: 2.4.2.9</t>
  </si>
  <si>
    <t>KEGG REACTION: R00966</t>
  </si>
  <si>
    <t>2.1.3.2</t>
  </si>
  <si>
    <t>KEGG ENZYME: 2.1.3.2</t>
  </si>
  <si>
    <t>KEGG REACTION: R01397</t>
  </si>
  <si>
    <t>3.5.2.3</t>
  </si>
  <si>
    <t>KEGG ENZYME: 3.5.2.3</t>
  </si>
  <si>
    <t>KEGG REACTION: R01993</t>
  </si>
  <si>
    <t>C00438</t>
  </si>
  <si>
    <t>6.3.5.5</t>
  </si>
  <si>
    <t>KEGG ENZYME: 6.3.5.5</t>
  </si>
  <si>
    <t>KEGG REACTION: R00575</t>
  </si>
  <si>
    <t>KEGG REACTION: R01395</t>
  </si>
  <si>
    <t>KEGG REACTION: R10948</t>
  </si>
  <si>
    <t>KEGG REACTION: R10949</t>
  </si>
  <si>
    <t>KEGG REACTION: R07641</t>
  </si>
  <si>
    <t>4.1.1.23</t>
  </si>
  <si>
    <t>KEGG ENZYME: 4.1.1.23</t>
  </si>
  <si>
    <t>KEGG REACTION: R00965</t>
  </si>
  <si>
    <t>C01103</t>
  </si>
  <si>
    <t>2.7.4.8</t>
  </si>
  <si>
    <t>KEGG ENZYME: 2.7.4.8</t>
  </si>
  <si>
    <t>KEGG REACTION: R00332</t>
  </si>
  <si>
    <t>KEGG REACTION: R02090</t>
  </si>
  <si>
    <t>KEGG REACTION: R12852</t>
  </si>
  <si>
    <t>2.7.7.6</t>
  </si>
  <si>
    <t>KEGG ENZYME: 2.7.7.6</t>
  </si>
  <si>
    <t>KEGG REACTION: R00444</t>
  </si>
  <si>
    <t>KEGG REACTION: R00435</t>
  </si>
  <si>
    <t>KEGG REACTION: R00441</t>
  </si>
  <si>
    <t>KEGG REACTION: R00442</t>
  </si>
  <si>
    <t>KEGG REACTION: R00443</t>
  </si>
  <si>
    <t>KEGG REACTION: R10813</t>
  </si>
  <si>
    <t>C00201</t>
  </si>
  <si>
    <t>4.1.1.36</t>
  </si>
  <si>
    <t>6.3.2.5</t>
  </si>
  <si>
    <t>KEGG ENZYME: 4.1.1.36</t>
  </si>
  <si>
    <t>KEGG REACTION: R03269</t>
  </si>
  <si>
    <t>C04352</t>
  </si>
  <si>
    <t>KEGG ENZYME: 6.3.2.5</t>
  </si>
  <si>
    <t>KEGG REACTION: R04231</t>
  </si>
  <si>
    <t>2.5.1.6</t>
  </si>
  <si>
    <t>KEGG ENZYME: 2.5.1.6</t>
  </si>
  <si>
    <t>KEGG REACTION: R00177</t>
  </si>
  <si>
    <t>KEGG REACTION: R04771</t>
  </si>
  <si>
    <t>KEGG REACTION: R04268</t>
  </si>
  <si>
    <t>2.1.2.9</t>
  </si>
  <si>
    <t>KEGG ENZYME: 2.1.2.9</t>
  </si>
  <si>
    <t>KEGG REACTION: R03940</t>
  </si>
  <si>
    <t>5.1.3.1</t>
  </si>
  <si>
    <t>KEGG ENZYME: 5.1.3.1</t>
  </si>
  <si>
    <t>KEGG REACTION: R01529</t>
  </si>
  <si>
    <t>C00231</t>
  </si>
  <si>
    <t>1.1.1.193</t>
  </si>
  <si>
    <t>3.5.4.26</t>
  </si>
  <si>
    <t>KEGG ENZYME: 1.1.1.193</t>
  </si>
  <si>
    <t>KEGG REACTION: R03458</t>
  </si>
  <si>
    <t>KEGG ENZYME: 3.5.4.26</t>
  </si>
  <si>
    <t>KEGG REACTION: R03459</t>
  </si>
  <si>
    <t>2.5.1.9</t>
  </si>
  <si>
    <t>KEGG ENZYME: 2.5.1.9</t>
  </si>
  <si>
    <t>KEGG REACTION: R00066</t>
  </si>
  <si>
    <t>C04332</t>
  </si>
  <si>
    <t>3.5.4.25</t>
  </si>
  <si>
    <t>4.1.99.12</t>
  </si>
  <si>
    <t>KEGG ENZYME: 3.5.4.25</t>
  </si>
  <si>
    <t>KEGG REACTION: R00425</t>
  </si>
  <si>
    <t>KEGG ENZYME: 4.1.99.12</t>
  </si>
  <si>
    <t>KEGG REACTION: R07281</t>
  </si>
  <si>
    <t>2.5.1.78</t>
  </si>
  <si>
    <t>KEGG ENZYME: 2.5.1.78</t>
  </si>
  <si>
    <t>KEGG REACTION: R04457</t>
  </si>
  <si>
    <t>3.1.25.-</t>
  </si>
  <si>
    <t>2.7.2.3</t>
  </si>
  <si>
    <t>KEGG ENZYME: 2.7.2.3</t>
  </si>
  <si>
    <t>KEGG REACTION: R01512</t>
  </si>
  <si>
    <t>5.3.1.1</t>
  </si>
  <si>
    <t>KEGG ENZYME: 5.3.1.1</t>
  </si>
  <si>
    <t>KEGG REACTION: R01015</t>
  </si>
  <si>
    <t>C00118</t>
  </si>
  <si>
    <t>C00111</t>
  </si>
  <si>
    <t>4.1.1.31</t>
  </si>
  <si>
    <t>KEGG ENZYME: 4.1.1.31</t>
  </si>
  <si>
    <t>KEGG REACTION: R00345</t>
  </si>
  <si>
    <t>3.1.1.31</t>
  </si>
  <si>
    <t>KEGG ENZYME: 3.1.1.31</t>
  </si>
  <si>
    <t>KEGG REACTION: R02035</t>
  </si>
  <si>
    <t>C00345</t>
  </si>
  <si>
    <t>1.1.1.49</t>
  </si>
  <si>
    <t>KEGG ENZYME: 1.1.1.49</t>
  </si>
  <si>
    <t>KEGG REACTION: R00835</t>
  </si>
  <si>
    <t>KEGG REACTION: R02736</t>
  </si>
  <si>
    <t>2.2.1.2</t>
  </si>
  <si>
    <t>KEGG ENZYME: 2.2.1.2</t>
  </si>
  <si>
    <t>KEGG REACTION: R08575</t>
  </si>
  <si>
    <t>KEGG REACTION: R01827</t>
  </si>
  <si>
    <t>2.2.1.1</t>
  </si>
  <si>
    <t>KEGG ENZYME: 2.2.1.1</t>
  </si>
  <si>
    <t>KEGG REACTION: R01641</t>
  </si>
  <si>
    <t>KEGG REACTION: R01067</t>
  </si>
  <si>
    <t>KEGG REACTION: R01830</t>
  </si>
  <si>
    <t>KEGG REACTION: R06590</t>
  </si>
  <si>
    <t>KEGG REACTION: R06861</t>
  </si>
  <si>
    <t>KEGG REACTION: R06863</t>
  </si>
  <si>
    <t>2.5.1.141</t>
  </si>
  <si>
    <t>KEGG ENZYME: 2.5.1.141</t>
  </si>
  <si>
    <t>KEGG REACTION: R07411</t>
  </si>
  <si>
    <t>1.17.99.9</t>
  </si>
  <si>
    <t>KEGG ENZYME: 1.17.99.9</t>
  </si>
  <si>
    <t>KEGG REACTION: R07412</t>
  </si>
  <si>
    <t>KEGG REACTION: R12682</t>
  </si>
  <si>
    <t>KEGG REACTION: R12683</t>
  </si>
  <si>
    <t>C22329</t>
  </si>
  <si>
    <t>2.8.1.7</t>
  </si>
  <si>
    <t>KEGG ENZYME: 2.8.1.7</t>
  </si>
  <si>
    <t>KEGG REACTION: R07460</t>
  </si>
  <si>
    <t>KEGG REACTION: R11528</t>
  </si>
  <si>
    <t>KEGG REACTION: R11529</t>
  </si>
  <si>
    <t>4.98.1.1</t>
  </si>
  <si>
    <t>KEGG ENZYME: 4.98.1.1</t>
  </si>
  <si>
    <t>KEGG REACTION: R00310</t>
  </si>
  <si>
    <t>5.4.99.2</t>
  </si>
  <si>
    <t>KEGG ENZYME: 5.4.99.2</t>
  </si>
  <si>
    <t>KEGG REACTION: R00833</t>
  </si>
  <si>
    <t>C01213</t>
  </si>
  <si>
    <t>C00091</t>
  </si>
  <si>
    <t>3.6.5.-</t>
  </si>
  <si>
    <t>1.3.5.2</t>
  </si>
  <si>
    <t>KEGG ENZYME: 1.3.5.2</t>
  </si>
  <si>
    <t>KEGG REACTION: R01868</t>
  </si>
  <si>
    <t>3.6.1.27</t>
  </si>
  <si>
    <t>KEGG ENZYME: 3.6.1.27</t>
  </si>
  <si>
    <t>KEGG REACTION: R05627</t>
  </si>
  <si>
    <t>6.3.1.13</t>
  </si>
  <si>
    <t>KEGG ENZYME: 6.3.1.13</t>
  </si>
  <si>
    <t>KEGG REACTION: R09591</t>
  </si>
  <si>
    <t>1.20.4.4</t>
  </si>
  <si>
    <t>KEGG ENZYME: 1.20.4.4</t>
  </si>
  <si>
    <t>KEGG REACTION: R10927</t>
  </si>
  <si>
    <t>2.8.4.2</t>
  </si>
  <si>
    <t>KEGG ENZYME: 2.8.4.2</t>
  </si>
  <si>
    <t>2.1.1.13</t>
  </si>
  <si>
    <t>KEGG ENZYME: 2.1.1.13</t>
  </si>
  <si>
    <t>KEGG REACTION: R00946</t>
  </si>
  <si>
    <t>KEGG REACTION: R09365</t>
  </si>
  <si>
    <t>3.6.1.31</t>
  </si>
  <si>
    <t>KEGG ENZYME: 3.6.1.31</t>
  </si>
  <si>
    <t>KEGG REACTION: R04035</t>
  </si>
  <si>
    <t>2.4.2.17</t>
  </si>
  <si>
    <t>KEGG ENZYME: 2.4.2.17</t>
  </si>
  <si>
    <t>KEGG REACTION: R01071</t>
  </si>
  <si>
    <t>4.3.1.1</t>
  </si>
  <si>
    <t>KEGG ENZYME: 4.3.1.1</t>
  </si>
  <si>
    <t>KEGG REACTION: R00490</t>
  </si>
  <si>
    <t>C00049</t>
  </si>
  <si>
    <t>3.1.11.-</t>
  </si>
  <si>
    <t>5.6.1.5</t>
  </si>
  <si>
    <t>KEGG ENZYME: 5.6.1.5</t>
  </si>
  <si>
    <t>3.5.1.119</t>
  </si>
  <si>
    <t>KEGG ENZYME: 3.5.1.119</t>
  </si>
  <si>
    <t>KEGG REACTION: R11209</t>
  </si>
  <si>
    <t>KEGG REACTION: R11208</t>
  </si>
  <si>
    <t>6.3.1.19</t>
  </si>
  <si>
    <t>KEGG ENZYME: 6.3.1.19</t>
  </si>
  <si>
    <t>KEGG REACTION: R11207</t>
  </si>
  <si>
    <t>1.8.7.1</t>
  </si>
  <si>
    <t>KEGG ENZYME: 1.8.7.1</t>
  </si>
  <si>
    <t>KEGG REACTION: R00859</t>
  </si>
  <si>
    <t>KEGG REACTION: R03600</t>
  </si>
  <si>
    <t>2.3.1.269</t>
  </si>
  <si>
    <t>KEGG ENZYME: 2.3.1.269</t>
  </si>
  <si>
    <t>2.4.1.-</t>
  </si>
  <si>
    <t>2.1.-.-</t>
  </si>
  <si>
    <t>1.6.-.-</t>
  </si>
  <si>
    <t>2.7.1.50</t>
  </si>
  <si>
    <t>KEGG ENZYME: 2.7.1.50</t>
  </si>
  <si>
    <t>KEGG REACTION: R04448</t>
  </si>
  <si>
    <t>7.3.2.2</t>
  </si>
  <si>
    <t>KEGG ENZYME: 7.3.2.2</t>
  </si>
  <si>
    <t>1.1.1.44</t>
  </si>
  <si>
    <t>KEGG ENZYME: 1.1.1.44</t>
  </si>
  <si>
    <t>KEGG REACTION: R01528</t>
  </si>
  <si>
    <t>2.7.4.25</t>
  </si>
  <si>
    <t>KEGG ENZYME: 2.7.4.25</t>
  </si>
  <si>
    <t>KEGG REACTION: R00512</t>
  </si>
  <si>
    <t>KEGG REACTION: R01665</t>
  </si>
  <si>
    <t>5.4.99.-</t>
  </si>
  <si>
    <t>6.3.4.2</t>
  </si>
  <si>
    <t>KEGG ENZYME: 6.3.4.2</t>
  </si>
  <si>
    <t>KEGG REACTION: R00571</t>
  </si>
  <si>
    <t>KEGG REACTION: R00573</t>
  </si>
  <si>
    <t>2.7.1.23</t>
  </si>
  <si>
    <t>KEGG ENZYME: 2.7.1.23</t>
  </si>
  <si>
    <t>KEGG REACTION: R00104</t>
  </si>
  <si>
    <t>6.1.1.1</t>
  </si>
  <si>
    <t>KEGG ENZYME: 6.1.1.1</t>
  </si>
  <si>
    <t>KEGG REACTION: R02918</t>
  </si>
  <si>
    <t>4.3.2.1</t>
  </si>
  <si>
    <t>KEGG ENZYME: 4.3.2.1</t>
  </si>
  <si>
    <t>KEGG REACTION: R01086</t>
  </si>
  <si>
    <t>C03406</t>
  </si>
  <si>
    <t>6.3.4.5</t>
  </si>
  <si>
    <t>KEGG ENZYME: 6.3.4.5</t>
  </si>
  <si>
    <t>KEGG REACTION: R01954</t>
  </si>
  <si>
    <t>2.1.3.3</t>
  </si>
  <si>
    <t>KEGG ENZYME: 2.1.3.3</t>
  </si>
  <si>
    <t>KEGG REACTION: R01398</t>
  </si>
  <si>
    <t>2.6.1.11</t>
  </si>
  <si>
    <t>KEGG ENZYME: 2.6.1.11</t>
  </si>
  <si>
    <t>KEGG REACTION: R02283</t>
  </si>
  <si>
    <t>2.7.2.8</t>
  </si>
  <si>
    <t>KEGG ENZYME: 2.7.2.8</t>
  </si>
  <si>
    <t>KEGG REACTION: R02649</t>
  </si>
  <si>
    <t>2.3.1.35</t>
  </si>
  <si>
    <t>KEGG ENZYME: 2.3.1.35</t>
  </si>
  <si>
    <t>KEGG REACTION: R02282</t>
  </si>
  <si>
    <t>1.2.1.38</t>
  </si>
  <si>
    <t>KEGG ENZYME: 1.2.1.38</t>
  </si>
  <si>
    <t>KEGG REACTION: R03443</t>
  </si>
  <si>
    <t>6.1.1.20</t>
  </si>
  <si>
    <t>KEGG ENZYME: 6.1.1.20</t>
  </si>
  <si>
    <t>KEGG REACTION: R03660</t>
  </si>
  <si>
    <t>3.1.4.-</t>
  </si>
  <si>
    <t>1.6.5.2</t>
  </si>
  <si>
    <t>KEGG ENZYME: 1.6.5.2</t>
  </si>
  <si>
    <t>KEGG REACTION: R07358</t>
  </si>
  <si>
    <t>KEGG REACTION: R02964</t>
  </si>
  <si>
    <t>KEGG REACTION: R03643</t>
  </si>
  <si>
    <t>KEGG REACTION: R03816</t>
  </si>
  <si>
    <t>KEGG REACTION: R07359</t>
  </si>
  <si>
    <t>2.7.1.24</t>
  </si>
  <si>
    <t>KEGG ENZYME: 2.7.1.24</t>
  </si>
  <si>
    <t>KEGG REACTION: R00130</t>
  </si>
  <si>
    <t>2.7.7.3</t>
  </si>
  <si>
    <t>KEGG ENZYME: 2.7.7.3</t>
  </si>
  <si>
    <t>KEGG REACTION: R03035</t>
  </si>
  <si>
    <t>2.1.1.171</t>
  </si>
  <si>
    <t>KEGG ENZYME: 2.1.1.171</t>
  </si>
  <si>
    <t>KEGG REACTION: R07234</t>
  </si>
  <si>
    <t>3.2.2.27</t>
  </si>
  <si>
    <t>KEGG ENZYME: 3.2.2.27</t>
  </si>
  <si>
    <t>2.7.4.16</t>
  </si>
  <si>
    <t>KEGG ENZYME: 2.7.4.16</t>
  </si>
  <si>
    <t>KEGG REACTION: R00617</t>
  </si>
  <si>
    <t>6.3.2.-</t>
  </si>
  <si>
    <t>1.1.1.94</t>
  </si>
  <si>
    <t>KEGG ENZYME: 1.1.1.94</t>
  </si>
  <si>
    <t>KEGG REACTION: R00842</t>
  </si>
  <si>
    <t>KEGG REACTION: R00844</t>
  </si>
  <si>
    <t>4.2.1.33</t>
  </si>
  <si>
    <t>KEGG ENZYME: 4.2.1.33</t>
  </si>
  <si>
    <t>KEGG REACTION: R03968</t>
  </si>
  <si>
    <t>C02504</t>
  </si>
  <si>
    <t>KEGG REACTION: R04001</t>
  </si>
  <si>
    <t>C04411</t>
  </si>
  <si>
    <t>KEGG REACTION: R10170</t>
  </si>
  <si>
    <t>4.1.99.17</t>
  </si>
  <si>
    <t>KEGG ENZYME: 4.1.99.17</t>
  </si>
  <si>
    <t>KEGG REACTION: R03472</t>
  </si>
  <si>
    <t>6.1.1.17</t>
  </si>
  <si>
    <t>KEGG ENZYME: 6.1.1.17</t>
  </si>
  <si>
    <t>KEGG REACTION: R05578</t>
  </si>
  <si>
    <t>5.4.4.2</t>
  </si>
  <si>
    <t>KEGG ENZYME: 5.4.4.2</t>
  </si>
  <si>
    <t>KEGG REACTION: R01717</t>
  </si>
  <si>
    <t>C00251</t>
  </si>
  <si>
    <t>C00885</t>
  </si>
  <si>
    <t>3.7.-.-</t>
  </si>
  <si>
    <t>1.1.1.85</t>
  </si>
  <si>
    <t>1.1.1.86</t>
  </si>
  <si>
    <t>KEGG ENZYME: 1.1.1.85</t>
  </si>
  <si>
    <t>KEGG REACTION: R01652</t>
  </si>
  <si>
    <t>C04236</t>
  </si>
  <si>
    <t>KEGG REACTION: R04426</t>
  </si>
  <si>
    <t>KEGG REACTION: R10052</t>
  </si>
  <si>
    <t>KEGG REACTION: R00994</t>
  </si>
  <si>
    <t>1.1.1.95</t>
  </si>
  <si>
    <t>KEGG ENZYME: 1.1.1.95</t>
  </si>
  <si>
    <t>KEGG REACTION: R01513</t>
  </si>
  <si>
    <t>KEGG REACTION: R08198</t>
  </si>
  <si>
    <t>KEGG ENZYME: 1.1.1.86</t>
  </si>
  <si>
    <t>KEGG REACTION: R04439</t>
  </si>
  <si>
    <t>KEGG REACTION: R03051</t>
  </si>
  <si>
    <t>KEGG REACTION: R04440</t>
  </si>
  <si>
    <t>KEGG REACTION: R05068</t>
  </si>
  <si>
    <t>KEGG REACTION: R05069</t>
  </si>
  <si>
    <t>C06006</t>
  </si>
  <si>
    <t>C14463</t>
  </si>
  <si>
    <t>KEGG REACTION: R05071</t>
  </si>
  <si>
    <t>C06010</t>
  </si>
  <si>
    <t>C04181</t>
  </si>
  <si>
    <t>2.2.1.6</t>
  </si>
  <si>
    <t>KEGG ENZYME: 2.2.1.6</t>
  </si>
  <si>
    <t>KEGG REACTION: R00006</t>
  </si>
  <si>
    <t>C00022</t>
  </si>
  <si>
    <t>KEGG REACTION: R00226</t>
  </si>
  <si>
    <t>KEGG REACTION: R03050</t>
  </si>
  <si>
    <t>KEGG REACTION: R04672</t>
  </si>
  <si>
    <t>KEGG REACTION: R04673</t>
  </si>
  <si>
    <t>KEGG REACTION: R08648</t>
  </si>
  <si>
    <t>4.2.1.9</t>
  </si>
  <si>
    <t>KEGG ENZYME: 4.2.1.9</t>
  </si>
  <si>
    <t>KEGG REACTION: R01209</t>
  </si>
  <si>
    <t>C04039</t>
  </si>
  <si>
    <t>KEGG REACTION: R04441</t>
  </si>
  <si>
    <t>C04272</t>
  </si>
  <si>
    <t>KEGG REACTION: R05070</t>
  </si>
  <si>
    <t>1.8.5.-</t>
  </si>
  <si>
    <t>5.4.99.62</t>
  </si>
  <si>
    <t>KEGG ENZYME: 5.4.99.62</t>
  </si>
  <si>
    <t>KEGG REACTION: R08247</t>
  </si>
  <si>
    <t>C08353</t>
  </si>
  <si>
    <t>C16639</t>
  </si>
  <si>
    <t>1.16.1.-</t>
  </si>
  <si>
    <t>6.5.1.2</t>
  </si>
  <si>
    <t>KEGG ENZYME: 6.5.1.2</t>
  </si>
  <si>
    <t>KEGG REACTION: R00382</t>
  </si>
  <si>
    <t>2.4.99.16</t>
  </si>
  <si>
    <t>KEGG ENZYME: 2.4.99.16</t>
  </si>
  <si>
    <t>KEGG REACTION: R09994</t>
  </si>
  <si>
    <t>2.4.1.18</t>
  </si>
  <si>
    <t>KEGG ENZYME: 2.4.1.18</t>
  </si>
  <si>
    <t>KEGG REACTION: R02110</t>
  </si>
  <si>
    <t>C00718</t>
  </si>
  <si>
    <t>C00369</t>
  </si>
  <si>
    <t>KEGG REACTION: R06186</t>
  </si>
  <si>
    <t>G10545</t>
  </si>
  <si>
    <t>5.1.99.1</t>
  </si>
  <si>
    <t>KEGG ENZYME: 5.1.99.1</t>
  </si>
  <si>
    <t>KEGG REACTION: R02765</t>
  </si>
  <si>
    <t>C00683</t>
  </si>
  <si>
    <t>KEGG REACTION: R09979</t>
  </si>
  <si>
    <t>C18026</t>
  </si>
  <si>
    <t>C20238</t>
  </si>
  <si>
    <t>2.7.7.87</t>
  </si>
  <si>
    <t>KEGG ENZYME: 2.7.7.87</t>
  </si>
  <si>
    <t>KEGG REACTION: R10463</t>
  </si>
  <si>
    <t>2.1.1.297</t>
  </si>
  <si>
    <t>KEGG ENZYME: 2.1.1.297</t>
  </si>
  <si>
    <t>KEGG REACTION: R10806</t>
  </si>
  <si>
    <t>4.1.99.22</t>
  </si>
  <si>
    <t>KEGG ENZYME: 4.1.99.22</t>
  </si>
  <si>
    <t>KEGG REACTION: R09394</t>
  </si>
  <si>
    <t>2.-.-.-</t>
  </si>
  <si>
    <t>2.7.7.77</t>
  </si>
  <si>
    <t>KEGG ENZYME: 2.7.7.77</t>
  </si>
  <si>
    <t>KEGG REACTION: R11581</t>
  </si>
  <si>
    <t>3.1.3.2</t>
  </si>
  <si>
    <t>KEGG ENZYME: 3.1.3.2</t>
  </si>
  <si>
    <t>KEGG REACTION: R00548</t>
  </si>
  <si>
    <t>KEGG REACTION: R11527</t>
  </si>
  <si>
    <t>2.7.1.39</t>
  </si>
  <si>
    <t>KEGG ENZYME: 2.7.1.39</t>
  </si>
  <si>
    <t>KEGG REACTION: R01771</t>
  </si>
  <si>
    <t>1.1.1.3</t>
  </si>
  <si>
    <t>KEGG ENZYME: 1.1.1.3</t>
  </si>
  <si>
    <t>KEGG REACTION: R01773</t>
  </si>
  <si>
    <t>KEGG REACTION: R01775</t>
  </si>
  <si>
    <t>4.1.1.20</t>
  </si>
  <si>
    <t>KEGG ENZYME: 4.1.1.20</t>
  </si>
  <si>
    <t>KEGG REACTION: R00451</t>
  </si>
  <si>
    <t>6.1.1.19</t>
  </si>
  <si>
    <t>KEGG ENZYME: 6.1.1.19</t>
  </si>
  <si>
    <t>KEGG REACTION: R03646</t>
  </si>
  <si>
    <t>1.14.13.127</t>
  </si>
  <si>
    <t>KEGG ENZYME: 1.14.13.127</t>
  </si>
  <si>
    <t>KEGG REACTION: R06786</t>
  </si>
  <si>
    <t>KEGG REACTION: R06787</t>
  </si>
  <si>
    <t>3.6.-.-</t>
  </si>
  <si>
    <t>7.1.1.-</t>
  </si>
  <si>
    <t>2.1.1.14</t>
  </si>
  <si>
    <t>KEGG ENZYME: 2.1.1.14</t>
  </si>
  <si>
    <t>KEGG REACTION: R04405</t>
  </si>
  <si>
    <t>4.1.1.71</t>
  </si>
  <si>
    <t>KEGG ENZYME: 4.1.1.71</t>
  </si>
  <si>
    <t>KEGG REACTION: R00272</t>
  </si>
  <si>
    <t>C00026</t>
  </si>
  <si>
    <t>2.7.7.27</t>
  </si>
  <si>
    <t>KEGG ENZYME: 2.7.7.27</t>
  </si>
  <si>
    <t>KEGG REACTION: R00948</t>
  </si>
  <si>
    <t>2.4.1.21</t>
  </si>
  <si>
    <t>KEGG ENZYME: 2.4.1.21</t>
  </si>
  <si>
    <t>KEGG REACTION: R02421</t>
  </si>
  <si>
    <t>KEGG REACTION: R06049</t>
  </si>
  <si>
    <t>2.4.1.266</t>
  </si>
  <si>
    <t>KEGG ENZYME: 2.4.1.266</t>
  </si>
  <si>
    <t>KEGG REACTION: R09663</t>
  </si>
  <si>
    <t>3.5.1.18</t>
  </si>
  <si>
    <t>KEGG ENZYME: 3.5.1.18</t>
  </si>
  <si>
    <t>KEGG REACTION: R02734</t>
  </si>
  <si>
    <t>2.3.1.117</t>
  </si>
  <si>
    <t>KEGG ENZYME: 2.3.1.117</t>
  </si>
  <si>
    <t>KEGG REACTION: R04365</t>
  </si>
  <si>
    <t>2.6.1.17</t>
  </si>
  <si>
    <t>KEGG ENZYME: 2.6.1.17</t>
  </si>
  <si>
    <t>KEGG REACTION: R04475</t>
  </si>
  <si>
    <t>3.5.1.103</t>
  </si>
  <si>
    <t>KEGG ENZYME: 3.5.1.103</t>
  </si>
  <si>
    <t>KEGG REACTION: R09651</t>
  </si>
  <si>
    <t>1.20.4.1</t>
  </si>
  <si>
    <t>KEGG ENZYME: 1.20.4.1</t>
  </si>
  <si>
    <t>KEGG REACTION: R05747</t>
  </si>
  <si>
    <t>1.1.1.169</t>
  </si>
  <si>
    <t>KEGG ENZYME: 1.1.1.169</t>
  </si>
  <si>
    <t>KEGG REACTION: R02472</t>
  </si>
  <si>
    <t>6.3.1.-</t>
  </si>
  <si>
    <t>2.5.1.72</t>
  </si>
  <si>
    <t>KEGG ENZYME: 2.5.1.72</t>
  </si>
  <si>
    <t>KEGG REACTION: R04292</t>
  </si>
  <si>
    <t>2.4.2.19</t>
  </si>
  <si>
    <t>KEGG ENZYME: 2.4.2.19</t>
  </si>
  <si>
    <t>KEGG REACTION: R03348</t>
  </si>
  <si>
    <t>1.17.7.4</t>
  </si>
  <si>
    <t>KEGG ENZYME: 1.17.7.4</t>
  </si>
  <si>
    <t>KEGG REACTION: R05884</t>
  </si>
  <si>
    <t>KEGG REACTION: R08210</t>
  </si>
  <si>
    <t>3.1.11.6</t>
  </si>
  <si>
    <t>KEGG ENZYME: 3.1.11.6</t>
  </si>
  <si>
    <t>3.1.3.11</t>
  </si>
  <si>
    <t>KEGG ENZYME: 3.1.3.11</t>
  </si>
  <si>
    <t>KEGG REACTION: R00762</t>
  </si>
  <si>
    <t>KEGG REACTION: R04780</t>
  </si>
  <si>
    <t>KEGG REACTION: R01845</t>
  </si>
  <si>
    <t>4.2.1.2</t>
  </si>
  <si>
    <t>KEGG ENZYME: 4.2.1.2</t>
  </si>
  <si>
    <t>KEGG REACTION: R01082</t>
  </si>
  <si>
    <t>C00149</t>
  </si>
  <si>
    <t>3.5.2.9</t>
  </si>
  <si>
    <t>KEGG ENZYME: 3.5.2.9</t>
  </si>
  <si>
    <t>KEGG REACTION: R00251</t>
  </si>
  <si>
    <t>3.5.-.-</t>
  </si>
  <si>
    <t>2.6.1.85</t>
  </si>
  <si>
    <t>KEGG ENZYME: 2.6.1.85</t>
  </si>
  <si>
    <t>KEGG REACTION: R01716</t>
  </si>
  <si>
    <t>KEGG REACTION: R05552</t>
  </si>
  <si>
    <t>2.1.2.1</t>
  </si>
  <si>
    <t>KEGG ENZYME: 2.1.2.1</t>
  </si>
  <si>
    <t>KEGG REACTION: R00945</t>
  </si>
  <si>
    <t>KEGG REACTION: R09099</t>
  </si>
  <si>
    <t>2.7.1.33</t>
  </si>
  <si>
    <t>KEGG ENZYME: 2.7.1.33</t>
  </si>
  <si>
    <t>KEGG REACTION: R03018</t>
  </si>
  <si>
    <t>KEGG REACTION: R02971</t>
  </si>
  <si>
    <t>KEGG REACTION: R04391</t>
  </si>
  <si>
    <t>4.2.1.11</t>
  </si>
  <si>
    <t>KEGG ENZYME: 4.2.1.11</t>
  </si>
  <si>
    <t>KEGG REACTION: R00658</t>
  </si>
  <si>
    <t>C00631</t>
  </si>
  <si>
    <t>KEGG REACTION: R04206</t>
  </si>
  <si>
    <t>C03356</t>
  </si>
  <si>
    <t>2.3.2.2</t>
  </si>
  <si>
    <t>KEGG ENZYME: 2.3.2.2</t>
  </si>
  <si>
    <t>KEGG REACTION: R04159</t>
  </si>
  <si>
    <t>KEGG REACTION: R01262</t>
  </si>
  <si>
    <t>KEGG REACTION: R01687</t>
  </si>
  <si>
    <t>KEGG REACTION: R03867</t>
  </si>
  <si>
    <t>KEGG REACTION: R04935</t>
  </si>
  <si>
    <t>KEGG REACTION: R03916</t>
  </si>
  <si>
    <t>KEGG REACTION: R03970</t>
  </si>
  <si>
    <t>KEGG REACTION: R03971</t>
  </si>
  <si>
    <t>2.7.7.23</t>
  </si>
  <si>
    <t>KEGG ENZYME: 2.7.7.23</t>
  </si>
  <si>
    <t>KEGG REACTION: R00416</t>
  </si>
  <si>
    <t>2.7.6.1</t>
  </si>
  <si>
    <t>KEGG ENZYME: 2.7.6.1</t>
  </si>
  <si>
    <t>KEGG REACTION: R01049</t>
  </si>
  <si>
    <t>1.2.1.12</t>
  </si>
  <si>
    <t>KEGG ENZYME: 1.2.1.12</t>
  </si>
  <si>
    <t>KEGG REACTION: R01061</t>
  </si>
  <si>
    <t>1.13.12.16</t>
  </si>
  <si>
    <t>KEGG ENZYME: 1.13.12.16</t>
  </si>
  <si>
    <t>KEGG REACTION: R00025</t>
  </si>
  <si>
    <t>2.7.1.35</t>
  </si>
  <si>
    <t>KEGG ENZYME: 2.7.1.35</t>
  </si>
  <si>
    <t>KEGG REACTION: R00174</t>
  </si>
  <si>
    <t>KEGG REACTION: R01909</t>
  </si>
  <si>
    <t>KEGG REACTION: R02493</t>
  </si>
  <si>
    <t>2.7.1.148</t>
  </si>
  <si>
    <t>KEGG ENZYME: 2.7.1.148</t>
  </si>
  <si>
    <t>KEGG REACTION: R05634</t>
  </si>
  <si>
    <t>2.1.1.182</t>
  </si>
  <si>
    <t>KEGG ENZYME: 2.1.1.182</t>
  </si>
  <si>
    <t>KEGG REACTION: R10716</t>
  </si>
  <si>
    <t>1.1.1.28</t>
  </si>
  <si>
    <t>KEGG ENZYME: 1.1.1.28</t>
  </si>
  <si>
    <t>KEGG REACTION: R00704</t>
  </si>
  <si>
    <t>5.6.2.4</t>
  </si>
  <si>
    <t>KEGG ENZYME: 5.6.2.4</t>
  </si>
  <si>
    <t>6.1.1.10</t>
  </si>
  <si>
    <t>KEGG ENZYME: 6.1.1.10</t>
  </si>
  <si>
    <t>KEGG REACTION: R03659</t>
  </si>
  <si>
    <t>KEGG REACTION: R04773</t>
  </si>
  <si>
    <t>2.1.1.198</t>
  </si>
  <si>
    <t>KEGG ENZYME: 2.1.1.198</t>
  </si>
  <si>
    <t>2.4.1.109</t>
  </si>
  <si>
    <t>KEGG ENZYME: 2.4.1.109</t>
  </si>
  <si>
    <t>KEGG REACTION: R04072</t>
  </si>
  <si>
    <t>KEGG REACTION: R07620</t>
  </si>
  <si>
    <t>KEGG REACTION: R11399</t>
  </si>
  <si>
    <t>2.7.7.9</t>
  </si>
  <si>
    <t>KEGG ENZYME: 2.7.7.9</t>
  </si>
  <si>
    <t>KEGG REACTION: R00289</t>
  </si>
  <si>
    <t>6.3.3.2</t>
  </si>
  <si>
    <t>KEGG ENZYME: 6.3.3.2</t>
  </si>
  <si>
    <t>KEGG REACTION: R02301</t>
  </si>
  <si>
    <t>2.1.2.3</t>
  </si>
  <si>
    <t>3.5.4.10</t>
  </si>
  <si>
    <t>KEGG ENZYME: 2.1.2.3</t>
  </si>
  <si>
    <t>KEGG REACTION: R04560</t>
  </si>
  <si>
    <t>KEGG ENZYME: 3.5.4.10</t>
  </si>
  <si>
    <t>KEGG REACTION: R01127</t>
  </si>
  <si>
    <t>C04734</t>
  </si>
  <si>
    <t>2.1.2.2</t>
  </si>
  <si>
    <t>KEGG ENZYME: 2.1.2.2</t>
  </si>
  <si>
    <t>KEGG REACTION: R04325</t>
  </si>
  <si>
    <t>KEGG REACTION: R04326</t>
  </si>
  <si>
    <t>5.4.99.5</t>
  </si>
  <si>
    <t>KEGG ENZYME: 5.4.99.5</t>
  </si>
  <si>
    <t>KEGG REACTION: R01715</t>
  </si>
  <si>
    <t>5.3.1.9</t>
  </si>
  <si>
    <t>KEGG ENZYME: 5.3.1.9</t>
  </si>
  <si>
    <t>KEGG REACTION: R02740</t>
  </si>
  <si>
    <t>C05345</t>
  </si>
  <si>
    <t>KEGG REACTION: R00771</t>
  </si>
  <si>
    <t>C00085</t>
  </si>
  <si>
    <t>C01172</t>
  </si>
  <si>
    <t>KEGG REACTION: R03321</t>
  </si>
  <si>
    <t>KEGG REACTION: R13199</t>
  </si>
  <si>
    <t>3.1.3.7</t>
  </si>
  <si>
    <t>KEGG ENZYME: 3.1.3.7</t>
  </si>
  <si>
    <t>KEGG REACTION: R00188</t>
  </si>
  <si>
    <t>KEGG REACTION: R00508</t>
  </si>
  <si>
    <t>2.1.1.45</t>
  </si>
  <si>
    <t>KEGG ENZYME: 2.1.1.45</t>
  </si>
  <si>
    <t>KEGG REACTION: R02101</t>
  </si>
  <si>
    <t>1.5.1.3</t>
  </si>
  <si>
    <t>KEGG ENZYME: 1.5.1.3</t>
  </si>
  <si>
    <t>KEGG REACTION: R00939</t>
  </si>
  <si>
    <t>KEGG REACTION: R00936</t>
  </si>
  <si>
    <t>KEGG REACTION: R00937</t>
  </si>
  <si>
    <t>KEGG REACTION: R00940</t>
  </si>
  <si>
    <t>KEGG REACTION: R02235</t>
  </si>
  <si>
    <t>KEGG REACTION: R02236</t>
  </si>
  <si>
    <t>KEGG REACTION: R11765</t>
  </si>
  <si>
    <t>2.1.3.15</t>
  </si>
  <si>
    <t>KEGG ENZYME: 2.1.3.15</t>
  </si>
  <si>
    <t>KEGG REACTION: R04386</t>
  </si>
  <si>
    <t>2.3.3.16</t>
  </si>
  <si>
    <t>KEGG ENZYME: 2.3.3.16</t>
  </si>
  <si>
    <t>KEGG REACTION: R00351</t>
  </si>
  <si>
    <t>2.6.1.52</t>
  </si>
  <si>
    <t>KEGG ENZYME: 2.6.1.52</t>
  </si>
  <si>
    <t>KEGG REACTION: R04173</t>
  </si>
  <si>
    <t>KEGG REACTION: R05085</t>
  </si>
  <si>
    <t>3.1.3.15</t>
  </si>
  <si>
    <t>KEGG ENZYME: 3.1.3.15</t>
  </si>
  <si>
    <t>KEGG REACTION: R03013</t>
  </si>
  <si>
    <t>4.3.3.6</t>
  </si>
  <si>
    <t>KEGG ENZYME: 4.3.3.6</t>
  </si>
  <si>
    <t>KEGG REACTION: R10088</t>
  </si>
  <si>
    <t>KEGG REACTION: R10089</t>
  </si>
  <si>
    <t>KEGG REACTION: R07456</t>
  </si>
  <si>
    <t>2.5.1.19</t>
  </si>
  <si>
    <t>KEGG ENZYME: 2.5.1.19</t>
  </si>
  <si>
    <t>KEGG REACTION: R03460</t>
  </si>
  <si>
    <t>2.7.4.9</t>
  </si>
  <si>
    <t>KEGG ENZYME: 2.7.4.9</t>
  </si>
  <si>
    <t>KEGG REACTION: R02094</t>
  </si>
  <si>
    <t>KEGG REACTION: R02098</t>
  </si>
  <si>
    <t>3.13.2.1</t>
  </si>
  <si>
    <t>KEGG ENZYME: 3.13.2.1</t>
  </si>
  <si>
    <t>KEGG REACTION: R00192</t>
  </si>
  <si>
    <t>5.3.1.8</t>
  </si>
  <si>
    <t>KEGG ENZYME: 5.3.1.8</t>
  </si>
  <si>
    <t>KEGG REACTION: R00772</t>
  </si>
  <si>
    <t>C00275</t>
  </si>
  <si>
    <t>KEGG REACTION: R01819</t>
  </si>
  <si>
    <t>2.7.7.13</t>
  </si>
  <si>
    <t>KEGG ENZYME: 2.7.7.13</t>
  </si>
  <si>
    <t>KEGG REACTION: R00885</t>
  </si>
  <si>
    <t>1.1.1.100</t>
  </si>
  <si>
    <t>KEGG ENZYME: 1.1.1.100</t>
  </si>
  <si>
    <t>KEGG REACTION: R02767</t>
  </si>
  <si>
    <t>KEGG REACTION: R07763</t>
  </si>
  <si>
    <t>KEGG REACTION: R10116</t>
  </si>
  <si>
    <t>KEGG REACTION: R10120</t>
  </si>
  <si>
    <t>4.1.1.21</t>
  </si>
  <si>
    <t>5.4.99.18</t>
  </si>
  <si>
    <t>KEGG ENZYME: 4.1.1.21</t>
  </si>
  <si>
    <t>KEGG REACTION: R04209</t>
  </si>
  <si>
    <t>C04751</t>
  </si>
  <si>
    <t>KEGG ENZYME: 5.4.99.18</t>
  </si>
  <si>
    <t>KEGG REACTION: R07405</t>
  </si>
  <si>
    <t>C15667</t>
  </si>
  <si>
    <t>6.3.4.18</t>
  </si>
  <si>
    <t>KEGG ENZYME: 6.3.4.18</t>
  </si>
  <si>
    <t>KEGG REACTION: R07404</t>
  </si>
  <si>
    <t>6.3.4.15</t>
  </si>
  <si>
    <t>KEGG ENZYME: 6.3.4.15</t>
  </si>
  <si>
    <t>KEGG REACTION: R04562</t>
  </si>
  <si>
    <t>KEGG REACTION: R01074</t>
  </si>
  <si>
    <t>KEGG REACTION: R05145</t>
  </si>
  <si>
    <t>3.6.1.9</t>
  </si>
  <si>
    <t>KEGG ENZYME: 3.6.1.9</t>
  </si>
  <si>
    <t>KEGG REACTION: R01532</t>
  </si>
  <si>
    <t>KEGG REACTION: R00087</t>
  </si>
  <si>
    <t>KEGG REACTION: R00426</t>
  </si>
  <si>
    <t>KEGG REACTION: R00515</t>
  </si>
  <si>
    <t>KEGG REACTION: R00662</t>
  </si>
  <si>
    <t>KEGG REACTION: R11323</t>
  </si>
  <si>
    <t>KEGG REACTION: R00103</t>
  </si>
  <si>
    <t>KEGG REACTION: R00160</t>
  </si>
  <si>
    <t>KEGG REACTION: R00287</t>
  </si>
  <si>
    <t>KEGG REACTION: R03004</t>
  </si>
  <si>
    <t>KEGG REACTION: R03036</t>
  </si>
  <si>
    <t>6.4.-.-</t>
  </si>
  <si>
    <t>2.3.3.5</t>
  </si>
  <si>
    <t>KEGG ENZYME: 2.3.3.5</t>
  </si>
  <si>
    <t>KEGG REACTION: R00931</t>
  </si>
  <si>
    <t>4.1.3.30</t>
  </si>
  <si>
    <t>KEGG ENZYME: 4.1.3.30</t>
  </si>
  <si>
    <t>KEGG REACTION: R00409</t>
  </si>
  <si>
    <t>C04593</t>
  </si>
  <si>
    <t>4.2.1.3</t>
  </si>
  <si>
    <t>4.2.1.79</t>
  </si>
  <si>
    <t>KEGG ENZYME: 4.2.1.3</t>
  </si>
  <si>
    <t>KEGG REACTION: R01324</t>
  </si>
  <si>
    <t>C00158</t>
  </si>
  <si>
    <t>KEGG REACTION: R01325</t>
  </si>
  <si>
    <t>KEGG REACTION: R01900</t>
  </si>
  <si>
    <t>KEGG ENZYME: 4.2.1.79</t>
  </si>
  <si>
    <t>KEGG REACTION: R04424</t>
  </si>
  <si>
    <t>C02225</t>
  </si>
  <si>
    <t>6.4.1.1</t>
  </si>
  <si>
    <t>KEGG ENZYME: 6.4.1.1</t>
  </si>
  <si>
    <t>KEGG REACTION: R00344</t>
  </si>
  <si>
    <t>5.4.2.-</t>
  </si>
  <si>
    <t>6.1.1.2</t>
  </si>
  <si>
    <t>KEGG ENZYME: 6.1.1.2</t>
  </si>
  <si>
    <t>KEGG REACTION: R03664</t>
  </si>
  <si>
    <t>1.1.1.42</t>
  </si>
  <si>
    <t>KEGG ENZYME: 1.1.1.42</t>
  </si>
  <si>
    <t>KEGG REACTION: R00267</t>
  </si>
  <si>
    <t>KEGG REACTION: R00268</t>
  </si>
  <si>
    <t>C05379</t>
  </si>
  <si>
    <t>KEGG REACTION: R01899</t>
  </si>
  <si>
    <t>2.3.1.31</t>
  </si>
  <si>
    <t>KEGG ENZYME: 2.3.1.31</t>
  </si>
  <si>
    <t>KEGG REACTION: R01776</t>
  </si>
  <si>
    <t>2.1.1.207</t>
  </si>
  <si>
    <t>KEGG ENZYME: 2.1.1.207</t>
  </si>
  <si>
    <t>3.5.4.-</t>
  </si>
  <si>
    <t>7.4.2.11</t>
  </si>
  <si>
    <t>KEGG ENZYME: 7.4.2.11</t>
  </si>
  <si>
    <t>6.3.5.2</t>
  </si>
  <si>
    <t>KEGG ENZYME: 6.3.5.2</t>
  </si>
  <si>
    <t>KEGG REACTION: R01230</t>
  </si>
  <si>
    <t>KEGG REACTION: R01231</t>
  </si>
  <si>
    <t>KEGG REACTION: R08244</t>
  </si>
  <si>
    <t>1.1.1.205</t>
  </si>
  <si>
    <t>KEGG ENZYME: 1.1.1.205</t>
  </si>
  <si>
    <t>KEGG REACTION: R01130</t>
  </si>
  <si>
    <t>KEGG REACTION: R08240</t>
  </si>
  <si>
    <t>2.3.1.234</t>
  </si>
  <si>
    <t>KEGG ENZYME: 2.3.1.234</t>
  </si>
  <si>
    <t>KEGG REACTION: R10648</t>
  </si>
  <si>
    <t>2.3.1.266</t>
  </si>
  <si>
    <t>KEGG ENZYME: 2.3.1.266</t>
  </si>
  <si>
    <t>KEGG REACTION: R04316</t>
  </si>
  <si>
    <t>5.1.1.1</t>
  </si>
  <si>
    <t>KEGG ENZYME: 5.1.1.1</t>
  </si>
  <si>
    <t>KEGG REACTION: R00401</t>
  </si>
  <si>
    <t>C00041</t>
  </si>
  <si>
    <t>C00133</t>
  </si>
  <si>
    <t>5.4.2.10</t>
  </si>
  <si>
    <t>KEGG ENZYME: 5.4.2.10</t>
  </si>
  <si>
    <t>KEGG REACTION: R02060</t>
  </si>
  <si>
    <t>C06156</t>
  </si>
  <si>
    <t>C00352</t>
  </si>
  <si>
    <t>5.4.99.12</t>
  </si>
  <si>
    <t>KEGG ENZYME: 5.4.99.12</t>
  </si>
  <si>
    <t>KEGG REACTION: R03020</t>
  </si>
  <si>
    <t>C00868</t>
  </si>
  <si>
    <t>C02764</t>
  </si>
  <si>
    <t>2.7.4.3</t>
  </si>
  <si>
    <t>KEGG ENZYME: 2.7.4.3</t>
  </si>
  <si>
    <t>KEGG REACTION: R00127</t>
  </si>
  <si>
    <t>C00008</t>
  </si>
  <si>
    <t>KEGG REACTION: R01547</t>
  </si>
  <si>
    <t>KEGG REACTION: R11319</t>
  </si>
  <si>
    <t>2.6.1.19</t>
  </si>
  <si>
    <t>KEGG ENZYME: 2.6.1.19</t>
  </si>
  <si>
    <t>KEGG REACTION: R01648</t>
  </si>
  <si>
    <t>KEGG REACTION: R00908</t>
  </si>
  <si>
    <t>1.3.1.83</t>
  </si>
  <si>
    <t>KEGG ENZYME: 1.3.1.83</t>
  </si>
  <si>
    <t>KEGG REACTION: R02063</t>
  </si>
  <si>
    <t>2.1.1.163</t>
  </si>
  <si>
    <t>KEGG ENZYME: 2.1.1.163</t>
  </si>
  <si>
    <t>KEGG REACTION: R09736</t>
  </si>
  <si>
    <t>2.2.1.9</t>
  </si>
  <si>
    <t>KEGG ENZYME: 2.2.1.9</t>
  </si>
  <si>
    <t>KEGG REACTION: R08165</t>
  </si>
  <si>
    <t>4.2.1.113</t>
  </si>
  <si>
    <t>KEGG ENZYME: 4.2.1.113</t>
  </si>
  <si>
    <t>KEGG REACTION: R04031</t>
  </si>
  <si>
    <t>C05817</t>
  </si>
  <si>
    <t>4.2.1.96</t>
  </si>
  <si>
    <t>KEGG ENZYME: 4.2.1.96</t>
  </si>
  <si>
    <t>KEGG REACTION: R04734</t>
  </si>
  <si>
    <t>C15522</t>
  </si>
  <si>
    <t>4.1.3.36</t>
  </si>
  <si>
    <t>KEGG ENZYME: 4.1.3.36</t>
  </si>
  <si>
    <t>KEGG REACTION: R04150</t>
  </si>
  <si>
    <t>C03160</t>
  </si>
  <si>
    <t>KEGG REACTION: R07263</t>
  </si>
  <si>
    <t>6.2.1.26</t>
  </si>
  <si>
    <t>KEGG ENZYME: 6.2.1.26</t>
  </si>
  <si>
    <t>KEGG REACTION: R04030</t>
  </si>
  <si>
    <t>2.5.1.74</t>
  </si>
  <si>
    <t>KEGG ENZYME: 2.5.1.74</t>
  </si>
  <si>
    <t>KEGG REACTION: R10757</t>
  </si>
  <si>
    <t>5.4.3.8</t>
  </si>
  <si>
    <t>KEGG ENZYME: 5.4.3.8</t>
  </si>
  <si>
    <t>KEGG REACTION: R02272</t>
  </si>
  <si>
    <t>C00430</t>
  </si>
  <si>
    <t>C03741</t>
  </si>
  <si>
    <t>1.3.3.4</t>
  </si>
  <si>
    <t>KEGG ENZYME: 1.3.3.4</t>
  </si>
  <si>
    <t>KEGG REACTION: R03222</t>
  </si>
  <si>
    <t>4.1.1.37</t>
  </si>
  <si>
    <t>KEGG ENZYME: 4.1.1.37</t>
  </si>
  <si>
    <t>KEGG REACTION: R03197</t>
  </si>
  <si>
    <t>C01051</t>
  </si>
  <si>
    <t>KEGG REACTION: R04972</t>
  </si>
  <si>
    <t>C05766</t>
  </si>
  <si>
    <t>4.2.1.24</t>
  </si>
  <si>
    <t>KEGG ENZYME: 4.2.1.24</t>
  </si>
  <si>
    <t>KEGG REACTION: R00036</t>
  </si>
  <si>
    <t>4.2.1.75</t>
  </si>
  <si>
    <t>KEGG ENZYME: 4.2.1.75</t>
  </si>
  <si>
    <t>KEGG REACTION: R03165</t>
  </si>
  <si>
    <t>C01024</t>
  </si>
  <si>
    <t>4.2.1.10</t>
  </si>
  <si>
    <t>KEGG ENZYME: 4.2.1.10</t>
  </si>
  <si>
    <t>KEGG REACTION: R03084</t>
  </si>
  <si>
    <t>C00944</t>
  </si>
  <si>
    <t>4.2.1.118</t>
  </si>
  <si>
    <t>KEGG ENZYME: 4.2.1.118</t>
  </si>
  <si>
    <t>KEGG REACTION: R01627</t>
  </si>
  <si>
    <t>C02637</t>
  </si>
  <si>
    <t>2.5.1.61</t>
  </si>
  <si>
    <t>KEGG ENZYME: 2.5.1.61</t>
  </si>
  <si>
    <t>KEGG REACTION: R00084</t>
  </si>
  <si>
    <t>1.2.1.70</t>
  </si>
  <si>
    <t>KEGG ENZYME: 1.2.1.70</t>
  </si>
  <si>
    <t>KEGG REACTION: R04109</t>
  </si>
  <si>
    <t>1.5.1.2</t>
  </si>
  <si>
    <t>KEGG ENZYME: 1.5.1.2</t>
  </si>
  <si>
    <t>KEGG REACTION: R01248</t>
  </si>
  <si>
    <t>KEGG REACTION: R01251</t>
  </si>
  <si>
    <t>KEGG REACTION: R03291</t>
  </si>
  <si>
    <t>KEGG REACTION: R03293</t>
  </si>
  <si>
    <t>5.4.2.11</t>
  </si>
  <si>
    <t>KEGG ENZYME: 5.4.2.11</t>
  </si>
  <si>
    <t>KEGG REACTION: R01516</t>
  </si>
  <si>
    <t>KEGG REACTION: R01518</t>
  </si>
  <si>
    <t>C00197</t>
  </si>
  <si>
    <t>2.4.1.250</t>
  </si>
  <si>
    <t>KEGG ENZYME: 2.4.1.250</t>
  </si>
  <si>
    <t>KEGG REACTION: R09634</t>
  </si>
  <si>
    <t>1.3.1.98</t>
  </si>
  <si>
    <t>KEGG ENZYME: 1.3.1.98</t>
  </si>
  <si>
    <t>KEGG REACTION: R03192</t>
  </si>
  <si>
    <t>KEGG REACTION: R03191</t>
  </si>
  <si>
    <t>4.1.2.4</t>
  </si>
  <si>
    <t>KEGG ENZYME: 4.1.2.4</t>
  </si>
  <si>
    <t>KEGG REACTION: R01066</t>
  </si>
  <si>
    <t>C00673</t>
  </si>
  <si>
    <t>3.5.1.10</t>
  </si>
  <si>
    <t>KEGG ENZYME: 3.5.1.10</t>
  </si>
  <si>
    <t>KEGG REACTION: R00944</t>
  </si>
  <si>
    <t>1.8.1.4</t>
  </si>
  <si>
    <t>KEGG ENZYME: 1.8.1.4</t>
  </si>
  <si>
    <t>KEGG REACTION: R08550</t>
  </si>
  <si>
    <t>KEGG REACTION: R03815</t>
  </si>
  <si>
    <t>KEGG REACTION: R07618</t>
  </si>
  <si>
    <t>KEGG REACTION: R01698</t>
  </si>
  <si>
    <t>2.7.10.-</t>
  </si>
  <si>
    <t>3.4.11.-</t>
  </si>
  <si>
    <t>4.2.1.46</t>
  </si>
  <si>
    <t>KEGG ENZYME: 4.2.1.46</t>
  </si>
  <si>
    <t>KEGG REACTION: R06513</t>
  </si>
  <si>
    <t>2.7.7.24</t>
  </si>
  <si>
    <t>KEGG ENZYME: 2.7.7.24</t>
  </si>
  <si>
    <t>KEGG REACTION: R02328</t>
  </si>
  <si>
    <t>3.1.3.5</t>
  </si>
  <si>
    <t>KEGG ENZYME: 3.1.3.5</t>
  </si>
  <si>
    <t>KEGG REACTION: R07297</t>
  </si>
  <si>
    <t>KEGG REACTION: R00183</t>
  </si>
  <si>
    <t>KEGG REACTION: R00511</t>
  </si>
  <si>
    <t>KEGG REACTION: R00963</t>
  </si>
  <si>
    <t>KEGG REACTION: R01126</t>
  </si>
  <si>
    <t>KEGG REACTION: R01227</t>
  </si>
  <si>
    <t>KEGG REACTION: R02323</t>
  </si>
  <si>
    <t>KEGG REACTION: R02719</t>
  </si>
  <si>
    <t>KEGG REACTION: R03346</t>
  </si>
  <si>
    <t>KEGG REACTION: R01569</t>
  </si>
  <si>
    <t>KEGG REACTION: R01664</t>
  </si>
  <si>
    <t>KEGG REACTION: R01968</t>
  </si>
  <si>
    <t>KEGG REACTION: R02088</t>
  </si>
  <si>
    <t>KEGG REACTION: R02102</t>
  </si>
  <si>
    <t>KEGG REACTION: R12958</t>
  </si>
  <si>
    <t>4.2.1.47</t>
  </si>
  <si>
    <t>KEGG ENZYME: 4.2.1.47</t>
  </si>
  <si>
    <t>KEGG REACTION: R00888</t>
  </si>
  <si>
    <t>C00096</t>
  </si>
  <si>
    <t>1.1.1.306</t>
  </si>
  <si>
    <t>KEGG ENZYME: 1.1.1.306</t>
  </si>
  <si>
    <t>KEGG REACTION: R09129</t>
  </si>
  <si>
    <t>KEGG REACTION: R10301</t>
  </si>
  <si>
    <t>3.3.2.2</t>
  </si>
  <si>
    <t>KEGG ENZYME: 3.3.2.2</t>
  </si>
  <si>
    <t>KEGG REACTION: R02745</t>
  </si>
  <si>
    <t>KEGG REACTION: R03415</t>
  </si>
  <si>
    <t>5.6.2.1</t>
  </si>
  <si>
    <t>KEGG ENZYME: 5.6.2.1</t>
  </si>
  <si>
    <t>1.11.1.6</t>
  </si>
  <si>
    <t>KEGG ENZYME: 1.11.1.6</t>
  </si>
  <si>
    <t>KEGG REACTION: R00009</t>
  </si>
  <si>
    <t>C00027</t>
  </si>
  <si>
    <t>KEGG REACTION: R00602</t>
  </si>
  <si>
    <t>KEGG REACTION: R02670</t>
  </si>
  <si>
    <t>1.2.1.11</t>
  </si>
  <si>
    <t>KEGG ENZYME: 1.2.1.11</t>
  </si>
  <si>
    <t>KEGG REACTION: R02291</t>
  </si>
  <si>
    <t>2.7.2.4</t>
  </si>
  <si>
    <t>KEGG ENZYME: 2.7.2.4</t>
  </si>
  <si>
    <t>KEGG REACTION: R00480</t>
  </si>
  <si>
    <t>2.3.3.13</t>
  </si>
  <si>
    <t>KEGG ENZYME: 2.3.3.13</t>
  </si>
  <si>
    <t>KEGG REACTION: R01213</t>
  </si>
  <si>
    <t>1.13.11.-</t>
  </si>
  <si>
    <t>6.1.1.-</t>
  </si>
  <si>
    <t>2.4.2.29</t>
  </si>
  <si>
    <t>KEGG ENZYME: 2.4.2.29</t>
  </si>
  <si>
    <t>KEGG REACTION: R10209</t>
  </si>
  <si>
    <t>3.5.4.33</t>
  </si>
  <si>
    <t>KEGG ENZYME: 3.5.4.33</t>
  </si>
  <si>
    <t>KEGG REACTION: R10223</t>
  </si>
  <si>
    <t>1.3.1.12</t>
  </si>
  <si>
    <t>KEGG ENZYME: 1.3.1.12</t>
  </si>
  <si>
    <t>KEGG REACTION: R01728</t>
  </si>
  <si>
    <t>4.6.1.17</t>
  </si>
  <si>
    <t>KEGG ENZYME: 4.6.1.17</t>
  </si>
  <si>
    <t>KEGG REACTION: R11372</t>
  </si>
  <si>
    <t>2.8.1.12</t>
  </si>
  <si>
    <t>KEGG ENZYME: 2.8.1.12</t>
  </si>
  <si>
    <t>KEGG REACTION: R09395</t>
  </si>
  <si>
    <t>1.6.5.5</t>
  </si>
  <si>
    <t>KEGG ENZYME: 1.6.5.5</t>
  </si>
  <si>
    <t>KEGG REACTION: R02364</t>
  </si>
  <si>
    <t>2.4.1.287</t>
  </si>
  <si>
    <t>KEGG ENZYME: 2.4.1.287</t>
  </si>
  <si>
    <t>KEGG REACTION: R12078</t>
  </si>
  <si>
    <t>KEGG REACTION: R12079</t>
  </si>
  <si>
    <t>1.1.1.333</t>
  </si>
  <si>
    <t>KEGG ENZYME: 1.1.1.333</t>
  </si>
  <si>
    <t>KEGG REACTION: R10113</t>
  </si>
  <si>
    <t>1.4.1.13</t>
  </si>
  <si>
    <t>KEGG ENZYME: 1.4.1.13</t>
  </si>
  <si>
    <t>KEGG REACTION: R00114</t>
  </si>
  <si>
    <t>3.7.1.22</t>
  </si>
  <si>
    <t>KEGG ENZYME: 3.7.1.22</t>
  </si>
  <si>
    <t>KEGG REACTION: R08603</t>
  </si>
  <si>
    <t>C16737</t>
  </si>
  <si>
    <t>5.3.1.30</t>
  </si>
  <si>
    <t>KEGG ENZYME: 5.3.1.30</t>
  </si>
  <si>
    <t>KEGG REACTION: R08503</t>
  </si>
  <si>
    <t>C06892</t>
  </si>
  <si>
    <t>2.7.1.92</t>
  </si>
  <si>
    <t>KEGG ENZYME: 2.7.1.92</t>
  </si>
  <si>
    <t>KEGG REACTION: R05661</t>
  </si>
  <si>
    <t>1.14.11.-</t>
  </si>
  <si>
    <t>4.1.1.11</t>
  </si>
  <si>
    <t>KEGG ENZYME: 4.1.1.11</t>
  </si>
  <si>
    <t>KEGG REACTION: R00489</t>
  </si>
  <si>
    <t>4.2.1.-</t>
  </si>
  <si>
    <t>2.1.2.11</t>
  </si>
  <si>
    <t>KEGG ENZYME: 2.1.2.11</t>
  </si>
  <si>
    <t>KEGG REACTION: R01226</t>
  </si>
  <si>
    <t>KEGG REACTION: R01216</t>
  </si>
  <si>
    <t>C00966</t>
  </si>
  <si>
    <t>2.7.1.17</t>
  </si>
  <si>
    <t>KEGG ENZYME: 2.7.1.17</t>
  </si>
  <si>
    <t>KEGG REACTION: R01639</t>
  </si>
  <si>
    <t>3.2.2.4</t>
  </si>
  <si>
    <t>KEGG ENZYME: 3.2.2.4</t>
  </si>
  <si>
    <t>KEGG REACTION: R00182</t>
  </si>
  <si>
    <t>3.5.1.5</t>
  </si>
  <si>
    <t>KEGG ENZYME: 3.5.1.5</t>
  </si>
  <si>
    <t>KEGG REACTION: R12185</t>
  </si>
  <si>
    <t>KEGG REACTION: R13420</t>
  </si>
  <si>
    <t>KEGG REACTION: R13421</t>
  </si>
  <si>
    <t>KEGG REACTION: R00131</t>
  </si>
  <si>
    <t>2.3.1.286</t>
  </si>
  <si>
    <t>KEGG ENZYME: 2.3.1.286</t>
  </si>
  <si>
    <t>KEGG REACTION: R10634</t>
  </si>
  <si>
    <t>KEGG REACTION: R10633</t>
  </si>
  <si>
    <t>2.8.1.6</t>
  </si>
  <si>
    <t>KEGG ENZYME: 2.8.1.6</t>
  </si>
  <si>
    <t>KEGG REACTION: R01078</t>
  </si>
  <si>
    <t>1.14.13.-</t>
  </si>
  <si>
    <t>KEGG ENZYME: 2.4.99.28</t>
  </si>
  <si>
    <t>KEGG REACTION: R06179</t>
  </si>
  <si>
    <t>KEGG REACTION: R04519</t>
  </si>
  <si>
    <t>KEGG REACTION: R06177</t>
  </si>
  <si>
    <t>KEGG ENZYME: 5.6.2.2</t>
  </si>
  <si>
    <t>GCF_000011325.1</t>
  </si>
  <si>
    <t xml:space="preserve">
SAMD00061105</t>
  </si>
  <si>
    <t>BA000036</t>
  </si>
  <si>
    <t>ASM1132v1</t>
  </si>
  <si>
    <t>3.3 Mb</t>
  </si>
  <si>
    <t>BA000036.3</t>
  </si>
  <si>
    <t>C00677 | C00039</t>
  </si>
  <si>
    <t>C00013 | C00039</t>
  </si>
  <si>
    <t>C00131 | C00039</t>
  </si>
  <si>
    <t>C00286 | C00039</t>
  </si>
  <si>
    <t>C00458 | C00039</t>
  </si>
  <si>
    <t>C00459 | C00039</t>
  </si>
  <si>
    <t>C05893 | C11826</t>
  </si>
  <si>
    <t>C04574 | C11826</t>
  </si>
  <si>
    <t>G10553 | G10554</t>
  </si>
  <si>
    <t>C04574 | G10554</t>
  </si>
  <si>
    <t>C05898 | C11827</t>
  </si>
  <si>
    <t>C04574 | C11827</t>
  </si>
  <si>
    <t>G10555 | G10557</t>
  </si>
  <si>
    <t>C04574 | G10557</t>
  </si>
  <si>
    <t>C00562 | C00001</t>
  </si>
  <si>
    <t>C00017 | C00009</t>
  </si>
  <si>
    <t>C01909 | C17023 | C00019 | C05359 | C00080</t>
  </si>
  <si>
    <t>C00120 | C00073 | C05198</t>
  </si>
  <si>
    <t>C00003 | C20743 | C00001</t>
  </si>
  <si>
    <t>C00153 | C02188 | C20658 | C00080</t>
  </si>
  <si>
    <t>C00003 | C01997 | C00001</t>
  </si>
  <si>
    <t>C00153 | C02415 | C20658 | C00080</t>
  </si>
  <si>
    <t>C00014 | C00288</t>
  </si>
  <si>
    <t>C01563 | C00001</t>
  </si>
  <si>
    <t>C00086 | C00001</t>
  </si>
  <si>
    <t>C00288 | C00014</t>
  </si>
  <si>
    <t>C01563 | C00014</t>
  </si>
  <si>
    <t>C00011 | C00014</t>
  </si>
  <si>
    <t>C00241 | C00001</t>
  </si>
  <si>
    <t>C00060 | C00014</t>
  </si>
  <si>
    <t>C00020 | C00001</t>
  </si>
  <si>
    <t>C00147 | C00117</t>
  </si>
  <si>
    <t>C00002 | C00310</t>
  </si>
  <si>
    <t>C00008 | C00231</t>
  </si>
  <si>
    <t>C00002 | C00522 | C00099</t>
  </si>
  <si>
    <t>C00020 | C00013 | C00864</t>
  </si>
  <si>
    <t>C00143 | C00141 | C00001</t>
  </si>
  <si>
    <t>C00101 | C00966</t>
  </si>
  <si>
    <t>C00141 | C00067</t>
  </si>
  <si>
    <t>C00099 | C00011</t>
  </si>
  <si>
    <t>C04250 | C02743</t>
  </si>
  <si>
    <t>C03800 | C11475</t>
  </si>
  <si>
    <t>C06892 | C00002</t>
  </si>
  <si>
    <t>C06893 | C00008</t>
  </si>
  <si>
    <t>C04287 | C00001</t>
  </si>
  <si>
    <t>C00025 | C00006</t>
  </si>
  <si>
    <t>C00064 | C00026 | C00005 | C00080</t>
  </si>
  <si>
    <t>C00025 | C00006 | C00001</t>
  </si>
  <si>
    <t>C00026 | C00014 | C00005 | C00080</t>
  </si>
  <si>
    <t>C00064 | C00001</t>
  </si>
  <si>
    <t>C00025 | C00014</t>
  </si>
  <si>
    <t>C20370 | C00003</t>
  </si>
  <si>
    <t>C20369 | C00004 | C00080</t>
  </si>
  <si>
    <t>G13125 | G13119</t>
  </si>
  <si>
    <t>G10619 | G13120</t>
  </si>
  <si>
    <t>G13125 | G13120</t>
  </si>
  <si>
    <t>G10619 | G13121</t>
  </si>
  <si>
    <t>C15602 | C00005 | C00080</t>
  </si>
  <si>
    <t>C05309 | C00006</t>
  </si>
  <si>
    <t>C18239 | C15814</t>
  </si>
  <si>
    <t>C05924 | C15810</t>
  </si>
  <si>
    <t>C21310 | C00001</t>
  </si>
  <si>
    <t>C18239 | C00013</t>
  </si>
  <si>
    <t>C01100 | C00026</t>
  </si>
  <si>
    <t>C01267 | C00025</t>
  </si>
  <si>
    <t>C00079 | C00026</t>
  </si>
  <si>
    <t>C00166 | C00025</t>
  </si>
  <si>
    <t>C00082 | C00026</t>
  </si>
  <si>
    <t>C01179 | C00025</t>
  </si>
  <si>
    <t>C00254 | C00003</t>
  </si>
  <si>
    <t>C01179 | C00011 | C00004 | C00080</t>
  </si>
  <si>
    <t>C17324 | C00001</t>
  </si>
  <si>
    <t>C20451 | C00014</t>
  </si>
  <si>
    <t>C01977 | C16675</t>
  </si>
  <si>
    <t>C20446 | C00242</t>
  </si>
  <si>
    <t>C00002 | C00692 | C00680</t>
  </si>
  <si>
    <t>C00008 | C00009 | C04877</t>
  </si>
  <si>
    <t>C02504 | C00010</t>
  </si>
  <si>
    <t>C00024 | C00141 | C00001</t>
  </si>
  <si>
    <t>C00002 | C00049</t>
  </si>
  <si>
    <t>C00008 | C03082</t>
  </si>
  <si>
    <t>C00441 | C00009 | C00006</t>
  </si>
  <si>
    <t>C03082 | C00005 | C00080</t>
  </si>
  <si>
    <t>C00007 | C00001</t>
  </si>
  <si>
    <t>C00132 | C00027</t>
  </si>
  <si>
    <t>C00067 | C00001</t>
  </si>
  <si>
    <t>C00632 | C00007</t>
  </si>
  <si>
    <t>C05640 | C00704 | C00027 | C00080</t>
  </si>
  <si>
    <t>C04517 | C00001</t>
  </si>
  <si>
    <t>C00071 | C00670</t>
  </si>
  <si>
    <t>C04635 | C00001</t>
  </si>
  <si>
    <t>C00071 | C01233</t>
  </si>
  <si>
    <t>C18235 | C00003</t>
  </si>
  <si>
    <t>C06718 | C00004 | C00080</t>
  </si>
  <si>
    <t>C18235 | C00003 | C00001</t>
  </si>
  <si>
    <t>C00058 | C06717 | C00004 | C00080</t>
  </si>
  <si>
    <t>C01222 | C00001</t>
  </si>
  <si>
    <t>C02520 | C00001</t>
  </si>
  <si>
    <t>C00911 | C00009</t>
  </si>
  <si>
    <t>C00212 | C00009</t>
  </si>
  <si>
    <t>C00055 | C00001</t>
  </si>
  <si>
    <t>C00475 | C00009</t>
  </si>
  <si>
    <t>C00105 | C00001</t>
  </si>
  <si>
    <t>C00299 | C00009</t>
  </si>
  <si>
    <t>C00130 | C00001</t>
  </si>
  <si>
    <t>C00294 | C00009</t>
  </si>
  <si>
    <t>C00144 | C00001</t>
  </si>
  <si>
    <t>C00387 | C00009</t>
  </si>
  <si>
    <t>C00455 | C00001</t>
  </si>
  <si>
    <t>C03150 | C00009</t>
  </si>
  <si>
    <t>C00655 | C00001</t>
  </si>
  <si>
    <t>C01762 | C00009</t>
  </si>
  <si>
    <t>C01185 | C00001</t>
  </si>
  <si>
    <t>C05841 | C00009</t>
  </si>
  <si>
    <t>C00364 | C00001</t>
  </si>
  <si>
    <t>C00214 | C00009</t>
  </si>
  <si>
    <t>C00239 | C00001</t>
  </si>
  <si>
    <t>C00881 | C00009</t>
  </si>
  <si>
    <t>C00362 | C00001</t>
  </si>
  <si>
    <t>C00330 | C00009</t>
  </si>
  <si>
    <t>C00360 | C00001</t>
  </si>
  <si>
    <t>C00559 | C00009</t>
  </si>
  <si>
    <t>C00365 | C00001</t>
  </si>
  <si>
    <t>C00526 | C00009</t>
  </si>
  <si>
    <t>C06196 | C00001</t>
  </si>
  <si>
    <t>C05512 | C00009</t>
  </si>
  <si>
    <t>C00459 | C00103</t>
  </si>
  <si>
    <t>C00013 | C00842</t>
  </si>
  <si>
    <t>C11907 | C00001</t>
  </si>
  <si>
    <t>C00074 | C00043</t>
  </si>
  <si>
    <t>C04631 | C00009</t>
  </si>
  <si>
    <t>C01050 | C00006</t>
  </si>
  <si>
    <t>C04631 | C00005 | C00080</t>
  </si>
  <si>
    <t>C01050 | C00003</t>
  </si>
  <si>
    <t>C04631 | C00004 | C00080</t>
  </si>
  <si>
    <t>C16832 | C00003</t>
  </si>
  <si>
    <t>C16237 | C00004 | C00080</t>
  </si>
  <si>
    <t>C02972 | C00003</t>
  </si>
  <si>
    <t>C02051 | C00004 | C00080</t>
  </si>
  <si>
    <t>C15973 | C00003</t>
  </si>
  <si>
    <t>C15972 | C00004 | C00080</t>
  </si>
  <si>
    <t>C00579 | C00003</t>
  </si>
  <si>
    <t>C00248 | C00004 | C00080</t>
  </si>
  <si>
    <t>C00075 | C00103</t>
  </si>
  <si>
    <t>C00013 | C00029</t>
  </si>
  <si>
    <t>C00234 | C00001</t>
  </si>
  <si>
    <t>C00058 | C00101</t>
  </si>
  <si>
    <t>C00118 | C00084</t>
  </si>
  <si>
    <t>C00043 | C04006</t>
  </si>
  <si>
    <t>C19761 | C00015</t>
  </si>
  <si>
    <t>C01159 | C00615</t>
  </si>
  <si>
    <t>C00197  | C04262</t>
  </si>
  <si>
    <t>C00148 | C00003</t>
  </si>
  <si>
    <t>C03912 | C00004 | C00080</t>
  </si>
  <si>
    <t>C00148 | C00006</t>
  </si>
  <si>
    <t>C03912 | C00005 | C00080</t>
  </si>
  <si>
    <t>C01157 | C00003</t>
  </si>
  <si>
    <t>C04281 | C00004 | C00080</t>
  </si>
  <si>
    <t>C01157 | C00006</t>
  </si>
  <si>
    <t>C04281 | C00005 | C00080</t>
  </si>
  <si>
    <t>C02987 | C00005 | C00080</t>
  </si>
  <si>
    <t>C03741 | C01641 | C00006</t>
  </si>
  <si>
    <t>C00931 | C00001</t>
  </si>
  <si>
    <t>C01024 | C00014</t>
  </si>
  <si>
    <t>C00230 | C00001</t>
  </si>
  <si>
    <t>C02637 | C00001</t>
  </si>
  <si>
    <t>C00019 | C01051</t>
  </si>
  <si>
    <t>C00021 | C02463</t>
  </si>
  <si>
    <t>C00021 | C15527</t>
  </si>
  <si>
    <t>C00019 | C15527</t>
  </si>
  <si>
    <t>C00019 | C02469</t>
  </si>
  <si>
    <t>C00021 | C05778</t>
  </si>
  <si>
    <t>C01051 | C00001</t>
  </si>
  <si>
    <t>C03263 | C00011</t>
  </si>
  <si>
    <t>C05768 | C00011</t>
  </si>
  <si>
    <t>C01079 | C00007</t>
  </si>
  <si>
    <t>C02191 | C00027</t>
  </si>
  <si>
    <t>C05847 | C03657</t>
  </si>
  <si>
    <t>C19847 | C00013 | C00011</t>
  </si>
  <si>
    <t>C00002 | C02730 | C00010</t>
  </si>
  <si>
    <t>C00020 | C00013 | C03160</t>
  </si>
  <si>
    <t>C03657 | C00010</t>
  </si>
  <si>
    <t>C15547 | C00001</t>
  </si>
  <si>
    <t>C00268 | C00001</t>
  </si>
  <si>
    <t>C02730 | C00001</t>
  </si>
  <si>
    <t>C00885 | C00026</t>
  </si>
  <si>
    <t>C16519 | C00011</t>
  </si>
  <si>
    <t>C19847 | C00019</t>
  </si>
  <si>
    <t>C05819 | C00021</t>
  </si>
  <si>
    <t>C00353 | C00080 | C00005</t>
  </si>
  <si>
    <t>C05427 | C00006</t>
  </si>
  <si>
    <t>C00334 | C00026</t>
  </si>
  <si>
    <t>C00232 | C00025</t>
  </si>
  <si>
    <t>C00099 | C00026</t>
  </si>
  <si>
    <t>C00222 | C00025</t>
  </si>
  <si>
    <t>C00201 | C00046</t>
  </si>
  <si>
    <t>C00013 | C00046</t>
  </si>
  <si>
    <t>C00002 | C00046</t>
  </si>
  <si>
    <t>C00044 | C00046</t>
  </si>
  <si>
    <t>C00063 | C00046</t>
  </si>
  <si>
    <t>C00075 | C00046</t>
  </si>
  <si>
    <t>C20864 | C00013</t>
  </si>
  <si>
    <t>C00002 | C00020</t>
  </si>
  <si>
    <t>C00002 | C00360</t>
  </si>
  <si>
    <t>C00008 | C00206</t>
  </si>
  <si>
    <t>C00068 | C00008</t>
  </si>
  <si>
    <t>C03028 | C00020</t>
  </si>
  <si>
    <t>C20641 | C17324</t>
  </si>
  <si>
    <t>C00020 | C20751</t>
  </si>
  <si>
    <t>C00024 | C03803</t>
  </si>
  <si>
    <t>C00010 | C04341</t>
  </si>
  <si>
    <t>C00130 | C00003 | C00001</t>
  </si>
  <si>
    <t>C00655 | C00004 | C00080</t>
  </si>
  <si>
    <t>C04646 | C00003 | C00001</t>
  </si>
  <si>
    <t>C16618 | C00004 | C00080</t>
  </si>
  <si>
    <t>C00002 | C00655 | C00014</t>
  </si>
  <si>
    <t>C00020 | C00013 | C00144</t>
  </si>
  <si>
    <t>C00002 | C00655 | C00064 | C00001</t>
  </si>
  <si>
    <t>C00020 | C00013 | C00144 | C00025</t>
  </si>
  <si>
    <t>C16618 | C00002 | C00064 | C00001</t>
  </si>
  <si>
    <t>C16619 | C00020 | C00013 | C00025</t>
  </si>
  <si>
    <t>C00024 | C00263</t>
  </si>
  <si>
    <t>C00010 | C01077</t>
  </si>
  <si>
    <t>C00979 | C00283</t>
  </si>
  <si>
    <t>C00097 | C00033</t>
  </si>
  <si>
    <t>C00979 | C01528</t>
  </si>
  <si>
    <t>C05688 | C00033</t>
  </si>
  <si>
    <t>C00979 | C00320 | C00342 | C00080</t>
  </si>
  <si>
    <t>C00097 | C00094 | C00343 | C00033</t>
  </si>
  <si>
    <t>C01005 | C00283</t>
  </si>
  <si>
    <t>C00097 | C00009</t>
  </si>
  <si>
    <t>C00022 | C00042</t>
  </si>
  <si>
    <t>C00158 | C00010</t>
  </si>
  <si>
    <t>C00024 | C00001 | C00036</t>
  </si>
  <si>
    <t>C02225 | C00010</t>
  </si>
  <si>
    <t>C00100 | C00036 | C00001</t>
  </si>
  <si>
    <t>C00311 | C00006</t>
  </si>
  <si>
    <t>C00026 | C00011 | C00005 | C00080</t>
  </si>
  <si>
    <t>C00026 | C00011</t>
  </si>
  <si>
    <t>C05379 | C00005 | C00080</t>
  </si>
  <si>
    <t>C00002 | C00078 | C01652</t>
  </si>
  <si>
    <t>C00020 | C00013 | C03512</t>
  </si>
  <si>
    <t>C00105 | C00013</t>
  </si>
  <si>
    <t>C00106 | C00119</t>
  </si>
  <si>
    <t>C00002 | C00022 | C00288</t>
  </si>
  <si>
    <t>C00008 | C00009 | C00036</t>
  </si>
  <si>
    <t>C00417 | C00001</t>
  </si>
  <si>
    <t>C04225 | C00001</t>
  </si>
  <si>
    <t>C00201 | C00001</t>
  </si>
  <si>
    <t>C00215 | C00013</t>
  </si>
  <si>
    <t>C00002 | C00001</t>
  </si>
  <si>
    <t>C00020 | C00013</t>
  </si>
  <si>
    <t>C00044 | C00001</t>
  </si>
  <si>
    <t>C00144 | C00013</t>
  </si>
  <si>
    <t>C00063 | C00001</t>
  </si>
  <si>
    <t>C00055 | C00013</t>
  </si>
  <si>
    <t>C00075 | C00001</t>
  </si>
  <si>
    <t>C00459 | C00001</t>
  </si>
  <si>
    <t>C00364 | C00013</t>
  </si>
  <si>
    <t>C00003 | C00001</t>
  </si>
  <si>
    <t>C00020 | C00455</t>
  </si>
  <si>
    <t>C00016 | C00001</t>
  </si>
  <si>
    <t>C00020 | C00061</t>
  </si>
  <si>
    <t>C00029 | C00001</t>
  </si>
  <si>
    <t>C00105 | C00103</t>
  </si>
  <si>
    <t>C00857 | C00001</t>
  </si>
  <si>
    <t>C00020 | C01185</t>
  </si>
  <si>
    <t>C00882 | C00001</t>
  </si>
  <si>
    <t>C01134 | C00020</t>
  </si>
  <si>
    <t>C00002 | C00120 | C04735</t>
  </si>
  <si>
    <t>C00020 | C00013 | C04681</t>
  </si>
  <si>
    <t>C00002 | C00120</t>
  </si>
  <si>
    <t>C00013 | C05921</t>
  </si>
  <si>
    <t>C05921 | C06249</t>
  </si>
  <si>
    <t>C00020 | C06250</t>
  </si>
  <si>
    <t>C00002 | C03373 | C00288</t>
  </si>
  <si>
    <t>C00008 | C00009 | C15667</t>
  </si>
  <si>
    <t>C03373 | C00011</t>
  </si>
  <si>
    <t>C01271 | C00006</t>
  </si>
  <si>
    <t>C00685 | C00005 | C00080</t>
  </si>
  <si>
    <t>C04618 | C00006</t>
  </si>
  <si>
    <t>C05744 | C00005 | C00080</t>
  </si>
  <si>
    <t>C04619 | C00006</t>
  </si>
  <si>
    <t>C05753 | C00005</t>
  </si>
  <si>
    <t>C04620 | C00006</t>
  </si>
  <si>
    <t>C05750 | C00005 | C00080</t>
  </si>
  <si>
    <t>C04633 | C00006</t>
  </si>
  <si>
    <t>C05762 | C00005 | C00080</t>
  </si>
  <si>
    <t>C04688 | C00006</t>
  </si>
  <si>
    <t>C05747 | C00006</t>
  </si>
  <si>
    <t>C05746 | C00005 | C00080</t>
  </si>
  <si>
    <t>C05757 | C00006</t>
  </si>
  <si>
    <t>C05756 | C00005 | C00080</t>
  </si>
  <si>
    <t>C16219 | C00005 | C00080</t>
  </si>
  <si>
    <t>C16220 | C00006</t>
  </si>
  <si>
    <t>C20372 | C00005 | C00080</t>
  </si>
  <si>
    <t>C20373 | C00006</t>
  </si>
  <si>
    <t>C20376 | C00005 | C00080</t>
  </si>
  <si>
    <t>C20377 | C00006</t>
  </si>
  <si>
    <t>C00101 | C00006</t>
  </si>
  <si>
    <t>C00415 | C00005 | C00080</t>
  </si>
  <si>
    <t>C00101 | C00003</t>
  </si>
  <si>
    <t>C00415 | C00004 | C00080</t>
  </si>
  <si>
    <t>C00504 | C00004 | C00080</t>
  </si>
  <si>
    <t>C00504 | C00005 | C00080</t>
  </si>
  <si>
    <t>C00415 | C00003</t>
  </si>
  <si>
    <t>C00415 | C00006</t>
  </si>
  <si>
    <t>C00272 | C00006</t>
  </si>
  <si>
    <t>C02953 | C00005 | C00080</t>
  </si>
  <si>
    <t>C00044 | C00636</t>
  </si>
  <si>
    <t>C00013 | C00096</t>
  </si>
  <si>
    <t>C00021 | C00001</t>
  </si>
  <si>
    <t>C00212 | C00155</t>
  </si>
  <si>
    <t>C00002 | C00364</t>
  </si>
  <si>
    <t>C00008 | C00363</t>
  </si>
  <si>
    <t>C00002 | C00365</t>
  </si>
  <si>
    <t>C00008 | C01346</t>
  </si>
  <si>
    <t>C00074 | C03175</t>
  </si>
  <si>
    <t>C00009 | C01269</t>
  </si>
  <si>
    <t>C00819 | C00001</t>
  </si>
  <si>
    <t>C00217 | C00014</t>
  </si>
  <si>
    <t>C00117 | C00118 | C00014</t>
  </si>
  <si>
    <t>C00018 | C00001 | C00009</t>
  </si>
  <si>
    <t>C00117 | C00118 | C00064</t>
  </si>
  <si>
    <t>C00018 | C00025 | C00001 | C00009</t>
  </si>
  <si>
    <t>C00118 | C00199 | C00064</t>
  </si>
  <si>
    <t>C00018 | C00025 | C00009 | C00001</t>
  </si>
  <si>
    <t>C01100 | C00001</t>
  </si>
  <si>
    <t>C00860 | C00009</t>
  </si>
  <si>
    <t>C01005 | C00026</t>
  </si>
  <si>
    <t>C03232 | C00025</t>
  </si>
  <si>
    <t>C06055 | C00026</t>
  </si>
  <si>
    <t>C06054 | C00025</t>
  </si>
  <si>
    <t>C00024 | C04419</t>
  </si>
  <si>
    <t>C00083 | C06250</t>
  </si>
  <si>
    <t xml:space="preserve">C00024 | C00083 | C00005 | C00080 </t>
  </si>
  <si>
    <t>C00638 | C00011 | C00006 | C00010 | C00001</t>
  </si>
  <si>
    <t>C00024 | C00229</t>
  </si>
  <si>
    <t>C00010 | C03939</t>
  </si>
  <si>
    <t>C00083 | C00229</t>
  </si>
  <si>
    <t>C00010 | C01209</t>
  </si>
  <si>
    <t>C05764 | C00001</t>
  </si>
  <si>
    <t>C00229 | C00249</t>
  </si>
  <si>
    <t>C03939 | C01209</t>
  </si>
  <si>
    <t>C05744 | C00011 | C00229</t>
  </si>
  <si>
    <t>C04246 | C00001</t>
  </si>
  <si>
    <t>C05745 | C00006</t>
  </si>
  <si>
    <t>C04246 | C00005 | C00080</t>
  </si>
  <si>
    <t>C05754 | C00001</t>
  </si>
  <si>
    <t>C05751 | C00001</t>
  </si>
  <si>
    <t>C05763 | C00001</t>
  </si>
  <si>
    <t>C05759 | C00005 | C00080</t>
  </si>
  <si>
    <t>C05760 | C00001</t>
  </si>
  <si>
    <t>C05223 | C00006</t>
  </si>
  <si>
    <t>C05758 | C00005 | C00080</t>
  </si>
  <si>
    <t>C05223 | C01209</t>
  </si>
  <si>
    <t>C05759 | C00011 | C00229</t>
  </si>
  <si>
    <t>C05745 | C01209</t>
  </si>
  <si>
    <t>C05746 | C00011 | C00229</t>
  </si>
  <si>
    <t>C05748 | C00001</t>
  </si>
  <si>
    <t xml:space="preserve">C05749 | C00006 </t>
  </si>
  <si>
    <t>C05748 | C00005 | C00080</t>
  </si>
  <si>
    <t>C05749 | C01209</t>
  </si>
  <si>
    <t>C05750 | C00011 | C00229</t>
  </si>
  <si>
    <t>C05751 | C00005 | C00080</t>
  </si>
  <si>
    <t>C05752 | C01209</t>
  </si>
  <si>
    <t>C05753 | C00011 | C00229</t>
  </si>
  <si>
    <t>C05755 | C00006</t>
  </si>
  <si>
    <t>C05754 | C00005 | C00080</t>
  </si>
  <si>
    <t>C05755 | C01209</t>
  </si>
  <si>
    <t>C05756 | C00011 | C00229</t>
  </si>
  <si>
    <t>C05758 | C00001</t>
  </si>
  <si>
    <t>C05761 | C00006</t>
  </si>
  <si>
    <t>C05760 | C00005 | C00080</t>
  </si>
  <si>
    <t>C05761 | C01209</t>
  </si>
  <si>
    <t>C05762 | C00011 | C00229</t>
  </si>
  <si>
    <t>C05764 | C00006</t>
  </si>
  <si>
    <t>C05763 | C00005 | C00080</t>
  </si>
  <si>
    <t>C00365 | C00143</t>
  </si>
  <si>
    <t>C00415 | C00364</t>
  </si>
  <si>
    <t>C00054 | C00001</t>
  </si>
  <si>
    <t>C00020 | C00009</t>
  </si>
  <si>
    <t>C00053 | C00001</t>
  </si>
  <si>
    <t>C00224 | C00009</t>
  </si>
  <si>
    <t>C00234 | C03838</t>
  </si>
  <si>
    <t>C00101 | C04376</t>
  </si>
  <si>
    <t>C03838 | C00445 | C00001</t>
  </si>
  <si>
    <t>C04376 | C00101</t>
  </si>
  <si>
    <t>C00234 | C04677</t>
  </si>
  <si>
    <t>C00101 | C04734</t>
  </si>
  <si>
    <t>C00002 | C03479 | C00080</t>
  </si>
  <si>
    <t>C00008 | C00009 | C00445</t>
  </si>
  <si>
    <t>C03862 | C02189</t>
  </si>
  <si>
    <t>C00110 | C02863</t>
  </si>
  <si>
    <t>G10617 | C02189</t>
  </si>
  <si>
    <t>G10622 | G13027</t>
  </si>
  <si>
    <t>C03862 | C19803</t>
  </si>
  <si>
    <t>C00110 | C20722</t>
  </si>
  <si>
    <t>C00002 | C00073 | C01647</t>
  </si>
  <si>
    <t>C00020 | C00013 | C02430</t>
  </si>
  <si>
    <t>C00002 | C05335 | C01647</t>
  </si>
  <si>
    <t>C00020 | C00013 | C05336</t>
  </si>
  <si>
    <t>C00256 | C00003</t>
  </si>
  <si>
    <t>C00022 | C00004 | C00080</t>
  </si>
  <si>
    <t>C00019 | C20648</t>
  </si>
  <si>
    <t>C00021 | C20796</t>
  </si>
  <si>
    <t>C11435 | C00002</t>
  </si>
  <si>
    <t>C11436 | C00008</t>
  </si>
  <si>
    <t>C00002 | C00250</t>
  </si>
  <si>
    <t>C00008 | C00018</t>
  </si>
  <si>
    <t>C00002 | C00314</t>
  </si>
  <si>
    <t>C00008 | C00627</t>
  </si>
  <si>
    <t>C00002 | C00534</t>
  </si>
  <si>
    <t>C00008 | C00647</t>
  </si>
  <si>
    <t>C00002 | C00404</t>
  </si>
  <si>
    <t>C00008 | C00404</t>
  </si>
  <si>
    <t>C03880 | C00001</t>
  </si>
  <si>
    <t>C03523 | C00066</t>
  </si>
  <si>
    <t>C18091 | C00007 | C01847</t>
  </si>
  <si>
    <t>C00084 | C00088 | C00061 | C00001</t>
  </si>
  <si>
    <t>C00118 | C00009 | C00003</t>
  </si>
  <si>
    <t>C00236 | C00004 | C00080</t>
  </si>
  <si>
    <t>C00002 | C00117</t>
  </si>
  <si>
    <t>C00020 | C00119</t>
  </si>
  <si>
    <t>C00075 | C04501</t>
  </si>
  <si>
    <t>C00013 | C00043</t>
  </si>
  <si>
    <t>C03193 | C00045</t>
  </si>
  <si>
    <t>C00012 | C03363</t>
  </si>
  <si>
    <t>C00051 | C00151</t>
  </si>
  <si>
    <t>C01419 | C03740</t>
  </si>
  <si>
    <t>C03193 | C00245</t>
  </si>
  <si>
    <t>C00012 | C05844</t>
  </si>
  <si>
    <t>C02166 | C00045</t>
  </si>
  <si>
    <t>C05951 | C03363</t>
  </si>
  <si>
    <t>C03193 | C05689</t>
  </si>
  <si>
    <t>C00012 | C05695</t>
  </si>
  <si>
    <t>C02320 | C00001</t>
  </si>
  <si>
    <t>C05729 | C00025</t>
  </si>
  <si>
    <t>C02512 | C00025</t>
  </si>
  <si>
    <t>C05711 | C00001</t>
  </si>
  <si>
    <t>C05670 | C00025</t>
  </si>
  <si>
    <t>C06114 | C00001</t>
  </si>
  <si>
    <t>C00074 | C00001</t>
  </si>
  <si>
    <t>C04309 | C00001</t>
  </si>
  <si>
    <t>C00074 | C00279 | C00001</t>
  </si>
  <si>
    <t>C04691 | C00009</t>
  </si>
  <si>
    <t>C00002 | C00864</t>
  </si>
  <si>
    <t>C00008 | C03492</t>
  </si>
  <si>
    <t>C00002 | C00831</t>
  </si>
  <si>
    <t>C00008 | C01134</t>
  </si>
  <si>
    <t>C00002 | C04079</t>
  </si>
  <si>
    <t>C00008 | C04352</t>
  </si>
  <si>
    <t>C00143 | C00037 | C00001</t>
  </si>
  <si>
    <t>C00101 | C00065</t>
  </si>
  <si>
    <t>C00065 | C01217</t>
  </si>
  <si>
    <t>C04377 | C00037 | C00001</t>
  </si>
  <si>
    <t>C00251 | C00064</t>
  </si>
  <si>
    <t>C11355 | C00025</t>
  </si>
  <si>
    <t>C00251 | C00014</t>
  </si>
  <si>
    <t>C11355 | C00001</t>
  </si>
  <si>
    <t>C00002 | C01879 | C00001</t>
  </si>
  <si>
    <t>C00008 | C00009 | C00025</t>
  </si>
  <si>
    <t>C00122 | C00001</t>
  </si>
  <si>
    <t>C00354 | C00001</t>
  </si>
  <si>
    <t>C00085 | C00009</t>
  </si>
  <si>
    <t>C05378 | C00001</t>
  </si>
  <si>
    <t>C05345 | C00009</t>
  </si>
  <si>
    <t>C00447 | C00001</t>
  </si>
  <si>
    <t>C05382 | C00009</t>
  </si>
  <si>
    <t>C11811 | C00138 | C00080</t>
  </si>
  <si>
    <t>C00129 | C00139 | C00001</t>
  </si>
  <si>
    <t>C00235 | C00139 | C00001</t>
  </si>
  <si>
    <t>C00169 | C00077</t>
  </si>
  <si>
    <t>C00009 | C00327</t>
  </si>
  <si>
    <t>C01185 | C00013 | C00011</t>
  </si>
  <si>
    <t>C03722 | C00119</t>
  </si>
  <si>
    <t>C03722 | C00001 | C00009</t>
  </si>
  <si>
    <t>C05840 | C00111</t>
  </si>
  <si>
    <t>C00522 | C00006</t>
  </si>
  <si>
    <t>C00966 | C00005 | C00080</t>
  </si>
  <si>
    <t>C11215 | C07292</t>
  </si>
  <si>
    <t>C06697 | C07293</t>
  </si>
  <si>
    <t>C19784 | C00001</t>
  </si>
  <si>
    <t>C19702 | C00033</t>
  </si>
  <si>
    <t>C04421 | C00026</t>
  </si>
  <si>
    <t>C04462 | C00025</t>
  </si>
  <si>
    <t>C00091 | C03972 | C00001</t>
  </si>
  <si>
    <t>C00010 | C04462</t>
  </si>
  <si>
    <t>C04421 | C00001</t>
  </si>
  <si>
    <t>C00042 | C00666</t>
  </si>
  <si>
    <t>C04807 | C00568</t>
  </si>
  <si>
    <t>C00013 | C00921</t>
  </si>
  <si>
    <t>C01300 | C00568</t>
  </si>
  <si>
    <t>C00921 | C00001</t>
  </si>
  <si>
    <t>C15541 | C00197</t>
  </si>
  <si>
    <t>C00454 | C19791</t>
  </si>
  <si>
    <t>C00498 | C00718</t>
  </si>
  <si>
    <t>C00008 | C00718</t>
  </si>
  <si>
    <t>G10495 | G11109</t>
  </si>
  <si>
    <t>G10495 | G11113</t>
  </si>
  <si>
    <t>C00002 | C00103</t>
  </si>
  <si>
    <t>C00013 | C00498</t>
  </si>
  <si>
    <t>C00232 | C00011</t>
  </si>
  <si>
    <t>C04489 | C00155</t>
  </si>
  <si>
    <t>C04144 | C00073</t>
  </si>
  <si>
    <t>C05698 | C04489</t>
  </si>
  <si>
    <t>C05335 | C04144</t>
  </si>
  <si>
    <t>C11457 | C00007 | C00004 | C00080</t>
  </si>
  <si>
    <t>C04044 | C00001 | C00003</t>
  </si>
  <si>
    <t>C12621 | C00007 | C00004 | C00080</t>
  </si>
  <si>
    <t>C12623 | C00001 | C00003</t>
  </si>
  <si>
    <t>C00002 | C00044</t>
  </si>
  <si>
    <t>C00020 | C04494</t>
  </si>
  <si>
    <t>C00002 | C00062 | C01636</t>
  </si>
  <si>
    <t>C00020 | C00013 | C02163</t>
  </si>
  <si>
    <t>C00047 | C00011</t>
  </si>
  <si>
    <t>C00263 | C00003</t>
  </si>
  <si>
    <t>C00441 | C00004 | C00080</t>
  </si>
  <si>
    <t>C00263 | C00006</t>
  </si>
  <si>
    <t>C00441 | C00005 | C00080</t>
  </si>
  <si>
    <t>C00002 | C00263</t>
  </si>
  <si>
    <t>C00008 | C01102</t>
  </si>
  <si>
    <t>C01153 | C00001</t>
  </si>
  <si>
    <t>C00069 | C00009</t>
  </si>
  <si>
    <t>C00061 | C00001</t>
  </si>
  <si>
    <t>C00255 | C00009</t>
  </si>
  <si>
    <t>C01081 | C00001</t>
  </si>
  <si>
    <t>C00378 | C00009</t>
  </si>
  <si>
    <t>C03360 | C00001</t>
  </si>
  <si>
    <t>C00870 | C00009</t>
  </si>
  <si>
    <t>C00681 | C00001</t>
  </si>
  <si>
    <t>C01885 | C00009</t>
  </si>
  <si>
    <t>C00111 | C00001</t>
  </si>
  <si>
    <t>C00184 | C00009</t>
  </si>
  <si>
    <t>C18237 | C00044</t>
  </si>
  <si>
    <t>C19871 | C00013</t>
  </si>
  <si>
    <t>C00044 | C00019 | C00030</t>
  </si>
  <si>
    <t>C21310 | C05198 | C00073 | C00028</t>
  </si>
  <si>
    <t>C02583 | C00019</t>
  </si>
  <si>
    <t>C20858 | C00021</t>
  </si>
  <si>
    <t>C00188 | C00002 | C00288 | C00080</t>
  </si>
  <si>
    <t>C20641 | C00013 | C00001</t>
  </si>
  <si>
    <t>C00008 | C00009</t>
  </si>
  <si>
    <t>C20237 | C00718</t>
  </si>
  <si>
    <t>C00009 | C00718</t>
  </si>
  <si>
    <t>C00002 | C00017</t>
  </si>
  <si>
    <t>C00008 | C00562</t>
  </si>
  <si>
    <t>C01137 | C00134</t>
  </si>
  <si>
    <t>C00170 | C00315</t>
  </si>
  <si>
    <t>C00003 | C00039 | C02128</t>
  </si>
  <si>
    <t>C00020 | C00455 | C00039</t>
  </si>
  <si>
    <t>C00141 | C00001</t>
  </si>
  <si>
    <t>C06007 | C00006</t>
  </si>
  <si>
    <t>C00671 | C00001</t>
  </si>
  <si>
    <t>C00900 | C00011</t>
  </si>
  <si>
    <t>C06010 | C00011</t>
  </si>
  <si>
    <t>C00022 | C00068</t>
  </si>
  <si>
    <t>C05125 | C00011</t>
  </si>
  <si>
    <t>C00900 | C00068</t>
  </si>
  <si>
    <t>C05125 | C00022</t>
  </si>
  <si>
    <t>C06010 | C00068</t>
  </si>
  <si>
    <t>C00109 | C05125</t>
  </si>
  <si>
    <t>C06006 | C00068</t>
  </si>
  <si>
    <t>C00022 | C00109</t>
  </si>
  <si>
    <t>C06006 | C00011</t>
  </si>
  <si>
    <t>C04272 | C00006</t>
  </si>
  <si>
    <t>C06010 | C00005 | C00080</t>
  </si>
  <si>
    <t>C00900 | C00005 | C00080</t>
  </si>
  <si>
    <t>C04039 | C00006</t>
  </si>
  <si>
    <t>C04181 | C00005 | C00080</t>
  </si>
  <si>
    <t>C14463 | C00005 | C00080</t>
  </si>
  <si>
    <t>C00197 | C00003</t>
  </si>
  <si>
    <t>C03232 | C00004 | C00080</t>
  </si>
  <si>
    <t>C02630 | C00003</t>
  </si>
  <si>
    <t>C00026 | C00004 | C00080</t>
  </si>
  <si>
    <t>C00233 | C00011</t>
  </si>
  <si>
    <t>C04411 | C00003</t>
  </si>
  <si>
    <t>C04236 | C00004 | C00080</t>
  </si>
  <si>
    <t>C00233 | C00011 | C00004 | C00080</t>
  </si>
  <si>
    <t>C00109 | C00011 | C00004 | C00080</t>
  </si>
  <si>
    <t>C06032 | C00003</t>
  </si>
  <si>
    <t>C01641 | C00025 | C00002</t>
  </si>
  <si>
    <t>C02987 | C00013 | C00020</t>
  </si>
  <si>
    <t>C03373 | C00019</t>
  </si>
  <si>
    <t>C04556 | C05198 | C00073 | C00058 | C00237</t>
  </si>
  <si>
    <t>C02631 | C00001</t>
  </si>
  <si>
    <t>C00093 | C00003</t>
  </si>
  <si>
    <t>C00111 | C00004 | C00080</t>
  </si>
  <si>
    <t>C00093 | C00006</t>
  </si>
  <si>
    <t>C00111 | C00005 | C00080</t>
  </si>
  <si>
    <t>C00002 | C01081</t>
  </si>
  <si>
    <t>C00008 | C00068</t>
  </si>
  <si>
    <t>C00019 | C00240</t>
  </si>
  <si>
    <t>C00021 | C04153</t>
  </si>
  <si>
    <t>C00002 | C01134</t>
  </si>
  <si>
    <t>C00013 | C00882</t>
  </si>
  <si>
    <t>C00002 | C00882</t>
  </si>
  <si>
    <t>C00008 | C00010</t>
  </si>
  <si>
    <t>C00004 | C00080 | C15602</t>
  </si>
  <si>
    <t>C00003 | C15603</t>
  </si>
  <si>
    <t>C00828 | C00080 | C00004</t>
  </si>
  <si>
    <t>C05819 | C00003</t>
  </si>
  <si>
    <t>C01628 | C00004 | C00080</t>
  </si>
  <si>
    <t>C05850 | C00003</t>
  </si>
  <si>
    <t>C02059 | C00004 | C00080</t>
  </si>
  <si>
    <t>C03313 | C00003</t>
  </si>
  <si>
    <t>C00005 | C00080 | C15602</t>
  </si>
  <si>
    <t>C00006 | C15603</t>
  </si>
  <si>
    <t>C00002 | C00079 | C01648</t>
  </si>
  <si>
    <t>C00020 | C00013 | C03511</t>
  </si>
  <si>
    <t>C01250 | C00009 | C00006</t>
  </si>
  <si>
    <t>C04133 | C00005 | C00080</t>
  </si>
  <si>
    <t>C00024 | C00025</t>
  </si>
  <si>
    <t>C00010 | C00624</t>
  </si>
  <si>
    <t>C00437 | C00025</t>
  </si>
  <si>
    <t>C00077 | C00624</t>
  </si>
  <si>
    <t>C00002 | C00624</t>
  </si>
  <si>
    <t>C00008 | C04133</t>
  </si>
  <si>
    <t>C00437 | C00026</t>
  </si>
  <si>
    <t>C01250 | C00025</t>
  </si>
  <si>
    <t>C00002 | C00327 | C00049</t>
  </si>
  <si>
    <t>C00020 | C00013 | C03406</t>
  </si>
  <si>
    <t>C00122 | C00062</t>
  </si>
  <si>
    <t>C00002 | C00082 | C00787</t>
  </si>
  <si>
    <t>C00020 | C00013 | C02839</t>
  </si>
  <si>
    <t>C00002 | C00003</t>
  </si>
  <si>
    <t>C00008 | C00006</t>
  </si>
  <si>
    <t>C00002 | C00075 | C00014</t>
  </si>
  <si>
    <t>C00008 | C00009 | C00063</t>
  </si>
  <si>
    <t>C00002 | C00075 | C00064 | C00001</t>
  </si>
  <si>
    <t>C00008 | C00009 | C00063 | C00025</t>
  </si>
  <si>
    <t>C00002 | C00055</t>
  </si>
  <si>
    <t>C00008 | C00112</t>
  </si>
  <si>
    <t>C00002 | C00239</t>
  </si>
  <si>
    <t>C00008 | C00705</t>
  </si>
  <si>
    <t>C00345 | C00006</t>
  </si>
  <si>
    <t>C00199 | C00011 | C00005 | C00080</t>
  </si>
  <si>
    <t>C00002 | C01279</t>
  </si>
  <si>
    <t>C00008 | C04556</t>
  </si>
  <si>
    <t>C00002 | C04556</t>
  </si>
  <si>
    <t>C00008 | C04752</t>
  </si>
  <si>
    <t>C00002 | C04294</t>
  </si>
  <si>
    <t>C00008 | C04327</t>
  </si>
  <si>
    <t>C00283 | C00139 | C00001</t>
  </si>
  <si>
    <t>C00094 | C00138 | C00080</t>
  </si>
  <si>
    <t>C01528 | C00139 | C00001</t>
  </si>
  <si>
    <t>C05684 | C00138 | C00080</t>
  </si>
  <si>
    <t>C00002 | C21177 | C02188</t>
  </si>
  <si>
    <t>C00008 | C00009 | C21178</t>
  </si>
  <si>
    <t>C21179 | C00001</t>
  </si>
  <si>
    <t>C21177 | C00014</t>
  </si>
  <si>
    <t>C21178 | C00001</t>
  </si>
  <si>
    <t>C21177 | C02188</t>
  </si>
  <si>
    <t>C00122 | C00014</t>
  </si>
  <si>
    <t>C02739 | C00013</t>
  </si>
  <si>
    <t>C00002 | C00119</t>
  </si>
  <si>
    <t>C02739 | C00001</t>
  </si>
  <si>
    <t>C02741 | C00013</t>
  </si>
  <si>
    <t>C00440 | C00155</t>
  </si>
  <si>
    <t>C00101 | C00073</t>
  </si>
  <si>
    <t>C11215 | C00342</t>
  </si>
  <si>
    <t>C06697 | C00343 | C00001</t>
  </si>
  <si>
    <t>C19702 | C00097 | C00002</t>
  </si>
  <si>
    <t>C19703 | C00020 | C00013</t>
  </si>
  <si>
    <t>C04574 | C00001</t>
  </si>
  <si>
    <t>C17556 | C00009</t>
  </si>
  <si>
    <t>C00337 | C15602</t>
  </si>
  <si>
    <t>C00295 | C15603</t>
  </si>
  <si>
    <t>C02191 | C14818</t>
  </si>
  <si>
    <t>C00032 | C00080</t>
  </si>
  <si>
    <t>C15811 | C00097</t>
  </si>
  <si>
    <t>C15812 | C00041</t>
  </si>
  <si>
    <t>C00097 | C02743</t>
  </si>
  <si>
    <t>C00041 | C21440</t>
  </si>
  <si>
    <t>C15812 | C02743</t>
  </si>
  <si>
    <t>C15811 | C21440</t>
  </si>
  <si>
    <t>C15672 | C00001 | C00028</t>
  </si>
  <si>
    <t>C15670 | C00030</t>
  </si>
  <si>
    <t>C22328 | C00028 | C00001</t>
  </si>
  <si>
    <t>C22329 | C00030</t>
  </si>
  <si>
    <t>C15670 | C00001</t>
  </si>
  <si>
    <t>C00032 | C00001 | C00448</t>
  </si>
  <si>
    <t>C15672 | C00013</t>
  </si>
  <si>
    <t>C05382 | C00118</t>
  </si>
  <si>
    <t>C00117 | C00231</t>
  </si>
  <si>
    <t>C00085 | C00118</t>
  </si>
  <si>
    <t>C00279 | C00231</t>
  </si>
  <si>
    <t>C05345 | C00118</t>
  </si>
  <si>
    <t>C12214 | C00117</t>
  </si>
  <si>
    <t>C12215 | C05382</t>
  </si>
  <si>
    <t>C00231 | C00068</t>
  </si>
  <si>
    <t>C13378 | C00118</t>
  </si>
  <si>
    <t>C05382 | C00068</t>
  </si>
  <si>
    <t>C13378 | C00117</t>
  </si>
  <si>
    <t>C00279 | C00085</t>
  </si>
  <si>
    <t>C00279 | C05345</t>
  </si>
  <si>
    <t>C00092 | C00006</t>
  </si>
  <si>
    <t>C01236 | C00005 | C00080</t>
  </si>
  <si>
    <t>C01172 | C00006</t>
  </si>
  <si>
    <t>C01236 | C00001</t>
  </si>
  <si>
    <t>C00009 | C00036</t>
  </si>
  <si>
    <t>C00001 | C00074 | C00011</t>
  </si>
  <si>
    <t>C00002 | C00197</t>
  </si>
  <si>
    <t>C00008 | C00236</t>
  </si>
  <si>
    <t>C04732 | C15556</t>
  </si>
  <si>
    <t>C04332 | C00001 | C00009</t>
  </si>
  <si>
    <t>C00058 | C01304 | C00009</t>
  </si>
  <si>
    <t>C15556 | C00058</t>
  </si>
  <si>
    <t>C00255 | C04732</t>
  </si>
  <si>
    <t>C04454 | C00006</t>
  </si>
  <si>
    <t>C01268 | C00005 | C00080</t>
  </si>
  <si>
    <t>C01304 | C00001</t>
  </si>
  <si>
    <t>C01268 | C00014</t>
  </si>
  <si>
    <t>C02430 | C00234</t>
  </si>
  <si>
    <t>C00101 | C03294</t>
  </si>
  <si>
    <t>C11439 | C00001</t>
  </si>
  <si>
    <t>C11440 | C00058</t>
  </si>
  <si>
    <t>C04258 | C00001</t>
  </si>
  <si>
    <t>C00058 | C03617</t>
  </si>
  <si>
    <t>C00009 | C00013 | C00019</t>
  </si>
  <si>
    <t>C00002 | C00073 | C00001</t>
  </si>
  <si>
    <t>C00002 | C05335 | C00001</t>
  </si>
  <si>
    <t>C00009 | C00013 | C05691</t>
  </si>
  <si>
    <t>C01134 | C00011</t>
  </si>
  <si>
    <t>C00063 | C03492 | C00097</t>
  </si>
  <si>
    <t>C00055 | C00013 | C04352</t>
  </si>
  <si>
    <t>C00002 | C00144</t>
  </si>
  <si>
    <t>C00008 | C00035</t>
  </si>
  <si>
    <t>C00002 | C00362</t>
  </si>
  <si>
    <t>C00008 | C00361</t>
  </si>
  <si>
    <t>C22441 | C00002</t>
  </si>
  <si>
    <t>C22442 | C00008</t>
  </si>
  <si>
    <t>C00105 | C00011</t>
  </si>
  <si>
    <t>C00002 | C00064 | C00288 | C00001</t>
  </si>
  <si>
    <t>C00008 | C00009 | C00025 | C00169</t>
  </si>
  <si>
    <t>C00002 | C01563</t>
  </si>
  <si>
    <t>C00008 | C00169</t>
  </si>
  <si>
    <t>C00002 | C00288</t>
  </si>
  <si>
    <t>C00008 | C20969</t>
  </si>
  <si>
    <t>C00014 | C20969</t>
  </si>
  <si>
    <t>C01563 | C00009</t>
  </si>
  <si>
    <t>C00002 | C00288 | C00014</t>
  </si>
  <si>
    <t>C00008 | C00009 | C00169</t>
  </si>
  <si>
    <t>C00337 | C00001</t>
  </si>
  <si>
    <t>C00169 | C00049</t>
  </si>
  <si>
    <t>C00009 | C00438</t>
  </si>
  <si>
    <t>C00944 | C00009</t>
  </si>
  <si>
    <t>C00002 | C00493</t>
  </si>
  <si>
    <t>C00008 | C03175</t>
  </si>
  <si>
    <t>C00251 | C00009</t>
  </si>
  <si>
    <t>C00493 | C00006</t>
  </si>
  <si>
    <t>C02637 | C00005 | C00080</t>
  </si>
  <si>
    <t>C02637 | C00006</t>
  </si>
  <si>
    <t>C22438 | C00005 | C00080</t>
  </si>
  <si>
    <t>C00002 | C00041 | C01635</t>
  </si>
  <si>
    <t>C00020 | C00013 | C00886</t>
  </si>
  <si>
    <t>C01638 | C00049 | C00002</t>
  </si>
  <si>
    <t>C02984 | C00013 | C00020</t>
  </si>
  <si>
    <t>C00022 | C00014</t>
  </si>
  <si>
    <t>C02218 | C00001</t>
  </si>
  <si>
    <t>C20904 | C00001</t>
  </si>
  <si>
    <t>C00161 | C00014</t>
  </si>
  <si>
    <t>C00002 | C00135 | C01643</t>
  </si>
  <si>
    <t>C00020 | C00013 | C02988</t>
  </si>
  <si>
    <t>C00147 | C00119</t>
  </si>
  <si>
    <t>C04677 | C00013</t>
  </si>
  <si>
    <t>C04051 | C00119</t>
  </si>
  <si>
    <t>C00002 | C00188 | C01651</t>
  </si>
  <si>
    <t>C00020 | C00013 | C02992</t>
  </si>
  <si>
    <t>C01167 | C00001</t>
  </si>
  <si>
    <t>C00585 | C00009</t>
  </si>
  <si>
    <t>C00019 | C00039</t>
  </si>
  <si>
    <t>C00021 | C02967</t>
  </si>
  <si>
    <t>C00019 | C00856</t>
  </si>
  <si>
    <t>C03023 | C00343 | C00001</t>
  </si>
  <si>
    <t>C15653 | C00342</t>
  </si>
  <si>
    <t>C21284 | C00027</t>
  </si>
  <si>
    <t>C00032 | C00011 | C00001</t>
  </si>
  <si>
    <t>C22173 | C00011 | C00001</t>
  </si>
  <si>
    <t>C22173 | C00027</t>
  </si>
  <si>
    <t>C00022 | C00118</t>
  </si>
  <si>
    <t>C11437 | C00011</t>
  </si>
  <si>
    <t>C00460 | C00001</t>
  </si>
  <si>
    <t>C00365 | C00013</t>
  </si>
  <si>
    <t>C21751 | C00001</t>
  </si>
  <si>
    <t>C04242 | C00013</t>
  </si>
  <si>
    <t>C00404 | C00031</t>
  </si>
  <si>
    <t>C00404 | C00092</t>
  </si>
  <si>
    <t>C00404 | C00221</t>
  </si>
  <si>
    <t>C00404 | C01172</t>
  </si>
  <si>
    <t>C00404 | C00267</t>
  </si>
  <si>
    <t>C00404 | C00668</t>
  </si>
  <si>
    <t>C00074 | C00615</t>
  </si>
  <si>
    <t>C00022 | C04261</t>
  </si>
  <si>
    <t>C00002 | C01094</t>
  </si>
  <si>
    <t>C00008 | C00354</t>
  </si>
  <si>
    <t>C00008 | C05378</t>
  </si>
  <si>
    <t>C01097 | C00002</t>
  </si>
  <si>
    <t>C03785 | C00008</t>
  </si>
  <si>
    <t>C00235 | C17324</t>
  </si>
  <si>
    <t>C00013 | C04432</t>
  </si>
  <si>
    <t>C04432 | C17023 | C00019</t>
  </si>
  <si>
    <t>C20753 | C00021 | C00073 | C05198</t>
  </si>
  <si>
    <t>C20755 | C00073 | C05198</t>
  </si>
  <si>
    <t>C20755 | C00019</t>
  </si>
  <si>
    <t>C20753 | C00021</t>
  </si>
  <si>
    <t>C00269 | C00093</t>
  </si>
  <si>
    <t>C00055 | C03892</t>
  </si>
  <si>
    <t>C00441 | C00022</t>
  </si>
  <si>
    <t>C20258 | C00001</t>
  </si>
  <si>
    <t>C00143 | C00365 | C00005 | C00080</t>
  </si>
  <si>
    <t>C00101 | C00364 | C00006</t>
  </si>
  <si>
    <t>C03972 | C00003 | C00001</t>
  </si>
  <si>
    <t>C20258 | C00004 | C00080</t>
  </si>
  <si>
    <t>C03972 | C00006 | C00001</t>
  </si>
  <si>
    <t>C20258 | C00005 | C00080</t>
  </si>
  <si>
    <t>C00046 | C00009</t>
  </si>
  <si>
    <t>C00046 | C00454</t>
  </si>
  <si>
    <t>C00046 | C00008</t>
  </si>
  <si>
    <t>C00046 | C00015</t>
  </si>
  <si>
    <t>C00046 | C00035</t>
  </si>
  <si>
    <t>C00046 | C00112</t>
  </si>
  <si>
    <t>C00002 | C00255</t>
  </si>
  <si>
    <t>C00008 | C00061</t>
  </si>
  <si>
    <t>C00002 | C00061</t>
  </si>
  <si>
    <t>C00013 | C00016</t>
  </si>
  <si>
    <t>C00010 | C03688</t>
  </si>
  <si>
    <t>C00054 | C00229</t>
  </si>
  <si>
    <t>C00002 | C00148 | C01649</t>
  </si>
  <si>
    <t>C00020 | C00013 | C02702</t>
  </si>
  <si>
    <t>C00149 | C15602</t>
  </si>
  <si>
    <t>C00036 | C15603</t>
  </si>
  <si>
    <t>C00149 | C00007</t>
  </si>
  <si>
    <t>C00036 | C00027</t>
  </si>
  <si>
    <t>C00149 | C00016</t>
  </si>
  <si>
    <t>C00036 | C01352</t>
  </si>
  <si>
    <t>C06717 | C00003</t>
  </si>
  <si>
    <t>C11502 | C00004 | C00080</t>
  </si>
  <si>
    <t>C06717 | C00006</t>
  </si>
  <si>
    <t>C11502 | C00005 | C00080</t>
  </si>
  <si>
    <t>G11174 | C00003</t>
  </si>
  <si>
    <t>G11175 | C00004 | C00080</t>
  </si>
  <si>
    <t>G11174 | C00006</t>
  </si>
  <si>
    <t>G11175 | C00005 | C00080</t>
  </si>
  <si>
    <t>C11453 | C00138</t>
  </si>
  <si>
    <t>C11811 | C00001 | C00139</t>
  </si>
  <si>
    <t>C11434 | C00006</t>
  </si>
  <si>
    <t>C11437 | C00005 | C00080</t>
  </si>
  <si>
    <t>C00063 | C00416</t>
  </si>
  <si>
    <t>C00013 | C00269</t>
  </si>
  <si>
    <t>C00002 | C00105</t>
  </si>
  <si>
    <t>C00008 | C00015</t>
  </si>
  <si>
    <t>C04752 | C04327</t>
  </si>
  <si>
    <t>C00013 | C01081</t>
  </si>
  <si>
    <t>C04752 | C20247</t>
  </si>
  <si>
    <t>C01081 | C00013 | C00011</t>
  </si>
  <si>
    <t>C04752 | C20246</t>
  </si>
  <si>
    <t>C00013 | C01081 | C00011</t>
  </si>
  <si>
    <t>C00037 | C00001 | C00007</t>
  </si>
  <si>
    <t>C00048 | C00014 | C00027</t>
  </si>
  <si>
    <t>C00037 | C00007</t>
  </si>
  <si>
    <t>C15809 | C00027</t>
  </si>
  <si>
    <t>C15809 | C00001</t>
  </si>
  <si>
    <t>C00048 | C00014</t>
  </si>
  <si>
    <t>C00133 | C00001 | C00007</t>
  </si>
  <si>
    <t>C00022 | C00014 | C00027</t>
  </si>
  <si>
    <t>C00213 | C00001 | C00007</t>
  </si>
  <si>
    <t>C00048 | C00218 | C00027</t>
  </si>
  <si>
    <t>C11735 | C00001 | C00007</t>
  </si>
  <si>
    <t>C00048 | C00797 | C00027</t>
  </si>
  <si>
    <t>C11437 | C15809 | C15814</t>
  </si>
  <si>
    <t>C20246 | C15810 | C00001</t>
  </si>
  <si>
    <t>C00019 | C01977</t>
  </si>
  <si>
    <t>C00021 | C04157</t>
  </si>
  <si>
    <t>C00075 | C05250</t>
  </si>
  <si>
    <t>C00013 | C05326</t>
  </si>
  <si>
    <t>C02133 | C00001</t>
  </si>
  <si>
    <t>C00060 | C00009</t>
  </si>
  <si>
    <t>C00227 | C00001</t>
  </si>
  <si>
    <t>C00033 | C00009</t>
  </si>
  <si>
    <t>C06206 | C00001</t>
  </si>
  <si>
    <t>C00180 | C00009</t>
  </si>
  <si>
    <t>C00236 | C00001</t>
  </si>
  <si>
    <t>C00197 | C00009</t>
  </si>
  <si>
    <t>C05167 | C00001 | C00003</t>
  </si>
  <si>
    <t>C00161 | C00014 | C00004 | C00080</t>
  </si>
  <si>
    <t>C05167 | C00001 | C00006</t>
  </si>
  <si>
    <t>C00161 | C00014 | C00005 | C00080</t>
  </si>
  <si>
    <t>C00002 | C00258</t>
  </si>
  <si>
    <t>C00008 | C00197</t>
  </si>
  <si>
    <t>C00002 | C00022</t>
  </si>
  <si>
    <t>C00008 | C00074</t>
  </si>
  <si>
    <t>C00044 | C00022</t>
  </si>
  <si>
    <t>C00035 | C00074</t>
  </si>
  <si>
    <t>C00063 | C00022</t>
  </si>
  <si>
    <t>C00112 | C00074</t>
  </si>
  <si>
    <t>C00075 | C00022</t>
  </si>
  <si>
    <t>C00015 | C00074</t>
  </si>
  <si>
    <t>C00081 | C00022</t>
  </si>
  <si>
    <t>C00104 | C00074</t>
  </si>
  <si>
    <t>C00131 | C00022</t>
  </si>
  <si>
    <t>C00206 | C00074</t>
  </si>
  <si>
    <t>C00286 | C00022</t>
  </si>
  <si>
    <t>C00361 | C00074</t>
  </si>
  <si>
    <t>C00201 | C00022</t>
  </si>
  <si>
    <t>C00454 | C00074</t>
  </si>
  <si>
    <t>C02741 | C00001</t>
  </si>
  <si>
    <t>C04916 | C00064</t>
  </si>
  <si>
    <t>C04666 | C04677 | C00025</t>
  </si>
  <si>
    <t>C04916 | C00014</t>
  </si>
  <si>
    <t>C04677 | C04666 | C00001</t>
  </si>
  <si>
    <t>C01267 | C00001</t>
  </si>
  <si>
    <t>C00860 | C00003 | C00001</t>
  </si>
  <si>
    <t>C00135 | C00004 | C00080</t>
  </si>
  <si>
    <t>C01929 | C00001 | C00003</t>
  </si>
  <si>
    <t>C00860 | C00003</t>
  </si>
  <si>
    <t>C01929 | C00004 | C00080</t>
  </si>
  <si>
    <t>C06400 | C00001</t>
  </si>
  <si>
    <t>C01083 | C01935</t>
  </si>
  <si>
    <t>C00109 | C00014</t>
  </si>
  <si>
    <t>C20905 | C00001</t>
  </si>
  <si>
    <t>C00002 | C00407 | C01644</t>
  </si>
  <si>
    <t>C00020 | C00013 | C03127</t>
  </si>
  <si>
    <t>C00002 | C01050 | C00041</t>
  </si>
  <si>
    <t>C00008 | C00009 | C01212</t>
  </si>
  <si>
    <t>C04851 | C00043</t>
  </si>
  <si>
    <t>C05893 | C00015</t>
  </si>
  <si>
    <t>G10552 | G10610</t>
  </si>
  <si>
    <t>G10553 | G10619</t>
  </si>
  <si>
    <t>C05897 | C00043</t>
  </si>
  <si>
    <t>C05898 | C00015</t>
  </si>
  <si>
    <t>G10551 | G10610</t>
  </si>
  <si>
    <t>G10550 | G10619</t>
  </si>
  <si>
    <t>G10556 | G10610</t>
  </si>
  <si>
    <t>G10555 | G10619</t>
  </si>
  <si>
    <t>C00002 | C01212 | C00217</t>
  </si>
  <si>
    <t>C00008 | C00009 | C00692</t>
  </si>
  <si>
    <t>C04702 | C17556</t>
  </si>
  <si>
    <t>C00105 | C04851</t>
  </si>
  <si>
    <t>C04882 | C17556</t>
  </si>
  <si>
    <t>C00105 | C05897</t>
  </si>
  <si>
    <t>C00002 | C05892 | C00993</t>
  </si>
  <si>
    <t>C00008 | C00009 | C04702</t>
  </si>
  <si>
    <t>C00002 | C04877 | C00993</t>
  </si>
  <si>
    <t>C00008 | C00009 | C04882</t>
  </si>
  <si>
    <t>C00440 | C00006</t>
  </si>
  <si>
    <t>C00143 | C00005 | C00080</t>
  </si>
  <si>
    <t>C00440 | C00003</t>
  </si>
  <si>
    <t>C00143 | C00004 | C00080</t>
  </si>
  <si>
    <t>C00002 | C00031</t>
  </si>
  <si>
    <t>C00008 | C00092</t>
  </si>
  <si>
    <t>C00002 | C00221</t>
  </si>
  <si>
    <t>C00008 | C01172</t>
  </si>
  <si>
    <t>C00002 | C00267</t>
  </si>
  <si>
    <t>C00008 | C00668</t>
  </si>
  <si>
    <t>C00096 | C21606</t>
  </si>
  <si>
    <t>C00035 | C21607</t>
  </si>
  <si>
    <t>C00096 | C21609</t>
  </si>
  <si>
    <t>C00035 | C21608</t>
  </si>
  <si>
    <t>G10614 | G11291</t>
  </si>
  <si>
    <t>G10620 | G13102</t>
  </si>
  <si>
    <t>G10614 | G13107</t>
  </si>
  <si>
    <t>G10620 | G13108</t>
  </si>
  <si>
    <t>C15603 | C00125</t>
  </si>
  <si>
    <t>C15602 | C00126 | C00080</t>
  </si>
  <si>
    <t>C00390 | C00125</t>
  </si>
  <si>
    <t>C00399 | C00126 | C00080</t>
  </si>
  <si>
    <t>C00002 | C00049 | C00014</t>
  </si>
  <si>
    <t>C00020 | C00013 | C00152</t>
  </si>
  <si>
    <t>C00002 | C00049 | C00064 | C00001</t>
  </si>
  <si>
    <t>C00020 | C00013 | C00152 | C00025</t>
  </si>
  <si>
    <t>C06508 | C00002</t>
  </si>
  <si>
    <t>C06509 | C00008</t>
  </si>
  <si>
    <t>C06508 | C00044</t>
  </si>
  <si>
    <t>C06509 | C00035</t>
  </si>
  <si>
    <t>C06509 | C00044</t>
  </si>
  <si>
    <t>C06510 | C00013</t>
  </si>
  <si>
    <t>C01185 | C03114</t>
  </si>
  <si>
    <t>C00253 | C04778 | C00080</t>
  </si>
  <si>
    <t>C00194 | C00144</t>
  </si>
  <si>
    <t>C06510 | C05775</t>
  </si>
  <si>
    <t>C06510 | C04778</t>
  </si>
  <si>
    <t>C00144 | C21153</t>
  </si>
  <si>
    <t>C00123 | C00026</t>
  </si>
  <si>
    <t>C00233 | C00025</t>
  </si>
  <si>
    <t>C00183 | C00026</t>
  </si>
  <si>
    <t>C00141 | C00025</t>
  </si>
  <si>
    <t>C00407 | C00026</t>
  </si>
  <si>
    <t>C00671 | C00025</t>
  </si>
  <si>
    <t>C02356 | C00026</t>
  </si>
  <si>
    <t>C00109 | C00025</t>
  </si>
  <si>
    <t>C01419 | C00001</t>
  </si>
  <si>
    <t>C00097 | C00037</t>
  </si>
  <si>
    <t>C05729 | C00001</t>
  </si>
  <si>
    <t>C05726 | C00037</t>
  </si>
  <si>
    <t>C05752 | C16240</t>
  </si>
  <si>
    <t>C16236 | C00229</t>
  </si>
  <si>
    <t>C05752 | C22158</t>
  </si>
  <si>
    <t>C22160 | C00229</t>
  </si>
  <si>
    <t>C05752 | C22157</t>
  </si>
  <si>
    <t>C22159 | C00229</t>
  </si>
  <si>
    <t>C16239 | C16240</t>
  </si>
  <si>
    <t>C16237 | C00229</t>
  </si>
  <si>
    <t>C16236 | C22154 | C00019 | C22150 | C00080</t>
  </si>
  <si>
    <t>C16832 | C22155 | C00283 | C14818 | C00073 | C05198 | C22151</t>
  </si>
  <si>
    <t>C22160 | C22154 | C00019 | C22150 | C00080</t>
  </si>
  <si>
    <t>C15973 | C22155 | C00283 | C14818 | C00073 | C05198 | C22151</t>
  </si>
  <si>
    <t>C22159 | C22154 | C00019 | C22150 | C00080</t>
  </si>
  <si>
    <t>C02972 | C22155 | C00283 | C14818 | C00073 | C05198 | C22151</t>
  </si>
  <si>
    <t>C00002 | C00025 | C00014</t>
  </si>
  <si>
    <t>C00008 | C00009 | C00064</t>
  </si>
  <si>
    <t>C01102 | C00001</t>
  </si>
  <si>
    <t>C00188 | C00009</t>
  </si>
  <si>
    <t>C06055 | C00001</t>
  </si>
  <si>
    <t>C06056 | C00009</t>
  </si>
  <si>
    <t>C00032 | C03024 | C00007</t>
  </si>
  <si>
    <t>C00500 | C00237 | C14818 | C03161 | C00001</t>
  </si>
  <si>
    <t>C00002 | C01281</t>
  </si>
  <si>
    <t>C00013 | C01299</t>
  </si>
  <si>
    <t>C01299 | C00009</t>
  </si>
  <si>
    <t>C00008 | C01281</t>
  </si>
  <si>
    <t>C00536 | C00001</t>
  </si>
  <si>
    <t>C00013 | C00009</t>
  </si>
  <si>
    <t>C00022 | C15972</t>
  </si>
  <si>
    <t>C16255 | C00011</t>
  </si>
  <si>
    <t>C05125 | C15972</t>
  </si>
  <si>
    <t>C16255 | C00068</t>
  </si>
  <si>
    <t>C00064 | C00085</t>
  </si>
  <si>
    <t>C00025 | C00352</t>
  </si>
  <si>
    <t>C00002 | C00037 | C01642</t>
  </si>
  <si>
    <t>C00020 | C00013 | C02412</t>
  </si>
  <si>
    <t>C00718 | C00031</t>
  </si>
  <si>
    <t>G10495 | C00031</t>
  </si>
  <si>
    <t>C02882 | C00001</t>
  </si>
  <si>
    <t>C00145 | C00014 | C00022</t>
  </si>
  <si>
    <t>C02291 | C00001</t>
  </si>
  <si>
    <t>C00155 | C00014 | C00022</t>
  </si>
  <si>
    <t>C00491 | C00001</t>
  </si>
  <si>
    <t>C00022 | C00014 | C01962</t>
  </si>
  <si>
    <t>C02749 | C00001</t>
  </si>
  <si>
    <t>C00812 | C00014 | C00022</t>
  </si>
  <si>
    <t>C01336 | C00014 | C00022</t>
  </si>
  <si>
    <t>C00097 | C00001</t>
  </si>
  <si>
    <t>C00283 | C00022 | C00014</t>
  </si>
  <si>
    <t>C05699 | C00001</t>
  </si>
  <si>
    <t>C05698 | C00014 | C00022</t>
  </si>
  <si>
    <t>C05689 | C00001</t>
  </si>
  <si>
    <t>C00022 | C00014 | C05703</t>
  </si>
  <si>
    <t>C00149 | C00010</t>
  </si>
  <si>
    <t>C00024 | C00001 | C00048</t>
  </si>
  <si>
    <t>C00042 | C00048</t>
  </si>
  <si>
    <t>C00002 | C01185</t>
  </si>
  <si>
    <t>C00013 | C00857</t>
  </si>
  <si>
    <t>C00002 | C00455</t>
  </si>
  <si>
    <t>C00013 | C00003</t>
  </si>
  <si>
    <t>C01165 | C00009 | C00006</t>
  </si>
  <si>
    <t>C03287 | C00005 | C00080</t>
  </si>
  <si>
    <t>C00002 | C00025</t>
  </si>
  <si>
    <t>C00008 | C03287</t>
  </si>
  <si>
    <t>C00002 | C00454</t>
  </si>
  <si>
    <t>C00008 | C00201</t>
  </si>
  <si>
    <t>C00002 | C00008</t>
  </si>
  <si>
    <t>C00008 | C00002</t>
  </si>
  <si>
    <t>C11038 | C00002</t>
  </si>
  <si>
    <t>C11039 | C00008</t>
  </si>
  <si>
    <t>C00002 | C00015</t>
  </si>
  <si>
    <t>C00008 | C00075</t>
  </si>
  <si>
    <t>C00002 | C00035</t>
  </si>
  <si>
    <t>C00008 | C00044</t>
  </si>
  <si>
    <t>C00002 | C00112</t>
  </si>
  <si>
    <t>C00008 | C00063</t>
  </si>
  <si>
    <t>C00002 | C00104</t>
  </si>
  <si>
    <t>C00008 | C00081</t>
  </si>
  <si>
    <t>C00002 | C00206</t>
  </si>
  <si>
    <t>C00008 | C00131</t>
  </si>
  <si>
    <t>C00002 | C00361</t>
  </si>
  <si>
    <t>C00008 | C00286</t>
  </si>
  <si>
    <t>C00002 | C00363</t>
  </si>
  <si>
    <t>C00008 | C00459</t>
  </si>
  <si>
    <t>C00002 | C00705</t>
  </si>
  <si>
    <t>C00008 | C00458</t>
  </si>
  <si>
    <t>C00002 | C01346</t>
  </si>
  <si>
    <t>C00008 | C00460</t>
  </si>
  <si>
    <t>C00002 | C01344</t>
  </si>
  <si>
    <t>C00008 | C01345</t>
  </si>
  <si>
    <t>C22442 | C00002</t>
  </si>
  <si>
    <t>C22443 | C00008</t>
  </si>
  <si>
    <t>C00002 | C21748</t>
  </si>
  <si>
    <t>C00008 | C21749</t>
  </si>
  <si>
    <t>C00002 | C21750</t>
  </si>
  <si>
    <t>C00008 | C21751</t>
  </si>
  <si>
    <t>C00002 | C00921 | C00025</t>
  </si>
  <si>
    <t>C00008 | C00009 | C00415</t>
  </si>
  <si>
    <t>C00002 | C00234 | C00025</t>
  </si>
  <si>
    <t>C00008 | C00009 | C05928</t>
  </si>
  <si>
    <t>C00002 | C03541 | C00025</t>
  </si>
  <si>
    <t>C00008 | C00009 | C03541</t>
  </si>
  <si>
    <t>C00002 | C00101 | C00025</t>
  </si>
  <si>
    <t>C00008 | C00009 | C09332</t>
  </si>
  <si>
    <t>C00002 | C05928 | C00025</t>
  </si>
  <si>
    <t>C00008 | C00009 | C05929</t>
  </si>
  <si>
    <t>C00002 | C00183 | C01653</t>
  </si>
  <si>
    <t>C00020 | C00013 | C02554</t>
  </si>
  <si>
    <t>C00149 | C00003</t>
  </si>
  <si>
    <t>C00036 | C00004 | C00080</t>
  </si>
  <si>
    <t>C04367 | C00003</t>
  </si>
  <si>
    <t>C01244 | C00004 | C00080</t>
  </si>
  <si>
    <t>C11537 | C00003</t>
  </si>
  <si>
    <t>C05528 | C00004 | C00080</t>
  </si>
  <si>
    <t>C00010 | C00332</t>
  </si>
  <si>
    <t>C00100 | C00024</t>
  </si>
  <si>
    <t>C00010 | C03344</t>
  </si>
  <si>
    <t>C00024 | C00136</t>
  </si>
  <si>
    <t>C00010 | C05269</t>
  </si>
  <si>
    <t>C03586 | C00001</t>
  </si>
  <si>
    <t>C03586 | C00011</t>
  </si>
  <si>
    <t>C00230 | C00007</t>
  </si>
  <si>
    <t>C01424 | C00007</t>
  </si>
  <si>
    <t>C03671 | C00001</t>
  </si>
  <si>
    <t xml:space="preserve">C00090 | C00007 </t>
  </si>
  <si>
    <t>C02375 | C00007</t>
  </si>
  <si>
    <t>C06730 | C00007</t>
  </si>
  <si>
    <t>C16472 | C00007</t>
  </si>
  <si>
    <t>C16473 | C00007</t>
  </si>
  <si>
    <t>C18240 | C00007</t>
  </si>
  <si>
    <t>C00180 | C00004 | C00080 | C00007</t>
  </si>
  <si>
    <t>C06321 | C00003</t>
  </si>
  <si>
    <t>C00180 | C00005 | C00080 | C00007</t>
  </si>
  <si>
    <t>C06321 | C00006</t>
  </si>
  <si>
    <t>C02359 | C00004 | C00080 | C00007</t>
  </si>
  <si>
    <t>C16482 | C00003</t>
  </si>
  <si>
    <t>C16481 | C00003</t>
  </si>
  <si>
    <t>C02364 | C00004 | C00007 | C00080</t>
  </si>
  <si>
    <t>C16478 | C00003</t>
  </si>
  <si>
    <t>C02364 | C00004 | C00080 | C00007</t>
  </si>
  <si>
    <t>C16479 | C00003</t>
  </si>
  <si>
    <t>C02371 | C00004 | C00080 | C00007</t>
  </si>
  <si>
    <t>C16480 | C00003</t>
  </si>
  <si>
    <t>C04634 | C00003</t>
  </si>
  <si>
    <t>C00090 | C00004 | C00011 | C00080</t>
  </si>
  <si>
    <t>C16472 | C00004 | C00011 | C00080</t>
  </si>
  <si>
    <t>C16473 | C00004 | C00011 | C00080</t>
  </si>
  <si>
    <t xml:space="preserve">C16480 | C00003 </t>
  </si>
  <si>
    <t>C01118 | C00097</t>
  </si>
  <si>
    <t>C02291 | C00042</t>
  </si>
  <si>
    <t>C01118 | C00001</t>
  </si>
  <si>
    <t>C00109 | C00042 | C00014</t>
  </si>
  <si>
    <t>C01118 | C00283</t>
  </si>
  <si>
    <t>C00155 | C00042</t>
  </si>
  <si>
    <t>C00542 | C00042</t>
  </si>
  <si>
    <t>C01077 | C00097</t>
  </si>
  <si>
    <t>C02291 | C00033</t>
  </si>
  <si>
    <t>C05702 | C05688</t>
  </si>
  <si>
    <t>C05699 | C00009</t>
  </si>
  <si>
    <t>C01077 | C05688</t>
  </si>
  <si>
    <t>C05699 | C00033</t>
  </si>
  <si>
    <t>C01118 | C05688</t>
  </si>
  <si>
    <t>C05699 | C00042</t>
  </si>
  <si>
    <t>C04895 | C00001</t>
  </si>
  <si>
    <t>C04874 | C00009</t>
  </si>
  <si>
    <t>C21767 | C19609</t>
  </si>
  <si>
    <t>C00342 | C15498</t>
  </si>
  <si>
    <t>C00343 | C00001 | C01335</t>
  </si>
  <si>
    <t>C00081 | C00001</t>
  </si>
  <si>
    <t>C00130 | C00013</t>
  </si>
  <si>
    <t>C00700 | C00001</t>
  </si>
  <si>
    <t>C00655 | C00013</t>
  </si>
  <si>
    <t>C01345 | C00001</t>
  </si>
  <si>
    <t>C06196 | C00013</t>
  </si>
  <si>
    <t xml:space="preserve">C16617 | C00001 </t>
  </si>
  <si>
    <t>C04646 | C00013</t>
  </si>
  <si>
    <t>C00066 | C00009</t>
  </si>
  <si>
    <t>C00066 | C00454</t>
  </si>
  <si>
    <t>C01005 | C00001</t>
  </si>
  <si>
    <t>C00065 | C00009</t>
  </si>
  <si>
    <t>C02532 | C00001</t>
  </si>
  <si>
    <t>C00740 | C00009</t>
  </si>
  <si>
    <t>C04232 | C00343 | C00001</t>
  </si>
  <si>
    <t>C03723 | C00342</t>
  </si>
  <si>
    <t>C00206 | C00343 | C00001</t>
  </si>
  <si>
    <t>C00342 | C00008</t>
  </si>
  <si>
    <t>C01346 | C00343 | C00001</t>
  </si>
  <si>
    <t>C00342 | C00015</t>
  </si>
  <si>
    <t>C00361 | C00343 | C00001</t>
  </si>
  <si>
    <t>C00035 | C00342</t>
  </si>
  <si>
    <t>C00705 | C00343 | C00001</t>
  </si>
  <si>
    <t>C00342 | C00112</t>
  </si>
  <si>
    <t>C04232 | C16664 | C00001</t>
  </si>
  <si>
    <t>C03723 | C16663</t>
  </si>
  <si>
    <t>C04232 | C03170 | C00001</t>
  </si>
  <si>
    <t>C03723 | C02090</t>
  </si>
  <si>
    <t>C21750 | C00343 | C00001</t>
  </si>
  <si>
    <t>C21748 | C00342</t>
  </si>
  <si>
    <t>C00002 | C00857 | C00014</t>
  </si>
  <si>
    <t>C00020 | C00013 | C00003</t>
  </si>
  <si>
    <t>C00002 | C00541 | C03024</t>
  </si>
  <si>
    <t>C00536 | C00194 | C03161</t>
  </si>
  <si>
    <t>C00002 | C06504 | C03024</t>
  </si>
  <si>
    <t>C00536 | C06506 | C03161</t>
  </si>
  <si>
    <t>C00002 | C00853</t>
  </si>
  <si>
    <t xml:space="preserve">C00536 | C00194 </t>
  </si>
  <si>
    <t>C06505 | C00002</t>
  </si>
  <si>
    <t>C06506 | C00536</t>
  </si>
  <si>
    <t>C00002 | C05774</t>
  </si>
  <si>
    <t>C00536 | C06508</t>
  </si>
  <si>
    <t>C00002 | C00042 | C00010</t>
  </si>
  <si>
    <t>C00008 | C00009 | C00091</t>
  </si>
  <si>
    <t>C00002 | C00490 | C00010</t>
  </si>
  <si>
    <t>C00008 | C00009 | C00531</t>
  </si>
  <si>
    <t>C19703 | C00024</t>
  </si>
  <si>
    <t>C06717 | C00010</t>
  </si>
  <si>
    <t>C00568 | C00022</t>
  </si>
  <si>
    <t>C00002 | C04640</t>
  </si>
  <si>
    <t>C00008 | C00009 | C03373</t>
  </si>
  <si>
    <t>C03090 | C00013 | C00025</t>
  </si>
  <si>
    <t>C00064 | C00119 | C00001</t>
  </si>
  <si>
    <t>C00002 | C04376 | C00064 | C00001</t>
  </si>
  <si>
    <t>C00008 | C00009 | C04640 | C00025</t>
  </si>
  <si>
    <t>C00002 | C04751 | C00049</t>
  </si>
  <si>
    <t>C00008 | C00009 | C04823</t>
  </si>
  <si>
    <t>C00122 | C00020</t>
  </si>
  <si>
    <t>C00122 | C04677</t>
  </si>
  <si>
    <t>C22441 | C00122</t>
  </si>
  <si>
    <t>C00002 | C03090 | C00037</t>
  </si>
  <si>
    <t>C00008 | C00009 | C03838</t>
  </si>
  <si>
    <t>C00019 | C01092</t>
  </si>
  <si>
    <t>C04425 | C01037</t>
  </si>
  <si>
    <t>C00002 | C01037 | C00011</t>
  </si>
  <si>
    <t>C00008 | C00009 | C01909</t>
  </si>
  <si>
    <t>C01037 | C00011</t>
  </si>
  <si>
    <t>C22458 | C00002</t>
  </si>
  <si>
    <t>C01909 | C00008 | C00009</t>
  </si>
  <si>
    <t>C00680 | C00006 | C00001</t>
  </si>
  <si>
    <t>C03871 | C00014 | C00005 | C00080</t>
  </si>
  <si>
    <t>C00029 | C00092</t>
  </si>
  <si>
    <t>C00015 | C00689</t>
  </si>
  <si>
    <t>G10608 | C00092</t>
  </si>
  <si>
    <t>G10619 | G09795</t>
  </si>
  <si>
    <t>C00029 | C00668</t>
  </si>
  <si>
    <t>G10608 | C00668</t>
  </si>
  <si>
    <t>C00689 | C00001</t>
  </si>
  <si>
    <t>C01083 | C00009</t>
  </si>
  <si>
    <t>G09795 | C00001</t>
  </si>
  <si>
    <t>G00293 | C00009</t>
  </si>
  <si>
    <t>C00002 | C00097 | C01639</t>
  </si>
  <si>
    <t>C00020 | C00013 | C03125</t>
  </si>
  <si>
    <t>C00089 | C04261</t>
  </si>
  <si>
    <t>C16688 | C00615</t>
  </si>
  <si>
    <t>C00352 | C00001</t>
  </si>
  <si>
    <t>C00357 | C00001</t>
  </si>
  <si>
    <t>C00352 | C00033</t>
  </si>
  <si>
    <t>C11453 | C00055</t>
  </si>
  <si>
    <t>C11434 | C00063</t>
  </si>
  <si>
    <t>C11435 | C00013</t>
  </si>
  <si>
    <t>C00013 | C20565</t>
  </si>
  <si>
    <t>C00633 | C00003 | C00001</t>
  </si>
  <si>
    <t>C00156 | C00004 | C00080</t>
  </si>
  <si>
    <t>C00755 | C00003 | C00001</t>
  </si>
  <si>
    <t>C06672 | C00004 | C00080</t>
  </si>
  <si>
    <t>C00633 | C00006 | C00001</t>
  </si>
  <si>
    <t>C00156 | C00005 | C00080</t>
  </si>
  <si>
    <t>C00002 | C00047 | C01646</t>
  </si>
  <si>
    <t>C00020 | C00013 | C01931</t>
  </si>
  <si>
    <t>C00002 | C01300</t>
  </si>
  <si>
    <t>C00020 | C04807</t>
  </si>
  <si>
    <t>C00266 | C01300</t>
  </si>
  <si>
    <t>C04895 | C00058</t>
  </si>
  <si>
    <t>C00262 | C00119</t>
  </si>
  <si>
    <t>C19722 | C00047 | C00002</t>
  </si>
  <si>
    <t>C19723 | C00020 | C00013 | C00001</t>
  </si>
  <si>
    <t>C00013 | C00001</t>
  </si>
  <si>
    <t>C00232 | C00006 | C00001</t>
  </si>
  <si>
    <t>C00042 | C00005 | C00080</t>
  </si>
  <si>
    <t>C00002 | C00025 | C00097</t>
  </si>
  <si>
    <t>C00008 | C00009 | C00669</t>
  </si>
  <si>
    <t>C00002 | C00033</t>
  </si>
  <si>
    <t>C00008 | C00227</t>
  </si>
  <si>
    <t>C00024 | C00009</t>
  </si>
  <si>
    <t>C00010 | C00227</t>
  </si>
  <si>
    <t>C00044 | C00130 | C00049</t>
  </si>
  <si>
    <t>C00035 | C00009 | C03794</t>
  </si>
  <si>
    <t>C00111 | C00118</t>
  </si>
  <si>
    <t>C01103 | C00013</t>
  </si>
  <si>
    <t>C00295 | C00119</t>
  </si>
  <si>
    <t>C00226 | C00003</t>
  </si>
  <si>
    <t>C00071 | C00004 | C00080</t>
  </si>
  <si>
    <t>C00002 | C00059</t>
  </si>
  <si>
    <t>C00013 | C00224</t>
  </si>
  <si>
    <t>C00342 | C00053</t>
  </si>
  <si>
    <t>C00343 | C00094 | C00054</t>
  </si>
  <si>
    <t>C00458 | C00001</t>
  </si>
  <si>
    <t>C00460 | C00014</t>
  </si>
  <si>
    <t>C00044 | C00036</t>
  </si>
  <si>
    <t>C00035 | C00074 | C00011</t>
  </si>
  <si>
    <t>C00021 | C04160</t>
  </si>
  <si>
    <t>C02970 | C00119</t>
  </si>
  <si>
    <t>C20352 | C00013</t>
  </si>
  <si>
    <t>C00002 | C00116</t>
  </si>
  <si>
    <t>C00008 | C00093</t>
  </si>
  <si>
    <t>C00002 | C00065 | C01650</t>
  </si>
  <si>
    <t>C00020 | C00013 | C02553</t>
  </si>
  <si>
    <t>C00166 | C00001 | C00011</t>
  </si>
  <si>
    <t xml:space="preserve">C00186 | C00003 </t>
  </si>
  <si>
    <t>C03895 | C00342</t>
  </si>
  <si>
    <t xml:space="preserve">C00704 | C00080 </t>
  </si>
  <si>
    <t>C00027 | C00007</t>
  </si>
  <si>
    <t>C00149 | C00006</t>
  </si>
  <si>
    <t>C00022 | C00011 | C00005 | C00080</t>
  </si>
  <si>
    <t>C00002 | C00257</t>
  </si>
  <si>
    <t>C00008 | C00345</t>
  </si>
  <si>
    <t>C01013 | C00006</t>
  </si>
  <si>
    <t>C00222 | C00005 | C00080</t>
  </si>
  <si>
    <t>C00002 | C00123 | C01645</t>
  </si>
  <si>
    <t>C00020 | C00013 | C02047</t>
  </si>
  <si>
    <t>C00587 | C00007 | C00004 | C00080</t>
  </si>
  <si>
    <t>C00628 | C00003 | C00001</t>
  </si>
  <si>
    <t>C00108 | C00022 | C00025</t>
  </si>
  <si>
    <t>C00108 | C00022 | C00001</t>
  </si>
  <si>
    <t>C04302 | C00013</t>
  </si>
  <si>
    <t>C00108 | C00119</t>
  </si>
  <si>
    <t>C03506 | C00011 | C00001</t>
  </si>
  <si>
    <t>C00065 | C00463</t>
  </si>
  <si>
    <t>C00078 | C00001</t>
  </si>
  <si>
    <t>C00137 | C00003</t>
  </si>
  <si>
    <t>C00691 | C00004 | C00080</t>
  </si>
  <si>
    <t>C02211 | C00063 | C00002</t>
  </si>
  <si>
    <t>C19085 | C00013</t>
  </si>
  <si>
    <t>C00342 | C00006</t>
  </si>
  <si>
    <t>C00343 | C00005 | C00080</t>
  </si>
  <si>
    <t>KEGG ENZYME: 2.1.1.170</t>
  </si>
  <si>
    <t>KEGG REACTION: R00900</t>
  </si>
  <si>
    <t>C00097 | C00051 | C00006</t>
  </si>
  <si>
    <t>C05526 | C00005</t>
  </si>
  <si>
    <t>KEGG REACTION: R03596</t>
  </si>
  <si>
    <t>C01528 | C00006 | C00001</t>
  </si>
  <si>
    <t>C05684 | C00005 | C00080</t>
  </si>
  <si>
    <t>KEGG REACTION: R09372</t>
  </si>
  <si>
    <t>C00005 | C00080 | C18902</t>
  </si>
  <si>
    <t>C00006 | C00001 | C05703</t>
  </si>
  <si>
    <t>KEGG REACTION: R09383</t>
  </si>
  <si>
    <t>C02211 | C00063</t>
  </si>
  <si>
    <t>C19078 | C00013</t>
  </si>
  <si>
    <t>KEGG REACTION: R09384</t>
  </si>
  <si>
    <t>C19078 | C00063</t>
  </si>
  <si>
    <t>C19080 | C00013</t>
  </si>
  <si>
    <t>KEGG REACTION: R09386</t>
  </si>
  <si>
    <t>C19080 | C00002</t>
  </si>
  <si>
    <t>KEGG REACTION: R02340</t>
  </si>
  <si>
    <t>C03506</t>
  </si>
  <si>
    <t>C00463 | C00118</t>
  </si>
  <si>
    <t>KEGG REACTION: R02722</t>
  </si>
  <si>
    <t>C00065 | C03506</t>
  </si>
  <si>
    <t>C00078 | C00118 | C00001</t>
  </si>
  <si>
    <t>KEGG REACTION: R00217</t>
  </si>
  <si>
    <t xml:space="preserve">C00036 </t>
  </si>
  <si>
    <t>C00022 | C00011</t>
  </si>
  <si>
    <t>KEGG REACTION: R07606</t>
  </si>
  <si>
    <t>C00073 | C00343 | C00001</t>
  </si>
  <si>
    <t>C15999 | C00342</t>
  </si>
  <si>
    <t>KEGG REACTION: R01000</t>
  </si>
  <si>
    <t>C05984 | C00003</t>
  </si>
  <si>
    <t>C00109 | C00004 | C00080</t>
  </si>
  <si>
    <t>KEGG REACTION: R03104</t>
  </si>
  <si>
    <t>C05823 | C00003</t>
  </si>
  <si>
    <t>C00957 | C00004 | C00080</t>
  </si>
  <si>
    <t>KEGG REACTION: R00691</t>
  </si>
  <si>
    <t>C00826</t>
  </si>
  <si>
    <t>KEGG REACTION: R08218</t>
  </si>
  <si>
    <t>C00002 | C00065 | C16636</t>
  </si>
  <si>
    <t>C00020 | C00013 | C06481</t>
  </si>
  <si>
    <t>KEGG REACTION: R09009</t>
  </si>
  <si>
    <t>C00935</t>
  </si>
  <si>
    <t>C18094</t>
  </si>
  <si>
    <t>KEGG REACTION: R04929</t>
  </si>
  <si>
    <t>C00002 | C05697</t>
  </si>
  <si>
    <t>C00013 | C05686</t>
  </si>
  <si>
    <t>KEGG REACTION: R00754</t>
  </si>
  <si>
    <t>C00469 | C00003</t>
  </si>
  <si>
    <t>C00084 | C00004 | C00080</t>
  </si>
  <si>
    <t>KEGG REACTION: R02124</t>
  </si>
  <si>
    <t>C00473 | C00003</t>
  </si>
  <si>
    <t>C00376 | C00004 | C00080</t>
  </si>
  <si>
    <t>KEGG REACTION: R02878</t>
  </si>
  <si>
    <t>C00756 | C00003</t>
  </si>
  <si>
    <t>C01545 | C00004 | C00080</t>
  </si>
  <si>
    <t>KEGG REACTION: R04805</t>
  </si>
  <si>
    <t>C05444 | C00003</t>
  </si>
  <si>
    <t>C05445 | C00004 | C00080</t>
  </si>
  <si>
    <t>KEGG REACTION: R04880</t>
  </si>
  <si>
    <t>C05576 | C00003</t>
  </si>
  <si>
    <t>C05577 | C00004 | C00080</t>
  </si>
  <si>
    <t>KEGG REACTION: R05233</t>
  </si>
  <si>
    <t>C06611 | C00003</t>
  </si>
  <si>
    <t>C06613 | C00004 | C00080</t>
  </si>
  <si>
    <t>KEGG REACTION: R05234</t>
  </si>
  <si>
    <t>C06612 | C00003</t>
  </si>
  <si>
    <t>C16348 | C00004 | C00080</t>
  </si>
  <si>
    <t>KEGG REACTION: R06917</t>
  </si>
  <si>
    <t>C14089 | C00003</t>
  </si>
  <si>
    <t>C14090 | C00004 | C00080</t>
  </si>
  <si>
    <t>KEGG REACTION: R06927</t>
  </si>
  <si>
    <t>C02909 | C00003</t>
  </si>
  <si>
    <t>C14099 | C00004 | C00080</t>
  </si>
  <si>
    <t>KEGG REACTION: R08281</t>
  </si>
  <si>
    <t>C07645 | C00004 | C00080</t>
  </si>
  <si>
    <t>C16551 | C00003</t>
  </si>
  <si>
    <t>KEGG REACTION: R08306</t>
  </si>
  <si>
    <t>C16586 | C00003</t>
  </si>
  <si>
    <t>C16587 | C00004 | C00080</t>
  </si>
  <si>
    <t>KEGG REACTION: R08557</t>
  </si>
  <si>
    <t>C00114 | C00003</t>
  </si>
  <si>
    <t>C00576 | C00004 | C00080</t>
  </si>
  <si>
    <t>KEGG REACTION: R08558</t>
  </si>
  <si>
    <t>C00114 | C00006</t>
  </si>
  <si>
    <t>C00576 | C00005 | C00080</t>
  </si>
  <si>
    <t>KEGG REACTION: R10783</t>
  </si>
  <si>
    <t>C16310 | C00004 | C00080</t>
  </si>
  <si>
    <t>C08492 | C00003</t>
  </si>
  <si>
    <t>KEGG REACTION: R00624</t>
  </si>
  <si>
    <t>C01612 | C00003</t>
  </si>
  <si>
    <t>C01450 | C00004 | C00080</t>
  </si>
  <si>
    <t>KEGG REACTION: R08310</t>
  </si>
  <si>
    <t>C16595 | C00003</t>
  </si>
  <si>
    <t>C16596 | C00004 | C00080</t>
  </si>
  <si>
    <t>KEGG REACTION: R02246</t>
  </si>
  <si>
    <t>C00418 | C00003</t>
  </si>
  <si>
    <t>C00772 | C00004 | C00080</t>
  </si>
  <si>
    <t>KEGG REACTION: R07105</t>
  </si>
  <si>
    <t>C06899 | C00004 | C00080</t>
  </si>
  <si>
    <t>C07490 | C00003 | C00001</t>
  </si>
  <si>
    <t>KEGG REACTION: R08231</t>
  </si>
  <si>
    <t>C16634 | C00013</t>
  </si>
  <si>
    <t>KEGG REACTION: R01070</t>
  </si>
  <si>
    <t>C05378</t>
  </si>
  <si>
    <t>KEGG REACTION: R01829</t>
  </si>
  <si>
    <t>C00447</t>
  </si>
  <si>
    <t>C00111 | C00279</t>
  </si>
  <si>
    <t>KEGG REACTION: R02568</t>
  </si>
  <si>
    <t>C01094</t>
  </si>
  <si>
    <t>C00111 | C00577</t>
  </si>
  <si>
    <t>KEGG REACTION: R00921</t>
  </si>
  <si>
    <t>C00100 | C00009</t>
  </si>
  <si>
    <t>C02876 | C00010</t>
  </si>
  <si>
    <t>KEGG REACTION: R01353</t>
  </si>
  <si>
    <t>C00002 | C00163</t>
  </si>
  <si>
    <t>C00008 | C02876</t>
  </si>
  <si>
    <t>KEGG REACTION: R03632</t>
  </si>
  <si>
    <t>C00002 | C01609</t>
  </si>
  <si>
    <t>C00008 | C02729</t>
  </si>
  <si>
    <t>KEGG REACTION: R10993</t>
  </si>
  <si>
    <t>C00008 | C00009 | C21015</t>
  </si>
  <si>
    <t>KEGG REACTION: R08359</t>
  </si>
  <si>
    <t>C01137 | C01672</t>
  </si>
  <si>
    <t>C00170 | C16565</t>
  </si>
  <si>
    <t>KEGG REACTION: R01229</t>
  </si>
  <si>
    <t>C00242 | C00119</t>
  </si>
  <si>
    <t>KEGG REACTION: R02142</t>
  </si>
  <si>
    <t>C00385 | C00119</t>
  </si>
  <si>
    <t>KEGG REACTION: R08237</t>
  </si>
  <si>
    <t>C02380 | C00119</t>
  </si>
  <si>
    <t>KEGG REACTION: R08238</t>
  </si>
  <si>
    <t>C16614 | C00119</t>
  </si>
  <si>
    <t>C16615 | C00013</t>
  </si>
  <si>
    <t>KEGG REACTION: R08245</t>
  </si>
  <si>
    <t>C07648 | C00119</t>
  </si>
  <si>
    <t>C16619 | C00013</t>
  </si>
  <si>
    <t>KEGG REACTION: R00428</t>
  </si>
  <si>
    <t>C05922</t>
  </si>
  <si>
    <t>KEGG REACTION: R04639</t>
  </si>
  <si>
    <t>C06148</t>
  </si>
  <si>
    <t>KEGG REACTION: R05046</t>
  </si>
  <si>
    <t>C05922 | C00001</t>
  </si>
  <si>
    <t>C05923 | C00058</t>
  </si>
  <si>
    <t>KEGG REACTION: R05048</t>
  </si>
  <si>
    <t>C05923</t>
  </si>
  <si>
    <t>KEGG REACTION: R07667</t>
  </si>
  <si>
    <t>C03067 | C00003 | C00001</t>
  </si>
  <si>
    <t>KEGG REACTION: R11195</t>
  </si>
  <si>
    <t>C21166 | C00006 | C00001</t>
  </si>
  <si>
    <t>C21167 | C00005 | C00080</t>
  </si>
  <si>
    <t>C00587 | C00004 | C00080</t>
  </si>
  <si>
    <t>C00001</t>
  </si>
  <si>
    <t>C00003</t>
  </si>
  <si>
    <t>C00004</t>
  </si>
  <si>
    <t>C00005</t>
  </si>
  <si>
    <t>C00006</t>
  </si>
  <si>
    <t>C00007</t>
  </si>
  <si>
    <t>C00010</t>
  </si>
  <si>
    <t>C00011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</si>
  <si>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</si>
  <si>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</si>
  <si>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</si>
  <si>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</si>
  <si>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</si>
  <si>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</si>
  <si>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</si>
  <si>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</si>
  <si>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</si>
  <si>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C00028</t>
  </si>
  <si>
    <t>C00030</t>
  </si>
  <si>
    <t>C00031</t>
  </si>
  <si>
    <t>C00033</t>
  </si>
  <si>
    <t>C00035</t>
  </si>
  <si>
    <t>C00036</t>
  </si>
  <si>
    <t>C00037</t>
  </si>
  <si>
    <t>C00039</t>
  </si>
  <si>
    <t>C00042</t>
  </si>
  <si>
    <t>C00044</t>
  </si>
  <si>
    <t>C00045</t>
  </si>
  <si>
    <t>C00046</t>
  </si>
  <si>
    <t>C00047</t>
  </si>
  <si>
    <t>C00048</t>
  </si>
  <si>
    <t>C00051</t>
  </si>
  <si>
    <t>C00053</t>
  </si>
  <si>
    <t>C00054</t>
  </si>
  <si>
    <t>C00055</t>
  </si>
  <si>
    <t>C00058</t>
  </si>
  <si>
    <t>C00059</t>
  </si>
  <si>
    <t>C00061</t>
  </si>
  <si>
    <t>C00062</t>
  </si>
  <si>
    <t>C00063</t>
  </si>
  <si>
    <t>C00064</t>
  </si>
  <si>
    <t>C00066</t>
  </si>
  <si>
    <t>C00067</t>
  </si>
  <si>
    <t>C00068</t>
  </si>
  <si>
    <t>C00073</t>
  </si>
  <si>
    <t>C00074</t>
  </si>
  <si>
    <t>C00075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</si>
  <si>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</si>
  <si>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</si>
  <si>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</si>
  <si>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</si>
  <si>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</si>
  <si>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</si>
  <si>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</si>
  <si>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</si>
  <si>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C00088</t>
  </si>
  <si>
    <t>C00093</t>
  </si>
  <si>
    <t>C00094</t>
  </si>
  <si>
    <t>C00097</t>
  </si>
  <si>
    <t>C00099</t>
  </si>
  <si>
    <t>C00101</t>
  </si>
  <si>
    <t>C00104</t>
  </si>
  <si>
    <t>C00105</t>
  </si>
  <si>
    <t>C00109</t>
  </si>
  <si>
    <t>C00112</t>
  </si>
  <si>
    <t>C00116</t>
  </si>
  <si>
    <t>C00119</t>
  </si>
  <si>
    <t>C00120</t>
  </si>
  <si>
    <t>C00122</t>
  </si>
  <si>
    <t>C00123</t>
  </si>
  <si>
    <t>C00125</t>
  </si>
  <si>
    <t>C00126</t>
  </si>
  <si>
    <t>C00127</t>
  </si>
  <si>
    <t>C00130</t>
  </si>
  <si>
    <t>C00131</t>
  </si>
  <si>
    <t>C00134</t>
  </si>
  <si>
    <t>C00135</t>
  </si>
  <si>
    <t>C00136</t>
  </si>
  <si>
    <t>C00138</t>
  </si>
  <si>
    <t>C00139</t>
  </si>
  <si>
    <t>C00141</t>
  </si>
  <si>
    <t>C00143</t>
  </si>
  <si>
    <t>C00144</t>
  </si>
  <si>
    <t>C00148</t>
  </si>
  <si>
    <t>C00151</t>
  </si>
  <si>
    <t>C00152</t>
  </si>
  <si>
    <t>C00155</t>
  </si>
  <si>
    <t>C00163</t>
  </si>
  <si>
    <t>C00169</t>
  </si>
  <si>
    <t>C00183</t>
  </si>
  <si>
    <t>C00194</t>
  </si>
  <si>
    <t>C00206</t>
  </si>
  <si>
    <t>C00218</t>
  </si>
  <si>
    <t>C00221</t>
  </si>
  <si>
    <t>C00224</t>
  </si>
  <si>
    <t>C00227</t>
  </si>
  <si>
    <t>C00229</t>
  </si>
  <si>
    <t>C00234</t>
  </si>
  <si>
    <t>C00236</t>
  </si>
  <si>
    <t>C00237</t>
  </si>
  <si>
    <t>C00239</t>
  </si>
  <si>
    <t>C00240</t>
  </si>
  <si>
    <t>C00242</t>
  </si>
  <si>
    <t>C00245</t>
  </si>
  <si>
    <t>C00249</t>
  </si>
  <si>
    <t>C00250</t>
  </si>
  <si>
    <t>C00255</t>
  </si>
  <si>
    <t>C00257</t>
  </si>
  <si>
    <t>C00258</t>
  </si>
  <si>
    <t>C00263</t>
  </si>
  <si>
    <t>C00267</t>
  </si>
  <si>
    <t>C00269</t>
  </si>
  <si>
    <t>C00279</t>
  </si>
  <si>
    <t>C00283</t>
  </si>
  <si>
    <t>C00286</t>
  </si>
  <si>
    <t>C00288</t>
  </si>
  <si>
    <t>C00310</t>
  </si>
  <si>
    <t>C00314</t>
  </si>
  <si>
    <t>C00315</t>
  </si>
  <si>
    <t>C00320</t>
  </si>
  <si>
    <t>C00327</t>
  </si>
  <si>
    <t>C00332</t>
  </si>
  <si>
    <t>C00342</t>
  </si>
  <si>
    <t>C00343</t>
  </si>
  <si>
    <t>C00354</t>
  </si>
  <si>
    <t>C00360</t>
  </si>
  <si>
    <t>C00361</t>
  </si>
  <si>
    <t>C00362</t>
  </si>
  <si>
    <t>C00363</t>
  </si>
  <si>
    <t>C00364</t>
  </si>
  <si>
    <t>C00365</t>
  </si>
  <si>
    <t>C00404</t>
  </si>
  <si>
    <t>C00407</t>
  </si>
  <si>
    <t>C00415</t>
  </si>
  <si>
    <t>C00416</t>
  </si>
  <si>
    <t>C00445</t>
  </si>
  <si>
    <t>C00448</t>
  </si>
  <si>
    <t>C00454</t>
  </si>
  <si>
    <t>C00455</t>
  </si>
  <si>
    <t>C00458</t>
  </si>
  <si>
    <t>C00459</t>
  </si>
  <si>
    <t>C00460</t>
  </si>
  <si>
    <t>C00463</t>
  </si>
  <si>
    <t>C00490</t>
  </si>
  <si>
    <t>C00493</t>
  </si>
  <si>
    <t>C00498</t>
  </si>
  <si>
    <t>C00522</t>
  </si>
  <si>
    <t>C00531</t>
  </si>
  <si>
    <t>C00534</t>
  </si>
  <si>
    <t>C00536</t>
  </si>
  <si>
    <t>C00541</t>
  </si>
  <si>
    <t>C00562</t>
  </si>
  <si>
    <t>C00568</t>
  </si>
  <si>
    <t>C00577</t>
  </si>
  <si>
    <t>C00615</t>
  </si>
  <si>
    <t>C00624</t>
  </si>
  <si>
    <t>C00627</t>
  </si>
  <si>
    <t>C00636</t>
  </si>
  <si>
    <t>C00647</t>
  </si>
  <si>
    <t>C00655</t>
  </si>
  <si>
    <t>C00669</t>
  </si>
  <si>
    <t>C00670</t>
  </si>
  <si>
    <t>C00689</t>
  </si>
  <si>
    <t>C00692</t>
  </si>
  <si>
    <t>C00704</t>
  </si>
  <si>
    <t>C00705</t>
  </si>
  <si>
    <t>C00787</t>
  </si>
  <si>
    <t>C00797</t>
  </si>
  <si>
    <t>C00831</t>
  </si>
  <si>
    <t>C00853</t>
  </si>
  <si>
    <t>C00856</t>
  </si>
  <si>
    <t>C00857</t>
  </si>
  <si>
    <t>C00864</t>
  </si>
  <si>
    <t>C00882</t>
  </si>
  <si>
    <t>C00886</t>
  </si>
  <si>
    <t>C00921</t>
  </si>
  <si>
    <t>C00993</t>
  </si>
  <si>
    <t>C01037</t>
  </si>
  <si>
    <t>C01050</t>
  </si>
  <si>
    <t>C01077</t>
  </si>
  <si>
    <t>C01081</t>
  </si>
  <si>
    <t>C01092</t>
  </si>
  <si>
    <t>C01102</t>
  </si>
  <si>
    <t>C01134</t>
  </si>
  <si>
    <t>C01185</t>
  </si>
  <si>
    <t>C01209</t>
  </si>
  <si>
    <t>C01212</t>
  </si>
  <si>
    <t>C01217</t>
  </si>
  <si>
    <t>C01233</t>
  </si>
  <si>
    <t>C01279</t>
  </si>
  <si>
    <t>C01281</t>
  </si>
  <si>
    <t>C01299</t>
  </si>
  <si>
    <t>C01300</t>
  </si>
  <si>
    <t>C01304</t>
  </si>
  <si>
    <t>C01335</t>
  </si>
  <si>
    <t>C01344</t>
  </si>
  <si>
    <t>C01345</t>
  </si>
  <si>
    <t>C01346</t>
  </si>
  <si>
    <t>C01352</t>
  </si>
  <si>
    <t>C01528</t>
  </si>
  <si>
    <t>C01563</t>
  </si>
  <si>
    <t>C01609</t>
  </si>
  <si>
    <t>C01635</t>
  </si>
  <si>
    <t>C01636</t>
  </si>
  <si>
    <t>C01639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</si>
  <si>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</si>
  <si>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</si>
  <si>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</si>
  <si>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</si>
  <si>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</si>
  <si>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</si>
  <si>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</si>
  <si>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</si>
  <si>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</si>
  <si>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</si>
  <si>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</si>
  <si>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</si>
  <si>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</si>
  <si>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C01672</t>
  </si>
  <si>
    <t>C01847</t>
  </si>
  <si>
    <t>C01879</t>
  </si>
  <si>
    <t>C01909</t>
  </si>
  <si>
    <t>C01931</t>
  </si>
  <si>
    <t>C01962</t>
  </si>
  <si>
    <t>C01977</t>
  </si>
  <si>
    <t>C01997</t>
  </si>
  <si>
    <t>C02047</t>
  </si>
  <si>
    <t>C02090</t>
  </si>
  <si>
    <t>C02128</t>
  </si>
  <si>
    <t>C02163</t>
  </si>
  <si>
    <t>C02188</t>
  </si>
  <si>
    <t>C02189</t>
  </si>
  <si>
    <t>C02412</t>
  </si>
  <si>
    <t>C02415</t>
  </si>
  <si>
    <t>C02430</t>
  </si>
  <si>
    <t>C02463</t>
  </si>
  <si>
    <t>C02469</t>
  </si>
  <si>
    <t>C02553</t>
  </si>
  <si>
    <t>C02554</t>
  </si>
  <si>
    <t>C02702</t>
  </si>
  <si>
    <t>C02729</t>
  </si>
  <si>
    <t>C02730</t>
  </si>
  <si>
    <t>C02743</t>
  </si>
  <si>
    <t>C02839</t>
  </si>
  <si>
    <t>C02863</t>
  </si>
  <si>
    <t>C02876</t>
  </si>
  <si>
    <t>C02967</t>
  </si>
  <si>
    <t>C02988</t>
  </si>
  <si>
    <t>C02992</t>
  </si>
  <si>
    <t>C03024</t>
  </si>
  <si>
    <t>C03082</t>
  </si>
  <si>
    <t>C03090</t>
  </si>
  <si>
    <t>C03114</t>
  </si>
  <si>
    <t>C03125</t>
  </si>
  <si>
    <t>C03127</t>
  </si>
  <si>
    <t>C03153</t>
  </si>
  <si>
    <t>C03161</t>
  </si>
  <si>
    <t>C03170</t>
  </si>
  <si>
    <t>C03175</t>
  </si>
  <si>
    <t>C03287</t>
  </si>
  <si>
    <t>C03294</t>
  </si>
  <si>
    <t>C03344</t>
  </si>
  <si>
    <t>C03363</t>
  </si>
  <si>
    <t>C03373</t>
  </si>
  <si>
    <t>C03479</t>
  </si>
  <si>
    <t>C03492</t>
  </si>
  <si>
    <t>C03511</t>
  </si>
  <si>
    <t>C03512</t>
  </si>
  <si>
    <t>C03541</t>
  </si>
  <si>
    <t>C03617</t>
  </si>
  <si>
    <t>C03657</t>
  </si>
  <si>
    <t>C03688</t>
  </si>
  <si>
    <t>C03740</t>
  </si>
  <si>
    <t>C03803</t>
  </si>
  <si>
    <t>C03838</t>
  </si>
  <si>
    <t>C03892</t>
  </si>
  <si>
    <t>C03939</t>
  </si>
  <si>
    <t>C03972</t>
  </si>
  <si>
    <t>C04079</t>
  </si>
  <si>
    <t>C04133</t>
  </si>
  <si>
    <t>C04144</t>
  </si>
  <si>
    <t>C04153</t>
  </si>
  <si>
    <t>C04157</t>
  </si>
  <si>
    <t>C04160</t>
  </si>
  <si>
    <t>C04261</t>
  </si>
  <si>
    <t>C04262</t>
  </si>
  <si>
    <t>C04294</t>
  </si>
  <si>
    <t>C04327</t>
  </si>
  <si>
    <t>C04341</t>
  </si>
  <si>
    <t>C04376</t>
  </si>
  <si>
    <t>C04419</t>
  </si>
  <si>
    <t>C04432</t>
  </si>
  <si>
    <t>C04462</t>
  </si>
  <si>
    <t>C04489</t>
  </si>
  <si>
    <t>C04494</t>
  </si>
  <si>
    <t>C04501</t>
  </si>
  <si>
    <t>C04556</t>
  </si>
  <si>
    <t>C04640</t>
  </si>
  <si>
    <t>C04677</t>
  </si>
  <si>
    <t>C04681</t>
  </si>
  <si>
    <t>C04702</t>
  </si>
  <si>
    <t>C04732</t>
  </si>
  <si>
    <t>C04735</t>
  </si>
  <si>
    <t>C04752</t>
  </si>
  <si>
    <t>C04778</t>
  </si>
  <si>
    <t>C04807</t>
  </si>
  <si>
    <t>C04851</t>
  </si>
  <si>
    <t>C04877</t>
  </si>
  <si>
    <t>C04882</t>
  </si>
  <si>
    <t>C05125</t>
  </si>
  <si>
    <t>C05198</t>
  </si>
  <si>
    <t>C05250</t>
  </si>
  <si>
    <t>C05269</t>
  </si>
  <si>
    <t>C05326</t>
  </si>
  <si>
    <t>C05335</t>
  </si>
  <si>
    <t>C05336</t>
  </si>
  <si>
    <t>C05359</t>
  </si>
  <si>
    <t>C05382</t>
  </si>
  <si>
    <t>C05686</t>
  </si>
  <si>
    <t>C05688</t>
  </si>
  <si>
    <t>C05689</t>
  </si>
  <si>
    <t>C05691</t>
  </si>
  <si>
    <t>C05695</t>
  </si>
  <si>
    <t>C05697</t>
  </si>
  <si>
    <t>C05703</t>
  </si>
  <si>
    <t>C05774</t>
  </si>
  <si>
    <t>C05775</t>
  </si>
  <si>
    <t>C05778</t>
  </si>
  <si>
    <t>C05844</t>
  </si>
  <si>
    <t>C05892</t>
  </si>
  <si>
    <t>C05897</t>
  </si>
  <si>
    <t>C05921</t>
  </si>
  <si>
    <t>C05928</t>
  </si>
  <si>
    <t>C05929</t>
  </si>
  <si>
    <t>C06249</t>
  </si>
  <si>
    <t>C06250</t>
  </si>
  <si>
    <t>C06481</t>
  </si>
  <si>
    <t>C06504</t>
  </si>
  <si>
    <t>C06506</t>
  </si>
  <si>
    <t>C06508</t>
  </si>
  <si>
    <t>C06717</t>
  </si>
  <si>
    <t>C07292</t>
  </si>
  <si>
    <t>C07293</t>
  </si>
  <si>
    <t>C09332</t>
  </si>
  <si>
    <t>C11475</t>
  </si>
  <si>
    <t>C11826</t>
  </si>
  <si>
    <t>C11827</t>
  </si>
  <si>
    <t>C14818</t>
  </si>
  <si>
    <t>C15498</t>
  </si>
  <si>
    <t>C15527</t>
  </si>
  <si>
    <t>C15556</t>
  </si>
  <si>
    <t>C15602</t>
  </si>
  <si>
    <t>C15603</t>
  </si>
  <si>
    <t>C15809</t>
  </si>
  <si>
    <t>C15810</t>
  </si>
  <si>
    <t>C15814</t>
  </si>
  <si>
    <t>C15972</t>
  </si>
  <si>
    <t>C16240</t>
  </si>
  <si>
    <t>C16565</t>
  </si>
  <si>
    <t>C16636</t>
  </si>
  <si>
    <t>C16663</t>
  </si>
  <si>
    <t>C16664</t>
  </si>
  <si>
    <t>C16675</t>
  </si>
  <si>
    <t>C17023</t>
  </si>
  <si>
    <t>C17324</t>
  </si>
  <si>
    <t>C17556</t>
  </si>
  <si>
    <t>C18902</t>
  </si>
  <si>
    <t>C19609</t>
  </si>
  <si>
    <t>C19791</t>
  </si>
  <si>
    <t>C19803</t>
  </si>
  <si>
    <t>C20246</t>
  </si>
  <si>
    <t>C20247</t>
  </si>
  <si>
    <t>C20565</t>
  </si>
  <si>
    <t>C20648</t>
  </si>
  <si>
    <t>C20658</t>
  </si>
  <si>
    <t>C20722</t>
  </si>
  <si>
    <t>C20743</t>
  </si>
  <si>
    <t>C20751</t>
  </si>
  <si>
    <t>C20796</t>
  </si>
  <si>
    <t>C20969</t>
  </si>
  <si>
    <t>C21015</t>
  </si>
  <si>
    <t>C21153</t>
  </si>
  <si>
    <t>C21177</t>
  </si>
  <si>
    <t>C21178</t>
  </si>
  <si>
    <t>C21440</t>
  </si>
  <si>
    <t>C21606</t>
  </si>
  <si>
    <t>C21607</t>
  </si>
  <si>
    <t>C21608</t>
  </si>
  <si>
    <t>C21609</t>
  </si>
  <si>
    <t>C21748</t>
  </si>
  <si>
    <t>C21749</t>
  </si>
  <si>
    <t>C21750</t>
  </si>
  <si>
    <t>C21751</t>
  </si>
  <si>
    <t>C22150</t>
  </si>
  <si>
    <t>C22154</t>
  </si>
  <si>
    <t>C22155</t>
  </si>
  <si>
    <t>C22157</t>
  </si>
  <si>
    <t>C22158</t>
  </si>
  <si>
    <t>G09795</t>
  </si>
  <si>
    <t>G10554</t>
  </si>
  <si>
    <t>G10557</t>
  </si>
  <si>
    <t>G10610</t>
  </si>
  <si>
    <t>G10619</t>
  </si>
  <si>
    <t>G11109</t>
  </si>
  <si>
    <t>G11113</t>
  </si>
  <si>
    <t>G11291</t>
  </si>
  <si>
    <t>G13027</t>
  </si>
  <si>
    <t>G13102</t>
  </si>
  <si>
    <t>G13107</t>
  </si>
  <si>
    <t>G13108</t>
  </si>
  <si>
    <t>G13119</t>
  </si>
  <si>
    <t>G13120</t>
  </si>
  <si>
    <t>G13121</t>
  </si>
  <si>
    <t>C00012</t>
  </si>
  <si>
    <t>C00032</t>
  </si>
  <si>
    <t>C00060</t>
  </si>
  <si>
    <t>C00069</t>
  </si>
  <si>
    <t>C00071</t>
  </si>
  <si>
    <t>C00076</t>
  </si>
  <si>
    <t>C00086</t>
  </si>
  <si>
    <t>C00089</t>
  </si>
  <si>
    <t>C00090</t>
  </si>
  <si>
    <t>C00100</t>
  </si>
  <si>
    <t>C00106</t>
  </si>
  <si>
    <t>C00108</t>
  </si>
  <si>
    <t>C00110</t>
  </si>
  <si>
    <t>C00114</t>
  </si>
  <si>
    <t>C00132</t>
  </si>
  <si>
    <t>C00137</t>
  </si>
  <si>
    <t>C00145</t>
  </si>
  <si>
    <t>C00147</t>
  </si>
  <si>
    <t>C00153</t>
  </si>
  <si>
    <t>C00156</t>
  </si>
  <si>
    <t>C00161</t>
  </si>
  <si>
    <t>C00166</t>
  </si>
  <si>
    <t>C00170</t>
  </si>
  <si>
    <t>C00180</t>
  </si>
  <si>
    <t>C00184</t>
  </si>
  <si>
    <t>C00186</t>
  </si>
  <si>
    <t>C00191</t>
  </si>
  <si>
    <t>C00212</t>
  </si>
  <si>
    <t>C00213</t>
  </si>
  <si>
    <t>C00214</t>
  </si>
  <si>
    <t>C00215</t>
  </si>
  <si>
    <t>C00222</t>
  </si>
  <si>
    <t>C00226</t>
  </si>
  <si>
    <t>C00230</t>
  </si>
  <si>
    <t>C00232</t>
  </si>
  <si>
    <t>C00233</t>
  </si>
  <si>
    <t>C00241</t>
  </si>
  <si>
    <t>C00248</t>
  </si>
  <si>
    <t>C00253</t>
  </si>
  <si>
    <t>C00256</t>
  </si>
  <si>
    <t>C00262</t>
  </si>
  <si>
    <t>C00266</t>
  </si>
  <si>
    <t>C00268</t>
  </si>
  <si>
    <t>C00272</t>
  </si>
  <si>
    <t>C00294</t>
  </si>
  <si>
    <t>C00295</t>
  </si>
  <si>
    <t>C00299</t>
  </si>
  <si>
    <t>C00330</t>
  </si>
  <si>
    <t>C00334</t>
  </si>
  <si>
    <t>C00337</t>
  </si>
  <si>
    <t>C00353</t>
  </si>
  <si>
    <t>C00376</t>
  </si>
  <si>
    <t>C00378</t>
  </si>
  <si>
    <t>C00385</t>
  </si>
  <si>
    <t>C00387</t>
  </si>
  <si>
    <t>C00390</t>
  </si>
  <si>
    <t>C00399</t>
  </si>
  <si>
    <t>C00417</t>
  </si>
  <si>
    <t>C00418</t>
  </si>
  <si>
    <t>C00437</t>
  </si>
  <si>
    <t>C00440</t>
  </si>
  <si>
    <t>C00441</t>
  </si>
  <si>
    <t>C00469</t>
  </si>
  <si>
    <t>C00473</t>
  </si>
  <si>
    <t>C00475</t>
  </si>
  <si>
    <t>C00491</t>
  </si>
  <si>
    <t>C00500</t>
  </si>
  <si>
    <t>C00504</t>
  </si>
  <si>
    <t>C00526</t>
  </si>
  <si>
    <t>C00542</t>
  </si>
  <si>
    <t>C00559</t>
  </si>
  <si>
    <t>C00576</t>
  </si>
  <si>
    <t>C00579</t>
  </si>
  <si>
    <t>C00585</t>
  </si>
  <si>
    <t>C00587</t>
  </si>
  <si>
    <t>C00628</t>
  </si>
  <si>
    <t>C00632</t>
  </si>
  <si>
    <t>C00633</t>
  </si>
  <si>
    <t>C00638</t>
  </si>
  <si>
    <t>C00671</t>
  </si>
  <si>
    <t>C00677</t>
  </si>
  <si>
    <t>C00681</t>
  </si>
  <si>
    <t>C00685</t>
  </si>
  <si>
    <t>C00691</t>
  </si>
  <si>
    <t>C00700</t>
  </si>
  <si>
    <t>C00740</t>
  </si>
  <si>
    <t>C00755</t>
  </si>
  <si>
    <t>C00756</t>
  </si>
  <si>
    <t>C00772</t>
  </si>
  <si>
    <t>C00812</t>
  </si>
  <si>
    <t>C00819</t>
  </si>
  <si>
    <t>C00828</t>
  </si>
  <si>
    <t>C00860</t>
  </si>
  <si>
    <t>C00870</t>
  </si>
  <si>
    <t>C00881</t>
  </si>
  <si>
    <t>C00900</t>
  </si>
  <si>
    <t>C00911</t>
  </si>
  <si>
    <t>C00931</t>
  </si>
  <si>
    <t>C00957</t>
  </si>
  <si>
    <t>C00979</t>
  </si>
  <si>
    <t>C01005</t>
  </si>
  <si>
    <t>C01013</t>
  </si>
  <si>
    <t>C01079</t>
  </si>
  <si>
    <t>C01097</t>
  </si>
  <si>
    <t>C01100</t>
  </si>
  <si>
    <t>C01118</t>
  </si>
  <si>
    <t>C01137</t>
  </si>
  <si>
    <t>C01153</t>
  </si>
  <si>
    <t>C01157</t>
  </si>
  <si>
    <t>C01159</t>
  </si>
  <si>
    <t>C01165</t>
  </si>
  <si>
    <t>C01167</t>
  </si>
  <si>
    <t>C01179</t>
  </si>
  <si>
    <t>C01222</t>
  </si>
  <si>
    <t>C01236</t>
  </si>
  <si>
    <t>C01244</t>
  </si>
  <si>
    <t>C01250</t>
  </si>
  <si>
    <t>C01267</t>
  </si>
  <si>
    <t>C01268</t>
  </si>
  <si>
    <t>C01271</t>
  </si>
  <si>
    <t>C01336</t>
  </si>
  <si>
    <t>C01419</t>
  </si>
  <si>
    <t>C01424</t>
  </si>
  <si>
    <t>C01450</t>
  </si>
  <si>
    <t>C01545</t>
  </si>
  <si>
    <t>C01612</t>
  </si>
  <si>
    <t>C01628</t>
  </si>
  <si>
    <t>C01638</t>
  </si>
  <si>
    <t>C01762</t>
  </si>
  <si>
    <t>C01885</t>
  </si>
  <si>
    <t>C01929</t>
  </si>
  <si>
    <t>C02051</t>
  </si>
  <si>
    <t>C02059</t>
  </si>
  <si>
    <t>C02133</t>
  </si>
  <si>
    <t>C02166</t>
  </si>
  <si>
    <t>C02191</t>
  </si>
  <si>
    <t>C02211</t>
  </si>
  <si>
    <t>C02291</t>
  </si>
  <si>
    <t>C02320</t>
  </si>
  <si>
    <t>C02356</t>
  </si>
  <si>
    <t>C02359</t>
  </si>
  <si>
    <t>C02364</t>
  </si>
  <si>
    <t>C02371</t>
  </si>
  <si>
    <t>C02375</t>
  </si>
  <si>
    <t>C02380</t>
  </si>
  <si>
    <t>C02512</t>
  </si>
  <si>
    <t>C02520</t>
  </si>
  <si>
    <t>C02532</t>
  </si>
  <si>
    <t>C02583</t>
  </si>
  <si>
    <t>C02630</t>
  </si>
  <si>
    <t>C02631</t>
  </si>
  <si>
    <t>C02739</t>
  </si>
  <si>
    <t>C02741</t>
  </si>
  <si>
    <t>C02749</t>
  </si>
  <si>
    <t>C02882</t>
  </si>
  <si>
    <t>C02909</t>
  </si>
  <si>
    <t>C02953</t>
  </si>
  <si>
    <t>C02970</t>
  </si>
  <si>
    <t>C02972</t>
  </si>
  <si>
    <t>C02984</t>
  </si>
  <si>
    <t>C02987</t>
  </si>
  <si>
    <t>C03023</t>
  </si>
  <si>
    <t>C03028</t>
  </si>
  <si>
    <t>C03067</t>
  </si>
  <si>
    <t>C03150</t>
  </si>
  <si>
    <t>C03193</t>
  </si>
  <si>
    <t>C03232</t>
  </si>
  <si>
    <t>C03263</t>
  </si>
  <si>
    <t>C03313</t>
  </si>
  <si>
    <t>C03360</t>
  </si>
  <si>
    <t>C03523</t>
  </si>
  <si>
    <t>C03671</t>
  </si>
  <si>
    <t>C03722</t>
  </si>
  <si>
    <t>C03723</t>
  </si>
  <si>
    <t>C03785</t>
  </si>
  <si>
    <t>C03800</t>
  </si>
  <si>
    <t>C03862</t>
  </si>
  <si>
    <t>C03871</t>
  </si>
  <si>
    <t>C03880</t>
  </si>
  <si>
    <t>C03895</t>
  </si>
  <si>
    <t>C03912</t>
  </si>
  <si>
    <t>C04044</t>
  </si>
  <si>
    <t>C04051</t>
  </si>
  <si>
    <t>C04225</t>
  </si>
  <si>
    <t>C04232</t>
  </si>
  <si>
    <t>C04242</t>
  </si>
  <si>
    <t>C04246</t>
  </si>
  <si>
    <t>C04250</t>
  </si>
  <si>
    <t>C04258</t>
  </si>
  <si>
    <t>C04281</t>
  </si>
  <si>
    <t>C04287</t>
  </si>
  <si>
    <t>C04309</t>
  </si>
  <si>
    <t>C04367</t>
  </si>
  <si>
    <t>C04377</t>
  </si>
  <si>
    <t>C04421</t>
  </si>
  <si>
    <t>C04425</t>
  </si>
  <si>
    <t>C04454</t>
  </si>
  <si>
    <t>C04517</t>
  </si>
  <si>
    <t>C04574</t>
  </si>
  <si>
    <t>C04619</t>
  </si>
  <si>
    <t>C04620</t>
  </si>
  <si>
    <t>C04631</t>
  </si>
  <si>
    <t>C04633</t>
  </si>
  <si>
    <t>C04634</t>
  </si>
  <si>
    <t>C04635</t>
  </si>
  <si>
    <t>C04646</t>
  </si>
  <si>
    <t>C04688</t>
  </si>
  <si>
    <t>C04895</t>
  </si>
  <si>
    <t>C05223</t>
  </si>
  <si>
    <t>C05309</t>
  </si>
  <si>
    <t>C05427</t>
  </si>
  <si>
    <t>C05444</t>
  </si>
  <si>
    <t>C05445</t>
  </si>
  <si>
    <t>C05512</t>
  </si>
  <si>
    <t>C05526</t>
  </si>
  <si>
    <t>C05528</t>
  </si>
  <si>
    <t>C05576</t>
  </si>
  <si>
    <t>C05577</t>
  </si>
  <si>
    <t>C05640</t>
  </si>
  <si>
    <t>C05670</t>
  </si>
  <si>
    <t>C05684</t>
  </si>
  <si>
    <t>C05698</t>
  </si>
  <si>
    <t>C05699</t>
  </si>
  <si>
    <t>C05702</t>
  </si>
  <si>
    <t>C05711</t>
  </si>
  <si>
    <t>C05726</t>
  </si>
  <si>
    <t>C05729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</si>
  <si>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</si>
  <si>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</si>
  <si>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</si>
  <si>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</si>
  <si>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</si>
  <si>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</si>
  <si>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</si>
  <si>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</si>
  <si>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</si>
  <si>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</si>
  <si>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</si>
  <si>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</si>
  <si>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</si>
  <si>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</si>
  <si>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</si>
  <si>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</si>
  <si>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</si>
  <si>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</si>
  <si>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</si>
  <si>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</si>
  <si>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</si>
  <si>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C05768</t>
  </si>
  <si>
    <t>C05819</t>
  </si>
  <si>
    <t>C05823</t>
  </si>
  <si>
    <t>C05840</t>
  </si>
  <si>
    <t>C05841</t>
  </si>
  <si>
    <t>C05847</t>
  </si>
  <si>
    <t>C05850</t>
  </si>
  <si>
    <t>C05893</t>
  </si>
  <si>
    <t>C05898</t>
  </si>
  <si>
    <t>C05924</t>
  </si>
  <si>
    <t>C05951</t>
  </si>
  <si>
    <t>C05984</t>
  </si>
  <si>
    <t>C06007</t>
  </si>
  <si>
    <t>C06032</t>
  </si>
  <si>
    <t>C06054</t>
  </si>
  <si>
    <t>C06055</t>
  </si>
  <si>
    <t>C06056</t>
  </si>
  <si>
    <t>C06114</t>
  </si>
  <si>
    <t>C06196</t>
  </si>
  <si>
    <t>C06206</t>
  </si>
  <si>
    <t>C06321</t>
  </si>
  <si>
    <t>C06505</t>
  </si>
  <si>
    <t>C06509</t>
  </si>
  <si>
    <t>C06510</t>
  </si>
  <si>
    <t>C06611</t>
  </si>
  <si>
    <t>C06612</t>
  </si>
  <si>
    <t>C06613</t>
  </si>
  <si>
    <t>C06672</t>
  </si>
  <si>
    <t>C06697</t>
  </si>
  <si>
    <t>C06718</t>
  </si>
  <si>
    <t>C06730</t>
  </si>
  <si>
    <t>C06893</t>
  </si>
  <si>
    <t>C06899</t>
  </si>
  <si>
    <t>C07490</t>
  </si>
  <si>
    <t>C07645</t>
  </si>
  <si>
    <t>C07648</t>
  </si>
  <si>
    <t>C08492</t>
  </si>
  <si>
    <t>C11038</t>
  </si>
  <si>
    <t>C11215</t>
  </si>
  <si>
    <t>C11434</t>
  </si>
  <si>
    <t>C11435</t>
  </si>
  <si>
    <t>C11437</t>
  </si>
  <si>
    <t>C11439</t>
  </si>
  <si>
    <t>C11440</t>
  </si>
  <si>
    <t>C11453</t>
  </si>
  <si>
    <t>C11457</t>
  </si>
  <si>
    <t>C11502</t>
  </si>
  <si>
    <t>C11537</t>
  </si>
  <si>
    <t>C11735</t>
  </si>
  <si>
    <t>C11811</t>
  </si>
  <si>
    <t>C11907</t>
  </si>
  <si>
    <t>C12214</t>
  </si>
  <si>
    <t>C12215</t>
  </si>
  <si>
    <t>C12621</t>
  </si>
  <si>
    <t>C12623</t>
  </si>
  <si>
    <t>C13378</t>
  </si>
  <si>
    <t>C14089</t>
  </si>
  <si>
    <t>C14090</t>
  </si>
  <si>
    <t>C14099</t>
  </si>
  <si>
    <t>C15541</t>
  </si>
  <si>
    <t>C15547</t>
  </si>
  <si>
    <t>C15653</t>
  </si>
  <si>
    <t>C15670</t>
  </si>
  <si>
    <t>C15672</t>
  </si>
  <si>
    <t>C15811</t>
  </si>
  <si>
    <t>C15812</t>
  </si>
  <si>
    <t>C15973</t>
  </si>
  <si>
    <t>C15999</t>
  </si>
  <si>
    <t>C16219</t>
  </si>
  <si>
    <t>C16220</t>
  </si>
  <si>
    <t>C16236</t>
  </si>
  <si>
    <t>C16237</t>
  </si>
  <si>
    <t>C16239</t>
  </si>
  <si>
    <t>C16255</t>
  </si>
  <si>
    <t>C16310</t>
  </si>
  <si>
    <t>C16348</t>
  </si>
  <si>
    <t>C16472</t>
  </si>
  <si>
    <t>C16473</t>
  </si>
  <si>
    <t>C16478</t>
  </si>
  <si>
    <t>C16479</t>
  </si>
  <si>
    <t>C16480</t>
  </si>
  <si>
    <t>C16481</t>
  </si>
  <si>
    <t>C16482</t>
  </si>
  <si>
    <t>C16519</t>
  </si>
  <si>
    <t>C16551</t>
  </si>
  <si>
    <t>C16586</t>
  </si>
  <si>
    <t>C16587</t>
  </si>
  <si>
    <t>C16595</t>
  </si>
  <si>
    <t>C16596</t>
  </si>
  <si>
    <t>C16614</t>
  </si>
  <si>
    <t>C16615</t>
  </si>
  <si>
    <t>C16617</t>
  </si>
  <si>
    <t>C16618</t>
  </si>
  <si>
    <t>C16619</t>
  </si>
  <si>
    <t>C16634</t>
  </si>
  <si>
    <t>C16688</t>
  </si>
  <si>
    <t>C16832</t>
  </si>
  <si>
    <t>C18091</t>
  </si>
  <si>
    <t>C18235</t>
  </si>
  <si>
    <t>C18237</t>
  </si>
  <si>
    <t>C18239</t>
  </si>
  <si>
    <t>C18240</t>
  </si>
  <si>
    <t>C19078</t>
  </si>
  <si>
    <t>C19080</t>
  </si>
  <si>
    <t>C19085</t>
  </si>
  <si>
    <t>C19702</t>
  </si>
  <si>
    <t>C19703</t>
  </si>
  <si>
    <t>C19722</t>
  </si>
  <si>
    <t>C19723</t>
  </si>
  <si>
    <t>C19761</t>
  </si>
  <si>
    <t>C19784</t>
  </si>
  <si>
    <t>C19847</t>
  </si>
  <si>
    <t>C19871</t>
  </si>
  <si>
    <t>C20237</t>
  </si>
  <si>
    <t>C20258</t>
  </si>
  <si>
    <t>C20352</t>
  </si>
  <si>
    <t>C20369</t>
  </si>
  <si>
    <t>C20370</t>
  </si>
  <si>
    <t>C20372</t>
  </si>
  <si>
    <t>C20373</t>
  </si>
  <si>
    <t>C20376</t>
  </si>
  <si>
    <t>C20377</t>
  </si>
  <si>
    <t>C20446</t>
  </si>
  <si>
    <t>C20451</t>
  </si>
  <si>
    <t>C20641</t>
  </si>
  <si>
    <t>C20753</t>
  </si>
  <si>
    <t>C20755</t>
  </si>
  <si>
    <t>C20858</t>
  </si>
  <si>
    <t>C20864</t>
  </si>
  <si>
    <t>C21166</t>
  </si>
  <si>
    <t>C21167</t>
  </si>
  <si>
    <t>C21179</t>
  </si>
  <si>
    <t>C21284</t>
  </si>
  <si>
    <t>C21310</t>
  </si>
  <si>
    <t>C21767</t>
  </si>
  <si>
    <t>C22159</t>
  </si>
  <si>
    <t>C22160</t>
  </si>
  <si>
    <t>C22173</t>
  </si>
  <si>
    <t>C22328</t>
  </si>
  <si>
    <t>C22438</t>
  </si>
  <si>
    <t>C22441</t>
  </si>
  <si>
    <t>C22442</t>
  </si>
  <si>
    <t>C22443</t>
  </si>
  <si>
    <t>G10550</t>
  </si>
  <si>
    <t>G10551</t>
  </si>
  <si>
    <t>G10552</t>
  </si>
  <si>
    <t>G10553</t>
  </si>
  <si>
    <t>G10555</t>
  </si>
  <si>
    <t>G10556</t>
  </si>
  <si>
    <t>G10608</t>
  </si>
  <si>
    <t>G10614</t>
  </si>
  <si>
    <t>G10617</t>
  </si>
  <si>
    <t>G10620</t>
  </si>
  <si>
    <t>G10622</t>
  </si>
  <si>
    <t>G11174</t>
  </si>
  <si>
    <t>G11175</t>
  </si>
  <si>
    <t>G13125</t>
  </si>
  <si>
    <t>C22151</t>
  </si>
  <si>
    <t>1_1_1_100</t>
  </si>
  <si>
    <t>1_1_1_1</t>
  </si>
  <si>
    <t>1_1_1_193</t>
  </si>
  <si>
    <t>1_1_1_205</t>
  </si>
  <si>
    <t>1_1_1_23</t>
  </si>
  <si>
    <t>1_1_1_25</t>
  </si>
  <si>
    <t>1_1_1_267</t>
  </si>
  <si>
    <t>1_1_1_27</t>
  </si>
  <si>
    <t>1_1_1_28</t>
  </si>
  <si>
    <t>1_1_1_298</t>
  </si>
  <si>
    <t>1_1_1_3</t>
  </si>
  <si>
    <t>1_1_1_306</t>
  </si>
  <si>
    <t>1_1_1_333</t>
  </si>
  <si>
    <t>1_1_1_37</t>
  </si>
  <si>
    <t>1_1_1_40</t>
  </si>
  <si>
    <t>1_1_1_42</t>
  </si>
  <si>
    <t>1_1_1_44</t>
  </si>
  <si>
    <t>1_1_1_49</t>
  </si>
  <si>
    <t>1_1_1_85</t>
  </si>
  <si>
    <t>1_1_1_86</t>
  </si>
  <si>
    <t>1_1_1_94</t>
  </si>
  <si>
    <t>1_1_1_95</t>
  </si>
  <si>
    <t>1_1_5_4</t>
  </si>
  <si>
    <t>1_11_1_24</t>
  </si>
  <si>
    <t>1_11_1_6</t>
  </si>
  <si>
    <t>1_13_11_1</t>
  </si>
  <si>
    <t>1_13_11_3</t>
  </si>
  <si>
    <t>1_14_12_10</t>
  </si>
  <si>
    <t>1_14_13_127</t>
  </si>
  <si>
    <t>1_14_14_18</t>
  </si>
  <si>
    <t>1_15_1_1</t>
  </si>
  <si>
    <t>1_17_1_8</t>
  </si>
  <si>
    <t>1_17_7_4</t>
  </si>
  <si>
    <t>1_2_1_11</t>
  </si>
  <si>
    <t>1_2_1_12</t>
  </si>
  <si>
    <t>1_2_1_38</t>
  </si>
  <si>
    <t>1_2_1_41</t>
  </si>
  <si>
    <t>1_2_1_67</t>
  </si>
  <si>
    <t>1_2_1_70</t>
  </si>
  <si>
    <t>1_2_1_79</t>
  </si>
  <si>
    <t>1_2_1_96</t>
  </si>
  <si>
    <t>1_2_4_1</t>
  </si>
  <si>
    <t>1_20_4_4</t>
  </si>
  <si>
    <t>1_3_1_12</t>
  </si>
  <si>
    <t>1_3_1_25</t>
  </si>
  <si>
    <t>1_3_1_83</t>
  </si>
  <si>
    <t>1_3_1_98</t>
  </si>
  <si>
    <t>1_3_3_4</t>
  </si>
  <si>
    <t>1_3_5_2</t>
  </si>
  <si>
    <t>1_3_98_5</t>
  </si>
  <si>
    <t>1_4_1_13</t>
  </si>
  <si>
    <t>1_4_1_16</t>
  </si>
  <si>
    <t>1_4_1_4</t>
  </si>
  <si>
    <t>1_4_3_19</t>
  </si>
  <si>
    <t>1_5_1_20</t>
  </si>
  <si>
    <t>1_5_1_3</t>
  </si>
  <si>
    <t>1_6_5_2</t>
  </si>
  <si>
    <t>1_6_5_5</t>
  </si>
  <si>
    <t>1_8_1_15</t>
  </si>
  <si>
    <t>1_8_1_4</t>
  </si>
  <si>
    <t>1_8_1_9</t>
  </si>
  <si>
    <t>1_8_4_11</t>
  </si>
  <si>
    <t>1_8_4_12</t>
  </si>
  <si>
    <t>1_8_4_8</t>
  </si>
  <si>
    <t>1_8_7_1</t>
  </si>
  <si>
    <t>2_1_1_107</t>
  </si>
  <si>
    <t>2_1_1_13</t>
  </si>
  <si>
    <t>2_1_1_14</t>
  </si>
  <si>
    <t>2_1_1_163</t>
  </si>
  <si>
    <t>2_1_1_170</t>
  </si>
  <si>
    <t>2_1_1_182</t>
  </si>
  <si>
    <t>2_1_1_192</t>
  </si>
  <si>
    <t>2_1_1_193</t>
  </si>
  <si>
    <t>2_1_1_198</t>
  </si>
  <si>
    <t>2_1_1_199</t>
  </si>
  <si>
    <t>2_1_1_207</t>
  </si>
  <si>
    <t>2_1_1_297</t>
  </si>
  <si>
    <t>2_1_1_63</t>
  </si>
  <si>
    <t>2_1_2_1</t>
  </si>
  <si>
    <t>2_1_2_11</t>
  </si>
  <si>
    <t>2_1_2_2</t>
  </si>
  <si>
    <t>2_1_2_3</t>
  </si>
  <si>
    <t>2_1_2_9</t>
  </si>
  <si>
    <t>2_1_3_15</t>
  </si>
  <si>
    <t>2_1_3_2</t>
  </si>
  <si>
    <t>2_1_3_3</t>
  </si>
  <si>
    <t>2_2_1_1</t>
  </si>
  <si>
    <t>2_2_1_2</t>
  </si>
  <si>
    <t>2_2_1_6</t>
  </si>
  <si>
    <t>2_2_1_7</t>
  </si>
  <si>
    <t>2_2_1_9</t>
  </si>
  <si>
    <t>2_3_1_1</t>
  </si>
  <si>
    <t>2_3_1_117</t>
  </si>
  <si>
    <t>2_3_1_181</t>
  </si>
  <si>
    <t>2_3_1_189</t>
  </si>
  <si>
    <t>2_3_1_234</t>
  </si>
  <si>
    <t>2_3_1_269</t>
  </si>
  <si>
    <t>2_3_1_286</t>
  </si>
  <si>
    <t>2_3_1_31</t>
  </si>
  <si>
    <t>2_3_1_35</t>
  </si>
  <si>
    <t>2_3_1_8</t>
  </si>
  <si>
    <t>2_3_1_85</t>
  </si>
  <si>
    <t>2_3_1_9</t>
  </si>
  <si>
    <t>2_3_2_2</t>
  </si>
  <si>
    <t>2_3_3_13</t>
  </si>
  <si>
    <t>2_3_3_16</t>
  </si>
  <si>
    <t>2_3_3_5</t>
  </si>
  <si>
    <t>2_3_3_9</t>
  </si>
  <si>
    <t>2_4_1_109</t>
  </si>
  <si>
    <t>2_4_1_21</t>
  </si>
  <si>
    <t>2_4_1_227</t>
  </si>
  <si>
    <t>2_4_1_25</t>
  </si>
  <si>
    <t>2_4_1_250</t>
  </si>
  <si>
    <t>2_4_1_266</t>
  </si>
  <si>
    <t>2_4_1_287</t>
  </si>
  <si>
    <t>2_4_1_346</t>
  </si>
  <si>
    <t>2_4_2_10</t>
  </si>
  <si>
    <t>2_4_2_14</t>
  </si>
  <si>
    <t>2_4_2_17</t>
  </si>
  <si>
    <t>2_4_2_18</t>
  </si>
  <si>
    <t>2_4_2_19</t>
  </si>
  <si>
    <t>2_4_2_21</t>
  </si>
  <si>
    <t>2_4_2_45</t>
  </si>
  <si>
    <t>2_4_2_47</t>
  </si>
  <si>
    <t>2_4_2_7</t>
  </si>
  <si>
    <t>2_4_2_8</t>
  </si>
  <si>
    <t>2_4_2_9</t>
  </si>
  <si>
    <t>2_5_1_141</t>
  </si>
  <si>
    <t>2_5_1_145</t>
  </si>
  <si>
    <t>2_5_1_15</t>
  </si>
  <si>
    <t>2_5_1_16</t>
  </si>
  <si>
    <t>2_5_1_17</t>
  </si>
  <si>
    <t>2_5_1_19</t>
  </si>
  <si>
    <t>2_5_1_3</t>
  </si>
  <si>
    <t>2_5_1_47</t>
  </si>
  <si>
    <t>2_5_1_48</t>
  </si>
  <si>
    <t>2_5_1_54</t>
  </si>
  <si>
    <t>2_5_1_61</t>
  </si>
  <si>
    <t>2_5_1_7</t>
  </si>
  <si>
    <t>2_5_1_72</t>
  </si>
  <si>
    <t>2_5_1_74</t>
  </si>
  <si>
    <t>2_5_1_75</t>
  </si>
  <si>
    <t>2_5_1_78</t>
  </si>
  <si>
    <t>2_5_1_9</t>
  </si>
  <si>
    <t>2_6_1_11</t>
  </si>
  <si>
    <t>2_6_1_16</t>
  </si>
  <si>
    <t>2_6_1_17</t>
  </si>
  <si>
    <t>2_6_1_19</t>
  </si>
  <si>
    <t>2_6_1_42</t>
  </si>
  <si>
    <t>2_6_1_52</t>
  </si>
  <si>
    <t>2_6_1_62</t>
  </si>
  <si>
    <t>2_6_1_9</t>
  </si>
  <si>
    <t>2_7_1_12</t>
  </si>
  <si>
    <t>2_7_1_148</t>
  </si>
  <si>
    <t>2_7_1_156</t>
  </si>
  <si>
    <t>2_7_1_17</t>
  </si>
  <si>
    <t>2_7_1_2</t>
  </si>
  <si>
    <t>2_7_1_211</t>
  </si>
  <si>
    <t>2_7_1_23</t>
  </si>
  <si>
    <t>2_7_1_24</t>
  </si>
  <si>
    <t>2_7_1_26</t>
  </si>
  <si>
    <t>2_7_1_30</t>
  </si>
  <si>
    <t>2_7_1_31</t>
  </si>
  <si>
    <t>2_7_1_33</t>
  </si>
  <si>
    <t>2_7_1_35</t>
  </si>
  <si>
    <t>2_7_1_39</t>
  </si>
  <si>
    <t>2_7_1_40</t>
  </si>
  <si>
    <t>2_7_1_49</t>
  </si>
  <si>
    <t>2_7_1_50</t>
  </si>
  <si>
    <t>2_7_1_63</t>
  </si>
  <si>
    <t>2_7_1_71</t>
  </si>
  <si>
    <t>2_7_1_92</t>
  </si>
  <si>
    <t>2_7_11_1</t>
  </si>
  <si>
    <t>2_7_13_3</t>
  </si>
  <si>
    <t>2_7_2_1</t>
  </si>
  <si>
    <t>2_7_2_11</t>
  </si>
  <si>
    <t>2_7_2_3</t>
  </si>
  <si>
    <t>2_7_2_4</t>
  </si>
  <si>
    <t>2_7_4_1</t>
  </si>
  <si>
    <t>2_7_4_16</t>
  </si>
  <si>
    <t>2_7_4_22</t>
  </si>
  <si>
    <t>2_7_4_25</t>
  </si>
  <si>
    <t>2_7_4_3</t>
  </si>
  <si>
    <t>2_7_4_6</t>
  </si>
  <si>
    <t>2_7_4_7</t>
  </si>
  <si>
    <t>2_7_4_8</t>
  </si>
  <si>
    <t>2_7_4_9</t>
  </si>
  <si>
    <t>2_7_6_1</t>
  </si>
  <si>
    <t>2_7_6_3</t>
  </si>
  <si>
    <t>2_7_6_5</t>
  </si>
  <si>
    <t>2_7_7_108</t>
  </si>
  <si>
    <t>2_7_7_13</t>
  </si>
  <si>
    <t>2_7_7_18</t>
  </si>
  <si>
    <t>2_7_7_2</t>
  </si>
  <si>
    <t>2_7_7_23</t>
  </si>
  <si>
    <t>2_7_7_24</t>
  </si>
  <si>
    <t>2_7_7_27</t>
  </si>
  <si>
    <t>2_7_7_3</t>
  </si>
  <si>
    <t>2_7_7_4</t>
  </si>
  <si>
    <t>2_7_7_56</t>
  </si>
  <si>
    <t>2_7_7_59</t>
  </si>
  <si>
    <t>2_7_7_6</t>
  </si>
  <si>
    <t>2_7_7_60</t>
  </si>
  <si>
    <t>2_7_7_62</t>
  </si>
  <si>
    <t>2_7_7_7</t>
  </si>
  <si>
    <t>2_7_7_72</t>
  </si>
  <si>
    <t>2_7_7_77</t>
  </si>
  <si>
    <t>2_7_7_85</t>
  </si>
  <si>
    <t>2_7_7_87</t>
  </si>
  <si>
    <t>2_7_7_89</t>
  </si>
  <si>
    <t>2_7_7_9</t>
  </si>
  <si>
    <t>2_7_8_13</t>
  </si>
  <si>
    <t>2_7_8_26</t>
  </si>
  <si>
    <t>2_7_8_5</t>
  </si>
  <si>
    <t>2_7_8_7</t>
  </si>
  <si>
    <t>2_8_1_10</t>
  </si>
  <si>
    <t>2_8_1_12</t>
  </si>
  <si>
    <t>2_8_1_6</t>
  </si>
  <si>
    <t>2_8_1_7</t>
  </si>
  <si>
    <t>2_8_1_8</t>
  </si>
  <si>
    <t>2_8_4_2</t>
  </si>
  <si>
    <t>2_8_4_3</t>
  </si>
  <si>
    <t>3_1_1_24</t>
  </si>
  <si>
    <t>3_1_1_29</t>
  </si>
  <si>
    <t>3_1_1_31</t>
  </si>
  <si>
    <t>3_1_1_96</t>
  </si>
  <si>
    <t>3_1_11_2</t>
  </si>
  <si>
    <t>3_1_11_6</t>
  </si>
  <si>
    <t>3_1_13_5</t>
  </si>
  <si>
    <t>3_1_21_10</t>
  </si>
  <si>
    <t>3_1_26_3</t>
  </si>
  <si>
    <t>3_1_26_4</t>
  </si>
  <si>
    <t>3_1_26_5</t>
  </si>
  <si>
    <t>3_1_3_1</t>
  </si>
  <si>
    <t>3_1_3_11</t>
  </si>
  <si>
    <t>3_1_3_12</t>
  </si>
  <si>
    <t>3_1_3_15</t>
  </si>
  <si>
    <t>3_1_3_16</t>
  </si>
  <si>
    <t>3_1_3_2</t>
  </si>
  <si>
    <t>3_1_3_3</t>
  </si>
  <si>
    <t>3_1_3_48</t>
  </si>
  <si>
    <t>3_1_3_5</t>
  </si>
  <si>
    <t>3_13_2_1</t>
  </si>
  <si>
    <t>3_2_1_141</t>
  </si>
  <si>
    <t>3_2_1_196</t>
  </si>
  <si>
    <t>3_2_2_20</t>
  </si>
  <si>
    <t>3_2_2_27</t>
  </si>
  <si>
    <t>3_2_2_4</t>
  </si>
  <si>
    <t>3_3_2_2</t>
  </si>
  <si>
    <t>3_4_11_1</t>
  </si>
  <si>
    <t>3_4_11_18</t>
  </si>
  <si>
    <t>3_4_11_2</t>
  </si>
  <si>
    <t>3_4_16_4</t>
  </si>
  <si>
    <t>3_4_21_105</t>
  </si>
  <si>
    <t>3_4_23_43</t>
  </si>
  <si>
    <t>3_5_1_10</t>
  </si>
  <si>
    <t>3_5_1_103</t>
  </si>
  <si>
    <t>3_5_1_119</t>
  </si>
  <si>
    <t>3_5_1_2</t>
  </si>
  <si>
    <t>3_5_1_25</t>
  </si>
  <si>
    <t>3_5_1_5</t>
  </si>
  <si>
    <t>3_5_2_9</t>
  </si>
  <si>
    <t>3_5_4_13</t>
  </si>
  <si>
    <t>3_5_4_16</t>
  </si>
  <si>
    <t>3_5_4_19</t>
  </si>
  <si>
    <t>3_5_4_26</t>
  </si>
  <si>
    <t>3_5_4_33</t>
  </si>
  <si>
    <t>3_5_99_6</t>
  </si>
  <si>
    <t>3_6_1_1</t>
  </si>
  <si>
    <t>3_6_1_23</t>
  </si>
  <si>
    <t>3_6_1_25</t>
  </si>
  <si>
    <t>3_6_1_27</t>
  </si>
  <si>
    <t>3_6_1_31</t>
  </si>
  <si>
    <t>3_6_1_66</t>
  </si>
  <si>
    <t>3_6_1_7</t>
  </si>
  <si>
    <t>3_6_5_n1</t>
  </si>
  <si>
    <t>3_7_1_22</t>
  </si>
  <si>
    <t>4_1_1_20</t>
  </si>
  <si>
    <t>4_1_1_21</t>
  </si>
  <si>
    <t>4_1_1_23</t>
  </si>
  <si>
    <t>4_1_1_31</t>
  </si>
  <si>
    <t>4_1_1_32</t>
  </si>
  <si>
    <t>4_1_1_44</t>
  </si>
  <si>
    <t>4_1_1_48</t>
  </si>
  <si>
    <t>4_1_1_71</t>
  </si>
  <si>
    <t>4_1_2_13</t>
  </si>
  <si>
    <t>4_1_2_25</t>
  </si>
  <si>
    <t>4_1_3_1</t>
  </si>
  <si>
    <t>4_1_3_27</t>
  </si>
  <si>
    <t>4_1_3_30</t>
  </si>
  <si>
    <t>4_1_3_36</t>
  </si>
  <si>
    <t>4_1_3_38</t>
  </si>
  <si>
    <t>4_2_1_10</t>
  </si>
  <si>
    <t>4_2_1_11</t>
  </si>
  <si>
    <t>4_2_1_113</t>
  </si>
  <si>
    <t>4_2_1_118</t>
  </si>
  <si>
    <t>4_2_1_19</t>
  </si>
  <si>
    <t>4_2_1_2</t>
  </si>
  <si>
    <t>4_2_1_20</t>
  </si>
  <si>
    <t>4_2_1_24</t>
  </si>
  <si>
    <t>4_2_1_3</t>
  </si>
  <si>
    <t>4_2_1_33</t>
  </si>
  <si>
    <t>4_2_1_47</t>
  </si>
  <si>
    <t>4_2_1_51</t>
  </si>
  <si>
    <t>4_2_1_75</t>
  </si>
  <si>
    <t>4_2_1_79</t>
  </si>
  <si>
    <t>4_2_1_9</t>
  </si>
  <si>
    <t>4_2_1_96</t>
  </si>
  <si>
    <t>4_2_3_1</t>
  </si>
  <si>
    <t>4_2_3_4</t>
  </si>
  <si>
    <t>4_3_1_1</t>
  </si>
  <si>
    <t>4_3_1_17</t>
  </si>
  <si>
    <t>4_3_1_19</t>
  </si>
  <si>
    <t>4_3_2_1</t>
  </si>
  <si>
    <t>4_3_2_10</t>
  </si>
  <si>
    <t>4_3_2_2</t>
  </si>
  <si>
    <t>4_3_3_6</t>
  </si>
  <si>
    <t>4_3_3_7</t>
  </si>
  <si>
    <t>4_6_1_17</t>
  </si>
  <si>
    <t>4_98_1_1</t>
  </si>
  <si>
    <t>5_1_1_1</t>
  </si>
  <si>
    <t>5_1_1_7</t>
  </si>
  <si>
    <t>5_1_3_15</t>
  </si>
  <si>
    <t>5_1_3_2</t>
  </si>
  <si>
    <t>5_1_3_9</t>
  </si>
  <si>
    <t>5_1_99_1</t>
  </si>
  <si>
    <t>5_2_1_4</t>
  </si>
  <si>
    <t>5_2_1_8</t>
  </si>
  <si>
    <t>5_3_1_1</t>
  </si>
  <si>
    <t>5_3_1_12</t>
  </si>
  <si>
    <t>5_3_1_16</t>
  </si>
  <si>
    <t>5_3_1_24</t>
  </si>
  <si>
    <t>5_3_1_30</t>
  </si>
  <si>
    <t>5_3_1_6</t>
  </si>
  <si>
    <t>5_3_1_8</t>
  </si>
  <si>
    <t>5_3_1_9</t>
  </si>
  <si>
    <t>5_3_3_2</t>
  </si>
  <si>
    <t>5_3_3_4</t>
  </si>
  <si>
    <t>5_4_2_10</t>
  </si>
  <si>
    <t>5_4_2_11</t>
  </si>
  <si>
    <t>5_4_2_2</t>
  </si>
  <si>
    <t>5_4_3_8</t>
  </si>
  <si>
    <t>5_4_4_2</t>
  </si>
  <si>
    <t>5_4_99_12</t>
  </si>
  <si>
    <t>5_4_99_16</t>
  </si>
  <si>
    <t>5_4_99_18</t>
  </si>
  <si>
    <t>5_4_99_2</t>
  </si>
  <si>
    <t>5_4_99_25</t>
  </si>
  <si>
    <t>5_4_99_5</t>
  </si>
  <si>
    <t>5_4_99_62</t>
  </si>
  <si>
    <t>5_4_99_9</t>
  </si>
  <si>
    <t>5_5_1_2</t>
  </si>
  <si>
    <t>5_5_1_4</t>
  </si>
  <si>
    <t>5_6_1_5</t>
  </si>
  <si>
    <t>5_6_2_1</t>
  </si>
  <si>
    <t>5_6_2_2</t>
  </si>
  <si>
    <t>5_6_2_3</t>
  </si>
  <si>
    <t>5_6_2_4</t>
  </si>
  <si>
    <t>6_1_1_1</t>
  </si>
  <si>
    <t>6_1_1_10</t>
  </si>
  <si>
    <t>6_1_1_11</t>
  </si>
  <si>
    <t>6_1_1_12</t>
  </si>
  <si>
    <t>6_1_1_14</t>
  </si>
  <si>
    <t>6_1_1_15</t>
  </si>
  <si>
    <t>6_1_1_17</t>
  </si>
  <si>
    <t>6_1_1_19</t>
  </si>
  <si>
    <t>6_1_1_2</t>
  </si>
  <si>
    <t>6_1_1_20</t>
  </si>
  <si>
    <t>6_1_1_21</t>
  </si>
  <si>
    <t>6_1_1_3</t>
  </si>
  <si>
    <t>6_1_1_4</t>
  </si>
  <si>
    <t>6_1_1_5</t>
  </si>
  <si>
    <t>6_1_1_6</t>
  </si>
  <si>
    <t>6_1_1_7</t>
  </si>
  <si>
    <t>6_1_1_9</t>
  </si>
  <si>
    <t>6_2_1_26</t>
  </si>
  <si>
    <t>6_2_1_5</t>
  </si>
  <si>
    <t>6_3_1_19</t>
  </si>
  <si>
    <t>6_3_1_2</t>
  </si>
  <si>
    <t>6_3_1_5</t>
  </si>
  <si>
    <t>6_3_2_1</t>
  </si>
  <si>
    <t>6_3_2_10</t>
  </si>
  <si>
    <t>6_3_2_12</t>
  </si>
  <si>
    <t>6_3_2_13</t>
  </si>
  <si>
    <t>6_3_2_17</t>
  </si>
  <si>
    <t>6_3_2_2</t>
  </si>
  <si>
    <t>6_3_2_5</t>
  </si>
  <si>
    <t>6_3_2_6</t>
  </si>
  <si>
    <t>6_3_2_9</t>
  </si>
  <si>
    <t>6_3_3_1</t>
  </si>
  <si>
    <t>6_3_3_2</t>
  </si>
  <si>
    <t>6_3_3_3</t>
  </si>
  <si>
    <t>6_3_4_13</t>
  </si>
  <si>
    <t>6_3_4_15</t>
  </si>
  <si>
    <t>6_3_4_18</t>
  </si>
  <si>
    <t>6_3_4_19</t>
  </si>
  <si>
    <t>6_3_4_2</t>
  </si>
  <si>
    <t>6_3_4_5</t>
  </si>
  <si>
    <t>6_3_5_2</t>
  </si>
  <si>
    <t>6_3_5_3</t>
  </si>
  <si>
    <t>6_3_5_4</t>
  </si>
  <si>
    <t>6_3_5_5</t>
  </si>
  <si>
    <t>6_5_1_2</t>
  </si>
  <si>
    <t>6_5_1_8</t>
  </si>
  <si>
    <t>7_1_1_8</t>
  </si>
  <si>
    <t>7_1_2_2</t>
  </si>
  <si>
    <t>7_3_2_1</t>
  </si>
  <si>
    <t>7_3_2_2</t>
  </si>
  <si>
    <t>7_4_2_11</t>
  </si>
  <si>
    <t>C00226 + C00003</t>
  </si>
  <si>
    <t>C00469 + C00003</t>
  </si>
  <si>
    <t>C00473 + C00003</t>
  </si>
  <si>
    <t>C00756 + C00003</t>
  </si>
  <si>
    <t>C05444 + C00003</t>
  </si>
  <si>
    <t>C05576 + C00003</t>
  </si>
  <si>
    <t>C06611 + C00003</t>
  </si>
  <si>
    <t>C06612 + C00003</t>
  </si>
  <si>
    <t>C14089 + C00003</t>
  </si>
  <si>
    <t>C02909 + C00003</t>
  </si>
  <si>
    <t>C07645 + C00004 + C00080</t>
  </si>
  <si>
    <t>C16586 + C00003</t>
  </si>
  <si>
    <t>C00114 + C00003</t>
  </si>
  <si>
    <t>C00114 + C00006</t>
  </si>
  <si>
    <t>C16310 + C00004 + C00080</t>
  </si>
  <si>
    <t>C01612 + C00003</t>
  </si>
  <si>
    <t>C16595 + C00003</t>
  </si>
  <si>
    <t>C00418 + C00003</t>
  </si>
  <si>
    <t>C06899 + C00004 + C00080</t>
  </si>
  <si>
    <t>C01271 + C00006</t>
  </si>
  <si>
    <t>C04618 + C00006</t>
  </si>
  <si>
    <t>C04619 + C00006</t>
  </si>
  <si>
    <t>C04620 + C00006</t>
  </si>
  <si>
    <t>C04633 + C00006</t>
  </si>
  <si>
    <t>C04688 + C00006</t>
  </si>
  <si>
    <t>C05747 + C00006</t>
  </si>
  <si>
    <t>C05757 + C00006</t>
  </si>
  <si>
    <t>C16219 + C00005 + C00080</t>
  </si>
  <si>
    <t>C20372 + C00005 + C00080</t>
  </si>
  <si>
    <t>C20376 + C00005 + C00080</t>
  </si>
  <si>
    <t>C00522 + C00006</t>
  </si>
  <si>
    <t>C00137 + C00003</t>
  </si>
  <si>
    <t>C04454 + C00006</t>
  </si>
  <si>
    <t>C00130 + C00003 + C00001</t>
  </si>
  <si>
    <t>C04646 + C00003 + C00001</t>
  </si>
  <si>
    <t>C00860 + C00003 + C00001</t>
  </si>
  <si>
    <t>C01929 + C00001 + C00003</t>
  </si>
  <si>
    <t>C00860 + C00003</t>
  </si>
  <si>
    <t>C00493 + C00006</t>
  </si>
  <si>
    <t>C02637 + C00006</t>
  </si>
  <si>
    <t>C11434 + C00006</t>
  </si>
  <si>
    <t xml:space="preserve">C00186 + C00003 </t>
  </si>
  <si>
    <t>C05984 + C00003</t>
  </si>
  <si>
    <t>C05823 + C00003</t>
  </si>
  <si>
    <t>C00256 + C00003</t>
  </si>
  <si>
    <t>C01013 + C00006</t>
  </si>
  <si>
    <t>C00263 + C00003</t>
  </si>
  <si>
    <t>C00263 + C00006</t>
  </si>
  <si>
    <t>C18235 + C00003</t>
  </si>
  <si>
    <t>C18235 + C00003 + C00001</t>
  </si>
  <si>
    <t>C20370 + C00003</t>
  </si>
  <si>
    <t>C00149 + C00003</t>
  </si>
  <si>
    <t>C04367 + C00003</t>
  </si>
  <si>
    <t>C11537 + C00003</t>
  </si>
  <si>
    <t>C00149 + C00006</t>
  </si>
  <si>
    <t>C00311 + C00006</t>
  </si>
  <si>
    <t>C00345 + C00006</t>
  </si>
  <si>
    <t>C00092 + C00006</t>
  </si>
  <si>
    <t>C01172 + C00006</t>
  </si>
  <si>
    <t>C00233 + C00011</t>
  </si>
  <si>
    <t>C04411 + C00003</t>
  </si>
  <si>
    <t>C00109 + C00011 + C00004 + C00080</t>
  </si>
  <si>
    <t>C04272 + C00006</t>
  </si>
  <si>
    <t>C00900 + C00005 + C00080</t>
  </si>
  <si>
    <t>C06007 + C00006</t>
  </si>
  <si>
    <t>C00093 + C00003</t>
  </si>
  <si>
    <t>C00093 + C00006</t>
  </si>
  <si>
    <t>C00197 + C00003</t>
  </si>
  <si>
    <t>C02630 + C00003</t>
  </si>
  <si>
    <t>C00149 + C15602</t>
  </si>
  <si>
    <t>C00149 + C00007</t>
  </si>
  <si>
    <t>C00149 + C00016</t>
  </si>
  <si>
    <t>C00342 + C15498</t>
  </si>
  <si>
    <t>C00132 + C00027</t>
  </si>
  <si>
    <t>C00632 + C00007</t>
  </si>
  <si>
    <t xml:space="preserve">C00090 + C00007 </t>
  </si>
  <si>
    <t>C02375 + C00007</t>
  </si>
  <si>
    <t>C06730 + C00007</t>
  </si>
  <si>
    <t>C16472 + C00007</t>
  </si>
  <si>
    <t>C16473 + C00007</t>
  </si>
  <si>
    <t>C18240 + C00007</t>
  </si>
  <si>
    <t>C00230 + C00007</t>
  </si>
  <si>
    <t>C01424 + C00007</t>
  </si>
  <si>
    <t>C18091 + C00007 + C01847</t>
  </si>
  <si>
    <t>C00180 + C00004 + C00080 + C00007</t>
  </si>
  <si>
    <t>C00180 + C00005 + C00080 + C00007</t>
  </si>
  <si>
    <t>C02359 + C00004 + C00080 + C00007</t>
  </si>
  <si>
    <t>C02364 + C00004 + C00007 + C00080</t>
  </si>
  <si>
    <t>C02364 + C00004 + C00080 + C00007</t>
  </si>
  <si>
    <t>C02371 + C00004 + C00080 + C00007</t>
  </si>
  <si>
    <t>C11457 + C00007 + C00004 + C00080</t>
  </si>
  <si>
    <t>C12621 + C00007 + C00004 + C00080</t>
  </si>
  <si>
    <t>C00587 + C00007 + C00004 + C00080</t>
  </si>
  <si>
    <t>C00032 + C03024 + C00007</t>
  </si>
  <si>
    <t xml:space="preserve">C00704 + C00080 </t>
  </si>
  <si>
    <t>C03972 + C00003 + C00001</t>
  </si>
  <si>
    <t>C03972 + C00006 + C00001</t>
  </si>
  <si>
    <t>C04232 + C00343 + C00001</t>
  </si>
  <si>
    <t>C00206 + C00343 + C00001</t>
  </si>
  <si>
    <t>C01346 + C00343 + C00001</t>
  </si>
  <si>
    <t>C00361 + C00343 + C00001</t>
  </si>
  <si>
    <t>C00705 + C00343 + C00001</t>
  </si>
  <si>
    <t>C04232 + C16664 + C00001</t>
  </si>
  <si>
    <t>C04232 + C03170 + C00001</t>
  </si>
  <si>
    <t>C21750 + C00343 + C00001</t>
  </si>
  <si>
    <t>C11453 + C00138</t>
  </si>
  <si>
    <t>C11811 + C00138 + C00080</t>
  </si>
  <si>
    <t>C00235 + C00139 + C00001</t>
  </si>
  <si>
    <t>C15672 + C00001 + C00028</t>
  </si>
  <si>
    <t>C22328 + C00028 + C00001</t>
  </si>
  <si>
    <t>C00441 + C00009 + C00006</t>
  </si>
  <si>
    <t>C00118 + C00009 + C00003</t>
  </si>
  <si>
    <t>C01250 + C00009 + C00006</t>
  </si>
  <si>
    <t>C01165 + C00009 + C00006</t>
  </si>
  <si>
    <t>C00633 + C00003 + C00001</t>
  </si>
  <si>
    <t>C03067 + C00003 + C00001</t>
  </si>
  <si>
    <t>C00755 + C00003 + C00001</t>
  </si>
  <si>
    <t>C02987 + C00005 + C00080</t>
  </si>
  <si>
    <t>C00232 + C00006 + C00001</t>
  </si>
  <si>
    <t>C00633 + C00006 + C00001</t>
  </si>
  <si>
    <t>C21166 + C00006 + C00001</t>
  </si>
  <si>
    <t>C00022 + C15972</t>
  </si>
  <si>
    <t>C00022 + C00068</t>
  </si>
  <si>
    <t>C05125 + C15972</t>
  </si>
  <si>
    <t>C11215 + C07292</t>
  </si>
  <si>
    <t>C11215 + C00342</t>
  </si>
  <si>
    <t>C00254 + C00003</t>
  </si>
  <si>
    <t>C06321 + C00003</t>
  </si>
  <si>
    <t>C16478 + C00003</t>
  </si>
  <si>
    <t>C16479 + C00003</t>
  </si>
  <si>
    <t xml:space="preserve">C16480 + C00003 </t>
  </si>
  <si>
    <t>C00353 + C00080 + C00005</t>
  </si>
  <si>
    <t>C01050 + C00006</t>
  </si>
  <si>
    <t>C01050 + C00003</t>
  </si>
  <si>
    <t>C01079 + C00007</t>
  </si>
  <si>
    <t>C00337 + C15602</t>
  </si>
  <si>
    <t>C21284 + C00027</t>
  </si>
  <si>
    <t>C22173 + C00027</t>
  </si>
  <si>
    <t>C00025 + C00006</t>
  </si>
  <si>
    <t>C00025 + C00006 + C00001</t>
  </si>
  <si>
    <t>C00064 + C00001</t>
  </si>
  <si>
    <t>C00680 + C00006 + C00001</t>
  </si>
  <si>
    <t>C05167 + C00001 + C00003</t>
  </si>
  <si>
    <t>C05167 + C00001 + C00006</t>
  </si>
  <si>
    <t>C00037 + C00001 + C00007</t>
  </si>
  <si>
    <t>C00037 + C00007</t>
  </si>
  <si>
    <t>C15809 + C00001</t>
  </si>
  <si>
    <t>C00133 + C00001 + C00007</t>
  </si>
  <si>
    <t>C00213 + C00001 + C00007</t>
  </si>
  <si>
    <t>C11735 + C00001 + C00007</t>
  </si>
  <si>
    <t>C00148 + C00003</t>
  </si>
  <si>
    <t>C00148 + C00006</t>
  </si>
  <si>
    <t>C01157 + C00003</t>
  </si>
  <si>
    <t>C01157 + C00006</t>
  </si>
  <si>
    <t>C00440 + C00006</t>
  </si>
  <si>
    <t>C00440 + C00003</t>
  </si>
  <si>
    <t>C00101 + C00006</t>
  </si>
  <si>
    <t>C00101 + C00003</t>
  </si>
  <si>
    <t>C00415 + C00003</t>
  </si>
  <si>
    <t>C00415 + C00006</t>
  </si>
  <si>
    <t>C00272 + C00006</t>
  </si>
  <si>
    <t>C00004 + C00080 + C15602</t>
  </si>
  <si>
    <t>C00828 + C00080 + C00004</t>
  </si>
  <si>
    <t>C01628 + C00004 + C00080</t>
  </si>
  <si>
    <t>C02059 + C00004 + C00080</t>
  </si>
  <si>
    <t>C00005 + C00080 + C15602</t>
  </si>
  <si>
    <t>C15602 + C00005 + C00080</t>
  </si>
  <si>
    <t>C06717 + C00003</t>
  </si>
  <si>
    <t>C06717 + C00006</t>
  </si>
  <si>
    <t>G11174 + C00003</t>
  </si>
  <si>
    <t>G11174 + C00006</t>
  </si>
  <si>
    <t>C16832 + C00003</t>
  </si>
  <si>
    <t>C02972 + C00003</t>
  </si>
  <si>
    <t>C15973 + C00003</t>
  </si>
  <si>
    <t>C00579 + C00003</t>
  </si>
  <si>
    <t>C00342 + C00006</t>
  </si>
  <si>
    <t>C00097 + C00051 + C00006</t>
  </si>
  <si>
    <t>C01528 + C00006 + C00001</t>
  </si>
  <si>
    <t>C00005 + C00080 + C18902</t>
  </si>
  <si>
    <t>C03023 + C00343 + C00001</t>
  </si>
  <si>
    <t>C00073 + C00343 + C00001</t>
  </si>
  <si>
    <t>C00342 + C00053</t>
  </si>
  <si>
    <t>C00283 + C00139 + C00001</t>
  </si>
  <si>
    <t>C01528 + C00139 + C00001</t>
  </si>
  <si>
    <t>C00019 + C01051</t>
  </si>
  <si>
    <t>C00019 + C15527</t>
  </si>
  <si>
    <t>C00019 + C02469</t>
  </si>
  <si>
    <t>C00440 + C00155</t>
  </si>
  <si>
    <t>C05698 + C04489</t>
  </si>
  <si>
    <t>C04489 + C00155</t>
  </si>
  <si>
    <t>C00143 + C00365 + C00005 + C00080</t>
  </si>
  <si>
    <t>C19847 + C00019</t>
  </si>
  <si>
    <t>C00019 + C00240</t>
  </si>
  <si>
    <t>C00019 + C20648</t>
  </si>
  <si>
    <t>C00019 + C01977</t>
  </si>
  <si>
    <t>C02583 + C00019</t>
  </si>
  <si>
    <t>C00019 + C00039</t>
  </si>
  <si>
    <t>C00019 + C00856</t>
  </si>
  <si>
    <t>C00365 + C00143</t>
  </si>
  <si>
    <t>C04250 + C02743</t>
  </si>
  <si>
    <t>C00143 + C00037 + C00001</t>
  </si>
  <si>
    <t>C00065 + C01217</t>
  </si>
  <si>
    <t>C00143 + C00141 + C00001</t>
  </si>
  <si>
    <t>C00234 + C03838</t>
  </si>
  <si>
    <t>C03838 + C00445 + C00001</t>
  </si>
  <si>
    <t>C00234 + C04677</t>
  </si>
  <si>
    <t>C02430 + C00234</t>
  </si>
  <si>
    <t>C00024 + C04419</t>
  </si>
  <si>
    <t>C00169 + C00049</t>
  </si>
  <si>
    <t>C00169 + C00077</t>
  </si>
  <si>
    <t>C05382 + C00118</t>
  </si>
  <si>
    <t>C00085 + C00118</t>
  </si>
  <si>
    <t>C05345 + C00118</t>
  </si>
  <si>
    <t>C12214 + C00117</t>
  </si>
  <si>
    <t>C00231 + C00068</t>
  </si>
  <si>
    <t>C05382 + C00068</t>
  </si>
  <si>
    <t>C00900 + C00011</t>
  </si>
  <si>
    <t>C06010 + C00011</t>
  </si>
  <si>
    <t>C00900 + C00068</t>
  </si>
  <si>
    <t>C06010 + C00068</t>
  </si>
  <si>
    <t>C00109 + C05125</t>
  </si>
  <si>
    <t>C00022 + C00109</t>
  </si>
  <si>
    <t>C00022 + C00118</t>
  </si>
  <si>
    <t>C00885 + C00026</t>
  </si>
  <si>
    <t>C00024 + C00025</t>
  </si>
  <si>
    <t>C00091 + C03972 + C00001</t>
  </si>
  <si>
    <t>C05752 + C16240</t>
  </si>
  <si>
    <t>C05752 + C22158</t>
  </si>
  <si>
    <t>C05752 + C22157</t>
  </si>
  <si>
    <t>C16239 + C16240</t>
  </si>
  <si>
    <t>C19703 + C00024</t>
  </si>
  <si>
    <t>C20641 + C17324</t>
  </si>
  <si>
    <t>C00024 + C03803</t>
  </si>
  <si>
    <t>C00003 + C20743 + C00001</t>
  </si>
  <si>
    <t>C00003 + C01997 + C00001</t>
  </si>
  <si>
    <t>C00024 + C00263</t>
  </si>
  <si>
    <t>C00437 + C00025</t>
  </si>
  <si>
    <t>C00024 + C00009</t>
  </si>
  <si>
    <t>C00100 + C00009</t>
  </si>
  <si>
    <t xml:space="preserve">C00024 + C00083 + C00005 + C00080 </t>
  </si>
  <si>
    <t>C00024 + C00229</t>
  </si>
  <si>
    <t>C00083 + C00229</t>
  </si>
  <si>
    <t>C05764 + C00001</t>
  </si>
  <si>
    <t>C03939 + C01209</t>
  </si>
  <si>
    <t>C05745 + C00006</t>
  </si>
  <si>
    <t>C05223 + C00006</t>
  </si>
  <si>
    <t>C05223 + C01209</t>
  </si>
  <si>
    <t>C05745 + C01209</t>
  </si>
  <si>
    <t xml:space="preserve">C05749 + C00006 </t>
  </si>
  <si>
    <t>C05749 + C01209</t>
  </si>
  <si>
    <t>C05752 + C01209</t>
  </si>
  <si>
    <t>C05755 + C00006</t>
  </si>
  <si>
    <t>C05755 + C01209</t>
  </si>
  <si>
    <t>C05761 + C00006</t>
  </si>
  <si>
    <t>C05761 + C01209</t>
  </si>
  <si>
    <t>C05764 + C00006</t>
  </si>
  <si>
    <t>C00100 + C00024</t>
  </si>
  <si>
    <t>C00024 + C00136</t>
  </si>
  <si>
    <t>C03193 + C00045</t>
  </si>
  <si>
    <t>C00051 + C00151</t>
  </si>
  <si>
    <t>C03193 + C00245</t>
  </si>
  <si>
    <t>C02166 + C00045</t>
  </si>
  <si>
    <t>C03193 + C05689</t>
  </si>
  <si>
    <t>C02320 + C00001</t>
  </si>
  <si>
    <t>C02512 + C00025</t>
  </si>
  <si>
    <t>C05670 + C00025</t>
  </si>
  <si>
    <t>C02504 + C00010</t>
  </si>
  <si>
    <t>C00158 + C00010</t>
  </si>
  <si>
    <t>C02225 + C00010</t>
  </si>
  <si>
    <t>C00149 + C00010</t>
  </si>
  <si>
    <t>C03862 + C02189</t>
  </si>
  <si>
    <t>G10617 + C02189</t>
  </si>
  <si>
    <t>C03862 + C19803</t>
  </si>
  <si>
    <t>C00029 + C00092</t>
  </si>
  <si>
    <t>G10608 + C00092</t>
  </si>
  <si>
    <t>C00029 + C00668</t>
  </si>
  <si>
    <t>G10608 + C00668</t>
  </si>
  <si>
    <t>C00498 + C00718</t>
  </si>
  <si>
    <t>G10495 + G11109</t>
  </si>
  <si>
    <t>C04851 + C00043</t>
  </si>
  <si>
    <t>G10552 + G10610</t>
  </si>
  <si>
    <t>C05897 + C00043</t>
  </si>
  <si>
    <t>G10551 + G10610</t>
  </si>
  <si>
    <t>G10556 + G10610</t>
  </si>
  <si>
    <t>C00718 + C00031</t>
  </si>
  <si>
    <t>G10495 + C00031</t>
  </si>
  <si>
    <t>C00043 + C04006</t>
  </si>
  <si>
    <t>C15541 + C00197</t>
  </si>
  <si>
    <t>G13125 + G13119</t>
  </si>
  <si>
    <t>G13125 + G13120</t>
  </si>
  <si>
    <t>C00096 + C21606</t>
  </si>
  <si>
    <t>C00096 + C21609</t>
  </si>
  <si>
    <t>G10614 + G11291</t>
  </si>
  <si>
    <t>G10614 + G13107</t>
  </si>
  <si>
    <t>C01103 + C00013</t>
  </si>
  <si>
    <t>C03090 + C00013 + C00025</t>
  </si>
  <si>
    <t>C02739 + C00013</t>
  </si>
  <si>
    <t>C04302 + C00013</t>
  </si>
  <si>
    <t>C01185 + C00013 + C00011</t>
  </si>
  <si>
    <t>C01185 + C03114</t>
  </si>
  <si>
    <t>C01977 + C16675</t>
  </si>
  <si>
    <t>C02970 + C00119</t>
  </si>
  <si>
    <t>C00020 + C00013</t>
  </si>
  <si>
    <t>C04677 + C00013</t>
  </si>
  <si>
    <t>C00130 + C00013</t>
  </si>
  <si>
    <t>C00144 + C00013</t>
  </si>
  <si>
    <t>C00655 + C00013</t>
  </si>
  <si>
    <t>C02380 + C00119</t>
  </si>
  <si>
    <t>C16614 + C00119</t>
  </si>
  <si>
    <t>C07648 + C00119</t>
  </si>
  <si>
    <t>C00105 + C00013</t>
  </si>
  <si>
    <t>C20237 + C00718</t>
  </si>
  <si>
    <t>C05893 + C11826</t>
  </si>
  <si>
    <t>G10553 + G10554</t>
  </si>
  <si>
    <t>C05898 + C11827</t>
  </si>
  <si>
    <t>G10555 + G10557</t>
  </si>
  <si>
    <t>C00032 + C00001 + C00448</t>
  </si>
  <si>
    <t>C04807 + C00568</t>
  </si>
  <si>
    <t>C01300 + C00568</t>
  </si>
  <si>
    <t>C01137 + C00134</t>
  </si>
  <si>
    <t>C01137 + C01672</t>
  </si>
  <si>
    <t>C00002 + C00541 + C03024</t>
  </si>
  <si>
    <t>C00002 + C06504 + C03024</t>
  </si>
  <si>
    <t>C00002 + C00853</t>
  </si>
  <si>
    <t>C06505 + C00002</t>
  </si>
  <si>
    <t>C00002 + C05774</t>
  </si>
  <si>
    <t>C00074 + C03175</t>
  </si>
  <si>
    <t>C04752 + C04327</t>
  </si>
  <si>
    <t>C04752 + C20247</t>
  </si>
  <si>
    <t>C04752 + C20246</t>
  </si>
  <si>
    <t>C00979 + C00283</t>
  </si>
  <si>
    <t>C00979 + C01528</t>
  </si>
  <si>
    <t>C00979 + C00320 + C00342 + C00080</t>
  </si>
  <si>
    <t>C01005 + C00283</t>
  </si>
  <si>
    <t>C01118 + C00097</t>
  </si>
  <si>
    <t>C01118 + C00001</t>
  </si>
  <si>
    <t>C01118 + C00283</t>
  </si>
  <si>
    <t>C00542 + C00042</t>
  </si>
  <si>
    <t>C01077 + C00097</t>
  </si>
  <si>
    <t>C05702 + C05688</t>
  </si>
  <si>
    <t>C01077 + C05688</t>
  </si>
  <si>
    <t>C01118 + C05688</t>
  </si>
  <si>
    <t>C00074 + C00279 + C00001</t>
  </si>
  <si>
    <t>C00009 + C00013 + C00019</t>
  </si>
  <si>
    <t>C00002 + C05335 + C00001</t>
  </si>
  <si>
    <t>C00931 + C00001</t>
  </si>
  <si>
    <t>C00074 + C00043</t>
  </si>
  <si>
    <t>C03722 + C00001 + C00009</t>
  </si>
  <si>
    <t>C05847 + C03657</t>
  </si>
  <si>
    <t>C00235 + C17324</t>
  </si>
  <si>
    <t>C04732 + C15556</t>
  </si>
  <si>
    <t>C00437 + C00026</t>
  </si>
  <si>
    <t>C00064 + C00085</t>
  </si>
  <si>
    <t>C04421 + C00026</t>
  </si>
  <si>
    <t>C00334 + C00026</t>
  </si>
  <si>
    <t>C00099 + C00026</t>
  </si>
  <si>
    <t>C00123 + C00026</t>
  </si>
  <si>
    <t>C00183 + C00026</t>
  </si>
  <si>
    <t>C00407 + C00026</t>
  </si>
  <si>
    <t>C02356 + C00026</t>
  </si>
  <si>
    <t>C01005 + C00026</t>
  </si>
  <si>
    <t>C06055 + C00026</t>
  </si>
  <si>
    <t>C00019 + C01092</t>
  </si>
  <si>
    <t>C00251 + C00064</t>
  </si>
  <si>
    <t>C00251 + C00014</t>
  </si>
  <si>
    <t>C01100 + C00026</t>
  </si>
  <si>
    <t>C00079 + C00026</t>
  </si>
  <si>
    <t>C00082 + C00026</t>
  </si>
  <si>
    <t>C00002 + C00257</t>
  </si>
  <si>
    <t>C11435 + C00002</t>
  </si>
  <si>
    <t>C06508 + C00002</t>
  </si>
  <si>
    <t>C06508 + C00044</t>
  </si>
  <si>
    <t>C00002 + C00310</t>
  </si>
  <si>
    <t>C00002 + C00031</t>
  </si>
  <si>
    <t>C00002 + C00221</t>
  </si>
  <si>
    <t>C00002 + C00267</t>
  </si>
  <si>
    <t>C00089 + C04261</t>
  </si>
  <si>
    <t>C00002 + C00003</t>
  </si>
  <si>
    <t>C00002 + C00882</t>
  </si>
  <si>
    <t>C00002 + C00255</t>
  </si>
  <si>
    <t>C00002 + C00116</t>
  </si>
  <si>
    <t>C00002 + C00258</t>
  </si>
  <si>
    <t>C00002 + C00864</t>
  </si>
  <si>
    <t>C00002 + C00831</t>
  </si>
  <si>
    <t>C00002 + C04079</t>
  </si>
  <si>
    <t>C00002 + C00250</t>
  </si>
  <si>
    <t>C00002 + C00314</t>
  </si>
  <si>
    <t>C00002 + C00534</t>
  </si>
  <si>
    <t>C00002 + C00263</t>
  </si>
  <si>
    <t>C00002 + C00022</t>
  </si>
  <si>
    <t>C00044 + C00022</t>
  </si>
  <si>
    <t>C00063 + C00022</t>
  </si>
  <si>
    <t>C00075 + C00022</t>
  </si>
  <si>
    <t>C00081 + C00022</t>
  </si>
  <si>
    <t>C00131 + C00022</t>
  </si>
  <si>
    <t>C00286 + C00022</t>
  </si>
  <si>
    <t>C00201 + C00022</t>
  </si>
  <si>
    <t>C00002 + C01279</t>
  </si>
  <si>
    <t>C00002 + C04294</t>
  </si>
  <si>
    <t>C00002 + C01094</t>
  </si>
  <si>
    <t>C01097 + C00002</t>
  </si>
  <si>
    <t>C00404 + C00031</t>
  </si>
  <si>
    <t>C00404 + C00221</t>
  </si>
  <si>
    <t>C00404 + C00267</t>
  </si>
  <si>
    <t>C00002 + C00493</t>
  </si>
  <si>
    <t>C06892 + C00002</t>
  </si>
  <si>
    <t>C00002 + C00017</t>
  </si>
  <si>
    <t>C00002 + C01609</t>
  </si>
  <si>
    <t>C00002 + C00033</t>
  </si>
  <si>
    <t>C00002 + C00163</t>
  </si>
  <si>
    <t>C00002 + C00025</t>
  </si>
  <si>
    <t>C00002 + C00197</t>
  </si>
  <si>
    <t>C00002 + C00049</t>
  </si>
  <si>
    <t>C00002 + C00624</t>
  </si>
  <si>
    <t>C00074 + C00615</t>
  </si>
  <si>
    <t>C00002 + C00404</t>
  </si>
  <si>
    <t>C00002 + C01081</t>
  </si>
  <si>
    <t>C00002 + C00105</t>
  </si>
  <si>
    <t>C00002 + C00055</t>
  </si>
  <si>
    <t>C00002 + C00239</t>
  </si>
  <si>
    <t>C00002 + C00020</t>
  </si>
  <si>
    <t>C00002 + C00360</t>
  </si>
  <si>
    <t>C00068 + C00008</t>
  </si>
  <si>
    <t>C00002 + C00454</t>
  </si>
  <si>
    <t>C00002 + C00008</t>
  </si>
  <si>
    <t>C11038 + C00002</t>
  </si>
  <si>
    <t>C00002 + C00015</t>
  </si>
  <si>
    <t>C00002 + C00035</t>
  </si>
  <si>
    <t>C00002 + C00112</t>
  </si>
  <si>
    <t>C00002 + C00104</t>
  </si>
  <si>
    <t>C00002 + C00206</t>
  </si>
  <si>
    <t>C00002 + C00361</t>
  </si>
  <si>
    <t>C00002 + C00363</t>
  </si>
  <si>
    <t>C00002 + C00705</t>
  </si>
  <si>
    <t>C00002 + C01346</t>
  </si>
  <si>
    <t>C00002 + C01344</t>
  </si>
  <si>
    <t>C22442 + C00002</t>
  </si>
  <si>
    <t>C00002 + C21748</t>
  </si>
  <si>
    <t>C00002 + C21750</t>
  </si>
  <si>
    <t>C00002 + C04556</t>
  </si>
  <si>
    <t>C00002 + C00144</t>
  </si>
  <si>
    <t>C00002 + C00362</t>
  </si>
  <si>
    <t>C22441 + C00002</t>
  </si>
  <si>
    <t>C00002 + C00364</t>
  </si>
  <si>
    <t>C00002 + C00365</t>
  </si>
  <si>
    <t>C00002 + C00117</t>
  </si>
  <si>
    <t>C00002 + C01300</t>
  </si>
  <si>
    <t>C00002 + C00044</t>
  </si>
  <si>
    <t>C00044 + C00636</t>
  </si>
  <si>
    <t>C00002 + C01185</t>
  </si>
  <si>
    <t>C00002 + C00455</t>
  </si>
  <si>
    <t>C00002 + C00061</t>
  </si>
  <si>
    <t>C00075 + C04501</t>
  </si>
  <si>
    <t>C00459 + C00103</t>
  </si>
  <si>
    <t>C00002 + C00103</t>
  </si>
  <si>
    <t>C00002 + C01134</t>
  </si>
  <si>
    <t>C00002 + C00059</t>
  </si>
  <si>
    <t>C00002 + C05697</t>
  </si>
  <si>
    <t>C00063 + C00416</t>
  </si>
  <si>
    <t>C00002 + C01281</t>
  </si>
  <si>
    <t>C00066 + C00009</t>
  </si>
  <si>
    <t>C00075 + C05250</t>
  </si>
  <si>
    <t>C00201 + C00046</t>
  </si>
  <si>
    <t>C00002 + C00046</t>
  </si>
  <si>
    <t>C00044 + C00046</t>
  </si>
  <si>
    <t>C00063 + C00046</t>
  </si>
  <si>
    <t>C00075 + C00046</t>
  </si>
  <si>
    <t>C11434 + C00063</t>
  </si>
  <si>
    <t>C06509 + C00044</t>
  </si>
  <si>
    <t>C00677 + C00039</t>
  </si>
  <si>
    <t>C00131 + C00039</t>
  </si>
  <si>
    <t>C00286 + C00039</t>
  </si>
  <si>
    <t>C00458 + C00039</t>
  </si>
  <si>
    <t>C00459 + C00039</t>
  </si>
  <si>
    <t>C02211 + C00063 + C00002</t>
  </si>
  <si>
    <t>C02211 + C00063</t>
  </si>
  <si>
    <t>C19078 + C00063</t>
  </si>
  <si>
    <t>C19080 + C00002</t>
  </si>
  <si>
    <t>C18237 + C00044</t>
  </si>
  <si>
    <t>C00046 + C00009</t>
  </si>
  <si>
    <t>C00188 + C00002 + C00288 + C00080</t>
  </si>
  <si>
    <t>C01299 + C00009</t>
  </si>
  <si>
    <t>C00075 + C00103</t>
  </si>
  <si>
    <t>C04702 + C17556</t>
  </si>
  <si>
    <t>C04882 + C17556</t>
  </si>
  <si>
    <t>C00194 + C00144</t>
  </si>
  <si>
    <t>C06510 + C04778</t>
  </si>
  <si>
    <t>C00269 + C00093</t>
  </si>
  <si>
    <t>C00010 + C03688</t>
  </si>
  <si>
    <t>C11437 + C15809 + C15814</t>
  </si>
  <si>
    <t>C18239 + C15814</t>
  </si>
  <si>
    <t>C01909 + C17023 + C00019 + C05359 + C00080</t>
  </si>
  <si>
    <t>C15811 + C00097</t>
  </si>
  <si>
    <t>C00097 + C02743</t>
  </si>
  <si>
    <t>C15812 + C02743</t>
  </si>
  <si>
    <t>C16236 + C22154 + C00019 + C22150 + C00080</t>
  </si>
  <si>
    <t>C22160 + C22154 + C00019 + C22150 + C00080</t>
  </si>
  <si>
    <t>C22159 + C22154 + C00019 + C22150 + C00080</t>
  </si>
  <si>
    <t>C04432 + C17023 + C00019</t>
  </si>
  <si>
    <t>C20755 + C00019</t>
  </si>
  <si>
    <t>C03586 + C00001</t>
  </si>
  <si>
    <t>C03880 + C00001</t>
  </si>
  <si>
    <t>C01236 + C00001</t>
  </si>
  <si>
    <t>C01153 + C00001</t>
  </si>
  <si>
    <t>C01081 + C00001</t>
  </si>
  <si>
    <t>C03360 + C00001</t>
  </si>
  <si>
    <t>C00111 + C00001</t>
  </si>
  <si>
    <t>C04895 + C00001</t>
  </si>
  <si>
    <t>C00354 + C00001</t>
  </si>
  <si>
    <t>C05378 + C00001</t>
  </si>
  <si>
    <t>C00447 + C00001</t>
  </si>
  <si>
    <t>C00689 + C00001</t>
  </si>
  <si>
    <t>G09795 + C00001</t>
  </si>
  <si>
    <t>C01100 + C00001</t>
  </si>
  <si>
    <t>C00562 + C00001</t>
  </si>
  <si>
    <t>C00061 + C00001</t>
  </si>
  <si>
    <t>C00681 + C00001</t>
  </si>
  <si>
    <t>C01005 + C00001</t>
  </si>
  <si>
    <t>C02532 + C00001</t>
  </si>
  <si>
    <t>C01167 + C00001</t>
  </si>
  <si>
    <t>C02520 + C00001</t>
  </si>
  <si>
    <t>C00020 + C00001</t>
  </si>
  <si>
    <t>C00055 + C00001</t>
  </si>
  <si>
    <t>C00105 + C00001</t>
  </si>
  <si>
    <t>C00130 + C00001</t>
  </si>
  <si>
    <t>C00144 + C00001</t>
  </si>
  <si>
    <t>C00455 + C00001</t>
  </si>
  <si>
    <t>C00655 + C00001</t>
  </si>
  <si>
    <t>C01185 + C00001</t>
  </si>
  <si>
    <t>C00364 + C00001</t>
  </si>
  <si>
    <t>C00239 + C00001</t>
  </si>
  <si>
    <t>C00362 + C00001</t>
  </si>
  <si>
    <t>C00360 + C00001</t>
  </si>
  <si>
    <t>C00365 + C00001</t>
  </si>
  <si>
    <t>C06196 + C00001</t>
  </si>
  <si>
    <t>C00054 + C00001</t>
  </si>
  <si>
    <t>C00053 + C00001</t>
  </si>
  <si>
    <t>C00021 + C00001</t>
  </si>
  <si>
    <t>C06400 + C00001</t>
  </si>
  <si>
    <t>C04517 + C00001</t>
  </si>
  <si>
    <t>C04635 + C00001</t>
  </si>
  <si>
    <t>C01419 + C00001</t>
  </si>
  <si>
    <t>C05729 + C00001</t>
  </si>
  <si>
    <t>C00234 + C00001</t>
  </si>
  <si>
    <t>C19784 + C00001</t>
  </si>
  <si>
    <t>C21179 + C00001</t>
  </si>
  <si>
    <t>C21178 + C00001</t>
  </si>
  <si>
    <t>C04421 + C00001</t>
  </si>
  <si>
    <t>C00819 + C00001</t>
  </si>
  <si>
    <t>C00241 + C00001</t>
  </si>
  <si>
    <t>C00357 + C00001</t>
  </si>
  <si>
    <t>C00014 + C00288</t>
  </si>
  <si>
    <t>C00086 + C00001</t>
  </si>
  <si>
    <t>C11439 + C00001</t>
  </si>
  <si>
    <t>C04258 + C00001</t>
  </si>
  <si>
    <t>C00337 + C00001</t>
  </si>
  <si>
    <t>C00002 + C01879 + C00001</t>
  </si>
  <si>
    <t>C00458 + C00001</t>
  </si>
  <si>
    <t>C00044 + C00001</t>
  </si>
  <si>
    <t>C05922 + C00001</t>
  </si>
  <si>
    <t>C02741 + C00001</t>
  </si>
  <si>
    <t>C01304 + C00001</t>
  </si>
  <si>
    <t>C17324 + C00001</t>
  </si>
  <si>
    <t>C00352 + C00001</t>
  </si>
  <si>
    <t>C00013 + C00001</t>
  </si>
  <si>
    <t>C00460 + C00001</t>
  </si>
  <si>
    <t>C21751 + C00001</t>
  </si>
  <si>
    <t>C00536 + C00001</t>
  </si>
  <si>
    <t>C04574 + C00001</t>
  </si>
  <si>
    <t>C02739 + C00001</t>
  </si>
  <si>
    <t>C00081 + C00001</t>
  </si>
  <si>
    <t>C00700 + C00001</t>
  </si>
  <si>
    <t>C01345 + C00001</t>
  </si>
  <si>
    <t xml:space="preserve">C16617 + C00001 </t>
  </si>
  <si>
    <t>C02133 + C00001</t>
  </si>
  <si>
    <t>C00227 + C00001</t>
  </si>
  <si>
    <t>C06206 + C00001</t>
  </si>
  <si>
    <t>C00236 + C00001</t>
  </si>
  <si>
    <t>C00201 + C00001</t>
  </si>
  <si>
    <t>C00002 + C00001</t>
  </si>
  <si>
    <t>C00063 + C00001</t>
  </si>
  <si>
    <t>C00075 + C00001</t>
  </si>
  <si>
    <t>C00459 + C00001</t>
  </si>
  <si>
    <t>C00003 + C00001</t>
  </si>
  <si>
    <t>C00016 + C00001</t>
  </si>
  <si>
    <t>C00029 + C00001</t>
  </si>
  <si>
    <t>C00857 + C00001</t>
  </si>
  <si>
    <t>C00882 + C00001</t>
  </si>
  <si>
    <t>C04287 + C00001</t>
  </si>
  <si>
    <t>C00009 + C00036</t>
  </si>
  <si>
    <t>C00044 + C00036</t>
  </si>
  <si>
    <t>C03373 + C00019</t>
  </si>
  <si>
    <t>C00044 + C00019 + C00030</t>
  </si>
  <si>
    <t>C02730 + C00001</t>
  </si>
  <si>
    <t>C00065 + C00463</t>
  </si>
  <si>
    <t>C00065 + C03506</t>
  </si>
  <si>
    <t>C01102 + C00001</t>
  </si>
  <si>
    <t>C06055 + C00001</t>
  </si>
  <si>
    <t>C20904 + C00001</t>
  </si>
  <si>
    <t>C20905 + C00001</t>
  </si>
  <si>
    <t>C04916 + C00064</t>
  </si>
  <si>
    <t>C04916 + C00014</t>
  </si>
  <si>
    <t>C00117 + C00118 + C00014</t>
  </si>
  <si>
    <t>C00117 + C00118 + C00064</t>
  </si>
  <si>
    <t>C00118 + C00199 + C00064</t>
  </si>
  <si>
    <t>C00441 + C00022</t>
  </si>
  <si>
    <t>C02882 + C00001</t>
  </si>
  <si>
    <t>C02291 + C00001</t>
  </si>
  <si>
    <t>C00491 + C00001</t>
  </si>
  <si>
    <t>C02749 + C00001</t>
  </si>
  <si>
    <t>C00097 + C00001</t>
  </si>
  <si>
    <t>C05699 + C00001</t>
  </si>
  <si>
    <t>C05689 + C00001</t>
  </si>
  <si>
    <t>C21310 + C00001</t>
  </si>
  <si>
    <t>C02191 + C14818</t>
  </si>
  <si>
    <t>C01159 + C00615</t>
  </si>
  <si>
    <t>C00002 + C00082 + C00787</t>
  </si>
  <si>
    <t>C00002 + C00073 + C01647</t>
  </si>
  <si>
    <t>C00002 + C05335 + C01647</t>
  </si>
  <si>
    <t>C00002 + C00065 + C01650</t>
  </si>
  <si>
    <t>C00002 + C00065 + C16636</t>
  </si>
  <si>
    <t>C01638 + C00049 + C00002</t>
  </si>
  <si>
    <t>C00002 + C00037 + C01642</t>
  </si>
  <si>
    <t>C00002 + C00148 + C01649</t>
  </si>
  <si>
    <t>C00002 + C00097 + C01639</t>
  </si>
  <si>
    <t>C01641 + C00025 + C00002</t>
  </si>
  <si>
    <t>C00002 + C00062 + C01636</t>
  </si>
  <si>
    <t>C00002 + C00078 + C01652</t>
  </si>
  <si>
    <t>C00002 + C00079 + C01648</t>
  </si>
  <si>
    <t>C00002 + C00135 + C01643</t>
  </si>
  <si>
    <t>C00002 + C00188 + C01651</t>
  </si>
  <si>
    <t>C00002 + C00123 + C01645</t>
  </si>
  <si>
    <t>C00002 + C00407 + C01644</t>
  </si>
  <si>
    <t>C00002 + C00047 + C01646</t>
  </si>
  <si>
    <t>C00002 + C00041 + C01635</t>
  </si>
  <si>
    <t>C00002 + C00183 + C01653</t>
  </si>
  <si>
    <t>C00002 + C02730 + C00010</t>
  </si>
  <si>
    <t>C00002 + C00042 + C00010</t>
  </si>
  <si>
    <t>C00002 + C00490 + C00010</t>
  </si>
  <si>
    <t>C19702 + C00097 + C00002</t>
  </si>
  <si>
    <t>C00002 + C21177 + C02188</t>
  </si>
  <si>
    <t>C00002 + C00025 + C00014</t>
  </si>
  <si>
    <t>C00002 + C00857 + C00014</t>
  </si>
  <si>
    <t>C00002 + C00522 + C00099</t>
  </si>
  <si>
    <t>C00002 + C05892 + C00993</t>
  </si>
  <si>
    <t>C00002 + C04877 + C00993</t>
  </si>
  <si>
    <t>C00002 + C00921 + C00025</t>
  </si>
  <si>
    <t>C00002 + C00234 + C00025</t>
  </si>
  <si>
    <t>C00002 + C00692 + C00680</t>
  </si>
  <si>
    <t>C00002 + C03541 + C00025</t>
  </si>
  <si>
    <t>C00002 + C00101 + C00025</t>
  </si>
  <si>
    <t>C00002 + C05928 + C00025</t>
  </si>
  <si>
    <t>C00002 + C00025 + C00097</t>
  </si>
  <si>
    <t>C00063 + C03492 + C00097</t>
  </si>
  <si>
    <t>C00002 + C04751 + C00049</t>
  </si>
  <si>
    <t>C00002 + C01050 + C00041</t>
  </si>
  <si>
    <t>C00002 + C01212 + C00217</t>
  </si>
  <si>
    <t>C00002 + C04640</t>
  </si>
  <si>
    <t>C00002 + C03479 + C00080</t>
  </si>
  <si>
    <t>C00002 + C01037 + C00011</t>
  </si>
  <si>
    <t>C01037 + C00011</t>
  </si>
  <si>
    <t>C22458 + C00002</t>
  </si>
  <si>
    <t>C00002 + C03090 + C00037</t>
  </si>
  <si>
    <t>C00002 + C00120 + C04735</t>
  </si>
  <si>
    <t>C00002 + C00120</t>
  </si>
  <si>
    <t>C05921 + C06249</t>
  </si>
  <si>
    <t>C00002 + C03373 + C00288</t>
  </si>
  <si>
    <t>C19722 + C00047 + C00002</t>
  </si>
  <si>
    <t>C00002 + C00075 + C00014</t>
  </si>
  <si>
    <t>C00002 + C00075 + C00064 + C00001</t>
  </si>
  <si>
    <t>C00044 + C00130 + C00049</t>
  </si>
  <si>
    <t>C00002 + C00327 + C00049</t>
  </si>
  <si>
    <t>C00002 + C00655 + C00014</t>
  </si>
  <si>
    <t>C00002 + C00655 + C00064 + C00001</t>
  </si>
  <si>
    <t>C16618 + C00002 + C00064 + C00001</t>
  </si>
  <si>
    <t>C00002 + C04376 + C00064 + C00001</t>
  </si>
  <si>
    <t>C00002 + C00049 + C00014</t>
  </si>
  <si>
    <t>C00002 + C00049 + C00064 + C00001</t>
  </si>
  <si>
    <t>C00002 + C00064 + C00288 + C00001</t>
  </si>
  <si>
    <t>C00002 + C01563</t>
  </si>
  <si>
    <t>C00002 + C00288</t>
  </si>
  <si>
    <t>C00014 + C20969</t>
  </si>
  <si>
    <t>C00002 + C00288 + C00014</t>
  </si>
  <si>
    <t>C00002 + C00022 + C00288</t>
  </si>
  <si>
    <t>C00003 + C00039 + C02128</t>
  </si>
  <si>
    <t>C15603 + C00125</t>
  </si>
  <si>
    <t>C00390 + C00125</t>
  </si>
  <si>
    <t>C00071 + C00004 + C00080</t>
  </si>
  <si>
    <t>C00084 + C00004 + C00080</t>
  </si>
  <si>
    <t>C00376 + C00004 + C00080</t>
  </si>
  <si>
    <t>C01545 + C00004 + C00080</t>
  </si>
  <si>
    <t>C05445 + C00004 + C00080</t>
  </si>
  <si>
    <t>C05577 + C00004 + C00080</t>
  </si>
  <si>
    <t>C06613 + C00004 + C00080</t>
  </si>
  <si>
    <t>C16348 + C00004 + C00080</t>
  </si>
  <si>
    <t>C14090 + C00004 + C00080</t>
  </si>
  <si>
    <t>C14099 + C00004 + C00080</t>
  </si>
  <si>
    <t>C16551 + C00003</t>
  </si>
  <si>
    <t>C16587 + C00004 + C00080</t>
  </si>
  <si>
    <t>C00576 + C00004 + C00080</t>
  </si>
  <si>
    <t>C00576 + C00005 + C00080</t>
  </si>
  <si>
    <t>C08492 + C00003</t>
  </si>
  <si>
    <t>C01450 + C00004 + C00080</t>
  </si>
  <si>
    <t>C16596 + C00004 + C00080</t>
  </si>
  <si>
    <t>C00772 + C00004 + C00080</t>
  </si>
  <si>
    <t>C07490 + C00003 + C00001</t>
  </si>
  <si>
    <t>C00685 + C00005 + C00080</t>
  </si>
  <si>
    <t>C05744 + C00005 + C00080</t>
  </si>
  <si>
    <t>C05753 + C00005</t>
  </si>
  <si>
    <t>C05750 + C00005 + C00080</t>
  </si>
  <si>
    <t>C05762 + C00005 + C00080</t>
  </si>
  <si>
    <t>C05746 + C00005 + C00080</t>
  </si>
  <si>
    <t>C05756 + C00005 + C00080</t>
  </si>
  <si>
    <t>C16220 + C00006</t>
  </si>
  <si>
    <t>C20373 + C00006</t>
  </si>
  <si>
    <t>C20377 + C00006</t>
  </si>
  <si>
    <t>C00966 + C00005 + C00080</t>
  </si>
  <si>
    <t>C00691 + C00004 + C00080</t>
  </si>
  <si>
    <t>C01268 + C00005 + C00080</t>
  </si>
  <si>
    <t>C00655 + C00004 + C00080</t>
  </si>
  <si>
    <t>C16618 + C00004 + C00080</t>
  </si>
  <si>
    <t>C00135 + C00004 + C00080</t>
  </si>
  <si>
    <t>C01929 + C00004 + C00080</t>
  </si>
  <si>
    <t>C02637 + C00005 + C00080</t>
  </si>
  <si>
    <t>C22438 + C00005 + C00080</t>
  </si>
  <si>
    <t>C11437 + C00005 + C00080</t>
  </si>
  <si>
    <t>C00022 + C00004 + C00080</t>
  </si>
  <si>
    <t>C00109 + C00004 + C00080</t>
  </si>
  <si>
    <t>C00957 + C00004 + C00080</t>
  </si>
  <si>
    <t>C00222 + C00005 + C00080</t>
  </si>
  <si>
    <t>C00441 + C00004 + C00080</t>
  </si>
  <si>
    <t>C00441 + C00005 + C00080</t>
  </si>
  <si>
    <t>C06718 + C00004 + C00080</t>
  </si>
  <si>
    <t>C00058 + C06717 + C00004 + C00080</t>
  </si>
  <si>
    <t>C20369 + C00004 + C00080</t>
  </si>
  <si>
    <t>C00036 + C00004 + C00080</t>
  </si>
  <si>
    <t>C01244 + C00004 + C00080</t>
  </si>
  <si>
    <t>C05528 + C00004 + C00080</t>
  </si>
  <si>
    <t>C00022 + C00011 + C00005 + C00080</t>
  </si>
  <si>
    <t>C00022 + C00011</t>
  </si>
  <si>
    <t>C00026 + C00011 + C00005 + C00080</t>
  </si>
  <si>
    <t>C00026 + C00011</t>
  </si>
  <si>
    <t>C05379 + C00005 + C00080</t>
  </si>
  <si>
    <t>C00199 + C00011 + C00005 + C00080</t>
  </si>
  <si>
    <t>C01236 + C00005 + C00080</t>
  </si>
  <si>
    <t>C04236 + C00004 + C00080</t>
  </si>
  <si>
    <t>C00233 + C00011 + C00004 + C00080</t>
  </si>
  <si>
    <t>C06032 + C00003</t>
  </si>
  <si>
    <t>C06010 + C00005 + C00080</t>
  </si>
  <si>
    <t>C04039 + C00006</t>
  </si>
  <si>
    <t>C04181 + C00005 + C00080</t>
  </si>
  <si>
    <t>C14463 + C00005 + C00080</t>
  </si>
  <si>
    <t>C00111 + C00004 + C00080</t>
  </si>
  <si>
    <t>C00111 + C00005 + C00080</t>
  </si>
  <si>
    <t>C03232 + C00004 + C00080</t>
  </si>
  <si>
    <t>C00026 + C00004 + C00080</t>
  </si>
  <si>
    <t>C00036 + C15603</t>
  </si>
  <si>
    <t>C00036 + C00027</t>
  </si>
  <si>
    <t>C00036 + C01352</t>
  </si>
  <si>
    <t>C00343 + C00001 + C01335</t>
  </si>
  <si>
    <t>C00007 + C00001</t>
  </si>
  <si>
    <t>C00067 + C00001</t>
  </si>
  <si>
    <t>C05640 + C00704 + C00027 + C00080</t>
  </si>
  <si>
    <t>C03671 + C00001</t>
  </si>
  <si>
    <t>C00084 + C00088 + C00061 + C00001</t>
  </si>
  <si>
    <t>C06321 + C00006</t>
  </si>
  <si>
    <t>C16482 + C00003</t>
  </si>
  <si>
    <t>C16481 + C00003</t>
  </si>
  <si>
    <t>C16480 + C00003</t>
  </si>
  <si>
    <t>C04634 + C00003</t>
  </si>
  <si>
    <t>C04044 + C00001 + C00003</t>
  </si>
  <si>
    <t>C12623 + C00001 + C00003</t>
  </si>
  <si>
    <t>C00628 + C00003 + C00001</t>
  </si>
  <si>
    <t>C00500 + C00237 + C14818 + C03161 + C00001</t>
  </si>
  <si>
    <t>C00027 + C00007</t>
  </si>
  <si>
    <t>C20258 + C00004 + C00080</t>
  </si>
  <si>
    <t>C20258 + C00005 + C00080</t>
  </si>
  <si>
    <t>C03723 + C00342</t>
  </si>
  <si>
    <t>C00342 + C00008</t>
  </si>
  <si>
    <t>C00342 + C00015</t>
  </si>
  <si>
    <t>C00035 + C00342</t>
  </si>
  <si>
    <t>C00342 + C00112</t>
  </si>
  <si>
    <t>C03723 + C16663</t>
  </si>
  <si>
    <t>C03723 + C02090</t>
  </si>
  <si>
    <t>C21748 + C00342</t>
  </si>
  <si>
    <t>C11811 + C00001 + C00139</t>
  </si>
  <si>
    <t>C00129 + C00139 + C00001</t>
  </si>
  <si>
    <t>C15670 + C00030</t>
  </si>
  <si>
    <t>C22329 + C00030</t>
  </si>
  <si>
    <t>C15670 + C00001</t>
  </si>
  <si>
    <t>C03082 + C00005 + C00080</t>
  </si>
  <si>
    <t>C00236 + C00004 + C00080</t>
  </si>
  <si>
    <t>C04133 + C00005 + C00080</t>
  </si>
  <si>
    <t>C03287 + C00005 + C00080</t>
  </si>
  <si>
    <t>C00156 + C00004 + C00080</t>
  </si>
  <si>
    <t>C00587 + C00004 + C00080</t>
  </si>
  <si>
    <t>C06672 + C00004 + C00080</t>
  </si>
  <si>
    <t>C03741 + C01641 + C00006</t>
  </si>
  <si>
    <t>C00042 + C00005 + C00080</t>
  </si>
  <si>
    <t>C00156 + C00005 + C00080</t>
  </si>
  <si>
    <t>C21167 + C00005 + C00080</t>
  </si>
  <si>
    <t>C16255 + C00011</t>
  </si>
  <si>
    <t>C05125 + C00011</t>
  </si>
  <si>
    <t>C16255 + C00068</t>
  </si>
  <si>
    <t>C06697 + C07293</t>
  </si>
  <si>
    <t>C06697 + C00343 + C00001</t>
  </si>
  <si>
    <t>C01179 + C00011 + C00004 + C00080</t>
  </si>
  <si>
    <t>C00090 + C00004 + C00011 + C00080</t>
  </si>
  <si>
    <t>C16472 + C00004 + C00011 + C00080</t>
  </si>
  <si>
    <t>C16473 + C00004 + C00011 + C00080</t>
  </si>
  <si>
    <t>C05427 + C00006</t>
  </si>
  <si>
    <t>C04631 + C00005 + C00080</t>
  </si>
  <si>
    <t>C04631 + C00004 + C00080</t>
  </si>
  <si>
    <t>C02191 + C00027</t>
  </si>
  <si>
    <t>C00295 + C15603</t>
  </si>
  <si>
    <t>C00032 + C00011 + C00001</t>
  </si>
  <si>
    <t>C22173 + C00011 + C00001</t>
  </si>
  <si>
    <t>C00064 + C00026 + C00005 + C00080</t>
  </si>
  <si>
    <t>C00026 + C00014 + C00005 + C00080</t>
  </si>
  <si>
    <t>C00025 + C00014</t>
  </si>
  <si>
    <t>C03871 + C00014 + C00005 + C00080</t>
  </si>
  <si>
    <t>C00161 + C00014 + C00004 + C00080</t>
  </si>
  <si>
    <t>C00161 + C00014 + C00005 + C00080</t>
  </si>
  <si>
    <t>C00048 + C00014 + C00027</t>
  </si>
  <si>
    <t>C15809 + C00027</t>
  </si>
  <si>
    <t>C00048 + C00014</t>
  </si>
  <si>
    <t>C00022 + C00014 + C00027</t>
  </si>
  <si>
    <t>C00048 + C00218 + C00027</t>
  </si>
  <si>
    <t>C00048 + C00797 + C00027</t>
  </si>
  <si>
    <t>C03912 + C00004 + C00080</t>
  </si>
  <si>
    <t>C03912 + C00005 + C00080</t>
  </si>
  <si>
    <t>C04281 + C00004 + C00080</t>
  </si>
  <si>
    <t>C04281 + C00005 + C00080</t>
  </si>
  <si>
    <t>C00143 + C00005 + C00080</t>
  </si>
  <si>
    <t>C00143 + C00004 + C00080</t>
  </si>
  <si>
    <t>C00415 + C00005 + C00080</t>
  </si>
  <si>
    <t>C00415 + C00004 + C00080</t>
  </si>
  <si>
    <t>C00504 + C00004 + C00080</t>
  </si>
  <si>
    <t>C00504 + C00005 + C00080</t>
  </si>
  <si>
    <t>C02953 + C00005 + C00080</t>
  </si>
  <si>
    <t>C00003 + C15603</t>
  </si>
  <si>
    <t>C05819 + C00003</t>
  </si>
  <si>
    <t>C05850 + C00003</t>
  </si>
  <si>
    <t>C03313 + C00003</t>
  </si>
  <si>
    <t>C00006 + C15603</t>
  </si>
  <si>
    <t>C05309 + C00006</t>
  </si>
  <si>
    <t>C11502 + C00004 + C00080</t>
  </si>
  <si>
    <t>C11502 + C00005 + C00080</t>
  </si>
  <si>
    <t>G11175 + C00004 + C00080</t>
  </si>
  <si>
    <t>G11175 + C00005 + C00080</t>
  </si>
  <si>
    <t>C16237 + C00004 + C00080</t>
  </si>
  <si>
    <t>C02051 + C00004 + C00080</t>
  </si>
  <si>
    <t>C15972 + C00004 + C00080</t>
  </si>
  <si>
    <t>C00248 + C00004 + C00080</t>
  </si>
  <si>
    <t>C00343 + C00005 + C00080</t>
  </si>
  <si>
    <t>C05526 + C00005</t>
  </si>
  <si>
    <t>C05684 + C00005 + C00080</t>
  </si>
  <si>
    <t>C00006 + C00001 + C05703</t>
  </si>
  <si>
    <t>C03895 + C00342</t>
  </si>
  <si>
    <t>C15999 + C00342</t>
  </si>
  <si>
    <t>C15653 + C00342</t>
  </si>
  <si>
    <t>C00343 + C00094 + C00054</t>
  </si>
  <si>
    <t>C00094 + C00138 + C00080</t>
  </si>
  <si>
    <t>C05684 + C00138 + C00080</t>
  </si>
  <si>
    <t>C00021 + C02463</t>
  </si>
  <si>
    <t>C00021 + C15527</t>
  </si>
  <si>
    <t>C00021 + C05778</t>
  </si>
  <si>
    <t>C00101 + C00073</t>
  </si>
  <si>
    <t>C05335 + C04144</t>
  </si>
  <si>
    <t>C04144 + C00073</t>
  </si>
  <si>
    <t>C00101 + C00364 + C00006</t>
  </si>
  <si>
    <t>C05819 + C00021</t>
  </si>
  <si>
    <t>C00021 + C04153</t>
  </si>
  <si>
    <t>C00021 + C20796</t>
  </si>
  <si>
    <t>C00021 + C04157</t>
  </si>
  <si>
    <t>C20858 + C00021</t>
  </si>
  <si>
    <t>C00021 + C04160</t>
  </si>
  <si>
    <t>C00021 + C02967</t>
  </si>
  <si>
    <t>C00415 + C00364</t>
  </si>
  <si>
    <t>C03800 + C11475</t>
  </si>
  <si>
    <t>C00101 + C00065</t>
  </si>
  <si>
    <t>C04377 + C00037 + C00001</t>
  </si>
  <si>
    <t>C00101 + C00966</t>
  </si>
  <si>
    <t>C00141 + C00067</t>
  </si>
  <si>
    <t>C00101 + C04376</t>
  </si>
  <si>
    <t>C04376 + C00101</t>
  </si>
  <si>
    <t>C00101 + C04734</t>
  </si>
  <si>
    <t>C00101 + C03294</t>
  </si>
  <si>
    <t>C00083 + C06250</t>
  </si>
  <si>
    <t>C00009 + C00438</t>
  </si>
  <si>
    <t>C00009 + C00327</t>
  </si>
  <si>
    <t>C00117 + C00231</t>
  </si>
  <si>
    <t>C00279 + C00231</t>
  </si>
  <si>
    <t>C12215 + C05382</t>
  </si>
  <si>
    <t>C13378 + C00118</t>
  </si>
  <si>
    <t>C13378 + C00117</t>
  </si>
  <si>
    <t>C00279 + C00085</t>
  </si>
  <si>
    <t>C00279 + C05345</t>
  </si>
  <si>
    <t>C05125 + C00022</t>
  </si>
  <si>
    <t>C06006 + C00068</t>
  </si>
  <si>
    <t>C06006 + C00011</t>
  </si>
  <si>
    <t>C11437 + C00011</t>
  </si>
  <si>
    <t>C16519 + C00011</t>
  </si>
  <si>
    <t>C00010 + C00624</t>
  </si>
  <si>
    <t>C00010 + C04462</t>
  </si>
  <si>
    <t>C16236 + C00229</t>
  </si>
  <si>
    <t>C22160 + C00229</t>
  </si>
  <si>
    <t>C22159 + C00229</t>
  </si>
  <si>
    <t>C16237 + C00229</t>
  </si>
  <si>
    <t>C06717 + C00010</t>
  </si>
  <si>
    <t>C00020 + C20751</t>
  </si>
  <si>
    <t>C00010 + C04341</t>
  </si>
  <si>
    <t>C00153 + C02188 + C20658 + C00080</t>
  </si>
  <si>
    <t>C00153 + C02415 + C20658 + C00080</t>
  </si>
  <si>
    <t>C00010 + C01077</t>
  </si>
  <si>
    <t>C00077 + C00624</t>
  </si>
  <si>
    <t>C00010 + C00227</t>
  </si>
  <si>
    <t>C02876 + C00010</t>
  </si>
  <si>
    <t>C00638 + C00011 + C00006 + C00010 + C00001</t>
  </si>
  <si>
    <t>C00010 + C03939</t>
  </si>
  <si>
    <t>C00010 + C01209</t>
  </si>
  <si>
    <t>C00229 + C00249</t>
  </si>
  <si>
    <t>C05744 + C00011 + C00229</t>
  </si>
  <si>
    <t>C04246 + C00001</t>
  </si>
  <si>
    <t>C04246 + C00005 + C00080</t>
  </si>
  <si>
    <t>C05754 + C00001</t>
  </si>
  <si>
    <t>C05751 + C00001</t>
  </si>
  <si>
    <t>C05763 + C00001</t>
  </si>
  <si>
    <t>C05759 + C00005 + C00080</t>
  </si>
  <si>
    <t>C05760 + C00001</t>
  </si>
  <si>
    <t>C05758 + C00005 + C00080</t>
  </si>
  <si>
    <t>C05759 + C00011 + C00229</t>
  </si>
  <si>
    <t>C05746 + C00011 + C00229</t>
  </si>
  <si>
    <t>C05748 + C00001</t>
  </si>
  <si>
    <t>C05748 + C00005 + C00080</t>
  </si>
  <si>
    <t>C05750 + C00011 + C00229</t>
  </si>
  <si>
    <t>C05751 + C00005 + C00080</t>
  </si>
  <si>
    <t>C05753 + C00011 + C00229</t>
  </si>
  <si>
    <t>C05754 + C00005 + C00080</t>
  </si>
  <si>
    <t>C05756 + C00011 + C00229</t>
  </si>
  <si>
    <t>C05758 + C00001</t>
  </si>
  <si>
    <t>C05760 + C00005 + C00080</t>
  </si>
  <si>
    <t>C05762 + C00011 + C00229</t>
  </si>
  <si>
    <t>C05763 + C00005 + C00080</t>
  </si>
  <si>
    <t>C00010 + C00332</t>
  </si>
  <si>
    <t>C00010 + C03344</t>
  </si>
  <si>
    <t>C00010 + C05269</t>
  </si>
  <si>
    <t>C00012 + C03363</t>
  </si>
  <si>
    <t>C01419 + C03740</t>
  </si>
  <si>
    <t>C00012 + C05844</t>
  </si>
  <si>
    <t>C05951 + C03363</t>
  </si>
  <si>
    <t>C00012 + C05695</t>
  </si>
  <si>
    <t>C05729 + C00025</t>
  </si>
  <si>
    <t>C05711 + C00001</t>
  </si>
  <si>
    <t>C06114 + C00001</t>
  </si>
  <si>
    <t>C00024 + C00141 + C00001</t>
  </si>
  <si>
    <t>C00024 + C00001 + C00036</t>
  </si>
  <si>
    <t>C00100 + C00036 + C00001</t>
  </si>
  <si>
    <t>C00024 + C00001 + C00048</t>
  </si>
  <si>
    <t>C00110 + C02863</t>
  </si>
  <si>
    <t>G10622 + G13027</t>
  </si>
  <si>
    <t>C00110 + C20722</t>
  </si>
  <si>
    <t>C00015 + C00689</t>
  </si>
  <si>
    <t>G10619 + G09795</t>
  </si>
  <si>
    <t>C00008 + C00718</t>
  </si>
  <si>
    <t>G10495 + G11113</t>
  </si>
  <si>
    <t>C05893 + C00015</t>
  </si>
  <si>
    <t>G10553 + G10619</t>
  </si>
  <si>
    <t>C05898 + C00015</t>
  </si>
  <si>
    <t>G10550 + G10619</t>
  </si>
  <si>
    <t>G10555 + G10619</t>
  </si>
  <si>
    <t>C19761 + C00015</t>
  </si>
  <si>
    <t>C00454 + C19791</t>
  </si>
  <si>
    <t>G10619 + G13120</t>
  </si>
  <si>
    <t>G10619 + G13121</t>
  </si>
  <si>
    <t>C00035 + C21607</t>
  </si>
  <si>
    <t>C00035 + C21608</t>
  </si>
  <si>
    <t>G10620 + G13102</t>
  </si>
  <si>
    <t>G10620 + G13108</t>
  </si>
  <si>
    <t>C00295 + C00119</t>
  </si>
  <si>
    <t>C16634 + C00013</t>
  </si>
  <si>
    <t>C00064 + C00119 + C00001</t>
  </si>
  <si>
    <t>C00002 + C00119</t>
  </si>
  <si>
    <t>C00108 + C00119</t>
  </si>
  <si>
    <t>C03722 + C00119</t>
  </si>
  <si>
    <t>C00253 + C04778 + C00080</t>
  </si>
  <si>
    <t>C20446 + C00242</t>
  </si>
  <si>
    <t>C20352 + C00013</t>
  </si>
  <si>
    <t>C00147 + C00119</t>
  </si>
  <si>
    <t>C04051 + C00119</t>
  </si>
  <si>
    <t>C00262 + C00119</t>
  </si>
  <si>
    <t>C00242 + C00119</t>
  </si>
  <si>
    <t>C00385 + C00119</t>
  </si>
  <si>
    <t>C04646 + C00013</t>
  </si>
  <si>
    <t>C16615 + C00013</t>
  </si>
  <si>
    <t>C16619 + C00013</t>
  </si>
  <si>
    <t>C00106 + C00119</t>
  </si>
  <si>
    <t>C00009 + C00718</t>
  </si>
  <si>
    <t>C04574 + C11826</t>
  </si>
  <si>
    <t>C04574 + G10554</t>
  </si>
  <si>
    <t>C04574 + C11827</t>
  </si>
  <si>
    <t>C04574 + G10557</t>
  </si>
  <si>
    <t>C15672 + C00013</t>
  </si>
  <si>
    <t>C00013 + C00921</t>
  </si>
  <si>
    <t>C00921 + C00001</t>
  </si>
  <si>
    <t>C00170 + C00315</t>
  </si>
  <si>
    <t>C00170 + C16565</t>
  </si>
  <si>
    <t>C00536 + C00194 + C03161</t>
  </si>
  <si>
    <t>C00536 + C06506 + C03161</t>
  </si>
  <si>
    <t xml:space="preserve">C00536 + C00194 </t>
  </si>
  <si>
    <t>C06506 + C00536</t>
  </si>
  <si>
    <t>C00536 + C06508</t>
  </si>
  <si>
    <t>C00009 + C01269</t>
  </si>
  <si>
    <t>C00013 + C01081</t>
  </si>
  <si>
    <t>C01081 + C00013 + C00011</t>
  </si>
  <si>
    <t>C00013 + C01081 + C00011</t>
  </si>
  <si>
    <t>C00097 + C00033</t>
  </si>
  <si>
    <t>C05688 + C00033</t>
  </si>
  <si>
    <t>C00097 + C00094 + C00343 + C00033</t>
  </si>
  <si>
    <t>C00097 + C00009</t>
  </si>
  <si>
    <t>C02291 + C00042</t>
  </si>
  <si>
    <t>C00109 + C00042 + C00014</t>
  </si>
  <si>
    <t>C00155 + C00042</t>
  </si>
  <si>
    <t>C02291 + C00033</t>
  </si>
  <si>
    <t>C05699 + C00009</t>
  </si>
  <si>
    <t>C05699 + C00033</t>
  </si>
  <si>
    <t>C05699 + C00042</t>
  </si>
  <si>
    <t>C04691 + C00009</t>
  </si>
  <si>
    <t>C00002 + C00073 + C00001</t>
  </si>
  <si>
    <t>C00009 + C00013 + C05691</t>
  </si>
  <si>
    <t>C01024 + C00014</t>
  </si>
  <si>
    <t>C04631 + C00009</t>
  </si>
  <si>
    <t>C05840 + C00111</t>
  </si>
  <si>
    <t>C19847 + C00013 + C00011</t>
  </si>
  <si>
    <t>C00013 + C04432</t>
  </si>
  <si>
    <t>C04332 + C00001 + C00009</t>
  </si>
  <si>
    <t>C00255 + C04732</t>
  </si>
  <si>
    <t>C01250 + C00025</t>
  </si>
  <si>
    <t>C00025 + C00352</t>
  </si>
  <si>
    <t>C04462 + C00025</t>
  </si>
  <si>
    <t>C00232 + C00025</t>
  </si>
  <si>
    <t>C00222 + C00025</t>
  </si>
  <si>
    <t>C00233 + C00025</t>
  </si>
  <si>
    <t>C00141 + C00025</t>
  </si>
  <si>
    <t>C00671 + C00025</t>
  </si>
  <si>
    <t>C00109 + C00025</t>
  </si>
  <si>
    <t>C03232 + C00025</t>
  </si>
  <si>
    <t>C06054 + C00025</t>
  </si>
  <si>
    <t>C04425 + C01037</t>
  </si>
  <si>
    <t>C11355 + C00025</t>
  </si>
  <si>
    <t>C11355 + C00001</t>
  </si>
  <si>
    <t>C01267 + C00025</t>
  </si>
  <si>
    <t>C00166 + C00025</t>
  </si>
  <si>
    <t>C01179 + C00025</t>
  </si>
  <si>
    <t>C00008 + C00345</t>
  </si>
  <si>
    <t>C11436 + C00008</t>
  </si>
  <si>
    <t>C06509 + C00008</t>
  </si>
  <si>
    <t>C06509 + C00035</t>
  </si>
  <si>
    <t>C00008 + C00231</t>
  </si>
  <si>
    <t>C00008 + C00092</t>
  </si>
  <si>
    <t>C00008 + C01172</t>
  </si>
  <si>
    <t>C00008 + C00668</t>
  </si>
  <si>
    <t>C16688 + C00615</t>
  </si>
  <si>
    <t>C00008 + C00006</t>
  </si>
  <si>
    <t>C00008 + C00010</t>
  </si>
  <si>
    <t>C00008 + C00061</t>
  </si>
  <si>
    <t>C00008 + C00093</t>
  </si>
  <si>
    <t>C00008 + C00197</t>
  </si>
  <si>
    <t>C00008 + C03492</t>
  </si>
  <si>
    <t>C00008 + C01134</t>
  </si>
  <si>
    <t>C00008 + C04352</t>
  </si>
  <si>
    <t>C00008 + C00018</t>
  </si>
  <si>
    <t>C00008 + C00627</t>
  </si>
  <si>
    <t>C00008 + C00647</t>
  </si>
  <si>
    <t>C00008 + C01102</t>
  </si>
  <si>
    <t>C00008 + C00074</t>
  </si>
  <si>
    <t>C00035 + C00074</t>
  </si>
  <si>
    <t>C00112 + C00074</t>
  </si>
  <si>
    <t>C00015 + C00074</t>
  </si>
  <si>
    <t>C00104 + C00074</t>
  </si>
  <si>
    <t>C00206 + C00074</t>
  </si>
  <si>
    <t>C00361 + C00074</t>
  </si>
  <si>
    <t>C00454 + C00074</t>
  </si>
  <si>
    <t>C00008 + C04556</t>
  </si>
  <si>
    <t>C00008 + C04327</t>
  </si>
  <si>
    <t>C00008 + C00354</t>
  </si>
  <si>
    <t>C00008 + C05378</t>
  </si>
  <si>
    <t>C03785 + C00008</t>
  </si>
  <si>
    <t>C00404 + C00092</t>
  </si>
  <si>
    <t>C00404 + C01172</t>
  </si>
  <si>
    <t>C00404 + C00668</t>
  </si>
  <si>
    <t>C00008 + C03175</t>
  </si>
  <si>
    <t>C06893 + C00008</t>
  </si>
  <si>
    <t>C00008 + C00562</t>
  </si>
  <si>
    <t>C00008 + C02729</t>
  </si>
  <si>
    <t>C00008 + C00227</t>
  </si>
  <si>
    <t>C00008 + C02876</t>
  </si>
  <si>
    <t>C00008 + C03287</t>
  </si>
  <si>
    <t>C00008 + C00236</t>
  </si>
  <si>
    <t>C00008 + C03082</t>
  </si>
  <si>
    <t>C00008 + C04133</t>
  </si>
  <si>
    <t>C00022 + C04261</t>
  </si>
  <si>
    <t>C00008 + C00404</t>
  </si>
  <si>
    <t>C00008 + C00068</t>
  </si>
  <si>
    <t>C00008 + C00015</t>
  </si>
  <si>
    <t>C00008 + C00112</t>
  </si>
  <si>
    <t>C00008 + C00705</t>
  </si>
  <si>
    <t>C00008 + C00206</t>
  </si>
  <si>
    <t>C03028 + C00020</t>
  </si>
  <si>
    <t>C00008 + C00201</t>
  </si>
  <si>
    <t>C00008 + C00002</t>
  </si>
  <si>
    <t>C11039 + C00008</t>
  </si>
  <si>
    <t>C00008 + C00075</t>
  </si>
  <si>
    <t>C00008 + C00044</t>
  </si>
  <si>
    <t>C00008 + C00063</t>
  </si>
  <si>
    <t>C00008 + C00081</t>
  </si>
  <si>
    <t>C00008 + C00131</t>
  </si>
  <si>
    <t>C00008 + C00286</t>
  </si>
  <si>
    <t>C00008 + C00459</t>
  </si>
  <si>
    <t>C00008 + C00458</t>
  </si>
  <si>
    <t>C00008 + C00460</t>
  </si>
  <si>
    <t>C00008 + C01345</t>
  </si>
  <si>
    <t>C22443 + C00008</t>
  </si>
  <si>
    <t>C00008 + C21749</t>
  </si>
  <si>
    <t>C00008 + C21751</t>
  </si>
  <si>
    <t>C00008 + C04752</t>
  </si>
  <si>
    <t>C00008 + C00035</t>
  </si>
  <si>
    <t>C00008 + C00361</t>
  </si>
  <si>
    <t>C22442 + C00008</t>
  </si>
  <si>
    <t>C00008 + C00363</t>
  </si>
  <si>
    <t>C00008 + C01346</t>
  </si>
  <si>
    <t>C00020 + C00119</t>
  </si>
  <si>
    <t>C00020 + C04807</t>
  </si>
  <si>
    <t>C00020 + C04494</t>
  </si>
  <si>
    <t>C00013 + C00096</t>
  </si>
  <si>
    <t>C00013 + C00857</t>
  </si>
  <si>
    <t>C00013 + C00003</t>
  </si>
  <si>
    <t>C00013 + C00016</t>
  </si>
  <si>
    <t>C00013 + C00043</t>
  </si>
  <si>
    <t>C00013 + C00842</t>
  </si>
  <si>
    <t>C00013 + C00498</t>
  </si>
  <si>
    <t>C00013 + C00882</t>
  </si>
  <si>
    <t>C00013 + C00224</t>
  </si>
  <si>
    <t>C00013 + C05686</t>
  </si>
  <si>
    <t>C00013 + C00269</t>
  </si>
  <si>
    <t>C00013 + C01299</t>
  </si>
  <si>
    <t>C00066 + C00454</t>
  </si>
  <si>
    <t>C00013 + C05326</t>
  </si>
  <si>
    <t>C00013 + C00046</t>
  </si>
  <si>
    <t>C20864 + C00013</t>
  </si>
  <si>
    <t>C11435 + C00013</t>
  </si>
  <si>
    <t>C06510 + C00013</t>
  </si>
  <si>
    <t>C00013 + C00039</t>
  </si>
  <si>
    <t>C19085 + C00013</t>
  </si>
  <si>
    <t>C19078 + C00013</t>
  </si>
  <si>
    <t>C19080 + C00013</t>
  </si>
  <si>
    <t>C19871 + C00013</t>
  </si>
  <si>
    <t>C00046 + C00454</t>
  </si>
  <si>
    <t>C00046 + C00008</t>
  </si>
  <si>
    <t>C00046 + C00015</t>
  </si>
  <si>
    <t>C00046 + C00035</t>
  </si>
  <si>
    <t>C00046 + C00112</t>
  </si>
  <si>
    <t>C00013 + C20565</t>
  </si>
  <si>
    <t>C20641 + C00013 + C00001</t>
  </si>
  <si>
    <t>C00008 + C01281</t>
  </si>
  <si>
    <t>C00013 + C00029</t>
  </si>
  <si>
    <t>C00105 + C04851</t>
  </si>
  <si>
    <t>C00105 + C05897</t>
  </si>
  <si>
    <t>C06510 + C05775</t>
  </si>
  <si>
    <t>C00144 + C21153</t>
  </si>
  <si>
    <t>C00055 + C03892</t>
  </si>
  <si>
    <t>C00054 + C00229</t>
  </si>
  <si>
    <t>C20246 + C15810 + C00001</t>
  </si>
  <si>
    <t>C05924 + C15810</t>
  </si>
  <si>
    <t>C00120 + C00073 + C05198</t>
  </si>
  <si>
    <t>C15812 + C00041</t>
  </si>
  <si>
    <t>C00041 + C21440</t>
  </si>
  <si>
    <t>C15811 + C21440</t>
  </si>
  <si>
    <t>C16832 + C22155 + C00283 + C14818 + C00073 + C05198 + C22151</t>
  </si>
  <si>
    <t>C15973 + C22155 + C00283 + C14818 + C00073 + C05198 + C22151</t>
  </si>
  <si>
    <t>C02972 + C22155 + C00283 + C14818 + C00073 + C05198 + C22151</t>
  </si>
  <si>
    <t>C20753 + C00021 + C00073 + C05198</t>
  </si>
  <si>
    <t>C20755 + C00073 + C05198</t>
  </si>
  <si>
    <t>C20753 + C00021</t>
  </si>
  <si>
    <t>C03523 + C00066</t>
  </si>
  <si>
    <t>C00069 + C00009</t>
  </si>
  <si>
    <t>C00378 + C00009</t>
  </si>
  <si>
    <t>C00870 + C00009</t>
  </si>
  <si>
    <t>C00184 + C00009</t>
  </si>
  <si>
    <t>C04874 + C00009</t>
  </si>
  <si>
    <t>C00085 + C00009</t>
  </si>
  <si>
    <t>C05345 + C00009</t>
  </si>
  <si>
    <t>C05382 + C00009</t>
  </si>
  <si>
    <t>C01083 + C00009</t>
  </si>
  <si>
    <t>G00293 + C00009</t>
  </si>
  <si>
    <t>C00860 + C00009</t>
  </si>
  <si>
    <t>C00017 + C00009</t>
  </si>
  <si>
    <t>C00255 + C00009</t>
  </si>
  <si>
    <t>C01885 + C00009</t>
  </si>
  <si>
    <t>C00065 + C00009</t>
  </si>
  <si>
    <t>C00740 + C00009</t>
  </si>
  <si>
    <t>C00585 + C00009</t>
  </si>
  <si>
    <t>C00911 + C00009</t>
  </si>
  <si>
    <t>C00212 + C00009</t>
  </si>
  <si>
    <t>C00475 + C00009</t>
  </si>
  <si>
    <t>C00299 + C00009</t>
  </si>
  <si>
    <t>C00294 + C00009</t>
  </si>
  <si>
    <t>C00387 + C00009</t>
  </si>
  <si>
    <t>C03150 + C00009</t>
  </si>
  <si>
    <t>C01762 + C00009</t>
  </si>
  <si>
    <t>C05841 + C00009</t>
  </si>
  <si>
    <t>C00214 + C00009</t>
  </si>
  <si>
    <t>C00881 + C00009</t>
  </si>
  <si>
    <t>C00330 + C00009</t>
  </si>
  <si>
    <t>C00559 + C00009</t>
  </si>
  <si>
    <t>C00526 + C00009</t>
  </si>
  <si>
    <t>C05512 + C00009</t>
  </si>
  <si>
    <t>C00020 + C00009</t>
  </si>
  <si>
    <t>C00224 + C00009</t>
  </si>
  <si>
    <t>C00212 + C00155</t>
  </si>
  <si>
    <t>C01083 + C01935</t>
  </si>
  <si>
    <t>C00147 + C00117</t>
  </si>
  <si>
    <t>C00071 + C00670</t>
  </si>
  <si>
    <t>C00071 + C01233</t>
  </si>
  <si>
    <t>C00097 + C00037</t>
  </si>
  <si>
    <t>C05726 + C00037</t>
  </si>
  <si>
    <t>C00058 + C00101</t>
  </si>
  <si>
    <t>C19702 + C00033</t>
  </si>
  <si>
    <t>C21177 + C00014</t>
  </si>
  <si>
    <t>C21177 + C02188</t>
  </si>
  <si>
    <t>C00042 + C00666</t>
  </si>
  <si>
    <t>C00217 + C00014</t>
  </si>
  <si>
    <t>C00060 + C00014</t>
  </si>
  <si>
    <t>C00352 + C00033</t>
  </si>
  <si>
    <t>C01563 + C00001</t>
  </si>
  <si>
    <t>C00288 + C00014</t>
  </si>
  <si>
    <t>C01563 + C00014</t>
  </si>
  <si>
    <t>C00011 + C00014</t>
  </si>
  <si>
    <t>C11440 + C00058</t>
  </si>
  <si>
    <t>C00058 + C03617</t>
  </si>
  <si>
    <t>C00008 + C00009 + C00025</t>
  </si>
  <si>
    <t>C00460 + C00014</t>
  </si>
  <si>
    <t>C04895 + C00058</t>
  </si>
  <si>
    <t>C05923 + C00058</t>
  </si>
  <si>
    <t>C00058 + C01304 + C00009</t>
  </si>
  <si>
    <t>C01268 + C00014</t>
  </si>
  <si>
    <t>C20451 + C00014</t>
  </si>
  <si>
    <t>C00365 + C00013</t>
  </si>
  <si>
    <t>C04242 + C00013</t>
  </si>
  <si>
    <t>C00013 + C00009</t>
  </si>
  <si>
    <t>C17556 + C00009</t>
  </si>
  <si>
    <t>C02741 + C00013</t>
  </si>
  <si>
    <t>C06196 + C00013</t>
  </si>
  <si>
    <t>C00060 + C00009</t>
  </si>
  <si>
    <t>C00033 + C00009</t>
  </si>
  <si>
    <t>C00180 + C00009</t>
  </si>
  <si>
    <t>C00197 + C00009</t>
  </si>
  <si>
    <t>C00215 + C00013</t>
  </si>
  <si>
    <t>C00055 + C00013</t>
  </si>
  <si>
    <t>C00364 + C00013</t>
  </si>
  <si>
    <t>C00020 + C00455</t>
  </si>
  <si>
    <t>C00020 + C00061</t>
  </si>
  <si>
    <t>C00105 + C00103</t>
  </si>
  <si>
    <t>C00020 + C01185</t>
  </si>
  <si>
    <t>C01134 + C00020</t>
  </si>
  <si>
    <t>C00099 + C00011</t>
  </si>
  <si>
    <t>C00047 + C00011</t>
  </si>
  <si>
    <t>C03373 + C00011</t>
  </si>
  <si>
    <t>C00105 + C00011</t>
  </si>
  <si>
    <t>C00001 + C00074 + C00011</t>
  </si>
  <si>
    <t>C00035 + C00074 + C00011</t>
  </si>
  <si>
    <t>C01134 + C00011</t>
  </si>
  <si>
    <t>C03263 + C00011</t>
  </si>
  <si>
    <t>C05768 + C00011</t>
  </si>
  <si>
    <t>C03586 + C00011</t>
  </si>
  <si>
    <t>C03506 + C00011 + C00001</t>
  </si>
  <si>
    <t>C00232 + C00011</t>
  </si>
  <si>
    <t>C00111 + C00118</t>
  </si>
  <si>
    <t>C00111 + C00279</t>
  </si>
  <si>
    <t>C00111 + C00577</t>
  </si>
  <si>
    <t>C00266 + C01300</t>
  </si>
  <si>
    <t>C00118 + C00084</t>
  </si>
  <si>
    <t>C00042 + C00048</t>
  </si>
  <si>
    <t>C00108 + C00022 + C00025</t>
  </si>
  <si>
    <t>C00108 + C00022 + C00001</t>
  </si>
  <si>
    <t>C00022 + C00042</t>
  </si>
  <si>
    <t>C03657 + C00010</t>
  </si>
  <si>
    <t>C15547 + C00001</t>
  </si>
  <si>
    <t>C00568 + C00022</t>
  </si>
  <si>
    <t>C15556 + C00058</t>
  </si>
  <si>
    <t>C04556 + C05198 + C00073 + C00058 + C00237</t>
  </si>
  <si>
    <t>C21310 + C05198 + C00073 + C00028</t>
  </si>
  <si>
    <t>C02637 + C00001</t>
  </si>
  <si>
    <t>C00074 + C00001</t>
  </si>
  <si>
    <t>C04309 + C00001</t>
  </si>
  <si>
    <t>C00230 + C00001</t>
  </si>
  <si>
    <t>C01267 + C00001</t>
  </si>
  <si>
    <t>C00122 + C00001</t>
  </si>
  <si>
    <t>C00078 + C00001</t>
  </si>
  <si>
    <t>C00463 + C00118</t>
  </si>
  <si>
    <t>C00078 + C00118 + C00001</t>
  </si>
  <si>
    <t>C00417 + C00001</t>
  </si>
  <si>
    <t>C02631 + C00001</t>
  </si>
  <si>
    <t>C11907 + C00001</t>
  </si>
  <si>
    <t>C01222 + C00001</t>
  </si>
  <si>
    <t>C00166 + C00001 + C00011</t>
  </si>
  <si>
    <t>C01051 + C00001</t>
  </si>
  <si>
    <t>C04225 + C00001</t>
  </si>
  <si>
    <t>C00141 + C00001</t>
  </si>
  <si>
    <t>C00671 + C00001</t>
  </si>
  <si>
    <t>C00268 + C00001</t>
  </si>
  <si>
    <t>C00188 + C00009</t>
  </si>
  <si>
    <t>C06056 + C00009</t>
  </si>
  <si>
    <t>C00944 + C00009</t>
  </si>
  <si>
    <t>C00251 + C00009</t>
  </si>
  <si>
    <t>C00122 + C00014</t>
  </si>
  <si>
    <t>C00022 + C00014</t>
  </si>
  <si>
    <t>C02218 + C00001</t>
  </si>
  <si>
    <t>C00161 + C00014</t>
  </si>
  <si>
    <t>C00109 + C00014</t>
  </si>
  <si>
    <t>C00122 + C00062</t>
  </si>
  <si>
    <t>C04666 + C04677 + C00025</t>
  </si>
  <si>
    <t>C04677 + C04666 + C00001</t>
  </si>
  <si>
    <t>C00122 + C00020</t>
  </si>
  <si>
    <t>C00122 + C04677</t>
  </si>
  <si>
    <t>C22441 + C00122</t>
  </si>
  <si>
    <t>C00018 + C00001 + C00009</t>
  </si>
  <si>
    <t>C00018 + C00025 + C00001 + C00009</t>
  </si>
  <si>
    <t>C00018 + C00025 + C00009 + C00001</t>
  </si>
  <si>
    <t>C20258 + C00001</t>
  </si>
  <si>
    <t>C00145 + C00014 + C00022</t>
  </si>
  <si>
    <t>C00155 + C00014 + C00022</t>
  </si>
  <si>
    <t>C00022 + C00014 + C01962</t>
  </si>
  <si>
    <t>C00812 + C00014 + C00022</t>
  </si>
  <si>
    <t>C01336 + C00014 + C00022</t>
  </si>
  <si>
    <t>C00283 + C00022 + C00014</t>
  </si>
  <si>
    <t>C05698 + C00014 + C00022</t>
  </si>
  <si>
    <t>C00022 + C00014 + C05703</t>
  </si>
  <si>
    <t>C11453 + C00055</t>
  </si>
  <si>
    <t>C18239 + C00013</t>
  </si>
  <si>
    <t>C00032 + C00080</t>
  </si>
  <si>
    <t>C21767 + C19609</t>
  </si>
  <si>
    <t>C00197  + C04262</t>
  </si>
  <si>
    <t>C00020 + C00013 + C02839</t>
  </si>
  <si>
    <t>C00020 + C00013 + C02430</t>
  </si>
  <si>
    <t>C00020 + C00013 + C05336</t>
  </si>
  <si>
    <t>C00020 + C00013 + C02553</t>
  </si>
  <si>
    <t>C00020 + C00013 + C06481</t>
  </si>
  <si>
    <t>C02984 + C00013 + C00020</t>
  </si>
  <si>
    <t>C00020 + C00013 + C02412</t>
  </si>
  <si>
    <t>C00020 + C00013 + C02702</t>
  </si>
  <si>
    <t>C00020 + C00013 + C03125</t>
  </si>
  <si>
    <t>C02987 + C00013 + C00020</t>
  </si>
  <si>
    <t>C00020 + C00013 + C02163</t>
  </si>
  <si>
    <t>C00020 + C00013 + C03512</t>
  </si>
  <si>
    <t>C00020 + C00013 + C03511</t>
  </si>
  <si>
    <t>C00020 + C00013 + C02988</t>
  </si>
  <si>
    <t>C00020 + C00013 + C02992</t>
  </si>
  <si>
    <t>C00020 + C00013 + C02047</t>
  </si>
  <si>
    <t>C00020 + C00013 + C03127</t>
  </si>
  <si>
    <t>C00020 + C00013 + C01931</t>
  </si>
  <si>
    <t>C00020 + C00013 + C00886</t>
  </si>
  <si>
    <t>C00020 + C00013 + C02554</t>
  </si>
  <si>
    <t>C00020 + C00013 + C03160</t>
  </si>
  <si>
    <t>C00008 + C00009 + C00091</t>
  </si>
  <si>
    <t>C00008 + C00009 + C00531</t>
  </si>
  <si>
    <t>C19703 + C00020 + C00013</t>
  </si>
  <si>
    <t>C00008 + C00009 + C21178</t>
  </si>
  <si>
    <t>C00008 + C00009 + C00064</t>
  </si>
  <si>
    <t>C00020 + C00013 + C00003</t>
  </si>
  <si>
    <t>C00020 + C00013 + C00864</t>
  </si>
  <si>
    <t>C00008 + C00009 + C04702</t>
  </si>
  <si>
    <t>C00008 + C00009 + C04882</t>
  </si>
  <si>
    <t>C00008 + C00009 + C00415</t>
  </si>
  <si>
    <t>C00008 + C00009 + C05928</t>
  </si>
  <si>
    <t>C00008 + C00009 + C04877</t>
  </si>
  <si>
    <t>C00008 + C00009 + C03541</t>
  </si>
  <si>
    <t>C00008 + C00009 + C09332</t>
  </si>
  <si>
    <t>C00008 + C00009 + C05929</t>
  </si>
  <si>
    <t>C00008 + C00009 + C00669</t>
  </si>
  <si>
    <t>C00008 + C00009 + C21015</t>
  </si>
  <si>
    <t>C00055 + C00013 + C04352</t>
  </si>
  <si>
    <t>C00008 + C00009 + C04823</t>
  </si>
  <si>
    <t>C00008 + C00009 + C01212</t>
  </si>
  <si>
    <t>C00008 + C00009 + C00692</t>
  </si>
  <si>
    <t>C00008 + C00009 + C03373</t>
  </si>
  <si>
    <t>C00008 + C00009 + C00445</t>
  </si>
  <si>
    <t>C00008 + C00009 + C01909</t>
  </si>
  <si>
    <t>C01909 + C00008 + C00009</t>
  </si>
  <si>
    <t>C00008 + C00009 + C03838</t>
  </si>
  <si>
    <t>C00020 + C00013 + C04681</t>
  </si>
  <si>
    <t>C00013 + C05921</t>
  </si>
  <si>
    <t>C00020 + C06250</t>
  </si>
  <si>
    <t>C00008 + C00009 + C15667</t>
  </si>
  <si>
    <t>C19723 + C00020 + C00013 + C00001</t>
  </si>
  <si>
    <t>C00008 + C00009 + C00063</t>
  </si>
  <si>
    <t>C00008 + C00009 + C00063 + C00025</t>
  </si>
  <si>
    <t>C00035 + C00009 + C03794</t>
  </si>
  <si>
    <t>C00020 + C00013 + C03406</t>
  </si>
  <si>
    <t>C00020 + C00013 + C00144</t>
  </si>
  <si>
    <t>C00020 + C00013 + C00144 + C00025</t>
  </si>
  <si>
    <t>C16619 + C00020 + C00013 + C00025</t>
  </si>
  <si>
    <t>C00008 + C00009 + C04640 + C00025</t>
  </si>
  <si>
    <t>C00020 + C00013 + C00152</t>
  </si>
  <si>
    <t>C00020 + C00013 + C00152 + C00025</t>
  </si>
  <si>
    <t>C00008 + C00009 + C00025 + C00169</t>
  </si>
  <si>
    <t>C00008 + C00169</t>
  </si>
  <si>
    <t>C00008 + C20969</t>
  </si>
  <si>
    <t>C01563 + C00009</t>
  </si>
  <si>
    <t>C00008 + C00009 + C00169</t>
  </si>
  <si>
    <t>C00008 + C00009 + C00036</t>
  </si>
  <si>
    <t>C00020 + C00455 + C00039</t>
  </si>
  <si>
    <t>C15602 + C00126 + C00080</t>
  </si>
  <si>
    <t>C00399 + C00126 + C00080</t>
  </si>
  <si>
    <t>C00008 + C00009</t>
  </si>
  <si>
    <t>C00226 * C00003</t>
  </si>
  <si>
    <t>C00469 * C00003</t>
  </si>
  <si>
    <t>C00473 * C00003</t>
  </si>
  <si>
    <t>C00756 * C00003</t>
  </si>
  <si>
    <t>C05444 * C00003</t>
  </si>
  <si>
    <t>C05576 * C00003</t>
  </si>
  <si>
    <t>C06611 * C00003</t>
  </si>
  <si>
    <t>C06612 * C00003</t>
  </si>
  <si>
    <t>C14089 * C00003</t>
  </si>
  <si>
    <t>C02909 * C00003</t>
  </si>
  <si>
    <t>C07645 * C00004 * C00080</t>
  </si>
  <si>
    <t>C16586 * C00003</t>
  </si>
  <si>
    <t>C00114 * C00003</t>
  </si>
  <si>
    <t>C00114 * C00006</t>
  </si>
  <si>
    <t>C16310 * C00004 * C00080</t>
  </si>
  <si>
    <t>C01612 * C00003</t>
  </si>
  <si>
    <t>C16595 * C00003</t>
  </si>
  <si>
    <t>C00418 * C00003</t>
  </si>
  <si>
    <t>C06899 * C00004 * C00080</t>
  </si>
  <si>
    <t>C01271 * C00006</t>
  </si>
  <si>
    <t>C04618 * C00006</t>
  </si>
  <si>
    <t>C04619 * C00006</t>
  </si>
  <si>
    <t>C04620 * C00006</t>
  </si>
  <si>
    <t>C04633 * C00006</t>
  </si>
  <si>
    <t>C04688 * C00006</t>
  </si>
  <si>
    <t>C05747 * C00006</t>
  </si>
  <si>
    <t>C05757 * C00006</t>
  </si>
  <si>
    <t>C16219 * C00005 * C00080</t>
  </si>
  <si>
    <t>C20372 * C00005 * C00080</t>
  </si>
  <si>
    <t>C20376 * C00005 * C00080</t>
  </si>
  <si>
    <t>C00522 * C00006</t>
  </si>
  <si>
    <t>C00137 * C00003</t>
  </si>
  <si>
    <t>C04454 * C00006</t>
  </si>
  <si>
    <t>C00130 * C00003 * C00001</t>
  </si>
  <si>
    <t>C04646 * C00003 * C00001</t>
  </si>
  <si>
    <t>C00860 * C00003 * C00001</t>
  </si>
  <si>
    <t>C01929 * C00001 * C00003</t>
  </si>
  <si>
    <t>C00860 * C00003</t>
  </si>
  <si>
    <t>C00493 * C00006</t>
  </si>
  <si>
    <t>C02637 * C00006</t>
  </si>
  <si>
    <t>C11434 * C00006</t>
  </si>
  <si>
    <t xml:space="preserve">C00186 * C00003 </t>
  </si>
  <si>
    <t>C05984 * C00003</t>
  </si>
  <si>
    <t>C05823 * C00003</t>
  </si>
  <si>
    <t>C00256 * C00003</t>
  </si>
  <si>
    <t>C01013 * C00006</t>
  </si>
  <si>
    <t>C00263 * C00003</t>
  </si>
  <si>
    <t>C00263 * C00006</t>
  </si>
  <si>
    <t>C18235 * C00003</t>
  </si>
  <si>
    <t>C18235 * C00003 * C00001</t>
  </si>
  <si>
    <t>C20370 * C00003</t>
  </si>
  <si>
    <t>C00149 * C00003</t>
  </si>
  <si>
    <t>C04367 * C00003</t>
  </si>
  <si>
    <t>C11537 * C00003</t>
  </si>
  <si>
    <t>C00149 * C00006</t>
  </si>
  <si>
    <t>C00311 * C00006</t>
  </si>
  <si>
    <t>C00345 * C00006</t>
  </si>
  <si>
    <t>C00092 * C00006</t>
  </si>
  <si>
    <t>C01172 * C00006</t>
  </si>
  <si>
    <t>C00233 * C00011</t>
  </si>
  <si>
    <t>C04411 * C00003</t>
  </si>
  <si>
    <t>C00109 * C00011 * C00004 * C00080</t>
  </si>
  <si>
    <t>C04272 * C00006</t>
  </si>
  <si>
    <t>C00900 * C00005 * C00080</t>
  </si>
  <si>
    <t>C06007 * C00006</t>
  </si>
  <si>
    <t>C00093 * C00003</t>
  </si>
  <si>
    <t>C00093 * C00006</t>
  </si>
  <si>
    <t>C00197 * C00003</t>
  </si>
  <si>
    <t>C02630 * C00003</t>
  </si>
  <si>
    <t>C00149 * C15602</t>
  </si>
  <si>
    <t>C00149 * C00007</t>
  </si>
  <si>
    <t>C00149 * C00016</t>
  </si>
  <si>
    <t>C00342 * C15498</t>
  </si>
  <si>
    <t>C00132 * C00027</t>
  </si>
  <si>
    <t>C00632 * C00007</t>
  </si>
  <si>
    <t xml:space="preserve">C00090 * C00007 </t>
  </si>
  <si>
    <t>C02375 * C00007</t>
  </si>
  <si>
    <t>C06730 * C00007</t>
  </si>
  <si>
    <t>C16472 * C00007</t>
  </si>
  <si>
    <t>C16473 * C00007</t>
  </si>
  <si>
    <t>C18240 * C00007</t>
  </si>
  <si>
    <t>C00230 * C00007</t>
  </si>
  <si>
    <t>C01424 * C00007</t>
  </si>
  <si>
    <t>C18091 * C00007 * C01847</t>
  </si>
  <si>
    <t>C00180 * C00004 * C00080 * C00007</t>
  </si>
  <si>
    <t>C00180 * C00005 * C00080 * C00007</t>
  </si>
  <si>
    <t>C02359 * C00004 * C00080 * C00007</t>
  </si>
  <si>
    <t>C02364 * C00004 * C00007 * C00080</t>
  </si>
  <si>
    <t>C02364 * C00004 * C00080 * C00007</t>
  </si>
  <si>
    <t>C02371 * C00004 * C00080 * C00007</t>
  </si>
  <si>
    <t>C11457 * C00007 * C00004 * C00080</t>
  </si>
  <si>
    <t>C12621 * C00007 * C00004 * C00080</t>
  </si>
  <si>
    <t>C00587 * C00007 * C00004 * C00080</t>
  </si>
  <si>
    <t>C00032 * C03024 * C00007</t>
  </si>
  <si>
    <t xml:space="preserve">C00704 * C00080 </t>
  </si>
  <si>
    <t>C03972 * C00003 * C00001</t>
  </si>
  <si>
    <t>C03972 * C00006 * C00001</t>
  </si>
  <si>
    <t>C04232 * C00343 * C00001</t>
  </si>
  <si>
    <t>C00206 * C00343 * C00001</t>
  </si>
  <si>
    <t>C01346 * C00343 * C00001</t>
  </si>
  <si>
    <t>C00361 * C00343 * C00001</t>
  </si>
  <si>
    <t>C00705 * C00343 * C00001</t>
  </si>
  <si>
    <t>C04232 * C16664 * C00001</t>
  </si>
  <si>
    <t>C04232 * C03170 * C00001</t>
  </si>
  <si>
    <t>C21750 * C00343 * C00001</t>
  </si>
  <si>
    <t>C11453 * C00138</t>
  </si>
  <si>
    <t>C11811 * C00138 * C00080</t>
  </si>
  <si>
    <t>C00235 * C00139 * C00001</t>
  </si>
  <si>
    <t>C15672 * C00001 * C00028</t>
  </si>
  <si>
    <t>C22328 * C00028 * C00001</t>
  </si>
  <si>
    <t>C00441 * C00009 * C00006</t>
  </si>
  <si>
    <t>C00118 * C00009 * C00003</t>
  </si>
  <si>
    <t>C01250 * C00009 * C00006</t>
  </si>
  <si>
    <t>C01165 * C00009 * C00006</t>
  </si>
  <si>
    <t>C00633 * C00003 * C00001</t>
  </si>
  <si>
    <t>C03067 * C00003 * C00001</t>
  </si>
  <si>
    <t>C00755 * C00003 * C00001</t>
  </si>
  <si>
    <t>C02987 * C00005 * C00080</t>
  </si>
  <si>
    <t>C00232 * C00006 * C00001</t>
  </si>
  <si>
    <t>C00633 * C00006 * C00001</t>
  </si>
  <si>
    <t>C21166 * C00006 * C00001</t>
  </si>
  <si>
    <t>C00022 * C15972</t>
  </si>
  <si>
    <t>C00022 * C00068</t>
  </si>
  <si>
    <t>C05125 * C15972</t>
  </si>
  <si>
    <t>C11215 * C07292</t>
  </si>
  <si>
    <t>C11215 * C00342</t>
  </si>
  <si>
    <t>C00254 * C00003</t>
  </si>
  <si>
    <t>C06321 * C00003</t>
  </si>
  <si>
    <t>C16478 * C00003</t>
  </si>
  <si>
    <t>C16479 * C00003</t>
  </si>
  <si>
    <t xml:space="preserve">C16480 * C00003 </t>
  </si>
  <si>
    <t>C00353 * C00080 * C00005</t>
  </si>
  <si>
    <t>C01050 * C00006</t>
  </si>
  <si>
    <t>C01050 * C00003</t>
  </si>
  <si>
    <t>C01079 * C00007</t>
  </si>
  <si>
    <t>C00337 * C15602</t>
  </si>
  <si>
    <t>C21284 * C00027</t>
  </si>
  <si>
    <t>C22173 * C00027</t>
  </si>
  <si>
    <t>C00025 * C00006</t>
  </si>
  <si>
    <t>C00025 * C00006 * C00001</t>
  </si>
  <si>
    <t>C00064 * C00001</t>
  </si>
  <si>
    <t>C00680 * C00006 * C00001</t>
  </si>
  <si>
    <t>C05167 * C00001 * C00003</t>
  </si>
  <si>
    <t>C05167 * C00001 * C00006</t>
  </si>
  <si>
    <t>C00037 * C00001 * C00007</t>
  </si>
  <si>
    <t>C00037 * C00007</t>
  </si>
  <si>
    <t>C15809 * C00001</t>
  </si>
  <si>
    <t>C00133 * C00001 * C00007</t>
  </si>
  <si>
    <t>C00213 * C00001 * C00007</t>
  </si>
  <si>
    <t>C11735 * C00001 * C00007</t>
  </si>
  <si>
    <t>C00148 * C00003</t>
  </si>
  <si>
    <t>C00148 * C00006</t>
  </si>
  <si>
    <t>C01157 * C00003</t>
  </si>
  <si>
    <t>C01157 * C00006</t>
  </si>
  <si>
    <t>C00440 * C00006</t>
  </si>
  <si>
    <t>C00440 * C00003</t>
  </si>
  <si>
    <t>C00101 * C00006</t>
  </si>
  <si>
    <t>C00101 * C00003</t>
  </si>
  <si>
    <t>C00415 * C00003</t>
  </si>
  <si>
    <t>C00415 * C00006</t>
  </si>
  <si>
    <t>C00272 * C00006</t>
  </si>
  <si>
    <t>C00004 * C00080 * C15602</t>
  </si>
  <si>
    <t>C00828 * C00080 * C00004</t>
  </si>
  <si>
    <t>C01628 * C00004 * C00080</t>
  </si>
  <si>
    <t>C02059 * C00004 * C00080</t>
  </si>
  <si>
    <t>C00005 * C00080 * C15602</t>
  </si>
  <si>
    <t>C15602 * C00005 * C00080</t>
  </si>
  <si>
    <t>C06717 * C00003</t>
  </si>
  <si>
    <t>C06717 * C00006</t>
  </si>
  <si>
    <t>G11174 * C00003</t>
  </si>
  <si>
    <t>G11174 * C00006</t>
  </si>
  <si>
    <t>C16832 * C00003</t>
  </si>
  <si>
    <t>C02972 * C00003</t>
  </si>
  <si>
    <t>C15973 * C00003</t>
  </si>
  <si>
    <t>C00579 * C00003</t>
  </si>
  <si>
    <t>C00342 * C00006</t>
  </si>
  <si>
    <t>C00097 * C00051 * C00006</t>
  </si>
  <si>
    <t>C01528 * C00006 * C00001</t>
  </si>
  <si>
    <t>C00005 * C00080 * C18902</t>
  </si>
  <si>
    <t>C03023 * C00343 * C00001</t>
  </si>
  <si>
    <t>C00073 * C00343 * C00001</t>
  </si>
  <si>
    <t>C00342 * C00053</t>
  </si>
  <si>
    <t>C00283 * C00139 * C00001</t>
  </si>
  <si>
    <t>C01528 * C00139 * C00001</t>
  </si>
  <si>
    <t>C00019 * C01051</t>
  </si>
  <si>
    <t>C00019 * C15527</t>
  </si>
  <si>
    <t>C00019 * C02469</t>
  </si>
  <si>
    <t>C00440 * C00155</t>
  </si>
  <si>
    <t>C05698 * C04489</t>
  </si>
  <si>
    <t>C04489 * C00155</t>
  </si>
  <si>
    <t>C00143 * C00365 * C00005 * C00080</t>
  </si>
  <si>
    <t>C19847 * C00019</t>
  </si>
  <si>
    <t>C00019 * C00240</t>
  </si>
  <si>
    <t>C00019 * C20648</t>
  </si>
  <si>
    <t>C00019 * C01977</t>
  </si>
  <si>
    <t>C02583 * C00019</t>
  </si>
  <si>
    <t>C00019 * C00039</t>
  </si>
  <si>
    <t>C00019 * C00856</t>
  </si>
  <si>
    <t>C00365 * C00143</t>
  </si>
  <si>
    <t>C04250 * C02743</t>
  </si>
  <si>
    <t>C00143 * C00037 * C00001</t>
  </si>
  <si>
    <t>C00065 * C01217</t>
  </si>
  <si>
    <t>C00143 * C00141 * C00001</t>
  </si>
  <si>
    <t>C00234 * C03838</t>
  </si>
  <si>
    <t>C03838 * C00445 * C00001</t>
  </si>
  <si>
    <t>C00234 * C04677</t>
  </si>
  <si>
    <t>C02430 * C00234</t>
  </si>
  <si>
    <t>C00024 * C04419</t>
  </si>
  <si>
    <t>C00169 * C00049</t>
  </si>
  <si>
    <t>C00169 * C00077</t>
  </si>
  <si>
    <t>C05382 * C00118</t>
  </si>
  <si>
    <t>C00085 * C00118</t>
  </si>
  <si>
    <t>C05345 * C00118</t>
  </si>
  <si>
    <t>C12214 * C00117</t>
  </si>
  <si>
    <t>C00231 * C00068</t>
  </si>
  <si>
    <t>C05382 * C00068</t>
  </si>
  <si>
    <t>C00900 * C00011</t>
  </si>
  <si>
    <t>C06010 * C00011</t>
  </si>
  <si>
    <t>C00900 * C00068</t>
  </si>
  <si>
    <t>C06010 * C00068</t>
  </si>
  <si>
    <t>C00109 * C05125</t>
  </si>
  <si>
    <t>C00022 * C00109</t>
  </si>
  <si>
    <t>C00022 * C00118</t>
  </si>
  <si>
    <t>C00885 * C00026</t>
  </si>
  <si>
    <t>C00024 * C00025</t>
  </si>
  <si>
    <t>C00091 * C03972 * C00001</t>
  </si>
  <si>
    <t>C05752 * C16240</t>
  </si>
  <si>
    <t>C05752 * C22158</t>
  </si>
  <si>
    <t>C05752 * C22157</t>
  </si>
  <si>
    <t>C16239 * C16240</t>
  </si>
  <si>
    <t>C19703 * C00024</t>
  </si>
  <si>
    <t>C20641 * C17324</t>
  </si>
  <si>
    <t>C00024 * C03803</t>
  </si>
  <si>
    <t>C00003 * C20743 * C00001</t>
  </si>
  <si>
    <t>C00003 * C01997 * C00001</t>
  </si>
  <si>
    <t>C00024 * C00263</t>
  </si>
  <si>
    <t>C00437 * C00025</t>
  </si>
  <si>
    <t>C00024 * C00009</t>
  </si>
  <si>
    <t>C00100 * C00009</t>
  </si>
  <si>
    <t xml:space="preserve">C00024 * C00083 * C00005 * C00080 </t>
  </si>
  <si>
    <t>C00024 * C00229</t>
  </si>
  <si>
    <t>C00083 * C00229</t>
  </si>
  <si>
    <t>C05764 * C00001</t>
  </si>
  <si>
    <t>C03939 * C01209</t>
  </si>
  <si>
    <t>C05745 * C00006</t>
  </si>
  <si>
    <t>C05223 * C00006</t>
  </si>
  <si>
    <t>C05223 * C01209</t>
  </si>
  <si>
    <t>C05745 * C01209</t>
  </si>
  <si>
    <t xml:space="preserve">C05749 * C00006 </t>
  </si>
  <si>
    <t>C05749 * C01209</t>
  </si>
  <si>
    <t>C05752 * C01209</t>
  </si>
  <si>
    <t>C05755 * C00006</t>
  </si>
  <si>
    <t>C05755 * C01209</t>
  </si>
  <si>
    <t>C05761 * C00006</t>
  </si>
  <si>
    <t>C05761 * C01209</t>
  </si>
  <si>
    <t>C05764 * C00006</t>
  </si>
  <si>
    <t>C00100 * C00024</t>
  </si>
  <si>
    <t>C00024 * C00136</t>
  </si>
  <si>
    <t>C03193 * C00045</t>
  </si>
  <si>
    <t>C00051 * C00151</t>
  </si>
  <si>
    <t>C03193 * C00245</t>
  </si>
  <si>
    <t>C02166 * C00045</t>
  </si>
  <si>
    <t>C03193 * C05689</t>
  </si>
  <si>
    <t>C02320 * C00001</t>
  </si>
  <si>
    <t>C02512 * C00025</t>
  </si>
  <si>
    <t>C05670 * C00025</t>
  </si>
  <si>
    <t>C02504 * C00010</t>
  </si>
  <si>
    <t>C00158 * C00010</t>
  </si>
  <si>
    <t>C02225 * C00010</t>
  </si>
  <si>
    <t>C00149 * C00010</t>
  </si>
  <si>
    <t>C03862 * C02189</t>
  </si>
  <si>
    <t>G10617 * C02189</t>
  </si>
  <si>
    <t>C03862 * C19803</t>
  </si>
  <si>
    <t>C00029 * C00092</t>
  </si>
  <si>
    <t>G10608 * C00092</t>
  </si>
  <si>
    <t>C00029 * C00668</t>
  </si>
  <si>
    <t>G10608 * C00668</t>
  </si>
  <si>
    <t>C00498 * C00718</t>
  </si>
  <si>
    <t>G10495 * G11109</t>
  </si>
  <si>
    <t>C04851 * C00043</t>
  </si>
  <si>
    <t>G10552 * G10610</t>
  </si>
  <si>
    <t>C05897 * C00043</t>
  </si>
  <si>
    <t>G10551 * G10610</t>
  </si>
  <si>
    <t>G10556 * G10610</t>
  </si>
  <si>
    <t>C00718 * C00031</t>
  </si>
  <si>
    <t>G10495 * C00031</t>
  </si>
  <si>
    <t>C00043 * C04006</t>
  </si>
  <si>
    <t>C15541 * C00197</t>
  </si>
  <si>
    <t>G13125 * G13119</t>
  </si>
  <si>
    <t>G13125 * G13120</t>
  </si>
  <si>
    <t>C00096 * C21606</t>
  </si>
  <si>
    <t>C00096 * C21609</t>
  </si>
  <si>
    <t>G10614 * G11291</t>
  </si>
  <si>
    <t>G10614 * G13107</t>
  </si>
  <si>
    <t>C01103 * C00013</t>
  </si>
  <si>
    <t>C03090 * C00013 * C00025</t>
  </si>
  <si>
    <t>C02739 * C00013</t>
  </si>
  <si>
    <t>C04302 * C00013</t>
  </si>
  <si>
    <t>C01185 * C00013 * C00011</t>
  </si>
  <si>
    <t>C01185 * C03114</t>
  </si>
  <si>
    <t>C01977 * C16675</t>
  </si>
  <si>
    <t>C02970 * C00119</t>
  </si>
  <si>
    <t>C00020 * C00013</t>
  </si>
  <si>
    <t>C04677 * C00013</t>
  </si>
  <si>
    <t>C00130 * C00013</t>
  </si>
  <si>
    <t>C00144 * C00013</t>
  </si>
  <si>
    <t>C00655 * C00013</t>
  </si>
  <si>
    <t>C02380 * C00119</t>
  </si>
  <si>
    <t>C16614 * C00119</t>
  </si>
  <si>
    <t>C07648 * C00119</t>
  </si>
  <si>
    <t>C00105 * C00013</t>
  </si>
  <si>
    <t>C20237 * C00718</t>
  </si>
  <si>
    <t>C05893 * C11826</t>
  </si>
  <si>
    <t>G10553 * G10554</t>
  </si>
  <si>
    <t>C05898 * C11827</t>
  </si>
  <si>
    <t>G10555 * G10557</t>
  </si>
  <si>
    <t>C00032 * C00001 * C00448</t>
  </si>
  <si>
    <t>C04807 * C00568</t>
  </si>
  <si>
    <t>C01300 * C00568</t>
  </si>
  <si>
    <t>C01137 * C00134</t>
  </si>
  <si>
    <t>C01137 * C01672</t>
  </si>
  <si>
    <t>C00002 * C00541 * C03024</t>
  </si>
  <si>
    <t>C00002 * C06504 * C03024</t>
  </si>
  <si>
    <t>C00002 * C00853</t>
  </si>
  <si>
    <t>C06505 * C00002</t>
  </si>
  <si>
    <t>C00002 * C05774</t>
  </si>
  <si>
    <t>C00074 * C03175</t>
  </si>
  <si>
    <t>C04752 * C04327</t>
  </si>
  <si>
    <t>C04752 * C20247</t>
  </si>
  <si>
    <t>C04752 * C20246</t>
  </si>
  <si>
    <t>C00979 * C00283</t>
  </si>
  <si>
    <t>C00979 * C01528</t>
  </si>
  <si>
    <t>C00979 * C00320 * C00342 * C00080</t>
  </si>
  <si>
    <t>C01005 * C00283</t>
  </si>
  <si>
    <t>C01118 * C00097</t>
  </si>
  <si>
    <t>C01118 * C00001</t>
  </si>
  <si>
    <t>C01118 * C00283</t>
  </si>
  <si>
    <t>C00542 * C00042</t>
  </si>
  <si>
    <t>C01077 * C00097</t>
  </si>
  <si>
    <t>C05702 * C05688</t>
  </si>
  <si>
    <t>C01077 * C05688</t>
  </si>
  <si>
    <t>C01118 * C05688</t>
  </si>
  <si>
    <t>C00074 * C00279 * C00001</t>
  </si>
  <si>
    <t>C00009 * C00013 * C00019</t>
  </si>
  <si>
    <t>C00002 * C05335 * C00001</t>
  </si>
  <si>
    <t>C00931 * C00001</t>
  </si>
  <si>
    <t>C00074 * C00043</t>
  </si>
  <si>
    <t>C03722 * C00001 * C00009</t>
  </si>
  <si>
    <t>C05847 * C03657</t>
  </si>
  <si>
    <t>C00235 * C17324</t>
  </si>
  <si>
    <t>C04732 * C15556</t>
  </si>
  <si>
    <t>C00437 * C00026</t>
  </si>
  <si>
    <t>C00064 * C00085</t>
  </si>
  <si>
    <t>C04421 * C00026</t>
  </si>
  <si>
    <t>C00334 * C00026</t>
  </si>
  <si>
    <t>C00099 * C00026</t>
  </si>
  <si>
    <t>C00123 * C00026</t>
  </si>
  <si>
    <t>C00183 * C00026</t>
  </si>
  <si>
    <t>C00407 * C00026</t>
  </si>
  <si>
    <t>C02356 * C00026</t>
  </si>
  <si>
    <t>C01005 * C00026</t>
  </si>
  <si>
    <t>C06055 * C00026</t>
  </si>
  <si>
    <t>C00019 * C01092</t>
  </si>
  <si>
    <t>C00251 * C00064</t>
  </si>
  <si>
    <t>C00251 * C00014</t>
  </si>
  <si>
    <t>C01100 * C00026</t>
  </si>
  <si>
    <t>C00079 * C00026</t>
  </si>
  <si>
    <t>C00082 * C00026</t>
  </si>
  <si>
    <t>C00002 * C00257</t>
  </si>
  <si>
    <t>C11435 * C00002</t>
  </si>
  <si>
    <t>C06508 * C00002</t>
  </si>
  <si>
    <t>C06508 * C00044</t>
  </si>
  <si>
    <t>C00002 * C00310</t>
  </si>
  <si>
    <t>C00002 * C00031</t>
  </si>
  <si>
    <t>C00002 * C00221</t>
  </si>
  <si>
    <t>C00002 * C00267</t>
  </si>
  <si>
    <t>C00089 * C04261</t>
  </si>
  <si>
    <t>C00002 * C00003</t>
  </si>
  <si>
    <t>C00002 * C00882</t>
  </si>
  <si>
    <t>C00002 * C00255</t>
  </si>
  <si>
    <t>C00002 * C00116</t>
  </si>
  <si>
    <t>C00002 * C00258</t>
  </si>
  <si>
    <t>C00002 * C00864</t>
  </si>
  <si>
    <t>C00002 * C00831</t>
  </si>
  <si>
    <t>C00002 * C04079</t>
  </si>
  <si>
    <t>C00002 * C00250</t>
  </si>
  <si>
    <t>C00002 * C00314</t>
  </si>
  <si>
    <t>C00002 * C00534</t>
  </si>
  <si>
    <t>C00002 * C00263</t>
  </si>
  <si>
    <t>C00002 * C00022</t>
  </si>
  <si>
    <t>C00044 * C00022</t>
  </si>
  <si>
    <t>C00063 * C00022</t>
  </si>
  <si>
    <t>C00075 * C00022</t>
  </si>
  <si>
    <t>C00081 * C00022</t>
  </si>
  <si>
    <t>C00131 * C00022</t>
  </si>
  <si>
    <t>C00286 * C00022</t>
  </si>
  <si>
    <t>C00201 * C00022</t>
  </si>
  <si>
    <t>C00002 * C01279</t>
  </si>
  <si>
    <t>C00002 * C04294</t>
  </si>
  <si>
    <t>C00002 * C01094</t>
  </si>
  <si>
    <t>C01097 * C00002</t>
  </si>
  <si>
    <t>C00404 * C00031</t>
  </si>
  <si>
    <t>C00404 * C00221</t>
  </si>
  <si>
    <t>C00404 * C00267</t>
  </si>
  <si>
    <t>C00002 * C00493</t>
  </si>
  <si>
    <t>C06892 * C00002</t>
  </si>
  <si>
    <t>C00002 * C00017</t>
  </si>
  <si>
    <t>C00002 * C01609</t>
  </si>
  <si>
    <t>C00002 * C00033</t>
  </si>
  <si>
    <t>C00002 * C00163</t>
  </si>
  <si>
    <t>C00002 * C00025</t>
  </si>
  <si>
    <t>C00002 * C00197</t>
  </si>
  <si>
    <t>C00002 * C00049</t>
  </si>
  <si>
    <t>C00002 * C00624</t>
  </si>
  <si>
    <t>C00074 * C00615</t>
  </si>
  <si>
    <t>C00002 * C00404</t>
  </si>
  <si>
    <t>C00002 * C01081</t>
  </si>
  <si>
    <t>C00002 * C00105</t>
  </si>
  <si>
    <t>C00002 * C00055</t>
  </si>
  <si>
    <t>C00002 * C00239</t>
  </si>
  <si>
    <t>C00002 * C00020</t>
  </si>
  <si>
    <t>C00002 * C00360</t>
  </si>
  <si>
    <t>C00068 * C00008</t>
  </si>
  <si>
    <t>C00002 * C00454</t>
  </si>
  <si>
    <t>C00002 * C00008</t>
  </si>
  <si>
    <t>C11038 * C00002</t>
  </si>
  <si>
    <t>C00002 * C00015</t>
  </si>
  <si>
    <t>C00002 * C00035</t>
  </si>
  <si>
    <t>C00002 * C00112</t>
  </si>
  <si>
    <t>C00002 * C00104</t>
  </si>
  <si>
    <t>C00002 * C00206</t>
  </si>
  <si>
    <t>C00002 * C00361</t>
  </si>
  <si>
    <t>C00002 * C00363</t>
  </si>
  <si>
    <t>C00002 * C00705</t>
  </si>
  <si>
    <t>C00002 * C01346</t>
  </si>
  <si>
    <t>C00002 * C01344</t>
  </si>
  <si>
    <t>C22442 * C00002</t>
  </si>
  <si>
    <t>C00002 * C21748</t>
  </si>
  <si>
    <t>C00002 * C21750</t>
  </si>
  <si>
    <t>C00002 * C04556</t>
  </si>
  <si>
    <t>C00002 * C00144</t>
  </si>
  <si>
    <t>C00002 * C00362</t>
  </si>
  <si>
    <t>C22441 * C00002</t>
  </si>
  <si>
    <t>C00002 * C00364</t>
  </si>
  <si>
    <t>C00002 * C00365</t>
  </si>
  <si>
    <t>C00002 * C00117</t>
  </si>
  <si>
    <t>C00002 * C01300</t>
  </si>
  <si>
    <t>C00002 * C00044</t>
  </si>
  <si>
    <t>C00044 * C00636</t>
  </si>
  <si>
    <t>C00002 * C01185</t>
  </si>
  <si>
    <t>C00002 * C00455</t>
  </si>
  <si>
    <t>C00002 * C00061</t>
  </si>
  <si>
    <t>C00075 * C04501</t>
  </si>
  <si>
    <t>C00459 * C00103</t>
  </si>
  <si>
    <t>C00002 * C00103</t>
  </si>
  <si>
    <t>C00002 * C01134</t>
  </si>
  <si>
    <t>C00002 * C00059</t>
  </si>
  <si>
    <t>C00002 * C05697</t>
  </si>
  <si>
    <t>C00063 * C00416</t>
  </si>
  <si>
    <t>C00002 * C01281</t>
  </si>
  <si>
    <t>C00066 * C00009</t>
  </si>
  <si>
    <t>C00075 * C05250</t>
  </si>
  <si>
    <t>C00201 * C00046</t>
  </si>
  <si>
    <t>C00002 * C00046</t>
  </si>
  <si>
    <t>C00044 * C00046</t>
  </si>
  <si>
    <t>C00063 * C00046</t>
  </si>
  <si>
    <t>C00075 * C00046</t>
  </si>
  <si>
    <t>C11434 * C00063</t>
  </si>
  <si>
    <t>C06509 * C00044</t>
  </si>
  <si>
    <t>C00677 * C00039</t>
  </si>
  <si>
    <t>C00131 * C00039</t>
  </si>
  <si>
    <t>C00286 * C00039</t>
  </si>
  <si>
    <t>C00458 * C00039</t>
  </si>
  <si>
    <t>C00459 * C00039</t>
  </si>
  <si>
    <t>C02211 * C00063 * C00002</t>
  </si>
  <si>
    <t>C02211 * C00063</t>
  </si>
  <si>
    <t>C19078 * C00063</t>
  </si>
  <si>
    <t>C19080 * C00002</t>
  </si>
  <si>
    <t>C18237 * C00044</t>
  </si>
  <si>
    <t>C00046 * C00009</t>
  </si>
  <si>
    <t>C00188 * C00002 * C00288 * C00080</t>
  </si>
  <si>
    <t>C01299 * C00009</t>
  </si>
  <si>
    <t>C00075 * C00103</t>
  </si>
  <si>
    <t>C04702 * C17556</t>
  </si>
  <si>
    <t>C04882 * C17556</t>
  </si>
  <si>
    <t>C00194 * C00144</t>
  </si>
  <si>
    <t>C06510 * C04778</t>
  </si>
  <si>
    <t>C00269 * C00093</t>
  </si>
  <si>
    <t>C00010 * C03688</t>
  </si>
  <si>
    <t>C11437 * C15809 * C15814</t>
  </si>
  <si>
    <t>C18239 * C15814</t>
  </si>
  <si>
    <t>C01909 * C17023 * C00019 * C05359 * C00080</t>
  </si>
  <si>
    <t>C15811 * C00097</t>
  </si>
  <si>
    <t>C00097 * C02743</t>
  </si>
  <si>
    <t>C15812 * C02743</t>
  </si>
  <si>
    <t>C16236 * C22154 * C00019 * C22150 * C00080</t>
  </si>
  <si>
    <t>C22160 * C22154 * C00019 * C22150 * C00080</t>
  </si>
  <si>
    <t>C22159 * C22154 * C00019 * C22150 * C00080</t>
  </si>
  <si>
    <t>C04432 * C17023 * C00019</t>
  </si>
  <si>
    <t>C20755 * C00019</t>
  </si>
  <si>
    <t>C03586 * C00001</t>
  </si>
  <si>
    <t>C03880 * C00001</t>
  </si>
  <si>
    <t>C01236 * C00001</t>
  </si>
  <si>
    <t>C01153 * C00001</t>
  </si>
  <si>
    <t>C01081 * C00001</t>
  </si>
  <si>
    <t>C03360 * C00001</t>
  </si>
  <si>
    <t>C00111 * C00001</t>
  </si>
  <si>
    <t>C04895 * C00001</t>
  </si>
  <si>
    <t>C00354 * C00001</t>
  </si>
  <si>
    <t>C05378 * C00001</t>
  </si>
  <si>
    <t>C00447 * C00001</t>
  </si>
  <si>
    <t>C00689 * C00001</t>
  </si>
  <si>
    <t>G09795 * C00001</t>
  </si>
  <si>
    <t>C01100 * C00001</t>
  </si>
  <si>
    <t>C00562 * C00001</t>
  </si>
  <si>
    <t>C00061 * C00001</t>
  </si>
  <si>
    <t>C00681 * C00001</t>
  </si>
  <si>
    <t>C01005 * C00001</t>
  </si>
  <si>
    <t>C02532 * C00001</t>
  </si>
  <si>
    <t>C01167 * C00001</t>
  </si>
  <si>
    <t>C02520 * C00001</t>
  </si>
  <si>
    <t>C00020 * C00001</t>
  </si>
  <si>
    <t>C00055 * C00001</t>
  </si>
  <si>
    <t>C00105 * C00001</t>
  </si>
  <si>
    <t>C00130 * C00001</t>
  </si>
  <si>
    <t>C00144 * C00001</t>
  </si>
  <si>
    <t>C00455 * C00001</t>
  </si>
  <si>
    <t>C00655 * C00001</t>
  </si>
  <si>
    <t>C01185 * C00001</t>
  </si>
  <si>
    <t>C00364 * C00001</t>
  </si>
  <si>
    <t>C00239 * C00001</t>
  </si>
  <si>
    <t>C00362 * C00001</t>
  </si>
  <si>
    <t>C00360 * C00001</t>
  </si>
  <si>
    <t>C00365 * C00001</t>
  </si>
  <si>
    <t>C06196 * C00001</t>
  </si>
  <si>
    <t>C00054 * C00001</t>
  </si>
  <si>
    <t>C00053 * C00001</t>
  </si>
  <si>
    <t>C00021 * C00001</t>
  </si>
  <si>
    <t>C06400 * C00001</t>
  </si>
  <si>
    <t>C04517 * C00001</t>
  </si>
  <si>
    <t>C04635 * C00001</t>
  </si>
  <si>
    <t>C01419 * C00001</t>
  </si>
  <si>
    <t>C05729 * C00001</t>
  </si>
  <si>
    <t>C00234 * C00001</t>
  </si>
  <si>
    <t>C19784 * C00001</t>
  </si>
  <si>
    <t>C21179 * C00001</t>
  </si>
  <si>
    <t>C21178 * C00001</t>
  </si>
  <si>
    <t>C04421 * C00001</t>
  </si>
  <si>
    <t>C00819 * C00001</t>
  </si>
  <si>
    <t>C00241 * C00001</t>
  </si>
  <si>
    <t>C00357 * C00001</t>
  </si>
  <si>
    <t>C00014 * C00288</t>
  </si>
  <si>
    <t>C00086 * C00001</t>
  </si>
  <si>
    <t>C11439 * C00001</t>
  </si>
  <si>
    <t>C04258 * C00001</t>
  </si>
  <si>
    <t>C00337 * C00001</t>
  </si>
  <si>
    <t>C00002 * C01879 * C00001</t>
  </si>
  <si>
    <t>C00458 * C00001</t>
  </si>
  <si>
    <t>C00044 * C00001</t>
  </si>
  <si>
    <t>C05922 * C00001</t>
  </si>
  <si>
    <t>C02741 * C00001</t>
  </si>
  <si>
    <t>C01304 * C00001</t>
  </si>
  <si>
    <t>C17324 * C00001</t>
  </si>
  <si>
    <t>C00352 * C00001</t>
  </si>
  <si>
    <t>C00013 * C00001</t>
  </si>
  <si>
    <t>C00460 * C00001</t>
  </si>
  <si>
    <t>C21751 * C00001</t>
  </si>
  <si>
    <t>C00536 * C00001</t>
  </si>
  <si>
    <t>C04574 * C00001</t>
  </si>
  <si>
    <t>C02739 * C00001</t>
  </si>
  <si>
    <t>C00081 * C00001</t>
  </si>
  <si>
    <t>C00700 * C00001</t>
  </si>
  <si>
    <t>C01345 * C00001</t>
  </si>
  <si>
    <t xml:space="preserve">C16617 * C00001 </t>
  </si>
  <si>
    <t>C02133 * C00001</t>
  </si>
  <si>
    <t>C00227 * C00001</t>
  </si>
  <si>
    <t>C06206 * C00001</t>
  </si>
  <si>
    <t>C00236 * C00001</t>
  </si>
  <si>
    <t>C00201 * C00001</t>
  </si>
  <si>
    <t>C00002 * C00001</t>
  </si>
  <si>
    <t>C00063 * C00001</t>
  </si>
  <si>
    <t>C00075 * C00001</t>
  </si>
  <si>
    <t>C00459 * C00001</t>
  </si>
  <si>
    <t>C00003 * C00001</t>
  </si>
  <si>
    <t>C00016 * C00001</t>
  </si>
  <si>
    <t>C00029 * C00001</t>
  </si>
  <si>
    <t>C00857 * C00001</t>
  </si>
  <si>
    <t>C00882 * C00001</t>
  </si>
  <si>
    <t>C04287 * C00001</t>
  </si>
  <si>
    <t>C00009 * C00036</t>
  </si>
  <si>
    <t>C00044 * C00036</t>
  </si>
  <si>
    <t>C03373 * C00019</t>
  </si>
  <si>
    <t>C00044 * C00019 * C00030</t>
  </si>
  <si>
    <t>C02730 * C00001</t>
  </si>
  <si>
    <t>C00065 * C00463</t>
  </si>
  <si>
    <t>C00065 * C03506</t>
  </si>
  <si>
    <t>C01102 * C00001</t>
  </si>
  <si>
    <t>C06055 * C00001</t>
  </si>
  <si>
    <t>C20904 * C00001</t>
  </si>
  <si>
    <t>C20905 * C00001</t>
  </si>
  <si>
    <t>C04916 * C00064</t>
  </si>
  <si>
    <t>C04916 * C00014</t>
  </si>
  <si>
    <t>C00117 * C00118 * C00014</t>
  </si>
  <si>
    <t>C00117 * C00118 * C00064</t>
  </si>
  <si>
    <t>C00118 * C00199 * C00064</t>
  </si>
  <si>
    <t>C00441 * C00022</t>
  </si>
  <si>
    <t>C02882 * C00001</t>
  </si>
  <si>
    <t>C02291 * C00001</t>
  </si>
  <si>
    <t>C00491 * C00001</t>
  </si>
  <si>
    <t>C02749 * C00001</t>
  </si>
  <si>
    <t>C00097 * C00001</t>
  </si>
  <si>
    <t>C05699 * C00001</t>
  </si>
  <si>
    <t>C05689 * C00001</t>
  </si>
  <si>
    <t>C21310 * C00001</t>
  </si>
  <si>
    <t>C02191 * C14818</t>
  </si>
  <si>
    <t>C01159 * C00615</t>
  </si>
  <si>
    <t>C00002 * C00082 * C00787</t>
  </si>
  <si>
    <t>C00002 * C00073 * C01647</t>
  </si>
  <si>
    <t>C00002 * C05335 * C01647</t>
  </si>
  <si>
    <t>C00002 * C00065 * C01650</t>
  </si>
  <si>
    <t>C00002 * C00065 * C16636</t>
  </si>
  <si>
    <t>C01638 * C00049 * C00002</t>
  </si>
  <si>
    <t>C00002 * C00037 * C01642</t>
  </si>
  <si>
    <t>C00002 * C00148 * C01649</t>
  </si>
  <si>
    <t>C00002 * C00097 * C01639</t>
  </si>
  <si>
    <t>C01641 * C00025 * C00002</t>
  </si>
  <si>
    <t>C00002 * C00062 * C01636</t>
  </si>
  <si>
    <t>C00002 * C00078 * C01652</t>
  </si>
  <si>
    <t>C00002 * C00079 * C01648</t>
  </si>
  <si>
    <t>C00002 * C00135 * C01643</t>
  </si>
  <si>
    <t>C00002 * C00188 * C01651</t>
  </si>
  <si>
    <t>C00002 * C00123 * C01645</t>
  </si>
  <si>
    <t>C00002 * C00407 * C01644</t>
  </si>
  <si>
    <t>C00002 * C00047 * C01646</t>
  </si>
  <si>
    <t>C00002 * C00041 * C01635</t>
  </si>
  <si>
    <t>C00002 * C00183 * C01653</t>
  </si>
  <si>
    <t>C00002 * C02730 * C00010</t>
  </si>
  <si>
    <t>C00002 * C00042 * C00010</t>
  </si>
  <si>
    <t>C00002 * C00490 * C00010</t>
  </si>
  <si>
    <t>C19702 * C00097 * C00002</t>
  </si>
  <si>
    <t>C00002 * C21177 * C02188</t>
  </si>
  <si>
    <t>C00002 * C00025 * C00014</t>
  </si>
  <si>
    <t>C00002 * C00857 * C00014</t>
  </si>
  <si>
    <t>C00002 * C00522 * C00099</t>
  </si>
  <si>
    <t>C00002 * C05892 * C00993</t>
  </si>
  <si>
    <t>C00002 * C04877 * C00993</t>
  </si>
  <si>
    <t>C00002 * C00921 * C00025</t>
  </si>
  <si>
    <t>C00002 * C00234 * C00025</t>
  </si>
  <si>
    <t>C00002 * C00692 * C00680</t>
  </si>
  <si>
    <t>C00002 * C03541 * C00025</t>
  </si>
  <si>
    <t>C00002 * C00101 * C00025</t>
  </si>
  <si>
    <t>C00002 * C05928 * C00025</t>
  </si>
  <si>
    <t>C00002 * C00025 * C00097</t>
  </si>
  <si>
    <t>C00063 * C03492 * C00097</t>
  </si>
  <si>
    <t>C00002 * C04751 * C00049</t>
  </si>
  <si>
    <t>C00002 * C01050 * C00041</t>
  </si>
  <si>
    <t>C00002 * C01212 * C00217</t>
  </si>
  <si>
    <t>C00002 * C04640</t>
  </si>
  <si>
    <t>C00002 * C03479 * C00080</t>
  </si>
  <si>
    <t>C00002 * C01037 * C00011</t>
  </si>
  <si>
    <t>C01037 * C00011</t>
  </si>
  <si>
    <t>C22458 * C00002</t>
  </si>
  <si>
    <t>C00002 * C03090 * C00037</t>
  </si>
  <si>
    <t>C00002 * C00120 * C04735</t>
  </si>
  <si>
    <t>C00002 * C00120</t>
  </si>
  <si>
    <t>C05921 * C06249</t>
  </si>
  <si>
    <t>C00002 * C03373 * C00288</t>
  </si>
  <si>
    <t>C19722 * C00047 * C00002</t>
  </si>
  <si>
    <t>C00002 * C00075 * C00014</t>
  </si>
  <si>
    <t>C00002 * C00075 * C00064 * C00001</t>
  </si>
  <si>
    <t>C00044 * C00130 * C00049</t>
  </si>
  <si>
    <t>C00002 * C00327 * C00049</t>
  </si>
  <si>
    <t>C00002 * C00655 * C00014</t>
  </si>
  <si>
    <t>C00002 * C00655 * C00064 * C00001</t>
  </si>
  <si>
    <t>C16618 * C00002 * C00064 * C00001</t>
  </si>
  <si>
    <t>C00002 * C04376 * C00064 * C00001</t>
  </si>
  <si>
    <t>C00002 * C00049 * C00014</t>
  </si>
  <si>
    <t>C00002 * C00049 * C00064 * C00001</t>
  </si>
  <si>
    <t>C00002 * C00064 * C00288 * C00001</t>
  </si>
  <si>
    <t>C00002 * C01563</t>
  </si>
  <si>
    <t>C00002 * C00288</t>
  </si>
  <si>
    <t>C00014 * C20969</t>
  </si>
  <si>
    <t>C00002 * C00288 * C00014</t>
  </si>
  <si>
    <t>C00002 * C00022 * C00288</t>
  </si>
  <si>
    <t>C00003 * C00039 * C02128</t>
  </si>
  <si>
    <t>C15603 * C00125</t>
  </si>
  <si>
    <t>C00390 * C00125</t>
  </si>
  <si>
    <t>C00071 * C00004 * C00080</t>
  </si>
  <si>
    <t>C00084 * C00004 * C00080</t>
  </si>
  <si>
    <t>C00376 * C00004 * C00080</t>
  </si>
  <si>
    <t>C01545 * C00004 * C00080</t>
  </si>
  <si>
    <t>C05445 * C00004 * C00080</t>
  </si>
  <si>
    <t>C05577 * C00004 * C00080</t>
  </si>
  <si>
    <t>C06613 * C00004 * C00080</t>
  </si>
  <si>
    <t>C16348 * C00004 * C00080</t>
  </si>
  <si>
    <t>C14090 * C00004 * C00080</t>
  </si>
  <si>
    <t>C14099 * C00004 * C00080</t>
  </si>
  <si>
    <t>C16551 * C00003</t>
  </si>
  <si>
    <t>C16587 * C00004 * C00080</t>
  </si>
  <si>
    <t>C00576 * C00004 * C00080</t>
  </si>
  <si>
    <t>C00576 * C00005 * C00080</t>
  </si>
  <si>
    <t>C08492 * C00003</t>
  </si>
  <si>
    <t>C01450 * C00004 * C00080</t>
  </si>
  <si>
    <t>C16596 * C00004 * C00080</t>
  </si>
  <si>
    <t>C00772 * C00004 * C00080</t>
  </si>
  <si>
    <t>C07490 * C00003 * C00001</t>
  </si>
  <si>
    <t>C00685 * C00005 * C00080</t>
  </si>
  <si>
    <t>C05744 * C00005 * C00080</t>
  </si>
  <si>
    <t>C05753 * C00005</t>
  </si>
  <si>
    <t>C05750 * C00005 * C00080</t>
  </si>
  <si>
    <t>C05762 * C00005 * C00080</t>
  </si>
  <si>
    <t>C05746 * C00005 * C00080</t>
  </si>
  <si>
    <t>C05756 * C00005 * C00080</t>
  </si>
  <si>
    <t>C16220 * C00006</t>
  </si>
  <si>
    <t>C20373 * C00006</t>
  </si>
  <si>
    <t>C20377 * C00006</t>
  </si>
  <si>
    <t>C00966 * C00005 * C00080</t>
  </si>
  <si>
    <t>C00691 * C00004 * C00080</t>
  </si>
  <si>
    <t>C01268 * C00005 * C00080</t>
  </si>
  <si>
    <t>C00655 * C00004 * C00080</t>
  </si>
  <si>
    <t>C16618 * C00004 * C00080</t>
  </si>
  <si>
    <t>C00135 * C00004 * C00080</t>
  </si>
  <si>
    <t>C01929 * C00004 * C00080</t>
  </si>
  <si>
    <t>C02637 * C00005 * C00080</t>
  </si>
  <si>
    <t>C22438 * C00005 * C00080</t>
  </si>
  <si>
    <t>C11437 * C00005 * C00080</t>
  </si>
  <si>
    <t>C00022 * C00004 * C00080</t>
  </si>
  <si>
    <t>C00109 * C00004 * C00080</t>
  </si>
  <si>
    <t>C00957 * C00004 * C00080</t>
  </si>
  <si>
    <t>C00222 * C00005 * C00080</t>
  </si>
  <si>
    <t>C00441 * C00004 * C00080</t>
  </si>
  <si>
    <t>C00441 * C00005 * C00080</t>
  </si>
  <si>
    <t>C06718 * C00004 * C00080</t>
  </si>
  <si>
    <t>C00058 * C06717 * C00004 * C00080</t>
  </si>
  <si>
    <t>C20369 * C00004 * C00080</t>
  </si>
  <si>
    <t>C00036 * C00004 * C00080</t>
  </si>
  <si>
    <t>C01244 * C00004 * C00080</t>
  </si>
  <si>
    <t>C05528 * C00004 * C00080</t>
  </si>
  <si>
    <t>C00022 * C00011 * C00005 * C00080</t>
  </si>
  <si>
    <t>C00022 * C00011</t>
  </si>
  <si>
    <t>C00026 * C00011 * C00005 * C00080</t>
  </si>
  <si>
    <t>C00026 * C00011</t>
  </si>
  <si>
    <t>C05379 * C00005 * C00080</t>
  </si>
  <si>
    <t>C00199 * C00011 * C00005 * C00080</t>
  </si>
  <si>
    <t>C01236 * C00005 * C00080</t>
  </si>
  <si>
    <t>C04236 * C00004 * C00080</t>
  </si>
  <si>
    <t>C00233 * C00011 * C00004 * C00080</t>
  </si>
  <si>
    <t>C06032 * C00003</t>
  </si>
  <si>
    <t>C06010 * C00005 * C00080</t>
  </si>
  <si>
    <t>C04039 * C00006</t>
  </si>
  <si>
    <t>C04181 * C00005 * C00080</t>
  </si>
  <si>
    <t>C14463 * C00005 * C00080</t>
  </si>
  <si>
    <t>C00111 * C00004 * C00080</t>
  </si>
  <si>
    <t>C00111 * C00005 * C00080</t>
  </si>
  <si>
    <t>C03232 * C00004 * C00080</t>
  </si>
  <si>
    <t>C00026 * C00004 * C00080</t>
  </si>
  <si>
    <t>C00036 * C15603</t>
  </si>
  <si>
    <t>C00036 * C00027</t>
  </si>
  <si>
    <t>C00036 * C01352</t>
  </si>
  <si>
    <t>C00343 * C00001 * C01335</t>
  </si>
  <si>
    <t>C00007 * C00001</t>
  </si>
  <si>
    <t>C00067 * C00001</t>
  </si>
  <si>
    <t>C05640 * C00704 * C00027 * C00080</t>
  </si>
  <si>
    <t>C03671 * C00001</t>
  </si>
  <si>
    <t>C00084 * C00088 * C00061 * C00001</t>
  </si>
  <si>
    <t>C06321 * C00006</t>
  </si>
  <si>
    <t>C16482 * C00003</t>
  </si>
  <si>
    <t>C16481 * C00003</t>
  </si>
  <si>
    <t>C16480 * C00003</t>
  </si>
  <si>
    <t>C04634 * C00003</t>
  </si>
  <si>
    <t>C04044 * C00001 * C00003</t>
  </si>
  <si>
    <t>C12623 * C00001 * C00003</t>
  </si>
  <si>
    <t>C00628 * C00003 * C00001</t>
  </si>
  <si>
    <t>C00500 * C00237 * C14818 * C03161 * C00001</t>
  </si>
  <si>
    <t>C00027 * C00007</t>
  </si>
  <si>
    <t>C20258 * C00004 * C00080</t>
  </si>
  <si>
    <t>C20258 * C00005 * C00080</t>
  </si>
  <si>
    <t>C03723 * C00342</t>
  </si>
  <si>
    <t>C00342 * C00008</t>
  </si>
  <si>
    <t>C00342 * C00015</t>
  </si>
  <si>
    <t>C00035 * C00342</t>
  </si>
  <si>
    <t>C00342 * C00112</t>
  </si>
  <si>
    <t>C03723 * C16663</t>
  </si>
  <si>
    <t>C03723 * C02090</t>
  </si>
  <si>
    <t>C21748 * C00342</t>
  </si>
  <si>
    <t>C11811 * C00001 * C00139</t>
  </si>
  <si>
    <t>C00129 * C00139 * C00001</t>
  </si>
  <si>
    <t>C15670 * C00030</t>
  </si>
  <si>
    <t>C22329 * C00030</t>
  </si>
  <si>
    <t>C15670 * C00001</t>
  </si>
  <si>
    <t>C03082 * C00005 * C00080</t>
  </si>
  <si>
    <t>C00236 * C00004 * C00080</t>
  </si>
  <si>
    <t>C04133 * C00005 * C00080</t>
  </si>
  <si>
    <t>C03287 * C00005 * C00080</t>
  </si>
  <si>
    <t>C00156 * C00004 * C00080</t>
  </si>
  <si>
    <t>C00587 * C00004 * C00080</t>
  </si>
  <si>
    <t>C06672 * C00004 * C00080</t>
  </si>
  <si>
    <t>C03741 * C01641 * C00006</t>
  </si>
  <si>
    <t>C00042 * C00005 * C00080</t>
  </si>
  <si>
    <t>C00156 * C00005 * C00080</t>
  </si>
  <si>
    <t>C21167 * C00005 * C00080</t>
  </si>
  <si>
    <t>C16255 * C00011</t>
  </si>
  <si>
    <t>C05125 * C00011</t>
  </si>
  <si>
    <t>C16255 * C00068</t>
  </si>
  <si>
    <t>C06697 * C07293</t>
  </si>
  <si>
    <t>C06697 * C00343 * C00001</t>
  </si>
  <si>
    <t>C01179 * C00011 * C00004 * C00080</t>
  </si>
  <si>
    <t>C00090 * C00004 * C00011 * C00080</t>
  </si>
  <si>
    <t>C16472 * C00004 * C00011 * C00080</t>
  </si>
  <si>
    <t>C16473 * C00004 * C00011 * C00080</t>
  </si>
  <si>
    <t>C05427 * C00006</t>
  </si>
  <si>
    <t>C04631 * C00005 * C00080</t>
  </si>
  <si>
    <t>C04631 * C00004 * C00080</t>
  </si>
  <si>
    <t>C02191 * C00027</t>
  </si>
  <si>
    <t>C00295 * C15603</t>
  </si>
  <si>
    <t>C00032 * C00011 * C00001</t>
  </si>
  <si>
    <t>C22173 * C00011 * C00001</t>
  </si>
  <si>
    <t>C00064 * C00026 * C00005 * C00080</t>
  </si>
  <si>
    <t>C00026 * C00014 * C00005 * C00080</t>
  </si>
  <si>
    <t>C00025 * C00014</t>
  </si>
  <si>
    <t>C03871 * C00014 * C00005 * C00080</t>
  </si>
  <si>
    <t>C00161 * C00014 * C00004 * C00080</t>
  </si>
  <si>
    <t>C00161 * C00014 * C00005 * C00080</t>
  </si>
  <si>
    <t>C00048 * C00014 * C00027</t>
  </si>
  <si>
    <t>C15809 * C00027</t>
  </si>
  <si>
    <t>C00048 * C00014</t>
  </si>
  <si>
    <t>C00022 * C00014 * C00027</t>
  </si>
  <si>
    <t>C00048 * C00218 * C00027</t>
  </si>
  <si>
    <t>C00048 * C00797 * C00027</t>
  </si>
  <si>
    <t>C03912 * C00004 * C00080</t>
  </si>
  <si>
    <t>C03912 * C00005 * C00080</t>
  </si>
  <si>
    <t>C04281 * C00004 * C00080</t>
  </si>
  <si>
    <t>C04281 * C00005 * C00080</t>
  </si>
  <si>
    <t>C00143 * C00005 * C00080</t>
  </si>
  <si>
    <t>C00143 * C00004 * C00080</t>
  </si>
  <si>
    <t>C00415 * C00005 * C00080</t>
  </si>
  <si>
    <t>C00415 * C00004 * C00080</t>
  </si>
  <si>
    <t>C00504 * C00004 * C00080</t>
  </si>
  <si>
    <t>C00504 * C00005 * C00080</t>
  </si>
  <si>
    <t>C02953 * C00005 * C00080</t>
  </si>
  <si>
    <t>C00003 * C15603</t>
  </si>
  <si>
    <t>C05819 * C00003</t>
  </si>
  <si>
    <t>C05850 * C00003</t>
  </si>
  <si>
    <t>C03313 * C00003</t>
  </si>
  <si>
    <t>C00006 * C15603</t>
  </si>
  <si>
    <t>C05309 * C00006</t>
  </si>
  <si>
    <t>C11502 * C00004 * C00080</t>
  </si>
  <si>
    <t>C11502 * C00005 * C00080</t>
  </si>
  <si>
    <t>G11175 * C00004 * C00080</t>
  </si>
  <si>
    <t>G11175 * C00005 * C00080</t>
  </si>
  <si>
    <t>C16237 * C00004 * C00080</t>
  </si>
  <si>
    <t>C02051 * C00004 * C00080</t>
  </si>
  <si>
    <t>C15972 * C00004 * C00080</t>
  </si>
  <si>
    <t>C00248 * C00004 * C00080</t>
  </si>
  <si>
    <t>C00343 * C00005 * C00080</t>
  </si>
  <si>
    <t>C05526 * C00005</t>
  </si>
  <si>
    <t>C05684 * C00005 * C00080</t>
  </si>
  <si>
    <t>C00006 * C00001 * C05703</t>
  </si>
  <si>
    <t>C03895 * C00342</t>
  </si>
  <si>
    <t>C15999 * C00342</t>
  </si>
  <si>
    <t>C15653 * C00342</t>
  </si>
  <si>
    <t>C00343 * C00094 * C00054</t>
  </si>
  <si>
    <t>C00094 * C00138 * C00080</t>
  </si>
  <si>
    <t>C05684 * C00138 * C00080</t>
  </si>
  <si>
    <t>C00021 * C02463</t>
  </si>
  <si>
    <t>C00021 * C15527</t>
  </si>
  <si>
    <t>C00021 * C05778</t>
  </si>
  <si>
    <t>C00101 * C00073</t>
  </si>
  <si>
    <t>C05335 * C04144</t>
  </si>
  <si>
    <t>C04144 * C00073</t>
  </si>
  <si>
    <t>C00101 * C00364 * C00006</t>
  </si>
  <si>
    <t>C05819 * C00021</t>
  </si>
  <si>
    <t>C00021 * C04153</t>
  </si>
  <si>
    <t>C00021 * C20796</t>
  </si>
  <si>
    <t>C00021 * C04157</t>
  </si>
  <si>
    <t>C20858 * C00021</t>
  </si>
  <si>
    <t>C00021 * C04160</t>
  </si>
  <si>
    <t>C00021 * C02967</t>
  </si>
  <si>
    <t>C00415 * C00364</t>
  </si>
  <si>
    <t>C03800 * C11475</t>
  </si>
  <si>
    <t>C00101 * C00065</t>
  </si>
  <si>
    <t>C04377 * C00037 * C00001</t>
  </si>
  <si>
    <t>C00101 * C00966</t>
  </si>
  <si>
    <t>C00141 * C00067</t>
  </si>
  <si>
    <t>C00101 * C04376</t>
  </si>
  <si>
    <t>C04376 * C00101</t>
  </si>
  <si>
    <t>C00101 * C04734</t>
  </si>
  <si>
    <t>C00101 * C03294</t>
  </si>
  <si>
    <t>C00083 * C06250</t>
  </si>
  <si>
    <t>C00009 * C00438</t>
  </si>
  <si>
    <t>C00009 * C00327</t>
  </si>
  <si>
    <t>C00117 * C00231</t>
  </si>
  <si>
    <t>C00279 * C00231</t>
  </si>
  <si>
    <t>C12215 * C05382</t>
  </si>
  <si>
    <t>C13378 * C00118</t>
  </si>
  <si>
    <t>C13378 * C00117</t>
  </si>
  <si>
    <t>C00279 * C00085</t>
  </si>
  <si>
    <t>C00279 * C05345</t>
  </si>
  <si>
    <t>C05125 * C00022</t>
  </si>
  <si>
    <t>C06006 * C00068</t>
  </si>
  <si>
    <t>C06006 * C00011</t>
  </si>
  <si>
    <t>C11437 * C00011</t>
  </si>
  <si>
    <t>C16519 * C00011</t>
  </si>
  <si>
    <t>C00010 * C00624</t>
  </si>
  <si>
    <t>C00010 * C04462</t>
  </si>
  <si>
    <t>C16236 * C00229</t>
  </si>
  <si>
    <t>C22160 * C00229</t>
  </si>
  <si>
    <t>C22159 * C00229</t>
  </si>
  <si>
    <t>C16237 * C00229</t>
  </si>
  <si>
    <t>C06717 * C00010</t>
  </si>
  <si>
    <t>C00020 * C20751</t>
  </si>
  <si>
    <t>C00010 * C04341</t>
  </si>
  <si>
    <t>C00153 * C02188 * C20658 * C00080</t>
  </si>
  <si>
    <t>C00153 * C02415 * C20658 * C00080</t>
  </si>
  <si>
    <t>C00010 * C01077</t>
  </si>
  <si>
    <t>C00077 * C00624</t>
  </si>
  <si>
    <t>C00010 * C00227</t>
  </si>
  <si>
    <t>C02876 * C00010</t>
  </si>
  <si>
    <t>C00638 * C00011 * C00006 * C00010 * C00001</t>
  </si>
  <si>
    <t>C00010 * C03939</t>
  </si>
  <si>
    <t>C00010 * C01209</t>
  </si>
  <si>
    <t>C00229 * C00249</t>
  </si>
  <si>
    <t>C05744 * C00011 * C00229</t>
  </si>
  <si>
    <t>C04246 * C00001</t>
  </si>
  <si>
    <t>C04246 * C00005 * C00080</t>
  </si>
  <si>
    <t>C05754 * C00001</t>
  </si>
  <si>
    <t>C05751 * C00001</t>
  </si>
  <si>
    <t>C05763 * C00001</t>
  </si>
  <si>
    <t>C05759 * C00005 * C00080</t>
  </si>
  <si>
    <t>C05760 * C00001</t>
  </si>
  <si>
    <t>C05758 * C00005 * C00080</t>
  </si>
  <si>
    <t>C05759 * C00011 * C00229</t>
  </si>
  <si>
    <t>C05746 * C00011 * C00229</t>
  </si>
  <si>
    <t>C05748 * C00001</t>
  </si>
  <si>
    <t>C05748 * C00005 * C00080</t>
  </si>
  <si>
    <t>C05750 * C00011 * C00229</t>
  </si>
  <si>
    <t>C05751 * C00005 * C00080</t>
  </si>
  <si>
    <t>C05753 * C00011 * C00229</t>
  </si>
  <si>
    <t>C05754 * C00005 * C00080</t>
  </si>
  <si>
    <t>C05756 * C00011 * C00229</t>
  </si>
  <si>
    <t>C05758 * C00001</t>
  </si>
  <si>
    <t>C05760 * C00005 * C00080</t>
  </si>
  <si>
    <t>C05762 * C00011 * C00229</t>
  </si>
  <si>
    <t>C05763 * C00005 * C00080</t>
  </si>
  <si>
    <t>C00010 * C00332</t>
  </si>
  <si>
    <t>C00010 * C03344</t>
  </si>
  <si>
    <t>C00010 * C05269</t>
  </si>
  <si>
    <t>C00012 * C03363</t>
  </si>
  <si>
    <t>C01419 * C03740</t>
  </si>
  <si>
    <t>C00012 * C05844</t>
  </si>
  <si>
    <t>C05951 * C03363</t>
  </si>
  <si>
    <t>C00012 * C05695</t>
  </si>
  <si>
    <t>C05729 * C00025</t>
  </si>
  <si>
    <t>C05711 * C00001</t>
  </si>
  <si>
    <t>C06114 * C00001</t>
  </si>
  <si>
    <t>C00024 * C00141 * C00001</t>
  </si>
  <si>
    <t>C00024 * C00001 * C00036</t>
  </si>
  <si>
    <t>C00100 * C00036 * C00001</t>
  </si>
  <si>
    <t>C00024 * C00001 * C00048</t>
  </si>
  <si>
    <t>C00110 * C02863</t>
  </si>
  <si>
    <t>G10622 * G13027</t>
  </si>
  <si>
    <t>C00110 * C20722</t>
  </si>
  <si>
    <t>C00015 * C00689</t>
  </si>
  <si>
    <t>G10619 * G09795</t>
  </si>
  <si>
    <t>C00008 * C00718</t>
  </si>
  <si>
    <t>G10495 * G11113</t>
  </si>
  <si>
    <t>C05893 * C00015</t>
  </si>
  <si>
    <t>G10553 * G10619</t>
  </si>
  <si>
    <t>C05898 * C00015</t>
  </si>
  <si>
    <t>G10550 * G10619</t>
  </si>
  <si>
    <t>G10555 * G10619</t>
  </si>
  <si>
    <t>C19761 * C00015</t>
  </si>
  <si>
    <t>C00454 * C19791</t>
  </si>
  <si>
    <t>G10619 * G13120</t>
  </si>
  <si>
    <t>G10619 * G13121</t>
  </si>
  <si>
    <t>C00035 * C21607</t>
  </si>
  <si>
    <t>C00035 * C21608</t>
  </si>
  <si>
    <t>G10620 * G13102</t>
  </si>
  <si>
    <t>G10620 * G13108</t>
  </si>
  <si>
    <t>C00295 * C00119</t>
  </si>
  <si>
    <t>C16634 * C00013</t>
  </si>
  <si>
    <t>C00064 * C00119 * C00001</t>
  </si>
  <si>
    <t>C00002 * C00119</t>
  </si>
  <si>
    <t>C00108 * C00119</t>
  </si>
  <si>
    <t>C03722 * C00119</t>
  </si>
  <si>
    <t>C00253 * C04778 * C00080</t>
  </si>
  <si>
    <t>C20446 * C00242</t>
  </si>
  <si>
    <t>C20352 * C00013</t>
  </si>
  <si>
    <t>C00147 * C00119</t>
  </si>
  <si>
    <t>C04051 * C00119</t>
  </si>
  <si>
    <t>C00262 * C00119</t>
  </si>
  <si>
    <t>C00242 * C00119</t>
  </si>
  <si>
    <t>C00385 * C00119</t>
  </si>
  <si>
    <t>C04646 * C00013</t>
  </si>
  <si>
    <t>C16615 * C00013</t>
  </si>
  <si>
    <t>C16619 * C00013</t>
  </si>
  <si>
    <t>C00106 * C00119</t>
  </si>
  <si>
    <t>C00009 * C00718</t>
  </si>
  <si>
    <t>C04574 * C11826</t>
  </si>
  <si>
    <t>C04574 * G10554</t>
  </si>
  <si>
    <t>C04574 * C11827</t>
  </si>
  <si>
    <t>C04574 * G10557</t>
  </si>
  <si>
    <t>C15672 * C00013</t>
  </si>
  <si>
    <t>C00013 * C00921</t>
  </si>
  <si>
    <t>C00921 * C00001</t>
  </si>
  <si>
    <t>C00170 * C00315</t>
  </si>
  <si>
    <t>C00170 * C16565</t>
  </si>
  <si>
    <t>C00536 * C00194 * C03161</t>
  </si>
  <si>
    <t>C00536 * C06506 * C03161</t>
  </si>
  <si>
    <t xml:space="preserve">C00536 * C00194 </t>
  </si>
  <si>
    <t>C06506 * C00536</t>
  </si>
  <si>
    <t>C00536 * C06508</t>
  </si>
  <si>
    <t>C00009 * C01269</t>
  </si>
  <si>
    <t>C00013 * C01081</t>
  </si>
  <si>
    <t>C01081 * C00013 * C00011</t>
  </si>
  <si>
    <t>C00013 * C01081 * C00011</t>
  </si>
  <si>
    <t>C00097 * C00033</t>
  </si>
  <si>
    <t>C05688 * C00033</t>
  </si>
  <si>
    <t>C00097 * C00094 * C00343 * C00033</t>
  </si>
  <si>
    <t>C00097 * C00009</t>
  </si>
  <si>
    <t>C02291 * C00042</t>
  </si>
  <si>
    <t>C00109 * C00042 * C00014</t>
  </si>
  <si>
    <t>C00155 * C00042</t>
  </si>
  <si>
    <t>C02291 * C00033</t>
  </si>
  <si>
    <t>C05699 * C00009</t>
  </si>
  <si>
    <t>C05699 * C00033</t>
  </si>
  <si>
    <t>C05699 * C00042</t>
  </si>
  <si>
    <t>C04691 * C00009</t>
  </si>
  <si>
    <t>C00002 * C00073 * C00001</t>
  </si>
  <si>
    <t>C00009 * C00013 * C05691</t>
  </si>
  <si>
    <t>C01024 * C00014</t>
  </si>
  <si>
    <t>C04631 * C00009</t>
  </si>
  <si>
    <t>C05840 * C00111</t>
  </si>
  <si>
    <t>C19847 * C00013 * C00011</t>
  </si>
  <si>
    <t>C00013 * C04432</t>
  </si>
  <si>
    <t>C04332 * C00001 * C00009</t>
  </si>
  <si>
    <t>C00255 * C04732</t>
  </si>
  <si>
    <t>C01250 * C00025</t>
  </si>
  <si>
    <t>C00025 * C00352</t>
  </si>
  <si>
    <t>C04462 * C00025</t>
  </si>
  <si>
    <t>C00232 * C00025</t>
  </si>
  <si>
    <t>C00222 * C00025</t>
  </si>
  <si>
    <t>C00233 * C00025</t>
  </si>
  <si>
    <t>C00141 * C00025</t>
  </si>
  <si>
    <t>C00671 * C00025</t>
  </si>
  <si>
    <t>C00109 * C00025</t>
  </si>
  <si>
    <t>C03232 * C00025</t>
  </si>
  <si>
    <t>C06054 * C00025</t>
  </si>
  <si>
    <t>C04425 * C01037</t>
  </si>
  <si>
    <t>C11355 * C00025</t>
  </si>
  <si>
    <t>C11355 * C00001</t>
  </si>
  <si>
    <t>C01267 * C00025</t>
  </si>
  <si>
    <t>C00166 * C00025</t>
  </si>
  <si>
    <t>C01179 * C00025</t>
  </si>
  <si>
    <t>C00008 * C00345</t>
  </si>
  <si>
    <t>C11436 * C00008</t>
  </si>
  <si>
    <t>C06509 * C00008</t>
  </si>
  <si>
    <t>C06509 * C00035</t>
  </si>
  <si>
    <t>C00008 * C00231</t>
  </si>
  <si>
    <t>C00008 * C00092</t>
  </si>
  <si>
    <t>C00008 * C01172</t>
  </si>
  <si>
    <t>C00008 * C00668</t>
  </si>
  <si>
    <t>C16688 * C00615</t>
  </si>
  <si>
    <t>C00008 * C00006</t>
  </si>
  <si>
    <t>C00008 * C00010</t>
  </si>
  <si>
    <t>C00008 * C00061</t>
  </si>
  <si>
    <t>C00008 * C00093</t>
  </si>
  <si>
    <t>C00008 * C00197</t>
  </si>
  <si>
    <t>C00008 * C03492</t>
  </si>
  <si>
    <t>C00008 * C01134</t>
  </si>
  <si>
    <t>C00008 * C04352</t>
  </si>
  <si>
    <t>C00008 * C00018</t>
  </si>
  <si>
    <t>C00008 * C00627</t>
  </si>
  <si>
    <t>C00008 * C00647</t>
  </si>
  <si>
    <t>C00008 * C01102</t>
  </si>
  <si>
    <t>C00008 * C00074</t>
  </si>
  <si>
    <t>C00035 * C00074</t>
  </si>
  <si>
    <t>C00112 * C00074</t>
  </si>
  <si>
    <t>C00015 * C00074</t>
  </si>
  <si>
    <t>C00104 * C00074</t>
  </si>
  <si>
    <t>C00206 * C00074</t>
  </si>
  <si>
    <t>C00361 * C00074</t>
  </si>
  <si>
    <t>C00454 * C00074</t>
  </si>
  <si>
    <t>C00008 * C04556</t>
  </si>
  <si>
    <t>C00008 * C04327</t>
  </si>
  <si>
    <t>C00008 * C00354</t>
  </si>
  <si>
    <t>C00008 * C05378</t>
  </si>
  <si>
    <t>C03785 * C00008</t>
  </si>
  <si>
    <t>C00404 * C00092</t>
  </si>
  <si>
    <t>C00404 * C01172</t>
  </si>
  <si>
    <t>C00404 * C00668</t>
  </si>
  <si>
    <t>C00008 * C03175</t>
  </si>
  <si>
    <t>C06893 * C00008</t>
  </si>
  <si>
    <t>C00008 * C00562</t>
  </si>
  <si>
    <t>C00008 * C02729</t>
  </si>
  <si>
    <t>C00008 * C00227</t>
  </si>
  <si>
    <t>C00008 * C02876</t>
  </si>
  <si>
    <t>C00008 * C03287</t>
  </si>
  <si>
    <t>C00008 * C00236</t>
  </si>
  <si>
    <t>C00008 * C03082</t>
  </si>
  <si>
    <t>C00008 * C04133</t>
  </si>
  <si>
    <t>C00022 * C04261</t>
  </si>
  <si>
    <t>C00008 * C00404</t>
  </si>
  <si>
    <t>C00008 * C00068</t>
  </si>
  <si>
    <t>C00008 * C00015</t>
  </si>
  <si>
    <t>C00008 * C00112</t>
  </si>
  <si>
    <t>C00008 * C00705</t>
  </si>
  <si>
    <t>C00008 * C00206</t>
  </si>
  <si>
    <t>C03028 * C00020</t>
  </si>
  <si>
    <t>C00008 * C00201</t>
  </si>
  <si>
    <t>C00008 * C00002</t>
  </si>
  <si>
    <t>C11039 * C00008</t>
  </si>
  <si>
    <t>C00008 * C00075</t>
  </si>
  <si>
    <t>C00008 * C00044</t>
  </si>
  <si>
    <t>C00008 * C00063</t>
  </si>
  <si>
    <t>C00008 * C00081</t>
  </si>
  <si>
    <t>C00008 * C00131</t>
  </si>
  <si>
    <t>C00008 * C00286</t>
  </si>
  <si>
    <t>C00008 * C00459</t>
  </si>
  <si>
    <t>C00008 * C00458</t>
  </si>
  <si>
    <t>C00008 * C00460</t>
  </si>
  <si>
    <t>C00008 * C01345</t>
  </si>
  <si>
    <t>C22443 * C00008</t>
  </si>
  <si>
    <t>C00008 * C21749</t>
  </si>
  <si>
    <t>C00008 * C21751</t>
  </si>
  <si>
    <t>C00008 * C04752</t>
  </si>
  <si>
    <t>C00008 * C00035</t>
  </si>
  <si>
    <t>C00008 * C00361</t>
  </si>
  <si>
    <t>C22442 * C00008</t>
  </si>
  <si>
    <t>C00008 * C00363</t>
  </si>
  <si>
    <t>C00008 * C01346</t>
  </si>
  <si>
    <t>C00020 * C00119</t>
  </si>
  <si>
    <t>C00020 * C04807</t>
  </si>
  <si>
    <t>C00020 * C04494</t>
  </si>
  <si>
    <t>C00013 * C00096</t>
  </si>
  <si>
    <t>C00013 * C00857</t>
  </si>
  <si>
    <t>C00013 * C00003</t>
  </si>
  <si>
    <t>C00013 * C00016</t>
  </si>
  <si>
    <t>C00013 * C00043</t>
  </si>
  <si>
    <t>C00013 * C00842</t>
  </si>
  <si>
    <t>C00013 * C00498</t>
  </si>
  <si>
    <t>C00013 * C00882</t>
  </si>
  <si>
    <t>C00013 * C00224</t>
  </si>
  <si>
    <t>C00013 * C05686</t>
  </si>
  <si>
    <t>C00013 * C00269</t>
  </si>
  <si>
    <t>C00013 * C01299</t>
  </si>
  <si>
    <t>C00066 * C00454</t>
  </si>
  <si>
    <t>C00013 * C05326</t>
  </si>
  <si>
    <t>C00013 * C00046</t>
  </si>
  <si>
    <t>C20864 * C00013</t>
  </si>
  <si>
    <t>C11435 * C00013</t>
  </si>
  <si>
    <t>C06510 * C00013</t>
  </si>
  <si>
    <t>C00013 * C00039</t>
  </si>
  <si>
    <t>C19085 * C00013</t>
  </si>
  <si>
    <t>C19078 * C00013</t>
  </si>
  <si>
    <t>C19080 * C00013</t>
  </si>
  <si>
    <t>C19871 * C00013</t>
  </si>
  <si>
    <t>C00046 * C00454</t>
  </si>
  <si>
    <t>C00046 * C00008</t>
  </si>
  <si>
    <t>C00046 * C00015</t>
  </si>
  <si>
    <t>C00046 * C00035</t>
  </si>
  <si>
    <t>C00046 * C00112</t>
  </si>
  <si>
    <t>C00013 * C20565</t>
  </si>
  <si>
    <t>C20641 * C00013 * C00001</t>
  </si>
  <si>
    <t>C00008 * C01281</t>
  </si>
  <si>
    <t>C00013 * C00029</t>
  </si>
  <si>
    <t>C00105 * C04851</t>
  </si>
  <si>
    <t>C00105 * C05897</t>
  </si>
  <si>
    <t>C06510 * C05775</t>
  </si>
  <si>
    <t>C00144 * C21153</t>
  </si>
  <si>
    <t>C00055 * C03892</t>
  </si>
  <si>
    <t>C00054 * C00229</t>
  </si>
  <si>
    <t>C20246 * C15810 * C00001</t>
  </si>
  <si>
    <t>C05924 * C15810</t>
  </si>
  <si>
    <t>C00120 * C00073 * C05198</t>
  </si>
  <si>
    <t>C15812 * C00041</t>
  </si>
  <si>
    <t>C00041 * C21440</t>
  </si>
  <si>
    <t>C15811 * C21440</t>
  </si>
  <si>
    <t>C16832 * C22155 * C00283 * C14818 * C00073 * C05198 * C22151</t>
  </si>
  <si>
    <t>C15973 * C22155 * C00283 * C14818 * C00073 * C05198 * C22151</t>
  </si>
  <si>
    <t>C02972 * C22155 * C00283 * C14818 * C00073 * C05198 * C22151</t>
  </si>
  <si>
    <t>C20753 * C00021 * C00073 * C05198</t>
  </si>
  <si>
    <t>C20755 * C00073 * C05198</t>
  </si>
  <si>
    <t>C20753 * C00021</t>
  </si>
  <si>
    <t>C03523 * C00066</t>
  </si>
  <si>
    <t>C00069 * C00009</t>
  </si>
  <si>
    <t>C00378 * C00009</t>
  </si>
  <si>
    <t>C00870 * C00009</t>
  </si>
  <si>
    <t>C00184 * C00009</t>
  </si>
  <si>
    <t>C04874 * C00009</t>
  </si>
  <si>
    <t>C00085 * C00009</t>
  </si>
  <si>
    <t>C05345 * C00009</t>
  </si>
  <si>
    <t>C05382 * C00009</t>
  </si>
  <si>
    <t>C01083 * C00009</t>
  </si>
  <si>
    <t>G00293 * C00009</t>
  </si>
  <si>
    <t>C00860 * C00009</t>
  </si>
  <si>
    <t>C00017 * C00009</t>
  </si>
  <si>
    <t>C00255 * C00009</t>
  </si>
  <si>
    <t>C01885 * C00009</t>
  </si>
  <si>
    <t>C00065 * C00009</t>
  </si>
  <si>
    <t>C00740 * C00009</t>
  </si>
  <si>
    <t>C00585 * C00009</t>
  </si>
  <si>
    <t>C00911 * C00009</t>
  </si>
  <si>
    <t>C00212 * C00009</t>
  </si>
  <si>
    <t>C00475 * C00009</t>
  </si>
  <si>
    <t>C00299 * C00009</t>
  </si>
  <si>
    <t>C00294 * C00009</t>
  </si>
  <si>
    <t>C00387 * C00009</t>
  </si>
  <si>
    <t>C03150 * C00009</t>
  </si>
  <si>
    <t>C01762 * C00009</t>
  </si>
  <si>
    <t>C05841 * C00009</t>
  </si>
  <si>
    <t>C00214 * C00009</t>
  </si>
  <si>
    <t>C00881 * C00009</t>
  </si>
  <si>
    <t>C00330 * C00009</t>
  </si>
  <si>
    <t>C00559 * C00009</t>
  </si>
  <si>
    <t>C00526 * C00009</t>
  </si>
  <si>
    <t>C05512 * C00009</t>
  </si>
  <si>
    <t>C00020 * C00009</t>
  </si>
  <si>
    <t>C00224 * C00009</t>
  </si>
  <si>
    <t>C00212 * C00155</t>
  </si>
  <si>
    <t>C01083 * C01935</t>
  </si>
  <si>
    <t>C00147 * C00117</t>
  </si>
  <si>
    <t>C00071 * C00670</t>
  </si>
  <si>
    <t>C00071 * C01233</t>
  </si>
  <si>
    <t>C00097 * C00037</t>
  </si>
  <si>
    <t>C05726 * C00037</t>
  </si>
  <si>
    <t>C00058 * C00101</t>
  </si>
  <si>
    <t>C19702 * C00033</t>
  </si>
  <si>
    <t>C21177 * C00014</t>
  </si>
  <si>
    <t>C21177 * C02188</t>
  </si>
  <si>
    <t>C00042 * C00666</t>
  </si>
  <si>
    <t>C00217 * C00014</t>
  </si>
  <si>
    <t>C00060 * C00014</t>
  </si>
  <si>
    <t>C00352 * C00033</t>
  </si>
  <si>
    <t>C01563 * C00001</t>
  </si>
  <si>
    <t>C00288 * C00014</t>
  </si>
  <si>
    <t>C01563 * C00014</t>
  </si>
  <si>
    <t>C00011 * C00014</t>
  </si>
  <si>
    <t>C11440 * C00058</t>
  </si>
  <si>
    <t>C00058 * C03617</t>
  </si>
  <si>
    <t>C00008 * C00009 * C00025</t>
  </si>
  <si>
    <t>C00460 * C00014</t>
  </si>
  <si>
    <t>C04895 * C00058</t>
  </si>
  <si>
    <t>C05923 * C00058</t>
  </si>
  <si>
    <t>C00058 * C01304 * C00009</t>
  </si>
  <si>
    <t>C01268 * C00014</t>
  </si>
  <si>
    <t>C20451 * C00014</t>
  </si>
  <si>
    <t>C00365 * C00013</t>
  </si>
  <si>
    <t>C04242 * C00013</t>
  </si>
  <si>
    <t>C00013 * C00009</t>
  </si>
  <si>
    <t>C17556 * C00009</t>
  </si>
  <si>
    <t>C02741 * C00013</t>
  </si>
  <si>
    <t>C06196 * C00013</t>
  </si>
  <si>
    <t>C00060 * C00009</t>
  </si>
  <si>
    <t>C00033 * C00009</t>
  </si>
  <si>
    <t>C00180 * C00009</t>
  </si>
  <si>
    <t>C00197 * C00009</t>
  </si>
  <si>
    <t>C00215 * C00013</t>
  </si>
  <si>
    <t>C00055 * C00013</t>
  </si>
  <si>
    <t>C00364 * C00013</t>
  </si>
  <si>
    <t>C00020 * C00455</t>
  </si>
  <si>
    <t>C00020 * C00061</t>
  </si>
  <si>
    <t>C00105 * C00103</t>
  </si>
  <si>
    <t>C00020 * C01185</t>
  </si>
  <si>
    <t>C01134 * C00020</t>
  </si>
  <si>
    <t>C00099 * C00011</t>
  </si>
  <si>
    <t>C00047 * C00011</t>
  </si>
  <si>
    <t>C03373 * C00011</t>
  </si>
  <si>
    <t>C00105 * C00011</t>
  </si>
  <si>
    <t>C00001 * C00074 * C00011</t>
  </si>
  <si>
    <t>C00035 * C00074 * C00011</t>
  </si>
  <si>
    <t>C01134 * C00011</t>
  </si>
  <si>
    <t>C03263 * C00011</t>
  </si>
  <si>
    <t>C05768 * C00011</t>
  </si>
  <si>
    <t>C03586 * C00011</t>
  </si>
  <si>
    <t>C03506 * C00011 * C00001</t>
  </si>
  <si>
    <t>C00232 * C00011</t>
  </si>
  <si>
    <t>C00111 * C00118</t>
  </si>
  <si>
    <t>C00111 * C00279</t>
  </si>
  <si>
    <t>C00111 * C00577</t>
  </si>
  <si>
    <t>C00266 * C01300</t>
  </si>
  <si>
    <t>C00118 * C00084</t>
  </si>
  <si>
    <t>C00042 * C00048</t>
  </si>
  <si>
    <t>C00108 * C00022 * C00025</t>
  </si>
  <si>
    <t>C00108 * C00022 * C00001</t>
  </si>
  <si>
    <t>C00022 * C00042</t>
  </si>
  <si>
    <t>C03657 * C00010</t>
  </si>
  <si>
    <t>C15547 * C00001</t>
  </si>
  <si>
    <t>C00568 * C00022</t>
  </si>
  <si>
    <t>C15556 * C00058</t>
  </si>
  <si>
    <t>C04556 * C05198 * C00073 * C00058 * C00237</t>
  </si>
  <si>
    <t>C21310 * C05198 * C00073 * C00028</t>
  </si>
  <si>
    <t>C02637 * C00001</t>
  </si>
  <si>
    <t>C00074 * C00001</t>
  </si>
  <si>
    <t>C04309 * C00001</t>
  </si>
  <si>
    <t>C00230 * C00001</t>
  </si>
  <si>
    <t>C01267 * C00001</t>
  </si>
  <si>
    <t>C00122 * C00001</t>
  </si>
  <si>
    <t>C00078 * C00001</t>
  </si>
  <si>
    <t>C00463 * C00118</t>
  </si>
  <si>
    <t>C00078 * C00118 * C00001</t>
  </si>
  <si>
    <t>C00417 * C00001</t>
  </si>
  <si>
    <t>C02631 * C00001</t>
  </si>
  <si>
    <t>C11907 * C00001</t>
  </si>
  <si>
    <t>C01222 * C00001</t>
  </si>
  <si>
    <t>C00166 * C00001 * C00011</t>
  </si>
  <si>
    <t>C01051 * C00001</t>
  </si>
  <si>
    <t>C04225 * C00001</t>
  </si>
  <si>
    <t>C00141 * C00001</t>
  </si>
  <si>
    <t>C00671 * C00001</t>
  </si>
  <si>
    <t>C00268 * C00001</t>
  </si>
  <si>
    <t>C00188 * C00009</t>
  </si>
  <si>
    <t>C06056 * C00009</t>
  </si>
  <si>
    <t>C00944 * C00009</t>
  </si>
  <si>
    <t>C00251 * C00009</t>
  </si>
  <si>
    <t>C00122 * C00014</t>
  </si>
  <si>
    <t>C00022 * C00014</t>
  </si>
  <si>
    <t>C02218 * C00001</t>
  </si>
  <si>
    <t>C00161 * C00014</t>
  </si>
  <si>
    <t>C00109 * C00014</t>
  </si>
  <si>
    <t>C00122 * C00062</t>
  </si>
  <si>
    <t>C04666 * C04677 * C00025</t>
  </si>
  <si>
    <t>C04677 * C04666 * C00001</t>
  </si>
  <si>
    <t>C00122 * C00020</t>
  </si>
  <si>
    <t>C00122 * C04677</t>
  </si>
  <si>
    <t>C22441 * C00122</t>
  </si>
  <si>
    <t>C00018 * C00001 * C00009</t>
  </si>
  <si>
    <t>C00018 * C00025 * C00001 * C00009</t>
  </si>
  <si>
    <t>C00018 * C00025 * C00009 * C00001</t>
  </si>
  <si>
    <t>C20258 * C00001</t>
  </si>
  <si>
    <t>C00145 * C00014 * C00022</t>
  </si>
  <si>
    <t>C00155 * C00014 * C00022</t>
  </si>
  <si>
    <t>C00022 * C00014 * C01962</t>
  </si>
  <si>
    <t>C00812 * C00014 * C00022</t>
  </si>
  <si>
    <t>C01336 * C00014 * C00022</t>
  </si>
  <si>
    <t>C00283 * C00022 * C00014</t>
  </si>
  <si>
    <t>C05698 * C00014 * C00022</t>
  </si>
  <si>
    <t>C00022 * C00014 * C05703</t>
  </si>
  <si>
    <t>C11453 * C00055</t>
  </si>
  <si>
    <t>C18239 * C00013</t>
  </si>
  <si>
    <t>C00032 * C00080</t>
  </si>
  <si>
    <t>C21767 * C19609</t>
  </si>
  <si>
    <t>C00197  * C04262</t>
  </si>
  <si>
    <t>C00020 * C00013 * C02839</t>
  </si>
  <si>
    <t>C00020 * C00013 * C02430</t>
  </si>
  <si>
    <t>C00020 * C00013 * C05336</t>
  </si>
  <si>
    <t>C00020 * C00013 * C02553</t>
  </si>
  <si>
    <t>C00020 * C00013 * C06481</t>
  </si>
  <si>
    <t>C02984 * C00013 * C00020</t>
  </si>
  <si>
    <t>C00020 * C00013 * C02412</t>
  </si>
  <si>
    <t>C00020 * C00013 * C02702</t>
  </si>
  <si>
    <t>C00020 * C00013 * C03125</t>
  </si>
  <si>
    <t>C02987 * C00013 * C00020</t>
  </si>
  <si>
    <t>C00020 * C00013 * C02163</t>
  </si>
  <si>
    <t>C00020 * C00013 * C03512</t>
  </si>
  <si>
    <t>C00020 * C00013 * C03511</t>
  </si>
  <si>
    <t>C00020 * C00013 * C02988</t>
  </si>
  <si>
    <t>C00020 * C00013 * C02992</t>
  </si>
  <si>
    <t>C00020 * C00013 * C02047</t>
  </si>
  <si>
    <t>C00020 * C00013 * C03127</t>
  </si>
  <si>
    <t>C00020 * C00013 * C01931</t>
  </si>
  <si>
    <t>C00020 * C00013 * C00886</t>
  </si>
  <si>
    <t>C00020 * C00013 * C02554</t>
  </si>
  <si>
    <t>C00020 * C00013 * C03160</t>
  </si>
  <si>
    <t>C00008 * C00009 * C00091</t>
  </si>
  <si>
    <t>C00008 * C00009 * C00531</t>
  </si>
  <si>
    <t>C19703 * C00020 * C00013</t>
  </si>
  <si>
    <t>C00008 * C00009 * C21178</t>
  </si>
  <si>
    <t>C00008 * C00009 * C00064</t>
  </si>
  <si>
    <t>C00020 * C00013 * C00003</t>
  </si>
  <si>
    <t>C00020 * C00013 * C00864</t>
  </si>
  <si>
    <t>C00008 * C00009 * C04702</t>
  </si>
  <si>
    <t>C00008 * C00009 * C04882</t>
  </si>
  <si>
    <t>C00008 * C00009 * C00415</t>
  </si>
  <si>
    <t>C00008 * C00009 * C05928</t>
  </si>
  <si>
    <t>C00008 * C00009 * C04877</t>
  </si>
  <si>
    <t>C00008 * C00009 * C03541</t>
  </si>
  <si>
    <t>C00008 * C00009 * C09332</t>
  </si>
  <si>
    <t>C00008 * C00009 * C05929</t>
  </si>
  <si>
    <t>C00008 * C00009 * C00669</t>
  </si>
  <si>
    <t>C00008 * C00009 * C21015</t>
  </si>
  <si>
    <t>C00055 * C00013 * C04352</t>
  </si>
  <si>
    <t>C00008 * C00009 * C04823</t>
  </si>
  <si>
    <t>C00008 * C00009 * C01212</t>
  </si>
  <si>
    <t>C00008 * C00009 * C00692</t>
  </si>
  <si>
    <t>C00008 * C00009 * C03373</t>
  </si>
  <si>
    <t>C00008 * C00009 * C00445</t>
  </si>
  <si>
    <t>C00008 * C00009 * C01909</t>
  </si>
  <si>
    <t>C01909 * C00008 * C00009</t>
  </si>
  <si>
    <t>C00008 * C00009 * C03838</t>
  </si>
  <si>
    <t>C00020 * C00013 * C04681</t>
  </si>
  <si>
    <t>C00013 * C05921</t>
  </si>
  <si>
    <t>C00020 * C06250</t>
  </si>
  <si>
    <t>C00008 * C00009 * C15667</t>
  </si>
  <si>
    <t>C19723 * C00020 * C00013 * C00001</t>
  </si>
  <si>
    <t>C00008 * C00009 * C00063</t>
  </si>
  <si>
    <t>C00008 * C00009 * C00063 * C00025</t>
  </si>
  <si>
    <t>C00035 * C00009 * C03794</t>
  </si>
  <si>
    <t>C00020 * C00013 * C03406</t>
  </si>
  <si>
    <t>C00020 * C00013 * C00144</t>
  </si>
  <si>
    <t>C00020 * C00013 * C00144 * C00025</t>
  </si>
  <si>
    <t>C16619 * C00020 * C00013 * C00025</t>
  </si>
  <si>
    <t>C00008 * C00009 * C04640 * C00025</t>
  </si>
  <si>
    <t>C00020 * C00013 * C00152</t>
  </si>
  <si>
    <t>C00020 * C00013 * C00152 * C00025</t>
  </si>
  <si>
    <t>C00008 * C00009 * C00025 * C00169</t>
  </si>
  <si>
    <t>C00008 * C00169</t>
  </si>
  <si>
    <t>C00008 * C20969</t>
  </si>
  <si>
    <t>C01563 * C00009</t>
  </si>
  <si>
    <t>C00008 * C00009 * C00169</t>
  </si>
  <si>
    <t>C00008 * C00009 * C00036</t>
  </si>
  <si>
    <t>C00020 * C00455 * C00039</t>
  </si>
  <si>
    <t>C15602 * C00126 * C00080</t>
  </si>
  <si>
    <t>C00399 * C00126 * C00080</t>
  </si>
  <si>
    <t>C00008 * C00009</t>
  </si>
  <si>
    <t>1_1_1_169</t>
  </si>
  <si>
    <t>1_1_1_18</t>
  </si>
  <si>
    <t>1_13_12_16</t>
  </si>
  <si>
    <t>1_14_13_24</t>
  </si>
  <si>
    <t>1_17_4_1</t>
  </si>
  <si>
    <t>1_17_7_1</t>
  </si>
  <si>
    <t>1_17_99_9</t>
  </si>
  <si>
    <t>1_2_1_64</t>
  </si>
  <si>
    <t>1_20_4_1</t>
  </si>
  <si>
    <t>1_5_1_2</t>
  </si>
  <si>
    <t>2_1_1_148</t>
  </si>
  <si>
    <t>2_1_1_171</t>
  </si>
  <si>
    <t>2_1_1_228</t>
  </si>
  <si>
    <t>2_1_1_33</t>
  </si>
  <si>
    <t>2_1_1_37</t>
  </si>
  <si>
    <t>2_1_1_45</t>
  </si>
  <si>
    <t>2_3_1_266</t>
  </si>
  <si>
    <t>2_4_1_15</t>
  </si>
  <si>
    <t>2_4_1_18</t>
  </si>
  <si>
    <t>2_4_2_29</t>
  </si>
  <si>
    <t>2_4_99_16</t>
  </si>
  <si>
    <t>2_4_99_28</t>
  </si>
  <si>
    <t>2_5_1_6</t>
  </si>
  <si>
    <t>2_6_1_85</t>
  </si>
  <si>
    <t>2_7_1_56</t>
  </si>
  <si>
    <t>2_7_2_8</t>
  </si>
  <si>
    <t>2_7_3_9</t>
  </si>
  <si>
    <t>2_7_7_41</t>
  </si>
  <si>
    <t>2_7_7_42</t>
  </si>
  <si>
    <t>2_7_7_8</t>
  </si>
  <si>
    <t>3_1_3_7</t>
  </si>
  <si>
    <t>3_5_1_18</t>
  </si>
  <si>
    <t>3_5_1_88</t>
  </si>
  <si>
    <t>3_5_2_3</t>
  </si>
  <si>
    <t>3_5_4_10</t>
  </si>
  <si>
    <t>3_5_4_25</t>
  </si>
  <si>
    <t>3_6_1_9</t>
  </si>
  <si>
    <t>4_1_1_11</t>
  </si>
  <si>
    <t>4_1_1_36</t>
  </si>
  <si>
    <t>4_1_1_37</t>
  </si>
  <si>
    <t>4_1_2_4</t>
  </si>
  <si>
    <t>4_1_99_12</t>
  </si>
  <si>
    <t>4_1_99_17</t>
  </si>
  <si>
    <t>4_1_99_22</t>
  </si>
  <si>
    <t>4_2_1_46</t>
  </si>
  <si>
    <t>4_2_3_5</t>
  </si>
  <si>
    <t>4_4_1_13</t>
  </si>
  <si>
    <t>4_6_1_12</t>
  </si>
  <si>
    <t>4_99_1_12</t>
  </si>
  <si>
    <t>5_1_1_3</t>
  </si>
  <si>
    <t>5_1_3_1</t>
  </si>
  <si>
    <t>5_4_99_15</t>
  </si>
  <si>
    <t>6_1_1_16</t>
  </si>
  <si>
    <t>6_3_1_13</t>
  </si>
  <si>
    <t>6_3_2_8</t>
  </si>
  <si>
    <t>6_3_4_4</t>
  </si>
  <si>
    <t>6_4_1_1</t>
  </si>
  <si>
    <t>C00085 | C00014</t>
  </si>
  <si>
    <t>C00085 + C00014</t>
  </si>
  <si>
    <t>C00085 * C00014</t>
  </si>
  <si>
    <t>C05752 | C00006</t>
  </si>
  <si>
    <t>C05752 * C00006</t>
  </si>
  <si>
    <t>C05752 + C00006</t>
  </si>
  <si>
    <t>2.8.1.13</t>
  </si>
  <si>
    <t>6.3.4.21</t>
  </si>
  <si>
    <t>2.6.1.1</t>
  </si>
  <si>
    <t>C07649 | C00119</t>
  </si>
  <si>
    <t>C07649</t>
  </si>
  <si>
    <t>Fluorouracil</t>
  </si>
  <si>
    <t>C07649 + C00119</t>
  </si>
  <si>
    <t>C07649 * C00119</t>
  </si>
  <si>
    <t>C00079 | C00001 | C00011</t>
  </si>
  <si>
    <t>C00079 + C00001 + C00011</t>
  </si>
  <si>
    <t>C00079 * C00001 * C00011</t>
  </si>
  <si>
    <t>C00002 | C00025 | C02356</t>
  </si>
  <si>
    <t>C00002 + C00025 + C02356</t>
  </si>
  <si>
    <t>C00002 * C00025 * C02356</t>
  </si>
  <si>
    <t>1.1.1.140</t>
  </si>
  <si>
    <t>1.1.1.17</t>
  </si>
  <si>
    <t>1.1.1.30</t>
  </si>
  <si>
    <t>1.1.1.31</t>
  </si>
  <si>
    <t>1.1.1.336</t>
  </si>
  <si>
    <t>1.1.1.35</t>
  </si>
  <si>
    <t>1.1.1.47</t>
  </si>
  <si>
    <t>1.1.1.93</t>
  </si>
  <si>
    <t>1.13.11.15</t>
  </si>
  <si>
    <t>1.13.11.16</t>
  </si>
  <si>
    <t>1.13.11.93</t>
  </si>
  <si>
    <t>1.14.11.33</t>
  </si>
  <si>
    <t>1.14.13.149</t>
  </si>
  <si>
    <t>1.16.1.1</t>
  </si>
  <si>
    <t>1.2.1.10</t>
  </si>
  <si>
    <t>1.3.1.1</t>
  </si>
  <si>
    <t>1.5.3.2</t>
  </si>
  <si>
    <t>2.1.1.72</t>
  </si>
  <si>
    <t>2.3.1.39</t>
  </si>
  <si>
    <t>2.4.2.52</t>
  </si>
  <si>
    <t>2.7.1.197</t>
  </si>
  <si>
    <t>2.7.1.6</t>
  </si>
  <si>
    <t>2.7.7.49</t>
  </si>
  <si>
    <t>3.1.12.1</t>
  </si>
  <si>
    <t>3.1.21.3</t>
  </si>
  <si>
    <t>3.2.1.18</t>
  </si>
  <si>
    <t>3.5.1.28</t>
  </si>
  <si>
    <t>3.5.2.10</t>
  </si>
  <si>
    <t>3.5.2.2</t>
  </si>
  <si>
    <t>3.5.4.5</t>
  </si>
  <si>
    <t>3.6.1.22</t>
  </si>
  <si>
    <t>4.1.1.112</t>
  </si>
  <si>
    <t>4.1.1.88</t>
  </si>
  <si>
    <t>4.1.2.14</t>
  </si>
  <si>
    <t>4.1.3.16</t>
  </si>
  <si>
    <t>4.1.3.17</t>
  </si>
  <si>
    <t>4.1.3.39</t>
  </si>
  <si>
    <t>4.2.1.163</t>
  </si>
  <si>
    <t>4.2.1.80</t>
  </si>
  <si>
    <t>5.1.3.14</t>
  </si>
  <si>
    <t>5.3.2.8</t>
  </si>
  <si>
    <t>6.2.1.16</t>
  </si>
  <si>
    <t>KEGG ENZYME: 2.6.1.1</t>
  </si>
  <si>
    <t>KEGG REACTION: R00355</t>
  </si>
  <si>
    <t>C00049 | C00026</t>
  </si>
  <si>
    <t>C00036 | C00025</t>
  </si>
  <si>
    <t>KEGG REACTION: R00895</t>
  </si>
  <si>
    <t>C00097 | C00026</t>
  </si>
  <si>
    <t>C00957 | C00025</t>
  </si>
  <si>
    <t>KEGG REACTION: R00896</t>
  </si>
  <si>
    <t>C00957 | C00302</t>
  </si>
  <si>
    <t>KEGG REACTION: R02433</t>
  </si>
  <si>
    <t>C00506 | C00026</t>
  </si>
  <si>
    <t>C05528 | C00025</t>
  </si>
  <si>
    <t>KEGG REACTION: R02619</t>
  </si>
  <si>
    <t>C00606 | C00026</t>
  </si>
  <si>
    <t>C05527 | C00025</t>
  </si>
  <si>
    <t>KEGG REACTION: R05052</t>
  </si>
  <si>
    <t>C05947 | C00026</t>
  </si>
  <si>
    <t>C05946 | C00025</t>
  </si>
  <si>
    <t>C00506</t>
  </si>
  <si>
    <t>L-Cysteate</t>
  </si>
  <si>
    <t>C00606</t>
  </si>
  <si>
    <t>3-Sulfino-L-alanine</t>
  </si>
  <si>
    <t>C05527</t>
  </si>
  <si>
    <t>3-Sulfinylpyruvate</t>
  </si>
  <si>
    <t>C05947</t>
  </si>
  <si>
    <t>L-erythro-4-Hydroxyglutamate</t>
  </si>
  <si>
    <t>C05946</t>
  </si>
  <si>
    <t>D-4-Hydroxy-2-oxoglutarate</t>
  </si>
  <si>
    <t>Molybdopterin</t>
  </si>
  <si>
    <t>KEGG ENZYME: 1.1.1.140</t>
  </si>
  <si>
    <t>KEGG REACTION: R07133</t>
  </si>
  <si>
    <t>C01096 | C00003</t>
  </si>
  <si>
    <t>C00085 | C00004 | C00080</t>
  </si>
  <si>
    <t>KEGG REACTION: R05607</t>
  </si>
  <si>
    <t>C05345 | C00004 | C00080</t>
  </si>
  <si>
    <t>KEGG ENZYME: 1.1.1.17</t>
  </si>
  <si>
    <t>KEGG REACTION: R00758</t>
  </si>
  <si>
    <t>C00644 | C00003</t>
  </si>
  <si>
    <t>KEGG REACTION: R02703</t>
  </si>
  <si>
    <t>KEGG ENZYME: 1.1.1.30</t>
  </si>
  <si>
    <t>KEGG REACTION: R01361</t>
  </si>
  <si>
    <t>C01089 | C00003</t>
  </si>
  <si>
    <t>C00164 | C00004 | C00080</t>
  </si>
  <si>
    <t>KEGG ENZYME: 1.1.1.31</t>
  </si>
  <si>
    <t>KEGG REACTION: R02047</t>
  </si>
  <si>
    <t>C01188 | C00003</t>
  </si>
  <si>
    <t>C00349 | C00004 | C00080</t>
  </si>
  <si>
    <t>KEGG REACTION: R05066</t>
  </si>
  <si>
    <t>C06001 | C00003</t>
  </si>
  <si>
    <t>C06002 | C00004 | C00080</t>
  </si>
  <si>
    <t>KEGG ENZYME: 1.1.1.336</t>
  </si>
  <si>
    <t>KEGG REACTION: R03317</t>
  </si>
  <si>
    <t>C01170 | C00003 | C00001</t>
  </si>
  <si>
    <t>C06240 | C00004 | C00080</t>
  </si>
  <si>
    <t>KEGG ENZYME: 1.1.1.35</t>
  </si>
  <si>
    <t>KEGG REACTION: R01778</t>
  </si>
  <si>
    <t>C00640 | C00003</t>
  </si>
  <si>
    <t>C00264 | C00004 | C00080</t>
  </si>
  <si>
    <t>KEGG REACTION: R01975</t>
  </si>
  <si>
    <t>C01144 | C00003</t>
  </si>
  <si>
    <t>C00332 | C00004 | C00080</t>
  </si>
  <si>
    <t>KEGG REACTION: R04203</t>
  </si>
  <si>
    <t>C04405 | C00003</t>
  </si>
  <si>
    <t>C03344 | C00004 | C00080</t>
  </si>
  <si>
    <t>KEGG REACTION: R04737</t>
  </si>
  <si>
    <t>C05258 | C00003</t>
  </si>
  <si>
    <t>C05259 | C00004 | C00080</t>
  </si>
  <si>
    <t>KEGG REACTION: R04739</t>
  </si>
  <si>
    <t>C05260 | C00003</t>
  </si>
  <si>
    <t>C05261 | C00004</t>
  </si>
  <si>
    <t>KEGG REACTION: R04741</t>
  </si>
  <si>
    <t>C05262 | C00003</t>
  </si>
  <si>
    <t>C05263 | C00004 | C00080</t>
  </si>
  <si>
    <t>KEGG REACTION: R04743</t>
  </si>
  <si>
    <t>C05264 | C00003</t>
  </si>
  <si>
    <t>C05265 | C00004 | C00080</t>
  </si>
  <si>
    <t>KEGG REACTION: R04745</t>
  </si>
  <si>
    <t>C05266 | C00003</t>
  </si>
  <si>
    <t>C05267 | C00004 | C00080</t>
  </si>
  <si>
    <t>KEGG REACTION: R04748</t>
  </si>
  <si>
    <t>C05268 | C00003</t>
  </si>
  <si>
    <t>C05269 | C00004 | C00080</t>
  </si>
  <si>
    <t>KEGG REACTION: R06941</t>
  </si>
  <si>
    <t>C14145 | C00003</t>
  </si>
  <si>
    <t>C02232 | C00004 | C00080</t>
  </si>
  <si>
    <t>KEGG REACTION: R07890</t>
  </si>
  <si>
    <t>C16329 | C00003</t>
  </si>
  <si>
    <t>C16330 | C00004 | C00080</t>
  </si>
  <si>
    <t>KEGG REACTION: R07894</t>
  </si>
  <si>
    <t>C16333 | C00003</t>
  </si>
  <si>
    <t>C16334 | C00004 | C00080</t>
  </si>
  <si>
    <t>KEGG REACTION: R07898</t>
  </si>
  <si>
    <t>C16337 | C00003</t>
  </si>
  <si>
    <t>KEGG REACTION: R05305</t>
  </si>
  <si>
    <t>C06714 | C00003</t>
  </si>
  <si>
    <t>C16338 | C00004 | C00080</t>
  </si>
  <si>
    <t>C06715 | C00004 | C00080</t>
  </si>
  <si>
    <t>KEGG REACTION: R08094</t>
  </si>
  <si>
    <t>C16469 | C00003</t>
  </si>
  <si>
    <t>C16471 | C00004 | C00080</t>
  </si>
  <si>
    <t>KEGG ENZYME: 1.1.1.47</t>
  </si>
  <si>
    <t>KEGG REACTION: R01520</t>
  </si>
  <si>
    <t>C00221 | C00003</t>
  </si>
  <si>
    <t>C00198 | C00004 | C00080</t>
  </si>
  <si>
    <t>KEGG REACTION: R01521</t>
  </si>
  <si>
    <t>C00221 | C00006</t>
  </si>
  <si>
    <t>C00198 | C00005 | C00080</t>
  </si>
  <si>
    <t>KEGG ENZYME: 1.1.1.93</t>
  </si>
  <si>
    <t>KEGG REACTION: R02545</t>
  </si>
  <si>
    <t>C00552 | C00003</t>
  </si>
  <si>
    <t>C03459 | C00004 | C00080</t>
  </si>
  <si>
    <t>KEGG REACTION: R06180</t>
  </si>
  <si>
    <t>C00898 | C00003</t>
  </si>
  <si>
    <t>KEGG ENZYME: 1.13.11.15</t>
  </si>
  <si>
    <t>KEGG REACTION: R03303</t>
  </si>
  <si>
    <t>C01161 | C00007</t>
  </si>
  <si>
    <t>C04642</t>
  </si>
  <si>
    <t>KEGG ENZYME: 1.13.11.16</t>
  </si>
  <si>
    <t>KEGG REACTION: R04376</t>
  </si>
  <si>
    <t>C04044 | C00007</t>
  </si>
  <si>
    <t>C04479</t>
  </si>
  <si>
    <t>KEGG REACTION: R06788</t>
  </si>
  <si>
    <t>C12623 | C00007</t>
  </si>
  <si>
    <t>C12624</t>
  </si>
  <si>
    <t>KEGG ENZYME: 1.13.11.93</t>
  </si>
  <si>
    <t>KEGG REACTION: R13011</t>
  </si>
  <si>
    <t>C00322 | C00007</t>
  </si>
  <si>
    <t>C01087 | C00011</t>
  </si>
  <si>
    <t>KEGG ENZYME: 1.14.11.33</t>
  </si>
  <si>
    <t>KEGG ENZYME: 1.14.13.149</t>
  </si>
  <si>
    <t>KEGG REACTION: R09838</t>
  </si>
  <si>
    <t>C00582 | C00007 | C00005 | C00080</t>
  </si>
  <si>
    <t>C20062 | C00001 | C00006</t>
  </si>
  <si>
    <t>KEGG ENZYME: 1.16.1.1</t>
  </si>
  <si>
    <t>KEGG REACTION: R02807</t>
  </si>
  <si>
    <t>C01319 | C00006 | C00080</t>
  </si>
  <si>
    <t>C00703 | C00005</t>
  </si>
  <si>
    <t>KEGG ENZYME: 1.2.1.10</t>
  </si>
  <si>
    <t>KEGG REACTION: R00228</t>
  </si>
  <si>
    <t>C00084 | C00010 | C00003</t>
  </si>
  <si>
    <t>C00024 | C00004 | C00080</t>
  </si>
  <si>
    <t>KEGG REACTION: R01172</t>
  </si>
  <si>
    <t>C01412 | C00010 | C00003</t>
  </si>
  <si>
    <t>C00136 | C00004 | C00080</t>
  </si>
  <si>
    <t>KEGG ENZYME: 1.3.1.1</t>
  </si>
  <si>
    <t>KEGG REACTION: R01414</t>
  </si>
  <si>
    <t>C00906 | C00003</t>
  </si>
  <si>
    <t>C00178 | C00004 | C00080</t>
  </si>
  <si>
    <t>KEGG REACTION: R11026</t>
  </si>
  <si>
    <t>C21028 | C00003</t>
  </si>
  <si>
    <t>KEGG REACTION: R00977</t>
  </si>
  <si>
    <t>C00429 | C00003</t>
  </si>
  <si>
    <t>C00106 | C00004 | C00080</t>
  </si>
  <si>
    <t>KEGG ENZYME: 1.5.3.2</t>
  </si>
  <si>
    <t>KEGG REACTION: R01264</t>
  </si>
  <si>
    <t>C03148 | C00001 | C00007</t>
  </si>
  <si>
    <t>C00151 | C00067 | C00027</t>
  </si>
  <si>
    <t>KEGG ENZYME: 2.1.1.72</t>
  </si>
  <si>
    <t>KEGG REACTION: R02961</t>
  </si>
  <si>
    <t>C00019 | C00821</t>
  </si>
  <si>
    <t>C00021 | C03391</t>
  </si>
  <si>
    <t>KEGG ENZYME: 2.3.1.39</t>
  </si>
  <si>
    <t>KEGG ENZYME: 2.4.2.52</t>
  </si>
  <si>
    <t>KEGG REACTION: R09675</t>
  </si>
  <si>
    <t>C19771 | C00147</t>
  </si>
  <si>
    <t>KEGG ENZYME: 2.7.1.197</t>
  </si>
  <si>
    <t>KEGG REACTION: R02704</t>
  </si>
  <si>
    <t>C04261 | C00392</t>
  </si>
  <si>
    <t>C00615 | C00644</t>
  </si>
  <si>
    <t>KEGG ENZYME: 2.7.1.6</t>
  </si>
  <si>
    <t>KEGG REACTION: R01092</t>
  </si>
  <si>
    <t>C00002 | C00984</t>
  </si>
  <si>
    <t>C00008 | C00446</t>
  </si>
  <si>
    <t>KEGG ENZYME: 2.7.7.49</t>
  </si>
  <si>
    <t>KEGG ENZYME: 3.1.12.1</t>
  </si>
  <si>
    <t>KEGG ENZYME: 3.1.21.3</t>
  </si>
  <si>
    <t>KEGG ENZYME: 3.2.1.18</t>
  </si>
  <si>
    <t>KEGG REACTION: R03491</t>
  </si>
  <si>
    <t>C01290 | C00270</t>
  </si>
  <si>
    <t>C04730 | C00001</t>
  </si>
  <si>
    <t>KEGG REACTION: R04018</t>
  </si>
  <si>
    <t>C02686 | C00270</t>
  </si>
  <si>
    <t>C06128 | C00001</t>
  </si>
  <si>
    <t>KEGG REACTION: R04634</t>
  </si>
  <si>
    <t>C04884 | C00001</t>
  </si>
  <si>
    <t>C06135 | C00270</t>
  </si>
  <si>
    <t>KEGG REACTION: R04650</t>
  </si>
  <si>
    <t>C04911 | C00270</t>
  </si>
  <si>
    <t>C04927 | C00001</t>
  </si>
  <si>
    <t>KEGG REACTION: R05115</t>
  </si>
  <si>
    <t>C06140 | C00270</t>
  </si>
  <si>
    <t>C06139 | C00001</t>
  </si>
  <si>
    <t>KEGG REACTION: R05117</t>
  </si>
  <si>
    <t>C06140 | C00001</t>
  </si>
  <si>
    <t>C06141 | C00270</t>
  </si>
  <si>
    <t>KEGG REACTION: R05996</t>
  </si>
  <si>
    <t>G00116 | C00270</t>
  </si>
  <si>
    <t>G00117 | C00001</t>
  </si>
  <si>
    <t>KEGG REACTION: R05998</t>
  </si>
  <si>
    <t>G00116 | C00001</t>
  </si>
  <si>
    <t>G00115</t>
  </si>
  <si>
    <t>G00115 | C00270</t>
  </si>
  <si>
    <t>KEGG REACTION: R05999</t>
  </si>
  <si>
    <t>G00092 | C00270</t>
  </si>
  <si>
    <t>G00108 | C00001</t>
  </si>
  <si>
    <t>KEGG REACTION: R06012</t>
  </si>
  <si>
    <t>G00109 | C00001</t>
  </si>
  <si>
    <t>G00123 | C00270</t>
  </si>
  <si>
    <t>KEGG REACTION: R06147</t>
  </si>
  <si>
    <t>G11121 | C00270</t>
  </si>
  <si>
    <t>G00317 | C00001</t>
  </si>
  <si>
    <t>KEGG REACTION: R06253</t>
  </si>
  <si>
    <t>G00110</t>
  </si>
  <si>
    <t>G00110 | C00270</t>
  </si>
  <si>
    <t>G00111 | C00001</t>
  </si>
  <si>
    <t>KEGG ENZYME: 3.5.1.28</t>
  </si>
  <si>
    <t>KEGG REACTION: R04112</t>
  </si>
  <si>
    <t>C02999</t>
  </si>
  <si>
    <t>C02999 | C00001</t>
  </si>
  <si>
    <t>C02713 | C00041</t>
  </si>
  <si>
    <t>KEGG ENZYME: 3.5.2.10</t>
  </si>
  <si>
    <t>KEGG REACTION: R01884</t>
  </si>
  <si>
    <t>C00791 | C00001</t>
  </si>
  <si>
    <t>KEGG ENZYME: 3.5.2.2</t>
  </si>
  <si>
    <t>KEGG REACTION: R02269</t>
  </si>
  <si>
    <t>C00429 | C00001</t>
  </si>
  <si>
    <t>C02642</t>
  </si>
  <si>
    <t>KEGG REACTION: R03055</t>
  </si>
  <si>
    <t>C21028 | C00001</t>
  </si>
  <si>
    <t>C21029</t>
  </si>
  <si>
    <t>KEGG REACTION: R08227</t>
  </si>
  <si>
    <t>C16330 | C00001</t>
  </si>
  <si>
    <t>C16631</t>
  </si>
  <si>
    <t>KEGG ENZYME: 3.5.4.5</t>
  </si>
  <si>
    <t>KEGG REACTION: R01878</t>
  </si>
  <si>
    <t>C00475 | C00001</t>
  </si>
  <si>
    <t>C00299 | C00014</t>
  </si>
  <si>
    <t>KEGG REACTION: R02485</t>
  </si>
  <si>
    <t>C00881 | C00001</t>
  </si>
  <si>
    <t>C00526 | C00014</t>
  </si>
  <si>
    <t>KEGG REACTION: R08221</t>
  </si>
  <si>
    <t>C16635 | C00001</t>
  </si>
  <si>
    <t>C12739 | C00014</t>
  </si>
  <si>
    <t>KEGG ENZYME: 3.6.1.22</t>
  </si>
  <si>
    <t>KEGG REACTION: R11104</t>
  </si>
  <si>
    <t>C00004 | C00001</t>
  </si>
  <si>
    <t>C00020 | C21113</t>
  </si>
  <si>
    <t>KEGG ENZYME: 4.1.1.112</t>
  </si>
  <si>
    <t>KEGG REACTION: R00995</t>
  </si>
  <si>
    <t>C06030</t>
  </si>
  <si>
    <t>C00109 | C00011</t>
  </si>
  <si>
    <t>KEGG ENZYME: 4.1.1.88</t>
  </si>
  <si>
    <t>KEGG REACTION: R09483</t>
  </si>
  <si>
    <t>C00383</t>
  </si>
  <si>
    <t>C00033 | C00011</t>
  </si>
  <si>
    <t>KEGG ENZYME: 4.1.2.14</t>
  </si>
  <si>
    <t>KEGG REACTION: R05605</t>
  </si>
  <si>
    <t>C04442</t>
  </si>
  <si>
    <t>C00118 | C00022</t>
  </si>
  <si>
    <t>KEGG ENZYME: 4.1.3.16</t>
  </si>
  <si>
    <t>KEGG REACTION: R00470</t>
  </si>
  <si>
    <t>C01127</t>
  </si>
  <si>
    <t>C00022 | C00048</t>
  </si>
  <si>
    <t>KEGG REACTION: R00471</t>
  </si>
  <si>
    <t>KEGG REACTION: R10283</t>
  </si>
  <si>
    <t>C20485</t>
  </si>
  <si>
    <t>KEGG ENZYME: 4.1.3.17</t>
  </si>
  <si>
    <t>KEGG REACTION: R00008</t>
  </si>
  <si>
    <t>C06033</t>
  </si>
  <si>
    <t>KEGG REACTION: R00350</t>
  </si>
  <si>
    <t>C04115</t>
  </si>
  <si>
    <t>C00036 | C00022</t>
  </si>
  <si>
    <t>KEGG ENZYME: 4.1.3.39</t>
  </si>
  <si>
    <t>KEGG REACTION: R00750</t>
  </si>
  <si>
    <t>C00084 | C00022</t>
  </si>
  <si>
    <t>C03589</t>
  </si>
  <si>
    <t>KEGG ENZYME: 4.2.1.163</t>
  </si>
  <si>
    <t>KEGG ENZYME: 4.2.1.80</t>
  </si>
  <si>
    <t>KEGG REACTION: R02601</t>
  </si>
  <si>
    <t>C00596 | C00001</t>
  </si>
  <si>
    <t>KEGG REACTION: R04781</t>
  </si>
  <si>
    <t>C05364 | C00001</t>
  </si>
  <si>
    <t>KEGG REACTION: R05297</t>
  </si>
  <si>
    <t>C06761 | C00001</t>
  </si>
  <si>
    <t>C06762</t>
  </si>
  <si>
    <t>KEGG ENZYME: 5.1.3.14</t>
  </si>
  <si>
    <t>KEGG REACTION: R00420</t>
  </si>
  <si>
    <t>C01170</t>
  </si>
  <si>
    <t>KEGG REACTION: R00414</t>
  </si>
  <si>
    <t>C00043 | C00001</t>
  </si>
  <si>
    <t>C00645 | C00015</t>
  </si>
  <si>
    <t>KEGG REACTION: R02707</t>
  </si>
  <si>
    <t>C00645</t>
  </si>
  <si>
    <t>C01170 | C00001</t>
  </si>
  <si>
    <t>KEGG ENZYME: 5.3.2.8</t>
  </si>
  <si>
    <t>KEGG REACTION: R07839</t>
  </si>
  <si>
    <t>C04434</t>
  </si>
  <si>
    <t>C04324</t>
  </si>
  <si>
    <t>KEGG ENZYME: 6.2.1.16</t>
  </si>
  <si>
    <t>KEGG REACTION: R01357</t>
  </si>
  <si>
    <t>C00002 | C00164 | C00010</t>
  </si>
  <si>
    <t>C00020 | C00013 | C00332</t>
  </si>
  <si>
    <t>C00821</t>
  </si>
  <si>
    <t>C00392</t>
  </si>
  <si>
    <t>C00984</t>
  </si>
  <si>
    <t>C00270</t>
  </si>
  <si>
    <t>C00164</t>
  </si>
  <si>
    <t>C03391</t>
  </si>
  <si>
    <t>C00644</t>
  </si>
  <si>
    <t>C00446</t>
  </si>
  <si>
    <t>C21113</t>
  </si>
  <si>
    <t>C02686</t>
  </si>
  <si>
    <t>C00178</t>
  </si>
  <si>
    <t>C00198</t>
  </si>
  <si>
    <t>C00264</t>
  </si>
  <si>
    <t>C00322</t>
  </si>
  <si>
    <t>C00349</t>
  </si>
  <si>
    <t>C00429</t>
  </si>
  <si>
    <t>C00552</t>
  </si>
  <si>
    <t>C00582</t>
  </si>
  <si>
    <t>C00596</t>
  </si>
  <si>
    <t>C00640</t>
  </si>
  <si>
    <t>C00703</t>
  </si>
  <si>
    <t>C00791</t>
  </si>
  <si>
    <t>C00898</t>
  </si>
  <si>
    <t>C00906</t>
  </si>
  <si>
    <t>C01087</t>
  </si>
  <si>
    <t>C01089</t>
  </si>
  <si>
    <t>C01096</t>
  </si>
  <si>
    <t>C01144</t>
  </si>
  <si>
    <t>C01161</t>
  </si>
  <si>
    <t>C01188</t>
  </si>
  <si>
    <t>C01319</t>
  </si>
  <si>
    <t>C01412</t>
  </si>
  <si>
    <t>C02232</t>
  </si>
  <si>
    <t>C02713</t>
  </si>
  <si>
    <t>C03148</t>
  </si>
  <si>
    <t>C03459</t>
  </si>
  <si>
    <t>C04405</t>
  </si>
  <si>
    <t>C04730</t>
  </si>
  <si>
    <t>C04884</t>
  </si>
  <si>
    <t>C04911</t>
  </si>
  <si>
    <t>C04927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</si>
  <si>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</si>
  <si>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</si>
  <si>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</si>
  <si>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</si>
  <si>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</si>
  <si>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</si>
  <si>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</si>
  <si>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</si>
  <si>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</si>
  <si>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</si>
  <si>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</si>
  <si>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C05364</t>
  </si>
  <si>
    <t>C06001</t>
  </si>
  <si>
    <t>C06002</t>
  </si>
  <si>
    <t>C06128</t>
  </si>
  <si>
    <t>C06135</t>
  </si>
  <si>
    <t>C06139</t>
  </si>
  <si>
    <t>C06140</t>
  </si>
  <si>
    <t>C06141</t>
  </si>
  <si>
    <t>C06240</t>
  </si>
  <si>
    <t>C06714</t>
  </si>
  <si>
    <t>C06715</t>
  </si>
  <si>
    <t>C06761</t>
  </si>
  <si>
    <t>C12739</t>
  </si>
  <si>
    <t>C14145</t>
  </si>
  <si>
    <t>C16329</t>
  </si>
  <si>
    <t>C16330</t>
  </si>
  <si>
    <t>C16333</t>
  </si>
  <si>
    <t>C16334</t>
  </si>
  <si>
    <t>C16337</t>
  </si>
  <si>
    <t>C16338</t>
  </si>
  <si>
    <t>C16469</t>
  </si>
  <si>
    <t>C16471</t>
  </si>
  <si>
    <t>C16635</t>
  </si>
  <si>
    <t>C19771</t>
  </si>
  <si>
    <t>C20062</t>
  </si>
  <si>
    <t>C21028</t>
  </si>
  <si>
    <t>G00092</t>
  </si>
  <si>
    <t>G00108</t>
  </si>
  <si>
    <t>G00109</t>
  </si>
  <si>
    <t>G00111</t>
  </si>
  <si>
    <t>G00116</t>
  </si>
  <si>
    <t>G00117</t>
  </si>
  <si>
    <t>G00123</t>
  </si>
  <si>
    <t>G00317</t>
  </si>
  <si>
    <t>G11121</t>
  </si>
  <si>
    <t>C01290</t>
  </si>
  <si>
    <t>3-Oxoacyl-CoA</t>
  </si>
  <si>
    <t>alpha-D-Galactose</t>
  </si>
  <si>
    <t>DNA</t>
  </si>
  <si>
    <t>Adenine</t>
  </si>
  <si>
    <t>(S)-3-Hydroxyhexadecanoyl-CoA</t>
  </si>
  <si>
    <t>(S)-3-Hydroxytetradecanoyl-CoA</t>
  </si>
  <si>
    <t>3-Oxotetradecanoyl-CoA</t>
  </si>
  <si>
    <t>(S)-3-Hydroxydodecanoyl-CoA</t>
  </si>
  <si>
    <t>3-Oxododecanoyl-CoA</t>
  </si>
  <si>
    <t>3-Oxodecanoyl-CoA</t>
  </si>
  <si>
    <t>3-Oxooctanoyl-CoA</t>
  </si>
  <si>
    <t>4-Carboxy-2-oxo-3-hexenedioate</t>
  </si>
  <si>
    <t>(S)-3-Hydroxyisobutyrate</t>
  </si>
  <si>
    <t>Methyloxaloacetate</t>
  </si>
  <si>
    <t>(3S)-3-Hydroxyadipyl-CoA</t>
  </si>
  <si>
    <t>3-Hydroxy-OPC8-CoA</t>
  </si>
  <si>
    <t>3-Oxo-OPC8-CoA</t>
  </si>
  <si>
    <t>3-Hydroxy-OPC6-CoA</t>
  </si>
  <si>
    <t>3-Oxo-OPC6-CoA</t>
  </si>
  <si>
    <t>3-Hydroxy-OPC4-CoA</t>
  </si>
  <si>
    <t>3-Oxo-OPC4-CoA</t>
  </si>
  <si>
    <t>3-Hydroxy-5-methylhex-4-enoyl-CoA</t>
  </si>
  <si>
    <t>5-Methyl-3-oxo-4-hexenoyl-CoA</t>
  </si>
  <si>
    <t>5'-Deoxy-5-fluorocytidine</t>
  </si>
  <si>
    <t>2-(1,2-Epoxy-1,2-dihydrophenyl)acetyl-CoA</t>
  </si>
  <si>
    <t>Acetoacetate</t>
  </si>
  <si>
    <t>Thymine</t>
  </si>
  <si>
    <t>D-Glucono-1,5-lactone</t>
  </si>
  <si>
    <t>N-Acetylneuraminate</t>
  </si>
  <si>
    <t>2-Oxoadipate</t>
  </si>
  <si>
    <t>2-Methyl-3-oxopropanoate</t>
  </si>
  <si>
    <t>Malonate</t>
  </si>
  <si>
    <t>Mannitol</t>
  </si>
  <si>
    <t>5,6-Dihydrouracil</t>
  </si>
  <si>
    <t>alpha-D-Galactose 1-phosphate</t>
  </si>
  <si>
    <t>meso-Tartaric acid</t>
  </si>
  <si>
    <t>Phenylacetyl-CoA</t>
  </si>
  <si>
    <t>2-Hydroxy-2,4-pentadienoate</t>
  </si>
  <si>
    <t>(3S)-3-Hydroxyacyl-CoA</t>
  </si>
  <si>
    <t>D-Mannitol 1-phosphate</t>
  </si>
  <si>
    <t>N-Acetyl-D-mannosamine</t>
  </si>
  <si>
    <t>Mercury(2+)</t>
  </si>
  <si>
    <t>Creatinine</t>
  </si>
  <si>
    <t>DNA adenine</t>
  </si>
  <si>
    <t>(R,R)-Tartaric acid</t>
  </si>
  <si>
    <t>5,6-Dihydrothymine</t>
  </si>
  <si>
    <t>(R)-2-Hydroxyglutarate</t>
  </si>
  <si>
    <t>(R)-3-Hydroxybutanoate</t>
  </si>
  <si>
    <t>Sorbitol 6-phosphate</t>
  </si>
  <si>
    <t>4-Hydroxy-2-oxoglutarate</t>
  </si>
  <si>
    <t>(S)-3-Hydroxybutanoyl-CoA</t>
  </si>
  <si>
    <t>3,4-Dihydroxyphenylacetate</t>
  </si>
  <si>
    <t>UDP-N-acetyl-D-mannosamine</t>
  </si>
  <si>
    <t>3-Hydroxy-2-methylpropanoate</t>
  </si>
  <si>
    <t>Lactosylceramide</t>
  </si>
  <si>
    <t>Hg</t>
  </si>
  <si>
    <t>Butanal</t>
  </si>
  <si>
    <t>3-Oxoadipyl-CoA</t>
  </si>
  <si>
    <t>3-Ureidopropionate</t>
  </si>
  <si>
    <t>Galactosylceramide</t>
  </si>
  <si>
    <t>N-Acetylmuramate</t>
  </si>
  <si>
    <t>N-Acetylmuramoyl-Ala</t>
  </si>
  <si>
    <t>N-Methyl-L-amino acid</t>
  </si>
  <si>
    <t>DNA 6-methylaminopurine</t>
  </si>
  <si>
    <t>2-Hydroxy-3-oxosuccinate</t>
  </si>
  <si>
    <t>4-Hydroxy-2-oxopentanoate</t>
  </si>
  <si>
    <t>4-Carboxy-4-hydroxy-2-oxoadipate</t>
  </si>
  <si>
    <t>(1E,3E)-4-Hydroxybuta-1,3-diene-1,2,4-tricarboxylate</t>
  </si>
  <si>
    <t>(2S,3S)-3-Hydroxy-2-methylbutanoyl-CoA</t>
  </si>
  <si>
    <t>(1E)-4-Oxobut-1-ene-1,2,4-tricarboxylate</t>
  </si>
  <si>
    <t>2-Dehydro-3-deoxy-6-phospho-D-gluconate</t>
  </si>
  <si>
    <t>2-Hydroxy-6-oxonona-2,4-diene-1,9-dioate</t>
  </si>
  <si>
    <t>2-Hydroxy-5-carboxymethylmuconate semialdehyde</t>
  </si>
  <si>
    <t>GM3</t>
  </si>
  <si>
    <t>N-Acetyl-D-galactosaminyl-(N-acetylneuraminyl)-D-galactosyl-D-glucosylceramide</t>
  </si>
  <si>
    <t>D-Galactosyl-N-acetyl-D-galactosaminyl-(N-acetylneuraminyl)-D-galactosyl-D-glucosylceramide</t>
  </si>
  <si>
    <t>N-Acetylneuraminyl-D-galactosyl-N-acetyl-D-galactosaminyl-(N-acetylneuraminyl)-D-galactosyl-D-glucosylceramide</t>
  </si>
  <si>
    <t>3-Oxopalmitoyl-CoA</t>
  </si>
  <si>
    <t>(S)-Hydroxydecanoyl-CoA</t>
  </si>
  <si>
    <t>(S)-3-Hydroxyoctanoyl-CoA</t>
  </si>
  <si>
    <t>(S)-Hydroxyhexanoyl-CoA</t>
  </si>
  <si>
    <t>(S)-Methylmalonate semialdehyde</t>
  </si>
  <si>
    <t>Parapyruvate</t>
  </si>
  <si>
    <t>GM4</t>
  </si>
  <si>
    <t>GA2</t>
  </si>
  <si>
    <t>GQ1</t>
  </si>
  <si>
    <t>GT1b</t>
  </si>
  <si>
    <t>GD1b</t>
  </si>
  <si>
    <t>UDP-N-acetyl-D-mannosaminouronate</t>
  </si>
  <si>
    <t>3-Hydroxypimeloyl-CoA</t>
  </si>
  <si>
    <t>3-Oxopimeloyl-CoA</t>
  </si>
  <si>
    <t>(4E)-2-Oxohexenoic acid</t>
  </si>
  <si>
    <t>4-Hydroxy-2-oxohexanoic acid</t>
  </si>
  <si>
    <t>2-Hydroxy-6-ketononatrienedioate</t>
  </si>
  <si>
    <t>5'-Deoxy-5-fluorouridine</t>
  </si>
  <si>
    <t>alpha-Fluoro-beta-ureidopropionic acid</t>
  </si>
  <si>
    <t>2'-(5-Triphosphoribosyl)-3'-dephospho-CoA</t>
  </si>
  <si>
    <t>(4S)-4-Hydroxy-2-oxoglutarate</t>
  </si>
  <si>
    <t>(R)-5,6-Dihydrothymine</t>
  </si>
  <si>
    <t>(R)-3-Ureidoisobutyrate</t>
  </si>
  <si>
    <t>GM2</t>
  </si>
  <si>
    <t>GM1</t>
  </si>
  <si>
    <t>GD1a</t>
  </si>
  <si>
    <t>GQ1b</t>
  </si>
  <si>
    <t>H2O</t>
  </si>
  <si>
    <t>ATP</t>
  </si>
  <si>
    <t>NAD+</t>
  </si>
  <si>
    <t>NADH</t>
  </si>
  <si>
    <t>NADPH</t>
  </si>
  <si>
    <t>NADP+</t>
  </si>
  <si>
    <t>Oxygen</t>
  </si>
  <si>
    <t>ADP</t>
  </si>
  <si>
    <t>Orthophosphate</t>
  </si>
  <si>
    <t>CoA</t>
  </si>
  <si>
    <t>CO2</t>
  </si>
  <si>
    <t>Peptide</t>
  </si>
  <si>
    <t>Diphosphate</t>
  </si>
  <si>
    <t>Ammonia</t>
  </si>
  <si>
    <t>UDP</t>
  </si>
  <si>
    <t>FAD</t>
  </si>
  <si>
    <t>Protein</t>
  </si>
  <si>
    <t>Pyridoxal phosphate</t>
  </si>
  <si>
    <t>S-Adenosyl-L-methionine</t>
  </si>
  <si>
    <t>AMP</t>
  </si>
  <si>
    <t>S-Adenosyl-L-homocysteine</t>
  </si>
  <si>
    <t>Pyruvate</t>
  </si>
  <si>
    <t>Acetyl-CoA</t>
  </si>
  <si>
    <t>L-Glutamate</t>
  </si>
  <si>
    <t>2-Oxoglutarate</t>
  </si>
  <si>
    <t>Hydrogen peroxide</t>
  </si>
  <si>
    <t>Acceptor</t>
  </si>
  <si>
    <t>UDP-glucose</t>
  </si>
  <si>
    <t>Reduced acceptor</t>
  </si>
  <si>
    <t>D-Glucose</t>
  </si>
  <si>
    <t>Heme</t>
  </si>
  <si>
    <t>Acetate</t>
  </si>
  <si>
    <t>GDP</t>
  </si>
  <si>
    <t>Oxaloacetate</t>
  </si>
  <si>
    <t>Glycine</t>
  </si>
  <si>
    <t>L-Alanine</t>
  </si>
  <si>
    <t>Succinate</t>
  </si>
  <si>
    <t>UDP-N-acetyl-alpha-D-glucosamine</t>
  </si>
  <si>
    <t>GTP</t>
  </si>
  <si>
    <t>Amino acid</t>
  </si>
  <si>
    <t>RNA</t>
  </si>
  <si>
    <t>L-Lysine</t>
  </si>
  <si>
    <t>Glyoxylate</t>
  </si>
  <si>
    <t>L-Aspartate</t>
  </si>
  <si>
    <t>Glutathione</t>
  </si>
  <si>
    <t>UDP-alpha-D-galactose</t>
  </si>
  <si>
    <t>3'-Phosphoadenylyl sulfate</t>
  </si>
  <si>
    <t>Adenosine 3',5'-bisphosphate</t>
  </si>
  <si>
    <t>CMP</t>
  </si>
  <si>
    <t>Formate</t>
  </si>
  <si>
    <t>Sulfate</t>
  </si>
  <si>
    <t>Carboxylate</t>
  </si>
  <si>
    <t>FMN</t>
  </si>
  <si>
    <t>L-Arginine</t>
  </si>
  <si>
    <t>CTP</t>
  </si>
  <si>
    <t>L-Glutamine</t>
  </si>
  <si>
    <t>L-Serine</t>
  </si>
  <si>
    <t>Formaldehyde</t>
  </si>
  <si>
    <t>Thiamin diphosphate</t>
  </si>
  <si>
    <t>Alcohol</t>
  </si>
  <si>
    <t>Aldehyde</t>
  </si>
  <si>
    <t>L-Methionine</t>
  </si>
  <si>
    <t>Phosphoenolpyruvate</t>
  </si>
  <si>
    <t>UTP</t>
  </si>
  <si>
    <t>Calcium cation</t>
  </si>
  <si>
    <t>L-Ornithine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</si>
  <si>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</si>
  <si>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</si>
  <si>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</si>
  <si>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</si>
  <si>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</si>
  <si>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</si>
  <si>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</si>
  <si>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 6-phosphate</t>
  </si>
  <si>
    <t>Urea</t>
  </si>
  <si>
    <t>Nitrite</t>
  </si>
  <si>
    <t>Sucrose</t>
  </si>
  <si>
    <t>Catechol</t>
  </si>
  <si>
    <t>Succinyl-CoA</t>
  </si>
  <si>
    <t>D-Glucose 6-phosphate</t>
  </si>
  <si>
    <t>sn-Glycerol 3-phosphate</t>
  </si>
  <si>
    <t>Sulfite</t>
  </si>
  <si>
    <t>GDP-mannose</t>
  </si>
  <si>
    <t>L-Cysteine</t>
  </si>
  <si>
    <t>beta-Alanine</t>
  </si>
  <si>
    <t>Propanoyl-CoA</t>
  </si>
  <si>
    <t>Tetrahydrofolate</t>
  </si>
  <si>
    <t>D-Glucose 1-phosphate</t>
  </si>
  <si>
    <t>IDP</t>
  </si>
  <si>
    <t>UMP</t>
  </si>
  <si>
    <t>Uracil</t>
  </si>
  <si>
    <t>Anthranilate</t>
  </si>
  <si>
    <t>2-Oxobutanoate</t>
  </si>
  <si>
    <t>Dolichyl phosphate</t>
  </si>
  <si>
    <t>Glycerone phosphate</t>
  </si>
  <si>
    <t>CDP</t>
  </si>
  <si>
    <t>Choline</t>
  </si>
  <si>
    <t>Glycerol</t>
  </si>
  <si>
    <t>D-Ribose 5-phosphate</t>
  </si>
  <si>
    <t>D-Glyceraldehyde 3-phosphate</t>
  </si>
  <si>
    <t>5-Phospho-alpha-D-ribose 1-diphosphate</t>
  </si>
  <si>
    <t>Biotin</t>
  </si>
  <si>
    <t>Fumarate</t>
  </si>
  <si>
    <t>L-Leucine</t>
  </si>
  <si>
    <t>Ferricytochrome c</t>
  </si>
  <si>
    <t>Ferrocytochrome c</t>
  </si>
  <si>
    <t>Glutathione disulfide</t>
  </si>
  <si>
    <t>Isopentenyl diphosphate</t>
  </si>
  <si>
    <t>IMP</t>
  </si>
  <si>
    <t>dATP</t>
  </si>
  <si>
    <t>Methanol</t>
  </si>
  <si>
    <t>D-Alanine</t>
  </si>
  <si>
    <t>Putrescine</t>
  </si>
  <si>
    <t>L-Histidine</t>
  </si>
  <si>
    <t>Butanoyl-CoA</t>
  </si>
  <si>
    <t>myo-Inositol</t>
  </si>
  <si>
    <t>Reduced ferredoxin</t>
  </si>
  <si>
    <t>Oxidized ferredoxin</t>
  </si>
  <si>
    <t>3-Methyl-2-oxobutanoic acid</t>
  </si>
  <si>
    <t>5,10-Methylenetetrahydrofolate</t>
  </si>
  <si>
    <t>GMP</t>
  </si>
  <si>
    <t>Thiol</t>
  </si>
  <si>
    <t>L-Proline</t>
  </si>
  <si>
    <t>(S)-Malate</t>
  </si>
  <si>
    <t>L-Amino acid</t>
  </si>
  <si>
    <t>L-Asparagine</t>
  </si>
  <si>
    <t>Nicotinamide</t>
  </si>
  <si>
    <t>L-Homocysteine</t>
  </si>
  <si>
    <t>4-Hydroxybenzoate</t>
  </si>
  <si>
    <t>Citrate</t>
  </si>
  <si>
    <t>2-Oxo acid</t>
  </si>
  <si>
    <t>Propanoate</t>
  </si>
  <si>
    <t>Phenylpyruvate</t>
  </si>
  <si>
    <t>Carbamoyl phosphate</t>
  </si>
  <si>
    <t>5'-Methylthioadenosine</t>
  </si>
  <si>
    <t>Benzoate</t>
  </si>
  <si>
    <t>L-Valine</t>
  </si>
  <si>
    <t>Glycerone</t>
  </si>
  <si>
    <t>(S)-Lactate</t>
  </si>
  <si>
    <t>L-Threonine</t>
  </si>
  <si>
    <t>D-Glucuronate</t>
  </si>
  <si>
    <t>Cobamide coenzyme</t>
  </si>
  <si>
    <t>3-Phospho-D-glycerate</t>
  </si>
  <si>
    <t>D-Ribulose 5-phosphate</t>
  </si>
  <si>
    <t>Nucleoside triphosphate</t>
  </si>
  <si>
    <t>UDP-N-acetyl-D-galactosamine</t>
  </si>
  <si>
    <t>dADP</t>
  </si>
  <si>
    <t>Maltose</t>
  </si>
  <si>
    <t>Adenosine</t>
  </si>
  <si>
    <t>Sarcosine</t>
  </si>
  <si>
    <t>Thymidine</t>
  </si>
  <si>
    <t>Nucleotide</t>
  </si>
  <si>
    <t>D-Glutamate</t>
  </si>
  <si>
    <t>Methylamine</t>
  </si>
  <si>
    <t>beta-D-Glucose</t>
  </si>
  <si>
    <t>3-Oxopropanoate</t>
  </si>
  <si>
    <t>Adenylyl sulfate</t>
  </si>
  <si>
    <t>Primary alcohol</t>
  </si>
  <si>
    <t>Acetyl phosphate</t>
  </si>
  <si>
    <t>Acyl-carrier protein</t>
  </si>
  <si>
    <t>3,4-Dihydroxybenzoate</t>
  </si>
  <si>
    <t>D-Xylulose 5-phosphate</t>
  </si>
  <si>
    <t>Succinate semialdehyde</t>
  </si>
  <si>
    <t>4-Methyl-2-oxopentanoate</t>
  </si>
  <si>
    <t>10-Formyltetrahydrofolate</t>
  </si>
  <si>
    <t>Dimethylallyl diphosphate</t>
  </si>
  <si>
    <t>3-Phospho-D-glyceroyl phosphate</t>
  </si>
  <si>
    <t>CO</t>
  </si>
  <si>
    <t>dCMP</t>
  </si>
  <si>
    <t>Amide</t>
  </si>
  <si>
    <t>Guanine</t>
  </si>
  <si>
    <t>Taurine</t>
  </si>
  <si>
    <t>Lipoamide</t>
  </si>
  <si>
    <t>Hexadecanoic acid</t>
  </si>
  <si>
    <t>Pyridoxal</t>
  </si>
  <si>
    <t>Chorismate</t>
  </si>
  <si>
    <t>Nicotinate</t>
  </si>
  <si>
    <t>Prephenate</t>
  </si>
  <si>
    <t>Riboflavin</t>
  </si>
  <si>
    <t>(R)-Lactate</t>
  </si>
  <si>
    <t>D-Gluconic acid</t>
  </si>
  <si>
    <t>D-Glycerate</t>
  </si>
  <si>
    <t>Hypoxanthine</t>
  </si>
  <si>
    <t>L-Homoserine</t>
  </si>
  <si>
    <t>Glycolaldehyde</t>
  </si>
  <si>
    <t>alpha-D-Glucose</t>
  </si>
  <si>
    <t>Dihydrobiopterin</t>
  </si>
  <si>
    <t>CDP-diacylglycerol</t>
  </si>
  <si>
    <t>Tetrahydrobiopterin</t>
  </si>
  <si>
    <t>D-Mannose 6-phosphate</t>
  </si>
  <si>
    <t>D-Erythrose 4-phosphate</t>
  </si>
  <si>
    <t>Hydrogen sulfide</t>
  </si>
  <si>
    <t>dGTP</t>
  </si>
  <si>
    <t>HCO3-</t>
  </si>
  <si>
    <t>Inosine</t>
  </si>
  <si>
    <t>Orotate</t>
  </si>
  <si>
    <t>Uridine</t>
  </si>
  <si>
    <t>D-Xylulose</t>
  </si>
  <si>
    <t>Isocitrate</t>
  </si>
  <si>
    <t>Pyridoxine</t>
  </si>
  <si>
    <t>Spermidine</t>
  </si>
  <si>
    <t>Thiosulfate</t>
  </si>
  <si>
    <t>L-Citrulline</t>
  </si>
  <si>
    <t>Deoxyguanosine</t>
  </si>
  <si>
    <t>Acetoacetyl-CoA</t>
  </si>
  <si>
    <t>D-Galacturonate</t>
  </si>
  <si>
    <t>4-Aminobutanoate</t>
  </si>
  <si>
    <t>(S)-Dihydroorotate</t>
  </si>
  <si>
    <t>Thioredoxin</t>
  </si>
  <si>
    <t>Thioredoxin disulfide</t>
  </si>
  <si>
    <t>6-Phospho-D-gluconate</t>
  </si>
  <si>
    <t>D-Glucosamine 6-phosphate</t>
  </si>
  <si>
    <t>Geranylgeranyl diphosphate</t>
  </si>
  <si>
    <t>D-Fructose 1,6-bisphosphate</t>
  </si>
  <si>
    <t>N-Acetyl-D-glucosamine 6-phosphate</t>
  </si>
  <si>
    <t>dAMP</t>
  </si>
  <si>
    <t>dGDP</t>
  </si>
  <si>
    <t>dGMP</t>
  </si>
  <si>
    <t>dTDP</t>
  </si>
  <si>
    <t>dTMP</t>
  </si>
  <si>
    <t>dUMP</t>
  </si>
  <si>
    <t>Starch</t>
  </si>
  <si>
    <t>Retinal</t>
  </si>
  <si>
    <t>Thiamine</t>
  </si>
  <si>
    <t>Xanthine</t>
  </si>
  <si>
    <t>Guanosine</t>
  </si>
  <si>
    <t>Ubiquinol</t>
  </si>
  <si>
    <t>Ubiquinone</t>
  </si>
  <si>
    <t>Polyphosphate</t>
  </si>
  <si>
    <t>L-Isoleucine</t>
  </si>
  <si>
    <t>Dihydrofolate</t>
  </si>
  <si>
    <t>Phosphatidate</t>
  </si>
  <si>
    <t>cis-Aconitate</t>
  </si>
  <si>
    <t>(R)-Mevalonate</t>
  </si>
  <si>
    <t>5-Aminolevulinate</t>
  </si>
  <si>
    <t>N-Acetylornithine</t>
  </si>
  <si>
    <t>N-Carbamoyl-L-aspartate</t>
  </si>
  <si>
    <t>5-Methyltetrahydrofolate</t>
  </si>
  <si>
    <t>L-Aspartate 4-semialdehyde</t>
  </si>
  <si>
    <t>5,10-Methenyltetrahydrofolate</t>
  </si>
  <si>
    <t>Sedoheptulose 1,7-bisphosphate</t>
  </si>
  <si>
    <t>trans,trans-Farnesyl diphosphate</t>
  </si>
  <si>
    <t>NDP</t>
  </si>
  <si>
    <t>Nicotinamide D-ribonucleotide</t>
  </si>
  <si>
    <t>dCTP</t>
  </si>
  <si>
    <t>dTTP</t>
  </si>
  <si>
    <t>dUTP</t>
  </si>
  <si>
    <t>Indole</t>
  </si>
  <si>
    <t>Ethanol</t>
  </si>
  <si>
    <t>Retinol</t>
  </si>
  <si>
    <t>Cytidine</t>
  </si>
  <si>
    <t>Itaconate</t>
  </si>
  <si>
    <t>L-Cystine</t>
  </si>
  <si>
    <t>Shikimate</t>
  </si>
  <si>
    <t>ADP-glucose</t>
  </si>
  <si>
    <t>Biliverdin</t>
  </si>
  <si>
    <t>Folate</t>
  </si>
  <si>
    <t>(R)-Pantoate</t>
  </si>
  <si>
    <t>Deoxyuridine</t>
  </si>
  <si>
    <t>Itaconyl-CoA</t>
  </si>
  <si>
    <t>Pyridoxamine</t>
  </si>
  <si>
    <t>Triphosphate</t>
  </si>
  <si>
    <t>Cob(II)alamin</t>
  </si>
  <si>
    <t>Cystathionine</t>
  </si>
  <si>
    <t>D-Tagaturonate</t>
  </si>
  <si>
    <t>Deoxyadenosine</t>
  </si>
  <si>
    <t>Phosphoprotein</t>
  </si>
  <si>
    <t>4-Aminobenzoate</t>
  </si>
  <si>
    <t>Betaine aldehyde</t>
  </si>
  <si>
    <t>D-Glyceraldehyde</t>
  </si>
  <si>
    <t>Dihydrolipoamide</t>
  </si>
  <si>
    <t>Protein tyrosine</t>
  </si>
  <si>
    <t>3-Hydroxybenzoate</t>
  </si>
  <si>
    <t>Protein histidine</t>
  </si>
  <si>
    <t>alpha-D-Ribose 1-phosphate</t>
  </si>
  <si>
    <t>N-Acetyl-L-glutamate</t>
  </si>
  <si>
    <t>Pyridoxine phosphate</t>
  </si>
  <si>
    <t>2,5-Dihydroxybenzoate</t>
  </si>
  <si>
    <t>2-Phospho-D-glycerate</t>
  </si>
  <si>
    <t>3-Hydroxyanthranilate</t>
  </si>
  <si>
    <t>4-Hydroxybenzaldehyde</t>
  </si>
  <si>
    <t>D-Mannose 1-phosphate</t>
  </si>
  <si>
    <t>Long-chain fatty acid</t>
  </si>
  <si>
    <t>Pyridoxamine phosphate</t>
  </si>
  <si>
    <t>Xanthosine 5'-phosphate</t>
  </si>
  <si>
    <t>LL-2,6-Diaminoheptanedioate</t>
  </si>
  <si>
    <t>alpha-D-Glucose 6-phosphate</t>
  </si>
  <si>
    <t>gamma-L-Glutamyl-L-cysteine</t>
  </si>
  <si>
    <t>sn-Glycero-3-phosphocholine</t>
  </si>
  <si>
    <t>(S)-3-Methyl-2-oxopentanoic acid</t>
  </si>
  <si>
    <t>2-Deoxy-D-ribose 5-phosphate</t>
  </si>
  <si>
    <t>Deoxynucleoside triphosphate</t>
  </si>
  <si>
    <t>meso-2,6-Diaminoheptanedioate</t>
  </si>
  <si>
    <t>1-Acyl-sn-glycerol 3-phosphate</t>
  </si>
  <si>
    <t>(S)-Methylmalonyl-CoA</t>
  </si>
  <si>
    <t>3-Oxoacyl-[acyl-carrier protein]</t>
  </si>
  <si>
    <t>N-Acyl-D-mannosamine 6-phosphate</t>
  </si>
  <si>
    <t>alpha,alpha'-Trehalose 6-phosphate</t>
  </si>
  <si>
    <t>2,4,6/3,5-Pentahydroxycyclohexanone</t>
  </si>
  <si>
    <t>UDP-N-acetylmuramoyl-L-alanyl-D-glutamate</t>
  </si>
  <si>
    <t>XTP</t>
  </si>
  <si>
    <t>Superoxide</t>
  </si>
  <si>
    <t>dCDP</t>
  </si>
  <si>
    <t>Amylose</t>
  </si>
  <si>
    <t>D-Serine</t>
  </si>
  <si>
    <t>4-Hydroxy-3-methoxy-benzaldehyde</t>
  </si>
  <si>
    <t>1-Octanol</t>
  </si>
  <si>
    <t>Mevaldate</t>
  </si>
  <si>
    <t>tRNA(Tyr)</t>
  </si>
  <si>
    <t>Ethylamine</t>
  </si>
  <si>
    <t>Alkyl thiol</t>
  </si>
  <si>
    <t>D-Glutamine</t>
  </si>
  <si>
    <t>L-Arogenate</t>
  </si>
  <si>
    <t>Menaquinone</t>
  </si>
  <si>
    <t>Pantetheine</t>
  </si>
  <si>
    <t>dTDP-glucose</t>
  </si>
  <si>
    <t>3-Oxoadipate</t>
  </si>
  <si>
    <t>Cob(I)alamin</t>
  </si>
  <si>
    <t>DNA cytosine</t>
  </si>
  <si>
    <t>Deamino-NAD+</t>
  </si>
  <si>
    <t>L-Histidinol</t>
  </si>
  <si>
    <t>Pantothenate</t>
  </si>
  <si>
    <t>tRNA uridine</t>
  </si>
  <si>
    <t>4-Nitrophenol</t>
  </si>
  <si>
    <t>Deoxycytidine</t>
  </si>
  <si>
    <t>Dephospho-CoA</t>
  </si>
  <si>
    <t>Isochorismate</t>
  </si>
  <si>
    <t>L-Alanyl-tRNA</t>
  </si>
  <si>
    <t>2-Acetolactate</t>
  </si>
  <si>
    <t>D-Fructuronate</t>
  </si>
  <si>
    <t>Ribonucleoside</t>
  </si>
  <si>
    <t>Dihydropteroate</t>
  </si>
  <si>
    <t>Porphobilinogen</t>
  </si>
  <si>
    <t>UDP-L-arabinose</t>
  </si>
  <si>
    <t>3-Dehydroquinate</t>
  </si>
  <si>
    <t>Mercaptopyruvate</t>
  </si>
  <si>
    <t>2-Dehydropantoate</t>
  </si>
  <si>
    <t>O-Acetyl-L-serine</t>
  </si>
  <si>
    <t>D-Alanyl-D-alanine</t>
  </si>
  <si>
    <t>O-Phospho-L-serine</t>
  </si>
  <si>
    <t>3-Hydroxypropanoate</t>
  </si>
  <si>
    <t>Hydroxymethylbilane</t>
  </si>
  <si>
    <t>7,8-Diaminononanoate</t>
  </si>
  <si>
    <t>UDP-N-acetylmuramate</t>
  </si>
  <si>
    <t>Uroporphyrinogen III</t>
  </si>
  <si>
    <t>O-Acetyl-L-homoserine</t>
  </si>
  <si>
    <t>Protoporphyrinogen IX</t>
  </si>
  <si>
    <t>Thiamin monophosphate</t>
  </si>
  <si>
    <t>alpha,alpha-Trehalose</t>
  </si>
  <si>
    <t>8-Amino-7-oxononanoate</t>
  </si>
  <si>
    <t>D-Fructose 1-phosphate</t>
  </si>
  <si>
    <t>D-Tagatose 6-phosphate</t>
  </si>
  <si>
    <t>L-Histidinol phosphate</t>
  </si>
  <si>
    <t>O-Phospho-L-homoserine</t>
  </si>
  <si>
    <t>Orotidine 5'-phosphate</t>
  </si>
  <si>
    <t>O-Succinyl-L-homoserine</t>
  </si>
  <si>
    <t>Pantetheine 4'-phosphate</t>
  </si>
  <si>
    <t>S-Adenosylmethioninamine</t>
  </si>
  <si>
    <t>Orthophosphoric monoester</t>
  </si>
  <si>
    <t>Hydroxyproline</t>
  </si>
  <si>
    <t>2,3-Bisphospho-D-glycerate</t>
  </si>
  <si>
    <t>3-Carboxy-cis,cis-muconate</t>
  </si>
  <si>
    <t>L-Glutamate 5-semialdehyde</t>
  </si>
  <si>
    <t>Protein tyrosine phosphate</t>
  </si>
  <si>
    <t>alpha-D-Hexose 1-phosphate</t>
  </si>
  <si>
    <t>beta-D-Glucose 6-phosphate</t>
  </si>
  <si>
    <t>3-(4-Hydroxyphenyl)pyruvate</t>
  </si>
  <si>
    <t>Nicotinate D-ribonucleotide</t>
  </si>
  <si>
    <t>Malonyl-[acyl-carrier protein]</t>
  </si>
  <si>
    <t>UDP-N-acetylmuramoyl-L-alanine</t>
  </si>
  <si>
    <t>(R)-Methylmalonyl-CoA</t>
  </si>
  <si>
    <t>5,6,7,8-Tetrahydromethanopterin</t>
  </si>
  <si>
    <t>GDP-4-dehydro-6-deoxy-D-mannose</t>
  </si>
  <si>
    <t>sn-Glycero-3-phosphoethanolamine</t>
  </si>
  <si>
    <t>D-Glucono-1,5-lactone 6-phosphate</t>
  </si>
  <si>
    <t>3,5-Diiodo-4-hydroxyphenylpyruvate</t>
  </si>
  <si>
    <t>N-Acetyl-L-glutamate 5-semialdehyde</t>
  </si>
  <si>
    <t>3-(Imidazol-4-yl)-2-oxopropyl phosphate</t>
  </si>
  <si>
    <t>5-Amino-6-(5'-phosphoribosylamino)uracil</t>
  </si>
  <si>
    <t>5-O-(1-Carboxyvinyl)-3-phosphoshikimate</t>
  </si>
  <si>
    <t>(3R)-3-Hydroxyacyl-[acyl-carrier protein]</t>
  </si>
  <si>
    <t>2-Carboxy-2,5-dihydro-5-oxofuran-2-acetate</t>
  </si>
  <si>
    <t>4-Amino-5-hydroxymethyl-2-methylpyrimidine</t>
  </si>
  <si>
    <t>[L-Glutamate:ammonia ligase (ADP-forming)]</t>
  </si>
  <si>
    <t>Adenylyl-[L-glutamate:ammonia ligase (ADP-forming)]</t>
  </si>
  <si>
    <t>6-(Hydroxymethyl)-7,8-dihydropterin</t>
  </si>
  <si>
    <t>1-(2-Carboxyphenylamino)-1-deoxy-D-ribulose 5-phosphate</t>
  </si>
  <si>
    <t>2,5-Diamino-6-(5-phospho-D-ribosylamino)pyrimidin-4(3H)-one</t>
  </si>
  <si>
    <t>ROH</t>
  </si>
  <si>
    <t>Aryl thiol</t>
  </si>
  <si>
    <t>dIDP</t>
  </si>
  <si>
    <t>dITP</t>
  </si>
  <si>
    <t>dUDP</t>
  </si>
  <si>
    <t>FADH2</t>
  </si>
  <si>
    <t>Cys-Gly</t>
  </si>
  <si>
    <t>Gallate</t>
  </si>
  <si>
    <t>Ketone</t>
  </si>
  <si>
    <t>Hydrogen selenide</t>
  </si>
  <si>
    <t>Octanal</t>
  </si>
  <si>
    <t>Carbamate</t>
  </si>
  <si>
    <t>Protamine</t>
  </si>
  <si>
    <t>Secondary alcohol</t>
  </si>
  <si>
    <t>Vitamin K</t>
  </si>
  <si>
    <t>tRNA(Ala)</t>
  </si>
  <si>
    <t>tRNA(Arg)</t>
  </si>
  <si>
    <t>tRNA(Asp)</t>
  </si>
  <si>
    <t>tRNA(Cys)</t>
  </si>
  <si>
    <t>tRNA(Glu)</t>
  </si>
  <si>
    <t>tRNA(Gly)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</si>
  <si>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</si>
  <si>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</si>
  <si>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</si>
  <si>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</si>
  <si>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</si>
  <si>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</si>
  <si>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</si>
  <si>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</si>
  <si>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</si>
  <si>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</si>
  <si>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</si>
  <si>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Cadaverine</t>
  </si>
  <si>
    <t>Xanthosine</t>
  </si>
  <si>
    <t>Reduced FMN</t>
  </si>
  <si>
    <t>5-Oxoproline</t>
  </si>
  <si>
    <t>1-Acylglycerol</t>
  </si>
  <si>
    <t>Dethiobiotin</t>
  </si>
  <si>
    <t>L-Histidinal</t>
  </si>
  <si>
    <t>L-Lysyl-tRNA</t>
  </si>
  <si>
    <t>Maltodextrin</t>
  </si>
  <si>
    <t>Thiocysteine</t>
  </si>
  <si>
    <t>tRNA guanine</t>
  </si>
  <si>
    <t>Histone N6-acetyl-L-lysine</t>
  </si>
  <si>
    <t>L-Leucyl-tRNA</t>
  </si>
  <si>
    <t>Lipoylprotein</t>
  </si>
  <si>
    <t>Phylloquinone</t>
  </si>
  <si>
    <t>Trypanothione</t>
  </si>
  <si>
    <t>dTDP-galactose</t>
  </si>
  <si>
    <t>5'-Phospho-DNA</t>
  </si>
  <si>
    <t>Acyl phosphate</t>
  </si>
  <si>
    <t>L-Arginyl-tRNA(Arg)</t>
  </si>
  <si>
    <t>Leukotriene C4</t>
  </si>
  <si>
    <t>Maleylpyruvate</t>
  </si>
  <si>
    <t>Protein lysine</t>
  </si>
  <si>
    <t>[Protein]-L-serine</t>
  </si>
  <si>
    <t>Protoporphyrin</t>
  </si>
  <si>
    <t>tRNA precursor</t>
  </si>
  <si>
    <t>Dehydroalanine</t>
  </si>
  <si>
    <t>2-Methylcitrate</t>
  </si>
  <si>
    <t>L-Cystathionine</t>
  </si>
  <si>
    <t>R-S-Glutathione</t>
  </si>
  <si>
    <t>(S)-2-Aminobutanoate</t>
  </si>
  <si>
    <t>2-Fluorobenzoate</t>
  </si>
  <si>
    <t>3-Fluorobenzoate</t>
  </si>
  <si>
    <t>4-Fluorobenzoate</t>
  </si>
  <si>
    <t>4-Chlorocatechol</t>
  </si>
  <si>
    <t>6-Mercaptopurine</t>
  </si>
  <si>
    <t>Glycyl-tRNA(Gly)</t>
  </si>
  <si>
    <t>Histone-L-lysine</t>
  </si>
  <si>
    <t>L-Methionyl-tRNA</t>
  </si>
  <si>
    <t>Precorrin 2</t>
  </si>
  <si>
    <t>Uroporphyrin III</t>
  </si>
  <si>
    <t>cis,cis-Muconate</t>
  </si>
  <si>
    <t>alpha-Isopropylmalate</t>
  </si>
  <si>
    <t>3-Cyano-L-alanine</t>
  </si>
  <si>
    <t>3-Fumarylpyruvate</t>
  </si>
  <si>
    <t>5'-Ribonucleotide</t>
  </si>
  <si>
    <t>O-Phospho-D-serine</t>
  </si>
  <si>
    <t>L-Seryl-tRNA(Ser)</t>
  </si>
  <si>
    <t>L-Valyl-tRNA(Val)</t>
  </si>
  <si>
    <t>Protein glutamine</t>
  </si>
  <si>
    <t>2-Hydroxyglutarate</t>
  </si>
  <si>
    <t>2-Isopropylmaleate</t>
  </si>
  <si>
    <t>3-Dehydroshikimate</t>
  </si>
  <si>
    <t>L-Prolyl-tRNA(Pro)</t>
  </si>
  <si>
    <t>O-Phosphoprotamine</t>
  </si>
  <si>
    <t>2-Succinylbenzoate</t>
  </si>
  <si>
    <t>1-(5-Phospho-D-ribosyl)-ATP</t>
  </si>
  <si>
    <t>Phosphoribosyl-AMP</t>
  </si>
  <si>
    <t>[Protein]-L-cysteine</t>
  </si>
  <si>
    <t>S-Alkyl-L-cysteine</t>
  </si>
  <si>
    <t>tRNA pseudouridine</t>
  </si>
  <si>
    <t>L-Tyrosyl-tRNA(Tyr)</t>
  </si>
  <si>
    <t>3-O-(alpha-D-Mannosyl)-L-serinyl-[protein]</t>
  </si>
  <si>
    <t>Propanoyl phosphate</t>
  </si>
  <si>
    <t>L-Cysteine-S-conjugate</t>
  </si>
  <si>
    <t>(2-Naphthyl)methanol</t>
  </si>
  <si>
    <t>7,8-Dihydrobiopterin</t>
  </si>
  <si>
    <t>D-Allose 6-phosphate</t>
  </si>
  <si>
    <t>5-Methylcytosine in DNA</t>
  </si>
  <si>
    <t>Decaprenol phosphate</t>
  </si>
  <si>
    <t>Dihydrolipoylprotein</t>
  </si>
  <si>
    <t>L-Aspartyl-tRNA(Asp)</t>
  </si>
  <si>
    <t>L-Glutamyl-tRNA(Glu)</t>
  </si>
  <si>
    <t>L-Histidyl-tRNA(His)</t>
  </si>
  <si>
    <t>L-Threonyl-tRNA(Thr)</t>
  </si>
  <si>
    <t>Peptide-L-methionine</t>
  </si>
  <si>
    <t>[Reduced NADPH---hemoprotein reductase]</t>
  </si>
  <si>
    <t>Thiamin triphosphate</t>
  </si>
  <si>
    <t>3-Hydroxybenzaldehyde</t>
  </si>
  <si>
    <t>4-Phospho-L-aspartate</t>
  </si>
  <si>
    <t>5-Phosphoribosylamine</t>
  </si>
  <si>
    <t>Dimethylbenzimidazole</t>
  </si>
  <si>
    <t>L-Cysteinyl-tRNA(Cys)</t>
  </si>
  <si>
    <t>L-Isoleucyl-tRNA(Ile)</t>
  </si>
  <si>
    <t>Nicotinamide-beta-riboside</t>
  </si>
  <si>
    <t>N5-Methyl-L-glutamine</t>
  </si>
  <si>
    <t>2-Succinylbenzoyl-CoA</t>
  </si>
  <si>
    <t>[Oxidized NADPH---hemoprotein reductase]</t>
  </si>
  <si>
    <t>Trypanothione disulfide</t>
  </si>
  <si>
    <t>Shikimate 3-phosphate</t>
  </si>
  <si>
    <t>(5-L-Glutamyl)-peptide</t>
  </si>
  <si>
    <t>3-Phosphonooxypyruvate</t>
  </si>
  <si>
    <t>Coproporphyrinogen III</t>
  </si>
  <si>
    <t>L-Glutamyl 5-phosphate</t>
  </si>
  <si>
    <t>N-Formylmethionyl-tRNA</t>
  </si>
  <si>
    <t>Phylloquinol</t>
  </si>
  <si>
    <t>2-Methylacetoacetyl-CoA</t>
  </si>
  <si>
    <t>3-Phospho-D-erythronate</t>
  </si>
  <si>
    <t>4-Nitrophenyl phosphate</t>
  </si>
  <si>
    <t>5-L-Glutamyl amino acid</t>
  </si>
  <si>
    <t>Aminoimidazole ribotide</t>
  </si>
  <si>
    <t>N-(L-Arginino)succinate</t>
  </si>
  <si>
    <t>Folinic acid</t>
  </si>
  <si>
    <t>D-4'-Phosphopantothenate</t>
  </si>
  <si>
    <t>Indoleglycerol phosphate</t>
  </si>
  <si>
    <t>L-Phenylalanyl-tRNA(Phe)</t>
  </si>
  <si>
    <t>L-Tryptophanyl-tRNA(Trp)</t>
  </si>
  <si>
    <t>N-Substituted amino acid</t>
  </si>
  <si>
    <t>THF-polyglutamate</t>
  </si>
  <si>
    <t>3-Chloro-cis,cis-muconate</t>
  </si>
  <si>
    <t>2-Oxo-2,3-dihydrofuran-5-acetate</t>
  </si>
  <si>
    <t>L-Methionylaminoacyl-tRNA</t>
  </si>
  <si>
    <t>Peptidylproline (omega=0)</t>
  </si>
  <si>
    <t>1,4-Dihydroxy-2-naphthoate</t>
  </si>
  <si>
    <t>2-Pyrone-4,6-dicarboxylate</t>
  </si>
  <si>
    <t>Apo-[acyl-carrier protein]</t>
  </si>
  <si>
    <t>Quinolinate</t>
  </si>
  <si>
    <t>Ribonucleoside diphosphate</t>
  </si>
  <si>
    <t>UDP-alpha-D-galactofuranose</t>
  </si>
  <si>
    <t>alpha-D-Hexose 6-phosphate</t>
  </si>
  <si>
    <t>(5-L-Glutamyl)-L-amino acid</t>
  </si>
  <si>
    <t>(S)-4-Amino-5-oxopentanoate</t>
  </si>
  <si>
    <t>D-Tagatose 1,6-bisphosphate</t>
  </si>
  <si>
    <t>N6-(1,2-Dicarboxyethyl)-AMP</t>
  </si>
  <si>
    <t>Peptidylproline (omega=180)</t>
  </si>
  <si>
    <t>Protein S-methyl-L-cysteine</t>
  </si>
  <si>
    <t>Ribosomal-protein L-alanine</t>
  </si>
  <si>
    <t>5'-Phosphoribosylglycinamide</t>
  </si>
  <si>
    <t>Dolichyl phosphate D-mannose</t>
  </si>
  <si>
    <t>L-2-Amino-6-oxoheptanedioate</t>
  </si>
  <si>
    <t>N-Substituted aminoacyl-tRNA</t>
  </si>
  <si>
    <t>Phosphatidylglycerophosphate</t>
  </si>
  <si>
    <t>Peptide-L-methionine (S)-S-oxide</t>
  </si>
  <si>
    <t>(S)-1-Pyrroline-5-carboxylate</t>
  </si>
  <si>
    <t>Acetyl-[acyl-carrier protein]</t>
  </si>
  <si>
    <t>2,3,4,5-Tetrahydrodipicolinate</t>
  </si>
  <si>
    <t>1D-myo-Inositol 3-phosphate</t>
  </si>
  <si>
    <t>2,3-Dihydroxy-3-methylbutanoate</t>
  </si>
  <si>
    <t>3-(2,3-Dihydroxyphenyl)propanoate</t>
  </si>
  <si>
    <t>5-Amino-4-imidazolecarboxyamide</t>
  </si>
  <si>
    <t>N-((R)-Pantothenoyl)-L-cysteine</t>
  </si>
  <si>
    <t>2,5-Dihydro-5-oxofuran-2-acetate</t>
  </si>
  <si>
    <t>3-Methyl-cis,cis-hexadienedioate</t>
  </si>
  <si>
    <t>N-Acetyl-L-glutamate 5-phosphate</t>
  </si>
  <si>
    <t>N-Acyl-D-glucosamine 6-phosphate</t>
  </si>
  <si>
    <t>Tetrahydropteroyltri-L-glutamate</t>
  </si>
  <si>
    <t>rRNA containing N2-methylguanine</t>
  </si>
  <si>
    <t>tRNA containing N1-methylguanine</t>
  </si>
  <si>
    <t>tRNA containing N7-methylguanine</t>
  </si>
  <si>
    <t>3-Hydroxy-3-methyl-2-oxobutanoic acid</t>
  </si>
  <si>
    <t>(Z)-But-2-ene-1,2,3-tricarboxylate</t>
  </si>
  <si>
    <t>2'-Deoxyribonucleoside diphosphate</t>
  </si>
  <si>
    <t>(2S)-2-Isopropyl-3-oxosuccinate</t>
  </si>
  <si>
    <t>5-Fluorodeoxyuridine monophosphate</t>
  </si>
  <si>
    <t>But-2-enoyl-[acyl-carrier protein]</t>
  </si>
  <si>
    <t>DNA containing 6-O-methylguanine</t>
  </si>
  <si>
    <t>N-Acetyl-D-mannosamine 6-phosphate</t>
  </si>
  <si>
    <t>N-Formyl-L-methionylaminoacyl-tRNA</t>
  </si>
  <si>
    <t>Protein N(pi)-phospho-L-histidine</t>
  </si>
  <si>
    <t>Protein N(tau)-phospho-L-histidine</t>
  </si>
  <si>
    <t>(R)-2,3-Dihydroxy-3-methylbutanoate</t>
  </si>
  <si>
    <t>L-1-Pyrroline-3-hydroxy-5-carboxylate</t>
  </si>
  <si>
    <t>3D-3,5/4-Trihydroxycyclohexane-1,2-dione</t>
  </si>
  <si>
    <t>5-(2-Hydroxyethyl)-4-methylthiazole</t>
  </si>
  <si>
    <t>N-(5-Phospho-D-ribosyl)anthranilate</t>
  </si>
  <si>
    <t>Phosphoenol-4-deoxy-3-tetrulosonate</t>
  </si>
  <si>
    <t>4-Methyl-5-(2-phosphooxyethyl)thiazole</t>
  </si>
  <si>
    <t>6,7-Dimethyl-8-(D-ribityl)lumazine</t>
  </si>
  <si>
    <t>Ribosomal-protein N-acetyl-L-alanine</t>
  </si>
  <si>
    <t>(R)-4'-Phosphopantothenoyl-L-cysteine</t>
  </si>
  <si>
    <t>3-(3,5-Diiodo-4-hydroxyphenyl)lactate</t>
  </si>
  <si>
    <t>5'-Phosphoribosyl-N-formylglycinamide</t>
  </si>
  <si>
    <t>5,10-Methylenetetrahydromethanopterin</t>
  </si>
  <si>
    <t>(2R,3S)-3-Isopropylmalate</t>
  </si>
  <si>
    <t>Carboxybiotin-carboxyl-carrier protein</t>
  </si>
  <si>
    <t>N-Succinyl-LL-2,6-diaminoheptanedioate</t>
  </si>
  <si>
    <t>S-Adenosyl-4-methylthio-2-oxobutanoate</t>
  </si>
  <si>
    <t>tRNA containing 6-isopentenyladenosine</t>
  </si>
  <si>
    <t>5-Amino-6-(5'-phospho-D-ribitylamino)uracil</t>
  </si>
  <si>
    <t>N-Succinyl-2-L-amino-6-oxoheptanedioate</t>
  </si>
  <si>
    <t>5-Methyltetrahydropteroyltri-L-glutamate</t>
  </si>
  <si>
    <t>Guanosine 3'-diphosphate 5'-triphosphate</t>
  </si>
  <si>
    <t>N-Acetyl-alpha-D-glucosamine 1-phosphate</t>
  </si>
  <si>
    <t>1-(1-Alkenyl)-sn-glycero-3-phosphocholine</t>
  </si>
  <si>
    <t>4-Amino-2-methyl-5-(phosphooxymethyl)pyrimidine</t>
  </si>
  <si>
    <t>di-trans,poly-cis-Undecaprenyl diphosphate</t>
  </si>
  <si>
    <t>(2S,3R)-3-Hydroxybutane-1,2,3-tricarboxylate</t>
  </si>
  <si>
    <t>(3R)-3-Hydroxybutanoyl-[acyl-carrier protein]</t>
  </si>
  <si>
    <t>(3R)-3-Hydroxydecanoyl-[acyl-carrier protein]</t>
  </si>
  <si>
    <t>(3R)-3-Hydroxyoctanoyl-[acyl-carrier protein]</t>
  </si>
  <si>
    <t>UDP-N-acetyl-3-(1-carboxyvinyl)-D-glucosamine</t>
  </si>
  <si>
    <t>(3R)-3-Hydroxypalmitoyl-[acyl-carrier protein]</t>
  </si>
  <si>
    <t>1,6-Dihydroxycyclohexa-2,4-diene-1-carboxylate</t>
  </si>
  <si>
    <t>1-(1-Alkenyl)-sn-glycero-3-phosphoethanolamine</t>
  </si>
  <si>
    <t>2-(Formamido)-N1-(5'-phosphoribosyl)acetamidine</t>
  </si>
  <si>
    <t>6-Thioinosine-5'-monophosphate</t>
  </si>
  <si>
    <t>D-erythro-1-(Imidazol-4-yl)glycerol 3-phosphate</t>
  </si>
  <si>
    <t>1-(5'-Phosphoribosyl)-5-amino-4-imidazolecarboxamide</t>
  </si>
  <si>
    <t>[Acetyl-CoA:carbon-dioxide ligase (ADP-forming)]</t>
  </si>
  <si>
    <t>(3R)-3-Hydroxytetradecanoyl-[acyl-carrier protein]</t>
  </si>
  <si>
    <t>2-Dehydro-3-deoxy-D-arabino-heptonate 7-phosphate</t>
  </si>
  <si>
    <t>UDPMurNAc(oyl-L-Ala-D-gamma-Glu-L-Lys-D-Ala-D-Ala)</t>
  </si>
  <si>
    <t>5-Amino-6-(1-D-ribitylamino)uracil</t>
  </si>
  <si>
    <t>1-(5'-Phosphoribosyl)-5-formamido-4-imidazolecarboxamide</t>
  </si>
  <si>
    <t>Apo-[acetyl-CoA:carbon-dioxide ligase (ADP-forming)]</t>
  </si>
  <si>
    <t>1-(5-Phospho-D-ribosyl)-5-amino-4-imidazolecarboxylate</t>
  </si>
  <si>
    <t>4-Amino-5-hydroxymethyl-2-methylpyrimidine diphosphate</t>
  </si>
  <si>
    <t>N1-(5-Phospho-alpha-D-ribosyl)-5,6-dimethylbenzimidazole</t>
  </si>
  <si>
    <t>6-Hydroxymethyl-7,8-dihydropterin diphosphate</t>
  </si>
  <si>
    <t>1-(5'-Phosphoribosyl)-5-amino-4-(N-succinocarboxamide)-imidazole</t>
  </si>
  <si>
    <t>MurAc(oyl-L-Ala-D-gamma-Glu-L-Lys-D-Ala-D-Ala)-diphospho-undecaprenol</t>
  </si>
  <si>
    <t>7,8-Dihydroneopterin</t>
  </si>
  <si>
    <t>UDP-N-acetylmuramoyl-L-alanyl-gamma-D-glutamyl-meso-2,6-diaminopimelate</t>
  </si>
  <si>
    <t>UDP-N-acetylmuramoyl-L-alanyl-D-glutamyl-6-carboxy-L-lysyl-D-alanyl-D-alanine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</si>
  <si>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</si>
  <si>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</si>
  <si>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</si>
  <si>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2-(alpha-Hydroxyethyl)thiamine diphosphate</t>
  </si>
  <si>
    <t>alpha-Amino acid</t>
  </si>
  <si>
    <t>5'-Deoxyadenosine</t>
  </si>
  <si>
    <t>Dodecanoyl-[acyl-carrier protein]</t>
  </si>
  <si>
    <t>[Protein-PII]</t>
  </si>
  <si>
    <t>3-Oxohexanoyl-CoA</t>
  </si>
  <si>
    <t>Semiquinone</t>
  </si>
  <si>
    <t>Uridylyl-[protein-PII]</t>
  </si>
  <si>
    <t>L-Selenomethionine</t>
  </si>
  <si>
    <t>Selenomethionyl-tRNA(Met)</t>
  </si>
  <si>
    <t>beta-D-Fructose 6-phosphate</t>
  </si>
  <si>
    <t>e-</t>
  </si>
  <si>
    <t>beta-D-Fructose 1,6-bisphosphate</t>
  </si>
  <si>
    <t>Oxalosuccinate</t>
  </si>
  <si>
    <t>Sedoheptulose 7-phosphate</t>
  </si>
  <si>
    <t>Phytyl diphosphate</t>
  </si>
  <si>
    <t>3alpha,7alpha,26-Trihydroxy-5beta-cholestane</t>
  </si>
  <si>
    <t>3alpha,7alpha-Dihydroxy-5beta-cholestan-26-al</t>
  </si>
  <si>
    <t>Deoxyinosine</t>
  </si>
  <si>
    <t>S-Glutathionyl-L-cysteine</t>
  </si>
  <si>
    <t>3-Sulfopyruvate</t>
  </si>
  <si>
    <t>3,4-Dihydroxyphenylethyleneglycol</t>
  </si>
  <si>
    <t>3,4-Dihydroxymandelaldehyde</t>
  </si>
  <si>
    <t>Cinnavalininate</t>
  </si>
  <si>
    <t>3-Aminopropiononitrile</t>
  </si>
  <si>
    <t>Selenite</t>
  </si>
  <si>
    <t>Adenylyl selenate</t>
  </si>
  <si>
    <t>L-Selenocysteine</t>
  </si>
  <si>
    <t>Se-Methyl-L-selenocysteine</t>
  </si>
  <si>
    <t>Se-Adenosylselenomethionine</t>
  </si>
  <si>
    <t>gamma-Glutamyl-Se-methylselenocysteine</t>
  </si>
  <si>
    <t>Selenate</t>
  </si>
  <si>
    <t>Selenohomocysteine</t>
  </si>
  <si>
    <t>L-Selenocystathionine</t>
  </si>
  <si>
    <t>O-Phosphorylhomoserine</t>
  </si>
  <si>
    <t>Methaneselenol</t>
  </si>
  <si>
    <t>gamma-Glutamyl-beta-cyanoalanine</t>
  </si>
  <si>
    <t>S-Substituted L-cysteine</t>
  </si>
  <si>
    <t>R-S-Cysteinylglycine</t>
  </si>
  <si>
    <t>Acetoacetyl-[acp]</t>
  </si>
  <si>
    <t>Butyryl-[acp]</t>
  </si>
  <si>
    <t>3-Oxohexanoyl-[acp]</t>
  </si>
  <si>
    <t>(3R)-3-Hydroxyhexanoyl-[acyl-carrier protein]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</si>
  <si>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</si>
  <si>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</si>
  <si>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</si>
  <si>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</si>
  <si>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</si>
  <si>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</si>
  <si>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</si>
  <si>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</si>
  <si>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3-Oxododecanoyl-[acp]</t>
  </si>
  <si>
    <t>(3R)-3-Hydroxydodecanoyl-[acyl-carrier protein]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</si>
  <si>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</si>
  <si>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</si>
  <si>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</si>
  <si>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</si>
  <si>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</si>
  <si>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</si>
  <si>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</si>
  <si>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Uroporphyrinogen I</t>
  </si>
  <si>
    <t>Coproporphyrinogen I</t>
  </si>
  <si>
    <t>Cobinamide</t>
  </si>
  <si>
    <t>alpha-Ribazole</t>
  </si>
  <si>
    <t>Sirohydrochlorin</t>
  </si>
  <si>
    <t>(1R,6R)-6-Hydroxy-2-succinylcyclohexa-2,4-diene-1-carboxylate</t>
  </si>
  <si>
    <t>Menaquinol</t>
  </si>
  <si>
    <t>3-Mercaptolactate</t>
  </si>
  <si>
    <t>Iminoaspartate</t>
  </si>
  <si>
    <t>Nicotinate D-ribonucleoside</t>
  </si>
  <si>
    <t>5-L-Glutamyl-taurine</t>
  </si>
  <si>
    <t>all-trans-Polyprenyl diphosphate</t>
  </si>
  <si>
    <t>Reduced Vitamin K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</si>
  <si>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</si>
  <si>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</si>
  <si>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</si>
  <si>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</si>
  <si>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Biotinyl-5'-AMP</t>
  </si>
  <si>
    <t>Formamidopyrimidine nucleoside triphosphate</t>
  </si>
  <si>
    <t>2,5-Diaminopyrimidine nucleoside triphosphate</t>
  </si>
  <si>
    <t>(6R)-10-Formyltetrahydropteroyldiglutamate</t>
  </si>
  <si>
    <t>10-Formyltetrahydrofolylpolyglutamate</t>
  </si>
  <si>
    <t>Leukotriene D4</t>
  </si>
  <si>
    <t>2-Hydroxybutanoic acid</t>
  </si>
  <si>
    <t>(S)-2-Aceto-2-hydroxybutanoate</t>
  </si>
  <si>
    <t>(R)-2,3-Dihydroxy-3-methylpentanoate</t>
  </si>
  <si>
    <t>(S)-2-Acetolactate</t>
  </si>
  <si>
    <t>D-erythro-3-Methylmalate</t>
  </si>
  <si>
    <t>2-Oxo-3-hydroxy-4-phosphobutanoate</t>
  </si>
  <si>
    <t>O-Phospho-4-hydroxy-L-threonine</t>
  </si>
  <si>
    <t>4-Hydroxy-L-threonine</t>
  </si>
  <si>
    <t>gamma-Glutamyl-beta-aminopropiononitrile</t>
  </si>
  <si>
    <t>2,5-Diamino-6-(5'-triphosphoryl-3',4'-trihydroxy-2'-oxopentyl)-amino-4-oxopyrimidine</t>
  </si>
  <si>
    <t>alpha-D-Glucosamine 1-phosphate</t>
  </si>
  <si>
    <t>2'-Deoxyinosine 5'-phosphate</t>
  </si>
  <si>
    <t>Benzoyl phosphate</t>
  </si>
  <si>
    <t>Apo-[carboxylase]</t>
  </si>
  <si>
    <t>Holo-[carboxylase]</t>
  </si>
  <si>
    <t>(1R,6S)-1,6-Dihydroxycyclohexa-2,4-diene-1-carboxylate</t>
  </si>
  <si>
    <t>1-alpha-D-[(1-&gt;4)-alpha-D-Glucosyl](n-1)-alpha-D-glucopyranoside</t>
  </si>
  <si>
    <t>L-Seryl-tRNA(Sec)</t>
  </si>
  <si>
    <t>Cob(II)yrinate a,c diamide</t>
  </si>
  <si>
    <t>Cob(I)yrinate a,c diamide</t>
  </si>
  <si>
    <t>Adenosyl cobyrinate a,c diamide</t>
  </si>
  <si>
    <t>Adenosyl cobinamide</t>
  </si>
  <si>
    <t>Adenosyl cobinamide phosphate</t>
  </si>
  <si>
    <t>Adenosine-GDP-cobinamide</t>
  </si>
  <si>
    <t>trans-3-Chloro-2-propene-1-ol</t>
  </si>
  <si>
    <t>cis-3-Chloro-2-propene-1-ol</t>
  </si>
  <si>
    <t>trans-3-Chloroallyl aldehyde</t>
  </si>
  <si>
    <t>Vanillate</t>
  </si>
  <si>
    <t>Arsenite</t>
  </si>
  <si>
    <t>Mycothiol</t>
  </si>
  <si>
    <t>S-Formylmycothiol</t>
  </si>
  <si>
    <t>4-Methylcatechol</t>
  </si>
  <si>
    <t>2-Deoxy-5-keto-D-gluconic acid</t>
  </si>
  <si>
    <t>2-Deoxy-5-keto-D-gluconic acid 6-phosphate</t>
  </si>
  <si>
    <t>Chloral hydrate</t>
  </si>
  <si>
    <t>Glutaredoxin</t>
  </si>
  <si>
    <t>Glutaredoxin disulfide</t>
  </si>
  <si>
    <t>Trichloroethanol</t>
  </si>
  <si>
    <t>Aldophosphamide</t>
  </si>
  <si>
    <t>Thioguanine</t>
  </si>
  <si>
    <t>beta-D-Ribopyranose</t>
  </si>
  <si>
    <t>3-Hexenol</t>
  </si>
  <si>
    <t>THF-L-glutamate</t>
  </si>
  <si>
    <t>2'-Deoxy-5-hydroxymethylcytidine-5'-diphosphate</t>
  </si>
  <si>
    <t>2'-Deoxy-5-hydroxymethylcytidine-5'-triphosphate</t>
  </si>
  <si>
    <t>Arsenate ion</t>
  </si>
  <si>
    <t>4-Amino-4-deoxychorismate</t>
  </si>
  <si>
    <t>2-C-Methyl-D-erythritol 4-phosphate</t>
  </si>
  <si>
    <t>4-(Cytidine 5'-diphospho)-2-C-methyl-D-erythritol</t>
  </si>
  <si>
    <t>2-Phospho-4-(cytidine 5'-diphospho)-2-C-methyl-D-erythritol</t>
  </si>
  <si>
    <t>1-Deoxy-D-xylulose 5-phosphate</t>
  </si>
  <si>
    <t>Formyl-L-methionyl peptide</t>
  </si>
  <si>
    <t>Methionyl peptide</t>
  </si>
  <si>
    <t>2-C-Methyl-D-erythritol 2,4-cyclodiphosphate</t>
  </si>
  <si>
    <t>3-(3-Hydroxyphenyl)propanoic acid</t>
  </si>
  <si>
    <t>DNA containing guanine</t>
  </si>
  <si>
    <t>Mycothione</t>
  </si>
  <si>
    <t>(2R)-3-Sulfolactate</t>
  </si>
  <si>
    <t>N-Ethylglycine</t>
  </si>
  <si>
    <t>1-Hydroxy-2-methyl-2-butenyl 4-diphosphate</t>
  </si>
  <si>
    <t>[GlcNAc-(1-&gt;4)-Mur2Ac(oyl-L-Ala-g-D-Glu-L-Lys-D-Ala-D-Ala)]n-diphosphoundecaprenol</t>
  </si>
  <si>
    <t>[GlcNAc-(1-&gt;4)-Mur2Ac(oyl-L-Ala-g-D-Glu-A2pm-D-Ala-D-Ala)]n-diphosphoundecaprenol</t>
  </si>
  <si>
    <t>dTDP-4-oxo-6-deoxy-D-glucose</t>
  </si>
  <si>
    <t>Aminofructose 6-phosphate</t>
  </si>
  <si>
    <t>Iminoerythrose 4-phosphate</t>
  </si>
  <si>
    <t>trans-3-Hydroxycinnamate</t>
  </si>
  <si>
    <t>trans-2,3-Dihydroxycinnamate</t>
  </si>
  <si>
    <t>alpha,beta-Dihydroxyethyl-TPP</t>
  </si>
  <si>
    <t>1-Hydroxymethylnaphthalene</t>
  </si>
  <si>
    <t>1-Naphthaldehyde</t>
  </si>
  <si>
    <t>2-Naphthaldehyde</t>
  </si>
  <si>
    <t>(R)-3-Hydroxy-3-methyl-2-oxopentanoate</t>
  </si>
  <si>
    <t>(S)-5-Oxo-2,5-dihydrofuran-2-acetate</t>
  </si>
  <si>
    <t>Fe2+</t>
  </si>
  <si>
    <t>ROOH</t>
  </si>
  <si>
    <t>4a-Hydroxytetrahydrobiopterin</t>
  </si>
  <si>
    <t>Precorrin 1</t>
  </si>
  <si>
    <t>NDP-glucose</t>
  </si>
  <si>
    <t>1,4-Dihydroxy-2-naphthoyl-CoA</t>
  </si>
  <si>
    <t>L-3,4-Dihydroxybutan-2-one 4-phosphate</t>
  </si>
  <si>
    <t>Quinone</t>
  </si>
  <si>
    <t>Hydroquinone</t>
  </si>
  <si>
    <t>Peptide-L-methionine (R)-S-oxide</t>
  </si>
  <si>
    <t>5-Carboxyamino-1-(5-phospho-D-ribosyl)imidazole</t>
  </si>
  <si>
    <t>Heme A</t>
  </si>
  <si>
    <t>Heme O</t>
  </si>
  <si>
    <t>Iminoglycine</t>
  </si>
  <si>
    <t>Sulfur-carrier protein</t>
  </si>
  <si>
    <t>[Enzyme]-cysteine</t>
  </si>
  <si>
    <t>[Enzyme]-S-sulfanylcysteine</t>
  </si>
  <si>
    <t>Thiocarboxy-[sulfur-carrier protein]</t>
  </si>
  <si>
    <t>Enzyme N6-(lipoyl)lysine</t>
  </si>
  <si>
    <t>Enzyme N6-(dihydrolipoyl)lysine</t>
  </si>
  <si>
    <t>L-Methionine (S)-S-oxide</t>
  </si>
  <si>
    <t>3-Oxostearoyl-[acp]</t>
  </si>
  <si>
    <t>(3R)-3-Hydroxyoctadecanoyl-[acyl-carrier protein]</t>
  </si>
  <si>
    <t>[Protein]-N6-(octanoyl)-L-lysine</t>
  </si>
  <si>
    <t>Protein N6-(lipoyl)lysine</t>
  </si>
  <si>
    <t>Lipoyl-[acp]</t>
  </si>
  <si>
    <t>[Lipoyl-carrier protein]-L-lysine</t>
  </si>
  <si>
    <t>[Dihydrolipoyllysine-residue acetyltransferase] S-acetyldihydrolipoyllysine</t>
  </si>
  <si>
    <t>3-Hexenal</t>
  </si>
  <si>
    <t>cis-3-Chloroallyl aldehyde</t>
  </si>
  <si>
    <t>3-Fluorocatechol</t>
  </si>
  <si>
    <t>4-Fluorocatechol</t>
  </si>
  <si>
    <t>3-Fluoro-cis,cis-muconate</t>
  </si>
  <si>
    <t>2-Fluoro-cis,cis-muconate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</si>
  <si>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</si>
  <si>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</si>
  <si>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</si>
  <si>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</si>
  <si>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</si>
  <si>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</si>
  <si>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</si>
  <si>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</si>
  <si>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</si>
  <si>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</si>
  <si>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</si>
  <si>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</si>
  <si>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</si>
  <si>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</si>
  <si>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6-Mercaptopurine ribonucleoside triphosphate</t>
  </si>
  <si>
    <t>6-Thioxanthine 5'-monophosphate</t>
  </si>
  <si>
    <t>6-Thioguanosine monophosphate</t>
  </si>
  <si>
    <t>5-Fluorouridine monophosphate</t>
  </si>
  <si>
    <t>tRNA(Sec)</t>
  </si>
  <si>
    <t>beta-D-Ribofuranose</t>
  </si>
  <si>
    <t>Tryparedoxin</t>
  </si>
  <si>
    <t>Tryparedoxin disulfide</t>
  </si>
  <si>
    <t>7-Aminomethyl-7-carbaguanine</t>
  </si>
  <si>
    <t>Sucrose 6-phosphate</t>
  </si>
  <si>
    <t>5-Deoxy-D-glucuronate</t>
  </si>
  <si>
    <t>[Protein]-N6-[(R)-dihydrolipoyl]-L-lysine</t>
  </si>
  <si>
    <t>Sulfur donor</t>
  </si>
  <si>
    <t>2-Aminobut-2-enoate</t>
  </si>
  <si>
    <t>tRNA adenine</t>
  </si>
  <si>
    <t>di-trans,poly-cis-Undecaprenyl phosphate</t>
  </si>
  <si>
    <t>(2S)-Ethylmalonyl-CoA</t>
  </si>
  <si>
    <t>Ethylnitronate</t>
  </si>
  <si>
    <t>UDP-L-arabinofuranose</t>
  </si>
  <si>
    <t>D-Allulose 6-phosphate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</si>
  <si>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</si>
  <si>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</si>
  <si>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</si>
  <si>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</si>
  <si>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</si>
  <si>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Methylselenic acid</t>
  </si>
  <si>
    <t>tRNA with a 3' cytidine</t>
  </si>
  <si>
    <t>tRNA with a 3' CC end</t>
  </si>
  <si>
    <t>tRNA with a 3' CCA end</t>
  </si>
  <si>
    <t>Nickel(2+)</t>
  </si>
  <si>
    <t>1-O-(2-Amino-2-deoxy-alpha-D-glucopyranosyl)-1D-myo-inositol</t>
  </si>
  <si>
    <t>1-O-[2-(L-Cysteinamido)-2-deoxy-alpha-D-glucopyranosyl]-1D-myo-inositol</t>
  </si>
  <si>
    <t>[tRNA(Ile2)]-cytidine34</t>
  </si>
  <si>
    <t>[tRNA(Ile2)]-lysidine34</t>
  </si>
  <si>
    <t>1-O-(2-Acetamido-2-deoxy-alpha-D-glucopyranosyl)-1D-myo-inositol 3-phosphate</t>
  </si>
  <si>
    <t>1-O-(2-Acetamido-2-deoxy-alpha-D-glucopyranosyl)-1D-myo-inositol</t>
  </si>
  <si>
    <t>2-O-(alpha-D-Glucopyranosyl)-3-phospho-D-glycerate</t>
  </si>
  <si>
    <t>[Protein]-L-threonine</t>
  </si>
  <si>
    <t>Demethylmenaquinol</t>
  </si>
  <si>
    <t>Guanylyl molybdenum cofactor</t>
  </si>
  <si>
    <t>alpha-Maltose 1-phosphate</t>
  </si>
  <si>
    <t>(2R)-Ethylmalonyl-CoA</t>
  </si>
  <si>
    <t>2-[(2R,5Z)-2-Carboxy-4-methylthiazol-5(2H)-ylidene]ethyl phosphate</t>
  </si>
  <si>
    <t>2-(2-Carboxy-4-methylthiazol-5-yl)ethyl phosphate</t>
  </si>
  <si>
    <t>(2S,4S)-4-Hydroxy-2,3,4,5-tetrahydrodipicolinate</t>
  </si>
  <si>
    <t>trans,octacis-Decaprenylphospho-beta-D-ribofuranose 5-phosphate</t>
  </si>
  <si>
    <t>trans,octacis-Decaprenylphospho-beta-D-erythro-pentofuranosid-2-ulose</t>
  </si>
  <si>
    <t>trans,octacis-Decaprenylphospho-beta-D-arabinofuranose</t>
  </si>
  <si>
    <t>3-Ketoglutaryl-[acp] methyl ester</t>
  </si>
  <si>
    <t>3-Hydroxyglutaryl-[acp] methyl ester</t>
  </si>
  <si>
    <t>3-Ketopimeloyl-[acp] methyl ester</t>
  </si>
  <si>
    <t>3-Hydroxypimeloyl-[acp] methyl ester</t>
  </si>
  <si>
    <t>tRNA 7-aminomethyl-7-carbaguanine</t>
  </si>
  <si>
    <t>tRNA hypoxanthine</t>
  </si>
  <si>
    <t>Cyclic di-3',5'-adenylate</t>
  </si>
  <si>
    <t>L-Threonylcarbamoyladenylate</t>
  </si>
  <si>
    <t>Adenine in rRNA</t>
  </si>
  <si>
    <t>O-Acetyl-ADP-ribose</t>
  </si>
  <si>
    <t>3-O-(alpha-D-Mannosyl)-L-threonyl-[protein]</t>
  </si>
  <si>
    <t>Protein N6-acetyl-L-lysine</t>
  </si>
  <si>
    <t>N6-L-Threonylcarbamoyladenine in tRNA</t>
  </si>
  <si>
    <t>2-Methylthio-N6-dimethylallyladenine in tRNA</t>
  </si>
  <si>
    <t>2-Thio-N6-dimethylallyladenine in tRNA</t>
  </si>
  <si>
    <t>N6-Dimethyladenine in rRNA</t>
  </si>
  <si>
    <t>Protein N5-methyl-L-glutamine</t>
  </si>
  <si>
    <t>5'-Triphospho-[mRNA]</t>
  </si>
  <si>
    <t>2-Iminopropanoate</t>
  </si>
  <si>
    <t>2-Iminobutanoate</t>
  </si>
  <si>
    <t>Carboxyphosphate</t>
  </si>
  <si>
    <t>gamma-L-Glutamyl-L-2-aminobutyrate</t>
  </si>
  <si>
    <t>5-Hydroxymethylcytosine in DNA</t>
  </si>
  <si>
    <t>Adenosylcobalamin 5'-phosphate</t>
  </si>
  <si>
    <t>4-Hydroxy-3-methylbenzaldehyde</t>
  </si>
  <si>
    <t>4-Hydroxy-3-methylbenzoate</t>
  </si>
  <si>
    <t>Prokaryotic ubiquitin-like protein</t>
  </si>
  <si>
    <t>Pupylated protein</t>
  </si>
  <si>
    <t>[Prokaryotic ubiquitin-like protein]-L-glutamine</t>
  </si>
  <si>
    <t>Fe-coproporphyrin III</t>
  </si>
  <si>
    <t>(8S)-3',8-Cyclo-7,8-dihydroguanosine 5'-triphosphate</t>
  </si>
  <si>
    <t>[Protein]-S-sulfanyl-L-cysteine</t>
  </si>
  <si>
    <t>2-O-(alpha-D-Mannosyl)-1-phosphatidyl-1D-myo-inositol</t>
  </si>
  <si>
    <t>2,6-Di-O-alpha-D-mannosyl-1-phosphatidyl-1D-myo-inositol</t>
  </si>
  <si>
    <t>2-O-(6-O-Acyl-alpha-D-mannosyl)-6-O-alpha-D-mannosyl-1-phosphatidyl-1D-myo-inositol</t>
  </si>
  <si>
    <t>2-O-(6-O-Acyl-alpha-D-mannosyl)-1-phosphatidyl-1D-myo-inositol</t>
  </si>
  <si>
    <t>5-Fluorouridine diphosphate</t>
  </si>
  <si>
    <t>5-Fluorouridine triphosphate</t>
  </si>
  <si>
    <t>5-Fluorodeoxyuridine diphosphate</t>
  </si>
  <si>
    <t>5-Fluorodeoxyuridine triphosphate</t>
  </si>
  <si>
    <t>Pyridinium-3,5-bisthiocarboxylate mononucleotide</t>
  </si>
  <si>
    <t>Ni(II)-pyridinium-3,5-bisthiocarboxylate mononucleotide</t>
  </si>
  <si>
    <t>Reduced [2Fe-2S] ferredoxin</t>
  </si>
  <si>
    <t>Oxidized [2Fe-2S] ferredoxin</t>
  </si>
  <si>
    <t>[Fe-S] cluster scaffold protein carrying a [4Fe-4S]2+ cluster</t>
  </si>
  <si>
    <t>[Fe-S] cluster scaffold protein</t>
  </si>
  <si>
    <t>Glycine cleavage system H</t>
  </si>
  <si>
    <t>Lipoyl-carrier protein E2</t>
  </si>
  <si>
    <t>[Glycine cleavage system H]-N6-octanoyl-L-lysine</t>
  </si>
  <si>
    <t>[Lipoyl-carrier protein E2]-N6-octanoyl-L-lysine</t>
  </si>
  <si>
    <t>Harderoheme III</t>
  </si>
  <si>
    <t>Heme I</t>
  </si>
  <si>
    <t>Hydroxyheme I</t>
  </si>
  <si>
    <t>N6-Succino-2-amino-2'-deoxyadenylate</t>
  </si>
  <si>
    <t>3,5-Dehydroshikimate</t>
  </si>
  <si>
    <t>dZMP</t>
  </si>
  <si>
    <t>dZDP</t>
  </si>
  <si>
    <t>dZTP</t>
  </si>
  <si>
    <t>8-Amino-7-(carboxyamino)nonanoate</t>
  </si>
  <si>
    <t>Trehalose</t>
  </si>
  <si>
    <t>Trehalose 6-phosphate</t>
  </si>
  <si>
    <t>1,4-alpha-D-Glucan</t>
  </si>
  <si>
    <t>(GlcNAc)1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</si>
  <si>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</si>
  <si>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</si>
  <si>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</si>
  <si>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(*)1 (D-Ala-D-Ala-Lys-gamma-D-Glu-Ala)1 (PP-Und)1</t>
  </si>
  <si>
    <t>(GlcNAc)1 (MurNAc)1 (D-Ala-D-Ala-A2pm-gamma-D-Glu-Ala)1 (PP-Und)1</t>
  </si>
  <si>
    <t>(MurNAc)1 (D-Ala-D-Ala-A2pm-gamma-D-Glu-Ala)1 (PP-Und)1</t>
  </si>
  <si>
    <t>(GlcNAc)1 (MurNAc)1 (*)1 (D-Ala-D-Ala-A2pm-gamma-D-Glu-Ala)1 (PP-Und)1</t>
  </si>
  <si>
    <t>(Glc)3 (*)1</t>
  </si>
  <si>
    <t>UDP-D-glucose</t>
  </si>
  <si>
    <t>UDP-N-acetyl-D-glucosamine</t>
  </si>
  <si>
    <t>GDP-D-mannose</t>
  </si>
  <si>
    <t>Phosphatidyl-myo-inositol monomannoside</t>
  </si>
  <si>
    <t>(Man)1 (Ser/Thr)1</t>
  </si>
  <si>
    <t>Phosphatidyl-myo-inositol dimannoside</t>
  </si>
  <si>
    <t>Triacylated phosphatidyl-myo-inositol monomannoside</t>
  </si>
  <si>
    <t>Triacylated phosphatidyl-myo-inositol dimannoside</t>
  </si>
  <si>
    <t>Rhamnosyl-N-acetyl-glucosaminyl-decaprenyl diphosphate</t>
  </si>
  <si>
    <t>Glycolipid 3</t>
  </si>
  <si>
    <t>Glycolipid 4</t>
  </si>
  <si>
    <t>1_1_1_140</t>
  </si>
  <si>
    <t>1_1_1_17</t>
  </si>
  <si>
    <t>1_1_1_30</t>
  </si>
  <si>
    <t>1_1_1_31</t>
  </si>
  <si>
    <t>1_1_1_336</t>
  </si>
  <si>
    <t>1_1_1_35</t>
  </si>
  <si>
    <t>1_1_1_47</t>
  </si>
  <si>
    <t>1_1_1_93</t>
  </si>
  <si>
    <t>1_13_11_15</t>
  </si>
  <si>
    <t>1_13_11_16</t>
  </si>
  <si>
    <t>1_13_11_93</t>
  </si>
  <si>
    <t>1_14_11_33</t>
  </si>
  <si>
    <t>1_14_13_149</t>
  </si>
  <si>
    <t>1_16_1_1</t>
  </si>
  <si>
    <t>1_2_1_10</t>
  </si>
  <si>
    <t>1_3_1_1</t>
  </si>
  <si>
    <t>1_5_3_2</t>
  </si>
  <si>
    <t>2_1_1_72</t>
  </si>
  <si>
    <t>2_3_1_39</t>
  </si>
  <si>
    <t>2_4_2_52</t>
  </si>
  <si>
    <t>2_7_1_197</t>
  </si>
  <si>
    <t>2_7_1_6</t>
  </si>
  <si>
    <t>2_7_7_49</t>
  </si>
  <si>
    <t>3_1_12_1</t>
  </si>
  <si>
    <t>3_1_21_3</t>
  </si>
  <si>
    <t>3_2_1_18</t>
  </si>
  <si>
    <t>3_5_1_28</t>
  </si>
  <si>
    <t>3_5_2_10</t>
  </si>
  <si>
    <t>3_5_2_2</t>
  </si>
  <si>
    <t>3_5_4_5</t>
  </si>
  <si>
    <t>3_6_1_22</t>
  </si>
  <si>
    <t>4_1_1_112</t>
  </si>
  <si>
    <t>4_1_1_88</t>
  </si>
  <si>
    <t>4_1_2_14</t>
  </si>
  <si>
    <t>4_1_3_16</t>
  </si>
  <si>
    <t>4_1_3_17</t>
  </si>
  <si>
    <t>4_1_3_39</t>
  </si>
  <si>
    <t>4_2_1_163</t>
  </si>
  <si>
    <t>4_2_1_80</t>
  </si>
  <si>
    <t>5_1_3_14</t>
  </si>
  <si>
    <t>5_3_2_8</t>
  </si>
  <si>
    <t>6_2_1_16</t>
  </si>
  <si>
    <t>Reduced nicotinamide nucleotide</t>
  </si>
  <si>
    <t>https://www.ncbi.nlm.nih.gov/datasets/genome/GCF_000011325.1/</t>
  </si>
  <si>
    <t>2_6_1_1</t>
  </si>
  <si>
    <t>C00049 + C00026</t>
  </si>
  <si>
    <t>C00097 + C00026</t>
  </si>
  <si>
    <t>C00506 + C00026</t>
  </si>
  <si>
    <t>C00606 + C00026</t>
  </si>
  <si>
    <t>C05947 + C00026</t>
  </si>
  <si>
    <t>C00036 + C00025</t>
  </si>
  <si>
    <t>C00957 + C00025</t>
  </si>
  <si>
    <t>C00957 + C00302</t>
  </si>
  <si>
    <t>C05528 + C00025</t>
  </si>
  <si>
    <t>C05527 + C00025</t>
  </si>
  <si>
    <t>C05946 + C00025</t>
  </si>
  <si>
    <t>C00049 * C00026</t>
  </si>
  <si>
    <t>C00097 * C00026</t>
  </si>
  <si>
    <t>C00506 * C00026</t>
  </si>
  <si>
    <t>C00606 * C00026</t>
  </si>
  <si>
    <t>C05947 * C00026</t>
  </si>
  <si>
    <t>C00036 * C00025</t>
  </si>
  <si>
    <t>C00957 * C00025</t>
  </si>
  <si>
    <t>C00957 * C00302</t>
  </si>
  <si>
    <t>C05528 * C00025</t>
  </si>
  <si>
    <t>C05527 * C00025</t>
  </si>
  <si>
    <t>C05946 * C00025</t>
  </si>
  <si>
    <t>C00023</t>
  </si>
  <si>
    <t>Iron</t>
  </si>
  <si>
    <t>C00034</t>
  </si>
  <si>
    <t>Manganese</t>
  </si>
  <si>
    <t>C00038</t>
  </si>
  <si>
    <t>Zinc cation</t>
  </si>
  <si>
    <t>C00040</t>
  </si>
  <si>
    <t>Acyl-CoA</t>
  </si>
  <si>
    <t>C01096 + C00003</t>
  </si>
  <si>
    <t>C00644 + C00003</t>
  </si>
  <si>
    <t>C01089 + C00003</t>
  </si>
  <si>
    <t>C01188 + C00003</t>
  </si>
  <si>
    <t>C06001 + C00003</t>
  </si>
  <si>
    <t>C01170 + C00003 + C00001</t>
  </si>
  <si>
    <t>C00640 + C00003</t>
  </si>
  <si>
    <t>C01144 + C00003</t>
  </si>
  <si>
    <t>C04405 + C00003</t>
  </si>
  <si>
    <t>C05258 + C00003</t>
  </si>
  <si>
    <t>C05260 + C00003</t>
  </si>
  <si>
    <t>C05262 + C00003</t>
  </si>
  <si>
    <t>C05264 + C00003</t>
  </si>
  <si>
    <t>C05266 + C00003</t>
  </si>
  <si>
    <t>C05268 + C00003</t>
  </si>
  <si>
    <t>C14145 + C00003</t>
  </si>
  <si>
    <t>C16329 + C00003</t>
  </si>
  <si>
    <t>C16333 + C00003</t>
  </si>
  <si>
    <t>C16337 + C00003</t>
  </si>
  <si>
    <t>C06714 + C00003</t>
  </si>
  <si>
    <t>C16469 + C00003</t>
  </si>
  <si>
    <t>C00221 + C00003</t>
  </si>
  <si>
    <t>C00221 + C00006</t>
  </si>
  <si>
    <t>C00552 + C00003</t>
  </si>
  <si>
    <t>C00898 + C00003</t>
  </si>
  <si>
    <t>C01161 + C00007</t>
  </si>
  <si>
    <t>C04044 + C00007</t>
  </si>
  <si>
    <t>C12623 + C00007</t>
  </si>
  <si>
    <t>C00322 + C00007</t>
  </si>
  <si>
    <t>C00582 + C00007 + C00005 + C00080</t>
  </si>
  <si>
    <t>C01319 + C00006 + C00080</t>
  </si>
  <si>
    <t>C00084 + C00010 + C00003</t>
  </si>
  <si>
    <t>C01412 + C00010 + C00003</t>
  </si>
  <si>
    <t>C00906 + C00003</t>
  </si>
  <si>
    <t>C21028 + C00003</t>
  </si>
  <si>
    <t>C00429 + C00003</t>
  </si>
  <si>
    <t>C03148 + C00001 + C00007</t>
  </si>
  <si>
    <t>C00019 + C00821</t>
  </si>
  <si>
    <t>C04261 + C00392</t>
  </si>
  <si>
    <t>C00002 + C00984</t>
  </si>
  <si>
    <t>C01290 + C00270</t>
  </si>
  <si>
    <t>C02686 + C00270</t>
  </si>
  <si>
    <t>C04884 + C00001</t>
  </si>
  <si>
    <t>C04911 + C00270</t>
  </si>
  <si>
    <t>C06140 + C00270</t>
  </si>
  <si>
    <t>C06140 + C00001</t>
  </si>
  <si>
    <t>G00116 + C00270</t>
  </si>
  <si>
    <t>G00116 + C00001</t>
  </si>
  <si>
    <t>G00092 + C00270</t>
  </si>
  <si>
    <t>G00109 + C00001</t>
  </si>
  <si>
    <t>G11121 + C00270</t>
  </si>
  <si>
    <t>G00110 + C00270</t>
  </si>
  <si>
    <t>C02999 + C00001</t>
  </si>
  <si>
    <t>C00791 + C00001</t>
  </si>
  <si>
    <t>C00429 + C00001</t>
  </si>
  <si>
    <t>C21028 + C00001</t>
  </si>
  <si>
    <t>C16330 + C00001</t>
  </si>
  <si>
    <t>C00475 + C00001</t>
  </si>
  <si>
    <t>C00881 + C00001</t>
  </si>
  <si>
    <t>C16635 + C00001</t>
  </si>
  <si>
    <t>C00004 + C00001</t>
  </si>
  <si>
    <t>C00084 + C00022</t>
  </si>
  <si>
    <t>C00596 + C00001</t>
  </si>
  <si>
    <t>C06761 + C00001</t>
  </si>
  <si>
    <t>C00043 + C00001</t>
  </si>
  <si>
    <t>C00645 + C00015</t>
  </si>
  <si>
    <t>C00002 + C00164 + C00010</t>
  </si>
  <si>
    <t>C00085 + C00004 + C00080</t>
  </si>
  <si>
    <t>C05345 + C00004 + C00080</t>
  </si>
  <si>
    <t>C00164 + C00004 + C00080</t>
  </si>
  <si>
    <t>C00349 + C00004 + C00080</t>
  </si>
  <si>
    <t>C06002 + C00004 + C00080</t>
  </si>
  <si>
    <t>C06240 + C00004 + C00080</t>
  </si>
  <si>
    <t>C00264 + C00004 + C00080</t>
  </si>
  <si>
    <t>C00332 + C00004 + C00080</t>
  </si>
  <si>
    <t>C03344 + C00004 + C00080</t>
  </si>
  <si>
    <t>C05259 + C00004 + C00080</t>
  </si>
  <si>
    <t>C05261 + C00004</t>
  </si>
  <si>
    <t>C05263 + C00004 + C00080</t>
  </si>
  <si>
    <t>C05265 + C00004 + C00080</t>
  </si>
  <si>
    <t>C05267 + C00004 + C00080</t>
  </si>
  <si>
    <t>C05269 + C00004 + C00080</t>
  </si>
  <si>
    <t>C02232 + C00004 + C00080</t>
  </si>
  <si>
    <t>C16330 + C00004 + C00080</t>
  </si>
  <si>
    <t>C16334 + C00004 + C00080</t>
  </si>
  <si>
    <t>C16338 + C00004 + C00080</t>
  </si>
  <si>
    <t>C06715 + C00004 + C00080</t>
  </si>
  <si>
    <t>C16471 + C00004 + C00080</t>
  </si>
  <si>
    <t>C00198 + C00004 + C00080</t>
  </si>
  <si>
    <t>C00198 + C00005 + C00080</t>
  </si>
  <si>
    <t>C03459 + C00004 + C00080</t>
  </si>
  <si>
    <t>C01087 + C00011</t>
  </si>
  <si>
    <t>C20062 + C00001 + C00006</t>
  </si>
  <si>
    <t>C00703 + C00005</t>
  </si>
  <si>
    <t>C00024 + C00004 + C00080</t>
  </si>
  <si>
    <t>C00136 + C00004 + C00080</t>
  </si>
  <si>
    <t>C00178 + C00004 + C00080</t>
  </si>
  <si>
    <t>C00106 + C00004 + C00080</t>
  </si>
  <si>
    <t>C00151 + C00067 + C00027</t>
  </si>
  <si>
    <t>C00021 + C03391</t>
  </si>
  <si>
    <t>C19771 + C00147</t>
  </si>
  <si>
    <t>C00615 + C00644</t>
  </si>
  <si>
    <t>C00008 + C00446</t>
  </si>
  <si>
    <t>C04730 + C00001</t>
  </si>
  <si>
    <t>C06128 + C00001</t>
  </si>
  <si>
    <t>C06135 + C00270</t>
  </si>
  <si>
    <t>C04927 + C00001</t>
  </si>
  <si>
    <t>C06139 + C00001</t>
  </si>
  <si>
    <t>C06141 + C00270</t>
  </si>
  <si>
    <t>G00117 + C00001</t>
  </si>
  <si>
    <t>G00115 + C00270</t>
  </si>
  <si>
    <t>G00108 + C00001</t>
  </si>
  <si>
    <t>G00123 + C00270</t>
  </si>
  <si>
    <t>G00317 + C00001</t>
  </si>
  <si>
    <t>G00111 + C00001</t>
  </si>
  <si>
    <t>C02713 + C00041</t>
  </si>
  <si>
    <t>C00299 + C00014</t>
  </si>
  <si>
    <t>C00526 + C00014</t>
  </si>
  <si>
    <t>C12739 + C00014</t>
  </si>
  <si>
    <t>C00020 + C21113</t>
  </si>
  <si>
    <t>C00109 + C00011</t>
  </si>
  <si>
    <t>C00033 + C00011</t>
  </si>
  <si>
    <t>C00118 + C00022</t>
  </si>
  <si>
    <t>C00022 + C00048</t>
  </si>
  <si>
    <t>C00036 + C00022</t>
  </si>
  <si>
    <t>C05364 + C00001</t>
  </si>
  <si>
    <t>C01170 + C00001</t>
  </si>
  <si>
    <t>C00020 + C00013 + C00332</t>
  </si>
  <si>
    <t>C01096 * C00003</t>
  </si>
  <si>
    <t>C00644 * C00003</t>
  </si>
  <si>
    <t>C01089 * C00003</t>
  </si>
  <si>
    <t>C01188 * C00003</t>
  </si>
  <si>
    <t>C06001 * C00003</t>
  </si>
  <si>
    <t>C01170 * C00003 * C00001</t>
  </si>
  <si>
    <t>C00640 * C00003</t>
  </si>
  <si>
    <t>C01144 * C00003</t>
  </si>
  <si>
    <t>C04405 * C00003</t>
  </si>
  <si>
    <t>C05258 * C00003</t>
  </si>
  <si>
    <t>C05260 * C00003</t>
  </si>
  <si>
    <t>C05262 * C00003</t>
  </si>
  <si>
    <t>C05264 * C00003</t>
  </si>
  <si>
    <t>C05266 * C00003</t>
  </si>
  <si>
    <t>C05268 * C00003</t>
  </si>
  <si>
    <t>C14145 * C00003</t>
  </si>
  <si>
    <t>C16329 * C00003</t>
  </si>
  <si>
    <t>C16333 * C00003</t>
  </si>
  <si>
    <t>C16337 * C00003</t>
  </si>
  <si>
    <t>C06714 * C00003</t>
  </si>
  <si>
    <t>C16469 * C00003</t>
  </si>
  <si>
    <t>C00221 * C00003</t>
  </si>
  <si>
    <t>C00221 * C00006</t>
  </si>
  <si>
    <t>C00552 * C00003</t>
  </si>
  <si>
    <t>C00898 * C00003</t>
  </si>
  <si>
    <t>C01161 * C00007</t>
  </si>
  <si>
    <t>C04044 * C00007</t>
  </si>
  <si>
    <t>C12623 * C00007</t>
  </si>
  <si>
    <t>C00322 * C00007</t>
  </si>
  <si>
    <t>C00582 * C00007 * C00005 * C00080</t>
  </si>
  <si>
    <t>C01319 * C00006 * C00080</t>
  </si>
  <si>
    <t>C00084 * C00010 * C00003</t>
  </si>
  <si>
    <t>C01412 * C00010 * C00003</t>
  </si>
  <si>
    <t>C00906 * C00003</t>
  </si>
  <si>
    <t>C21028 * C00003</t>
  </si>
  <si>
    <t>C00429 * C00003</t>
  </si>
  <si>
    <t>C03148 * C00001 * C00007</t>
  </si>
  <si>
    <t>C00019 * C00821</t>
  </si>
  <si>
    <t>C04261 * C00392</t>
  </si>
  <si>
    <t>C00002 * C00984</t>
  </si>
  <si>
    <t>C01290 * C00270</t>
  </si>
  <si>
    <t>C02686 * C00270</t>
  </si>
  <si>
    <t>C04884 * C00001</t>
  </si>
  <si>
    <t>C04911 * C00270</t>
  </si>
  <si>
    <t>C06140 * C00270</t>
  </si>
  <si>
    <t>C06140 * C00001</t>
  </si>
  <si>
    <t>G00116 * C00270</t>
  </si>
  <si>
    <t>G00116 * C00001</t>
  </si>
  <si>
    <t>G00092 * C00270</t>
  </si>
  <si>
    <t>G00109 * C00001</t>
  </si>
  <si>
    <t>G11121 * C00270</t>
  </si>
  <si>
    <t>G00110 * C00270</t>
  </si>
  <si>
    <t>C02999 * C00001</t>
  </si>
  <si>
    <t>C00791 * C00001</t>
  </si>
  <si>
    <t>C00429 * C00001</t>
  </si>
  <si>
    <t>C21028 * C00001</t>
  </si>
  <si>
    <t>C16330 * C00001</t>
  </si>
  <si>
    <t>C00475 * C00001</t>
  </si>
  <si>
    <t>C00881 * C00001</t>
  </si>
  <si>
    <t>C16635 * C00001</t>
  </si>
  <si>
    <t>C00004 * C00001</t>
  </si>
  <si>
    <t>C00084 * C00022</t>
  </si>
  <si>
    <t>C00596 * C00001</t>
  </si>
  <si>
    <t>C06761 * C00001</t>
  </si>
  <si>
    <t>C00043 * C00001</t>
  </si>
  <si>
    <t>C00645 * C00015</t>
  </si>
  <si>
    <t>C00002 * C00164 * C00010</t>
  </si>
  <si>
    <t>C00085 * C00004 * C00080</t>
  </si>
  <si>
    <t>C05345 * C00004 * C00080</t>
  </si>
  <si>
    <t>C00164 * C00004 * C00080</t>
  </si>
  <si>
    <t>C00349 * C00004 * C00080</t>
  </si>
  <si>
    <t>C06002 * C00004 * C00080</t>
  </si>
  <si>
    <t>C06240 * C00004 * C00080</t>
  </si>
  <si>
    <t>C00264 * C00004 * C00080</t>
  </si>
  <si>
    <t>C00332 * C00004 * C00080</t>
  </si>
  <si>
    <t>C03344 * C00004 * C00080</t>
  </si>
  <si>
    <t>C05259 * C00004 * C00080</t>
  </si>
  <si>
    <t>C05261 * C00004</t>
  </si>
  <si>
    <t>C05263 * C00004 * C00080</t>
  </si>
  <si>
    <t>C05265 * C00004 * C00080</t>
  </si>
  <si>
    <t>C05267 * C00004 * C00080</t>
  </si>
  <si>
    <t>C05269 * C00004 * C00080</t>
  </si>
  <si>
    <t>C02232 * C00004 * C00080</t>
  </si>
  <si>
    <t>C16330 * C00004 * C00080</t>
  </si>
  <si>
    <t>C16334 * C00004 * C00080</t>
  </si>
  <si>
    <t>C16338 * C00004 * C00080</t>
  </si>
  <si>
    <t>C06715 * C00004 * C00080</t>
  </si>
  <si>
    <t>C16471 * C00004 * C00080</t>
  </si>
  <si>
    <t>C00198 * C00004 * C00080</t>
  </si>
  <si>
    <t>C00198 * C00005 * C00080</t>
  </si>
  <si>
    <t>C03459 * C00004 * C00080</t>
  </si>
  <si>
    <t>C01087 * C00011</t>
  </si>
  <si>
    <t>C20062 * C00001 * C00006</t>
  </si>
  <si>
    <t>C00703 * C00005</t>
  </si>
  <si>
    <t>C00024 * C00004 * C00080</t>
  </si>
  <si>
    <t>C00136 * C00004 * C00080</t>
  </si>
  <si>
    <t>C00178 * C00004 * C00080</t>
  </si>
  <si>
    <t>C00106 * C00004 * C00080</t>
  </si>
  <si>
    <t>C00151 * C00067 * C00027</t>
  </si>
  <si>
    <t>C00021 * C03391</t>
  </si>
  <si>
    <t>C19771 * C00147</t>
  </si>
  <si>
    <t>C00615 * C00644</t>
  </si>
  <si>
    <t>C00008 * C00446</t>
  </si>
  <si>
    <t>C04730 * C00001</t>
  </si>
  <si>
    <t>C06128 * C00001</t>
  </si>
  <si>
    <t>C06135 * C00270</t>
  </si>
  <si>
    <t>C04927 * C00001</t>
  </si>
  <si>
    <t>C06139 * C00001</t>
  </si>
  <si>
    <t>C06141 * C00270</t>
  </si>
  <si>
    <t>G00117 * C00001</t>
  </si>
  <si>
    <t>G00115 * C00270</t>
  </si>
  <si>
    <t>G00108 * C00001</t>
  </si>
  <si>
    <t>G00123 * C00270</t>
  </si>
  <si>
    <t>G00317 * C00001</t>
  </si>
  <si>
    <t>G00111 * C00001</t>
  </si>
  <si>
    <t>C02713 * C00041</t>
  </si>
  <si>
    <t>C00299 * C00014</t>
  </si>
  <si>
    <t>C00526 * C00014</t>
  </si>
  <si>
    <t>C12739 * C00014</t>
  </si>
  <si>
    <t>C00020 * C21113</t>
  </si>
  <si>
    <t>C00109 * C00011</t>
  </si>
  <si>
    <t>C00033 * C00011</t>
  </si>
  <si>
    <t>C00118 * C00022</t>
  </si>
  <si>
    <t>C00022 * C00048</t>
  </si>
  <si>
    <t>C00036 * C00022</t>
  </si>
  <si>
    <t>C05364 * C00001</t>
  </si>
  <si>
    <t>C01170 * C00001</t>
  </si>
  <si>
    <t>C00020 * C00013 * C00332</t>
  </si>
  <si>
    <t>C00302</t>
  </si>
  <si>
    <t>Glutamate</t>
  </si>
  <si>
    <t>KEGG ENZYME: 2.8.1.13</t>
  </si>
  <si>
    <t>KEGG REACTION: R08700</t>
  </si>
  <si>
    <t>C00868 | C15812 | C00002</t>
  </si>
  <si>
    <t>C17322 | C15811 | C00020 | C00013</t>
  </si>
  <si>
    <t>C17322</t>
  </si>
  <si>
    <t>tRNA containing 2-thiouridine</t>
  </si>
  <si>
    <t>2_8_1_13</t>
  </si>
  <si>
    <t>C00868 + C15812 + C00002</t>
  </si>
  <si>
    <t>C17322 + C15811 + C00020 + C00013</t>
  </si>
  <si>
    <t>C00868 * C15812 * C00002</t>
  </si>
  <si>
    <t>C17322 * C15811 * C00020 * C00013</t>
  </si>
  <si>
    <t>KEGG ENZYME: 6.3.4.21</t>
  </si>
  <si>
    <t>KEGG REACTION: R01724</t>
  </si>
  <si>
    <t>C01185 | C00013 | C00008 | C00009</t>
  </si>
  <si>
    <t>C00253 | C00119 | C00002 | C00001 | C00080</t>
  </si>
  <si>
    <t>6_3_4_21</t>
  </si>
  <si>
    <t>C01185 + C00013 + C00008 + C00009</t>
  </si>
  <si>
    <t>C00253 + C00119 + C00002 + C00001 + C00080</t>
  </si>
  <si>
    <t>C01185 * C00013 * C00008 * C00009</t>
  </si>
  <si>
    <t>C00253 * C00119 * C00002 * C00001 * C00080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</si>
</sst>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5B616B"/>
      <name val="Arial"/>
      <family val="2"/>
    </font>
    <font>
      <u/>
      <sz val="11"/>
      <name val="Aptos Narrow"/>
      <family val="2"/>
      <scheme val="minor"/>
    </font>
    <font>
      <sz val="10"/>
      <color rgb="FF000000"/>
      <name val="Arial Unicode MS"/>
    </font>
    <font>
      <sz val="8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 indent="1"/>
    </xf>
    <xf numFmtId="0" fontId="19" fillId="0" borderId="10" xfId="0" applyFont="1" applyBorder="1" applyAlignment="1">
      <alignment vertical="top" wrapText="1"/>
    </xf>
    <xf numFmtId="0" fontId="21" fillId="0" borderId="0" xfId="42" applyFont="1" applyAlignment="1">
      <alignment vertical="top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8" fillId="0" borderId="0" xfId="42" applyFill="1"/>
    <xf numFmtId="0" fontId="19" fillId="0" borderId="0" xfId="0" applyFont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0" fontId="0" fillId="33" borderId="0" xfId="0" applyFill="1"/>
    <xf numFmtId="0" fontId="0" fillId="34" borderId="0" xfId="0" applyFill="1"/>
    <xf numFmtId="0" fontId="16" fillId="35" borderId="1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36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16" fillId="38" borderId="0" xfId="0" applyFont="1" applyFill="1" applyAlignment="1">
      <alignment wrapText="1"/>
    </xf>
    <xf numFmtId="0" fontId="16" fillId="39" borderId="0" xfId="0" applyFont="1" applyFill="1" applyAlignment="1">
      <alignment wrapText="1"/>
    </xf>
    <xf numFmtId="0" fontId="16" fillId="40" borderId="0" xfId="0" applyFont="1" applyFill="1" applyAlignment="1">
      <alignment wrapText="1"/>
    </xf>
    <xf numFmtId="0" fontId="16" fillId="33" borderId="0" xfId="0" applyFont="1" applyFill="1" applyAlignment="1">
      <alignment wrapText="1"/>
    </xf>
    <xf numFmtId="0" fontId="16" fillId="41" borderId="0" xfId="0" applyFont="1" applyFill="1" applyAlignment="1">
      <alignment wrapText="1"/>
    </xf>
    <xf numFmtId="0" fontId="16" fillId="42" borderId="0" xfId="0" applyFont="1" applyFill="1" applyAlignment="1">
      <alignment wrapText="1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6" fillId="43" borderId="0" xfId="0" applyFont="1" applyFill="1" applyAlignment="1">
      <alignment wrapText="1"/>
    </xf>
    <xf numFmtId="0" fontId="0" fillId="43" borderId="0" xfId="0" applyFill="1" applyAlignment="1">
      <alignment wrapText="1"/>
    </xf>
    <xf numFmtId="0" fontId="14" fillId="0" borderId="0" xfId="0" applyFont="1" applyAlignment="1">
      <alignment wrapText="1"/>
    </xf>
    <xf numFmtId="0" fontId="18" fillId="0" borderId="0" xfId="42"/>
    <xf numFmtId="0" fontId="19" fillId="0" borderId="10" xfId="0" applyFont="1" applyBorder="1" applyAlignment="1">
      <alignment horizontal="left" wrapText="1"/>
    </xf>
    <xf numFmtId="0" fontId="18" fillId="0" borderId="0" xfId="42" applyFill="1" applyAlignment="1">
      <alignment wrapText="1"/>
    </xf>
    <xf numFmtId="0" fontId="14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4" fillId="4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datasets/genome/GCF_000011325.1/" TargetMode="External"/><Relationship Id="rId1" Type="http://schemas.openxmlformats.org/officeDocument/2006/relationships/hyperlink" Target="https://www.ncbi.nlm.nih.gov/nuccore/NC_006814.3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enome.jp/entry/1.14.12.10" TargetMode="External"/><Relationship Id="rId170" Type="http://schemas.openxmlformats.org/officeDocument/2006/relationships/hyperlink" Target="https://www.genome.jp/entry/3.5.1.2" TargetMode="External"/><Relationship Id="rId987" Type="http://schemas.openxmlformats.org/officeDocument/2006/relationships/hyperlink" Target="https://www.genome.jp/entry/R01920/R08359" TargetMode="External"/><Relationship Id="rId847" Type="http://schemas.openxmlformats.org/officeDocument/2006/relationships/hyperlink" Target="https://www.genome.jp/entry/3.6.1.27" TargetMode="External"/><Relationship Id="rId1477" Type="http://schemas.openxmlformats.org/officeDocument/2006/relationships/hyperlink" Target="https://www.genome.jp/entry/R00183" TargetMode="External"/><Relationship Id="rId1684" Type="http://schemas.openxmlformats.org/officeDocument/2006/relationships/hyperlink" Target="https://www.genome.jp/entry/1.1.1.1" TargetMode="External"/><Relationship Id="rId1891" Type="http://schemas.openxmlformats.org/officeDocument/2006/relationships/hyperlink" Target="https://www.genome.jp/entry/2.6.1.42" TargetMode="External"/><Relationship Id="rId707" Type="http://schemas.openxmlformats.org/officeDocument/2006/relationships/hyperlink" Target="https://www.genome.jp/entry/2.4.2.47" TargetMode="External"/><Relationship Id="rId914" Type="http://schemas.openxmlformats.org/officeDocument/2006/relationships/hyperlink" Target="https://www.genome.jp/entry/R03660" TargetMode="External"/><Relationship Id="rId1337" Type="http://schemas.openxmlformats.org/officeDocument/2006/relationships/hyperlink" Target="https://www.genome.jp/entry/R00375" TargetMode="External"/><Relationship Id="rId1544" Type="http://schemas.openxmlformats.org/officeDocument/2006/relationships/hyperlink" Target="https://www.genome.jp/entry/R02364" TargetMode="External"/><Relationship Id="rId1751" Type="http://schemas.openxmlformats.org/officeDocument/2006/relationships/hyperlink" Target="https://www.genome.jp/entry/5.4.2.2" TargetMode="External"/><Relationship Id="rId43" Type="http://schemas.openxmlformats.org/officeDocument/2006/relationships/hyperlink" Target="https://www.genome.jp/entry/R07324" TargetMode="External"/><Relationship Id="rId1404" Type="http://schemas.openxmlformats.org/officeDocument/2006/relationships/hyperlink" Target="https://www.genome.jp/entry/2.2.1.9" TargetMode="External"/><Relationship Id="rId1611" Type="http://schemas.openxmlformats.org/officeDocument/2006/relationships/hyperlink" Target="https://www.genome.jp/entry/2.1.1.170" TargetMode="External"/><Relationship Id="rId497" Type="http://schemas.openxmlformats.org/officeDocument/2006/relationships/hyperlink" Target="https://www.genome.jp/entry/R07168" TargetMode="External"/><Relationship Id="rId2178" Type="http://schemas.openxmlformats.org/officeDocument/2006/relationships/hyperlink" Target="https://www.genome.jp/entry/2.7.7.7" TargetMode="External"/><Relationship Id="rId2385" Type="http://schemas.openxmlformats.org/officeDocument/2006/relationships/hyperlink" Target="https://www.genome.jp/entry/R04650" TargetMode="External"/><Relationship Id="rId357" Type="http://schemas.openxmlformats.org/officeDocument/2006/relationships/hyperlink" Target="https://www.genome.jp/entry/R03470" TargetMode="External"/><Relationship Id="rId1194" Type="http://schemas.openxmlformats.org/officeDocument/2006/relationships/hyperlink" Target="https://www.genome.jp/entry/R04568" TargetMode="External"/><Relationship Id="rId2038" Type="http://schemas.openxmlformats.org/officeDocument/2006/relationships/hyperlink" Target="https://www.genome.jp/entry/1.1.1.86" TargetMode="External"/><Relationship Id="rId217" Type="http://schemas.openxmlformats.org/officeDocument/2006/relationships/hyperlink" Target="https://www.genome.jp/entry/R02019" TargetMode="External"/><Relationship Id="rId564" Type="http://schemas.openxmlformats.org/officeDocument/2006/relationships/hyperlink" Target="https://www.genome.jp/entry/R04640" TargetMode="External"/><Relationship Id="rId771" Type="http://schemas.openxmlformats.org/officeDocument/2006/relationships/hyperlink" Target="https://www.genome.jp/entry/4.1.1.23" TargetMode="External"/><Relationship Id="rId2245" Type="http://schemas.openxmlformats.org/officeDocument/2006/relationships/hyperlink" Target="https://www.genome.jp/entry/2.6.1.9" TargetMode="External"/><Relationship Id="rId2452" Type="http://schemas.openxmlformats.org/officeDocument/2006/relationships/hyperlink" Target="https://www.genome.jp/entry/R00420" TargetMode="External"/><Relationship Id="rId424" Type="http://schemas.openxmlformats.org/officeDocument/2006/relationships/hyperlink" Target="https://www.genome.jp/entry/R05196" TargetMode="External"/><Relationship Id="rId631" Type="http://schemas.openxmlformats.org/officeDocument/2006/relationships/hyperlink" Target="https://www.genome.jp/entry/1.8.1.15" TargetMode="External"/><Relationship Id="rId1054" Type="http://schemas.openxmlformats.org/officeDocument/2006/relationships/hyperlink" Target="https://www.genome.jp/entry/R03067/R03066" TargetMode="External"/><Relationship Id="rId1261" Type="http://schemas.openxmlformats.org/officeDocument/2006/relationships/hyperlink" Target="https://www.genome.jp/entry/R04566" TargetMode="External"/><Relationship Id="rId2105" Type="http://schemas.openxmlformats.org/officeDocument/2006/relationships/hyperlink" Target="https://www.genome.jp/entry/2.3.1.85" TargetMode="External"/><Relationship Id="rId2312" Type="http://schemas.openxmlformats.org/officeDocument/2006/relationships/hyperlink" Target="https://www.genome.jp/entry/R04739" TargetMode="External"/><Relationship Id="rId1121" Type="http://schemas.openxmlformats.org/officeDocument/2006/relationships/hyperlink" Target="https://www.genome.jp/entry/1.13.12.16" TargetMode="External"/><Relationship Id="rId1938" Type="http://schemas.openxmlformats.org/officeDocument/2006/relationships/hyperlink" Target="https://www.genome.jp/entry/2.7.1.40" TargetMode="External"/><Relationship Id="rId281" Type="http://schemas.openxmlformats.org/officeDocument/2006/relationships/hyperlink" Target="https://www.genome.jp/entry/1.11.1.24" TargetMode="External"/><Relationship Id="rId141" Type="http://schemas.openxmlformats.org/officeDocument/2006/relationships/hyperlink" Target="https://www.genome.jp/entry/6.1.1.16" TargetMode="External"/><Relationship Id="rId7" Type="http://schemas.openxmlformats.org/officeDocument/2006/relationships/hyperlink" Target="https://www.genome.jp/entry/R03471" TargetMode="External"/><Relationship Id="rId958" Type="http://schemas.openxmlformats.org/officeDocument/2006/relationships/hyperlink" Target="https://www.genome.jp/entry/R10052" TargetMode="External"/><Relationship Id="rId1588" Type="http://schemas.openxmlformats.org/officeDocument/2006/relationships/hyperlink" Target="https://www.genome.jp/entry/R13421" TargetMode="External"/><Relationship Id="rId1795" Type="http://schemas.openxmlformats.org/officeDocument/2006/relationships/hyperlink" Target="https://www.genome.jp/entry/2.3.1.85" TargetMode="External"/><Relationship Id="rId87" Type="http://schemas.openxmlformats.org/officeDocument/2006/relationships/hyperlink" Target="https://www.genome.jp/entry/R00162/R03632" TargetMode="External"/><Relationship Id="rId818" Type="http://schemas.openxmlformats.org/officeDocument/2006/relationships/hyperlink" Target="https://www.genome.jp/entry/1.1.1.49" TargetMode="External"/><Relationship Id="rId1448" Type="http://schemas.openxmlformats.org/officeDocument/2006/relationships/hyperlink" Target="https://www.genome.jp/entry/R01516" TargetMode="External"/><Relationship Id="rId1655" Type="http://schemas.openxmlformats.org/officeDocument/2006/relationships/hyperlink" Target="https://www.genome.jp/entry/R05234" TargetMode="External"/><Relationship Id="rId1308" Type="http://schemas.openxmlformats.org/officeDocument/2006/relationships/hyperlink" Target="https://www.genome.jp/entry/3.1.11.2" TargetMode="External"/><Relationship Id="rId1862" Type="http://schemas.openxmlformats.org/officeDocument/2006/relationships/hyperlink" Target="https://www.genome.jp/entry/2.7.4.6" TargetMode="External"/><Relationship Id="rId1515" Type="http://schemas.openxmlformats.org/officeDocument/2006/relationships/hyperlink" Target="https://www.genome.jp/entry/R02291" TargetMode="External"/><Relationship Id="rId1722" Type="http://schemas.openxmlformats.org/officeDocument/2006/relationships/hyperlink" Target="https://www.genome.jp/entry/3.5.4.16" TargetMode="External"/><Relationship Id="rId14" Type="http://schemas.openxmlformats.org/officeDocument/2006/relationships/hyperlink" Target="https://www.genome.jp/entry/4.2.1.20" TargetMode="External"/><Relationship Id="rId2289" Type="http://schemas.openxmlformats.org/officeDocument/2006/relationships/hyperlink" Target="https://www.genome.jp/entry/R02047" TargetMode="External"/><Relationship Id="rId468" Type="http://schemas.openxmlformats.org/officeDocument/2006/relationships/hyperlink" Target="https://www.genome.jp/entry/R05223" TargetMode="External"/><Relationship Id="rId675" Type="http://schemas.openxmlformats.org/officeDocument/2006/relationships/hyperlink" Target="https://www.genome.jp/entry/R01122" TargetMode="External"/><Relationship Id="rId882" Type="http://schemas.openxmlformats.org/officeDocument/2006/relationships/hyperlink" Target="https://www.genome.jp/entry/1.1.1.44" TargetMode="External"/><Relationship Id="rId1098" Type="http://schemas.openxmlformats.org/officeDocument/2006/relationships/hyperlink" Target="https://www.genome.jp/entry/2.5.1.54" TargetMode="External"/><Relationship Id="rId2149" Type="http://schemas.openxmlformats.org/officeDocument/2006/relationships/hyperlink" Target="https://www.genome.jp/entry/6.3.4.15" TargetMode="External"/><Relationship Id="rId2356" Type="http://schemas.openxmlformats.org/officeDocument/2006/relationships/hyperlink" Target="https://www.genome.jp/entry/2.1.1.72" TargetMode="External"/><Relationship Id="rId328" Type="http://schemas.openxmlformats.org/officeDocument/2006/relationships/hyperlink" Target="https://www.genome.jp/entry/R08110" TargetMode="External"/><Relationship Id="rId535" Type="http://schemas.openxmlformats.org/officeDocument/2006/relationships/hyperlink" Target="https://www.genome.jp/entry/4.3.1.19" TargetMode="External"/><Relationship Id="rId742" Type="http://schemas.openxmlformats.org/officeDocument/2006/relationships/hyperlink" Target="https://www.genome.jp/entry/R12885" TargetMode="External"/><Relationship Id="rId1165" Type="http://schemas.openxmlformats.org/officeDocument/2006/relationships/hyperlink" Target="https://www.genome.jp/entry/R03321" TargetMode="External"/><Relationship Id="rId1372" Type="http://schemas.openxmlformats.org/officeDocument/2006/relationships/hyperlink" Target="https://www.genome.jp/entry/R00444" TargetMode="External"/><Relationship Id="rId2009" Type="http://schemas.openxmlformats.org/officeDocument/2006/relationships/hyperlink" Target="https://www.genome.jp/entry/1.17.99.9" TargetMode="External"/><Relationship Id="rId2216" Type="http://schemas.openxmlformats.org/officeDocument/2006/relationships/hyperlink" Target="https://www.genome.jp/entry/3.1.3.5" TargetMode="External"/><Relationship Id="rId2423" Type="http://schemas.openxmlformats.org/officeDocument/2006/relationships/hyperlink" Target="https://www.genome.jp/entry/R00217" TargetMode="External"/><Relationship Id="rId602" Type="http://schemas.openxmlformats.org/officeDocument/2006/relationships/hyperlink" Target="https://www.genome.jp/entry/R00597" TargetMode="External"/><Relationship Id="rId1025" Type="http://schemas.openxmlformats.org/officeDocument/2006/relationships/hyperlink" Target="https://www.genome.jp/entry/R11527" TargetMode="External"/><Relationship Id="rId1232" Type="http://schemas.openxmlformats.org/officeDocument/2006/relationships/hyperlink" Target="https://www.genome.jp/entry/5.6.2.4" TargetMode="External"/><Relationship Id="rId185" Type="http://schemas.openxmlformats.org/officeDocument/2006/relationships/hyperlink" Target="https://www.genome.jp/entry/R09622" TargetMode="External"/><Relationship Id="rId1909" Type="http://schemas.openxmlformats.org/officeDocument/2006/relationships/hyperlink" Target="https://www.genome.jp/entry/2.7.7.7" TargetMode="External"/><Relationship Id="rId392" Type="http://schemas.openxmlformats.org/officeDocument/2006/relationships/hyperlink" Target="https://www.genome.jp/entry/R03530" TargetMode="External"/><Relationship Id="rId2073" Type="http://schemas.openxmlformats.org/officeDocument/2006/relationships/hyperlink" Target="https://www.genome.jp/entry/2.3.2.2" TargetMode="External"/><Relationship Id="rId2280" Type="http://schemas.openxmlformats.org/officeDocument/2006/relationships/hyperlink" Target="https://www.genome.jp/entry/R05607" TargetMode="External"/><Relationship Id="rId252" Type="http://schemas.openxmlformats.org/officeDocument/2006/relationships/hyperlink" Target="https://www.genome.jp/entry/R04428" TargetMode="External"/><Relationship Id="rId2140" Type="http://schemas.openxmlformats.org/officeDocument/2006/relationships/hyperlink" Target="https://www.genome.jp/entry/1.1.1.100" TargetMode="External"/><Relationship Id="rId112" Type="http://schemas.openxmlformats.org/officeDocument/2006/relationships/hyperlink" Target="https://www.genome.jp/entry/4.1.2.25" TargetMode="External"/><Relationship Id="rId1699" Type="http://schemas.openxmlformats.org/officeDocument/2006/relationships/hyperlink" Target="https://www.genome.jp/entry/2.7.11.1" TargetMode="External"/><Relationship Id="rId2000" Type="http://schemas.openxmlformats.org/officeDocument/2006/relationships/hyperlink" Target="https://www.genome.jp/entry/3.5.1.88" TargetMode="External"/><Relationship Id="rId929" Type="http://schemas.openxmlformats.org/officeDocument/2006/relationships/hyperlink" Target="https://www.genome.jp/entry/R11029" TargetMode="External"/><Relationship Id="rId1559" Type="http://schemas.openxmlformats.org/officeDocument/2006/relationships/hyperlink" Target="https://www.genome.jp/entry/R05661" TargetMode="External"/><Relationship Id="rId1766" Type="http://schemas.openxmlformats.org/officeDocument/2006/relationships/hyperlink" Target="https://www.genome.jp/entry/1.17.4.1" TargetMode="External"/><Relationship Id="rId1973" Type="http://schemas.openxmlformats.org/officeDocument/2006/relationships/hyperlink" Target="https://www.genome.jp/entry/1.3.98.5" TargetMode="External"/><Relationship Id="rId58" Type="http://schemas.openxmlformats.org/officeDocument/2006/relationships/hyperlink" Target="https://www.genome.jp/entry/R00847" TargetMode="External"/><Relationship Id="rId1419" Type="http://schemas.openxmlformats.org/officeDocument/2006/relationships/hyperlink" Target="https://www.genome.jp/entry/1.3.3.4" TargetMode="External"/><Relationship Id="rId1626" Type="http://schemas.openxmlformats.org/officeDocument/2006/relationships/hyperlink" Target="https://www.genome.jp/entry/4.1.3.27" TargetMode="External"/><Relationship Id="rId1833" Type="http://schemas.openxmlformats.org/officeDocument/2006/relationships/hyperlink" Target="https://www.genome.jp/entry/1.14.12.10" TargetMode="External"/><Relationship Id="rId1900" Type="http://schemas.openxmlformats.org/officeDocument/2006/relationships/hyperlink" Target="https://www.genome.jp/entry/2.7.1.2" TargetMode="External"/><Relationship Id="rId579" Type="http://schemas.openxmlformats.org/officeDocument/2006/relationships/hyperlink" Target="https://www.genome.jp/entry/R00724" TargetMode="External"/><Relationship Id="rId786" Type="http://schemas.openxmlformats.org/officeDocument/2006/relationships/hyperlink" Target="https://www.genome.jp/entry/6.3.2.5" TargetMode="External"/><Relationship Id="rId993" Type="http://schemas.openxmlformats.org/officeDocument/2006/relationships/hyperlink" Target="https://www.genome.jp/entry/R02110" TargetMode="External"/><Relationship Id="rId439" Type="http://schemas.openxmlformats.org/officeDocument/2006/relationships/hyperlink" Target="https://www.genome.jp/entry/2.7.7.42" TargetMode="External"/><Relationship Id="rId646" Type="http://schemas.openxmlformats.org/officeDocument/2006/relationships/hyperlink" Target="https://www.genome.jp/entry/6.1.1.15" TargetMode="External"/><Relationship Id="rId1069" Type="http://schemas.openxmlformats.org/officeDocument/2006/relationships/hyperlink" Target="https://www.genome.jp/entry/R04292" TargetMode="External"/><Relationship Id="rId1276" Type="http://schemas.openxmlformats.org/officeDocument/2006/relationships/hyperlink" Target="https://www.genome.jp/entry/R05145" TargetMode="External"/><Relationship Id="rId1483" Type="http://schemas.openxmlformats.org/officeDocument/2006/relationships/hyperlink" Target="https://www.genome.jp/entry/R02719" TargetMode="External"/><Relationship Id="rId2327" Type="http://schemas.openxmlformats.org/officeDocument/2006/relationships/hyperlink" Target="https://www.genome.jp/entry/1.1.1.93" TargetMode="External"/><Relationship Id="rId506" Type="http://schemas.openxmlformats.org/officeDocument/2006/relationships/hyperlink" Target="https://www.genome.jp/entry/R05629" TargetMode="External"/><Relationship Id="rId853" Type="http://schemas.openxmlformats.org/officeDocument/2006/relationships/hyperlink" Target="https://www.genome.jp/entry/2.8.4.2" TargetMode="External"/><Relationship Id="rId1136" Type="http://schemas.openxmlformats.org/officeDocument/2006/relationships/hyperlink" Target="https://www.genome.jp/entry/R00704" TargetMode="External"/><Relationship Id="rId1690" Type="http://schemas.openxmlformats.org/officeDocument/2006/relationships/hyperlink" Target="https://www.genome.jp/entry/R02568" TargetMode="External"/><Relationship Id="rId713" Type="http://schemas.openxmlformats.org/officeDocument/2006/relationships/hyperlink" Target="https://www.genome.jp/entry/3.1.3.48" TargetMode="External"/><Relationship Id="rId920" Type="http://schemas.openxmlformats.org/officeDocument/2006/relationships/hyperlink" Target="https://www.genome.jp/entry/R07359" TargetMode="External"/><Relationship Id="rId1343" Type="http://schemas.openxmlformats.org/officeDocument/2006/relationships/hyperlink" Target="https://www.genome.jp/entry/7.4.2.11" TargetMode="External"/><Relationship Id="rId1550" Type="http://schemas.openxmlformats.org/officeDocument/2006/relationships/hyperlink" Target="https://www.genome.jp/entry/1.4.1.13" TargetMode="External"/><Relationship Id="rId1203" Type="http://schemas.openxmlformats.org/officeDocument/2006/relationships/hyperlink" Target="https://www.genome.jp/entry/R04960" TargetMode="External"/><Relationship Id="rId1410" Type="http://schemas.openxmlformats.org/officeDocument/2006/relationships/hyperlink" Target="https://www.genome.jp/entry/4.1.3.36" TargetMode="External"/><Relationship Id="rId296" Type="http://schemas.openxmlformats.org/officeDocument/2006/relationships/hyperlink" Target="https://www.genome.jp/entry/R01010" TargetMode="External"/><Relationship Id="rId2184" Type="http://schemas.openxmlformats.org/officeDocument/2006/relationships/hyperlink" Target="https://www.genome.jp/entry/2.7.7.6" TargetMode="External"/><Relationship Id="rId2391" Type="http://schemas.openxmlformats.org/officeDocument/2006/relationships/hyperlink" Target="https://www.genome.jp/entry/R06012" TargetMode="External"/><Relationship Id="rId156" Type="http://schemas.openxmlformats.org/officeDocument/2006/relationships/hyperlink" Target="https://www.genome.jp/entry/R12933" TargetMode="External"/><Relationship Id="rId363" Type="http://schemas.openxmlformats.org/officeDocument/2006/relationships/hyperlink" Target="https://www.genome.jp/entry/R01177" TargetMode="External"/><Relationship Id="rId570" Type="http://schemas.openxmlformats.org/officeDocument/2006/relationships/hyperlink" Target="https://www.genome.jp/entry/4.3.2.10" TargetMode="External"/><Relationship Id="rId2044" Type="http://schemas.openxmlformats.org/officeDocument/2006/relationships/hyperlink" Target="https://www.genome.jp/entry/2.2.1.6" TargetMode="External"/><Relationship Id="rId2251" Type="http://schemas.openxmlformats.org/officeDocument/2006/relationships/hyperlink" Target="https://www.genome.jp/entry/3.5.1.5" TargetMode="External"/><Relationship Id="rId223" Type="http://schemas.openxmlformats.org/officeDocument/2006/relationships/hyperlink" Target="https://www.genome.jp/entry/R02018" TargetMode="External"/><Relationship Id="rId430" Type="http://schemas.openxmlformats.org/officeDocument/2006/relationships/hyperlink" Target="https://www.genome.jp/entry/R00768" TargetMode="External"/><Relationship Id="rId1060" Type="http://schemas.openxmlformats.org/officeDocument/2006/relationships/hyperlink" Target="https://www.genome.jp/entry/2.6.1.17" TargetMode="External"/><Relationship Id="rId2111" Type="http://schemas.openxmlformats.org/officeDocument/2006/relationships/hyperlink" Target="https://www.genome.jp/entry/2.3.1.85" TargetMode="External"/><Relationship Id="rId1877" Type="http://schemas.openxmlformats.org/officeDocument/2006/relationships/hyperlink" Target="https://www.genome.jp/entry/4.4.1.13" TargetMode="External"/><Relationship Id="rId1737" Type="http://schemas.openxmlformats.org/officeDocument/2006/relationships/hyperlink" Target="https://www.genome.jp/entry/6.3.3.3" TargetMode="External"/><Relationship Id="rId1944" Type="http://schemas.openxmlformats.org/officeDocument/2006/relationships/hyperlink" Target="https://www.genome.jp/entry/1.4.3.19" TargetMode="External"/><Relationship Id="rId29" Type="http://schemas.openxmlformats.org/officeDocument/2006/relationships/hyperlink" Target="https://www.genome.jp/entry/5.2.1.4" TargetMode="External"/><Relationship Id="rId1804" Type="http://schemas.openxmlformats.org/officeDocument/2006/relationships/hyperlink" Target="https://www.genome.jp/entry/2.3.1.85" TargetMode="External"/><Relationship Id="rId897" Type="http://schemas.openxmlformats.org/officeDocument/2006/relationships/hyperlink" Target="https://www.genome.jp/entry/6.3.4.5" TargetMode="External"/><Relationship Id="rId757" Type="http://schemas.openxmlformats.org/officeDocument/2006/relationships/hyperlink" Target="https://www.genome.jp/entry/6.3.5.5" TargetMode="External"/><Relationship Id="rId964" Type="http://schemas.openxmlformats.org/officeDocument/2006/relationships/hyperlink" Target="https://www.genome.jp/entry/R04439" TargetMode="External"/><Relationship Id="rId1387" Type="http://schemas.openxmlformats.org/officeDocument/2006/relationships/hyperlink" Target="https://www.genome.jp/entry/R00442" TargetMode="External"/><Relationship Id="rId1594" Type="http://schemas.openxmlformats.org/officeDocument/2006/relationships/hyperlink" Target="https://www.genome.jp/entry/R10634" TargetMode="External"/><Relationship Id="rId2438" Type="http://schemas.openxmlformats.org/officeDocument/2006/relationships/hyperlink" Target="https://www.genome.jp/entry/R00008" TargetMode="External"/><Relationship Id="rId93" Type="http://schemas.openxmlformats.org/officeDocument/2006/relationships/hyperlink" Target="https://www.genome.jp/entry/6.3.2.2" TargetMode="External"/><Relationship Id="rId617" Type="http://schemas.openxmlformats.org/officeDocument/2006/relationships/hyperlink" Target="https://www.genome.jp/entry/R11312" TargetMode="External"/><Relationship Id="rId824" Type="http://schemas.openxmlformats.org/officeDocument/2006/relationships/hyperlink" Target="https://www.genome.jp/entry/2.2.1.1" TargetMode="External"/><Relationship Id="rId1247" Type="http://schemas.openxmlformats.org/officeDocument/2006/relationships/hyperlink" Target="https://www.genome.jp/entry/R00936" TargetMode="External"/><Relationship Id="rId1454" Type="http://schemas.openxmlformats.org/officeDocument/2006/relationships/hyperlink" Target="https://www.genome.jp/entry/R03191" TargetMode="External"/><Relationship Id="rId1661" Type="http://schemas.openxmlformats.org/officeDocument/2006/relationships/hyperlink" Target="https://www.genome.jp/entry/R08558" TargetMode="External"/><Relationship Id="rId1107" Type="http://schemas.openxmlformats.org/officeDocument/2006/relationships/hyperlink" Target="https://www.genome.jp/entry/R03867" TargetMode="External"/><Relationship Id="rId1314" Type="http://schemas.openxmlformats.org/officeDocument/2006/relationships/hyperlink" Target="https://www.genome.jp/entry/R00351" TargetMode="External"/><Relationship Id="rId1521" Type="http://schemas.openxmlformats.org/officeDocument/2006/relationships/hyperlink" Target="https://www.genome.jp/entry/R02788" TargetMode="External"/><Relationship Id="rId20" Type="http://schemas.openxmlformats.org/officeDocument/2006/relationships/hyperlink" Target="https://www.genome.jp/entry/5.3.1.24" TargetMode="External"/><Relationship Id="rId2088" Type="http://schemas.openxmlformats.org/officeDocument/2006/relationships/hyperlink" Target="https://www.genome.jp/entry/1.5.1.3" TargetMode="External"/><Relationship Id="rId2295" Type="http://schemas.openxmlformats.org/officeDocument/2006/relationships/hyperlink" Target="https://www.genome.jp/entry/1.1.1.35" TargetMode="External"/><Relationship Id="rId267" Type="http://schemas.openxmlformats.org/officeDocument/2006/relationships/hyperlink" Target="https://www.genome.jp/entry/R04954" TargetMode="External"/><Relationship Id="rId474" Type="http://schemas.openxmlformats.org/officeDocument/2006/relationships/hyperlink" Target="https://www.genome.jp/entry/R06558" TargetMode="External"/><Relationship Id="rId2155" Type="http://schemas.openxmlformats.org/officeDocument/2006/relationships/hyperlink" Target="https://www.genome.jp/entry/3.6.1.9" TargetMode="External"/><Relationship Id="rId127" Type="http://schemas.openxmlformats.org/officeDocument/2006/relationships/hyperlink" Target="https://www.genome.jp/entry/2.7.7.60" TargetMode="External"/><Relationship Id="rId681" Type="http://schemas.openxmlformats.org/officeDocument/2006/relationships/hyperlink" Target="https://www.genome.jp/entry/R03236" TargetMode="External"/><Relationship Id="rId2362" Type="http://schemas.openxmlformats.org/officeDocument/2006/relationships/hyperlink" Target="https://www.genome.jp/entry/2.7.1.197" TargetMode="External"/><Relationship Id="rId334" Type="http://schemas.openxmlformats.org/officeDocument/2006/relationships/hyperlink" Target="https://www.genome.jp/entry/R08109" TargetMode="External"/><Relationship Id="rId541" Type="http://schemas.openxmlformats.org/officeDocument/2006/relationships/hyperlink" Target="https://www.genome.jp/entry/3.2.1.141" TargetMode="External"/><Relationship Id="rId1171" Type="http://schemas.openxmlformats.org/officeDocument/2006/relationships/hyperlink" Target="https://www.genome.jp/entry/R02101" TargetMode="External"/><Relationship Id="rId2015" Type="http://schemas.openxmlformats.org/officeDocument/2006/relationships/hyperlink" Target="https://www.genome.jp/entry/2.7.4.25" TargetMode="External"/><Relationship Id="rId2222" Type="http://schemas.openxmlformats.org/officeDocument/2006/relationships/hyperlink" Target="https://www.genome.jp/entry/3.1.3.5" TargetMode="External"/><Relationship Id="rId401" Type="http://schemas.openxmlformats.org/officeDocument/2006/relationships/hyperlink" Target="https://www.genome.jp/entry/R03005" TargetMode="External"/><Relationship Id="rId1031" Type="http://schemas.openxmlformats.org/officeDocument/2006/relationships/hyperlink" Target="https://www.genome.jp/entry/R01775" TargetMode="External"/><Relationship Id="rId1988" Type="http://schemas.openxmlformats.org/officeDocument/2006/relationships/hyperlink" Target="https://www.genome.jp/entry/6.3.5.5" TargetMode="External"/><Relationship Id="rId1848" Type="http://schemas.openxmlformats.org/officeDocument/2006/relationships/hyperlink" Target="https://www.genome.jp/entry/1.1.1.37" TargetMode="External"/><Relationship Id="rId191" Type="http://schemas.openxmlformats.org/officeDocument/2006/relationships/hyperlink" Target="https://www.genome.jp/entry/R00405" TargetMode="External"/><Relationship Id="rId1708" Type="http://schemas.openxmlformats.org/officeDocument/2006/relationships/hyperlink" Target="https://www.genome.jp/entry/R08237" TargetMode="External"/><Relationship Id="rId1915" Type="http://schemas.openxmlformats.org/officeDocument/2006/relationships/hyperlink" Target="https://www.genome.jp/entry/2.7.7.7" TargetMode="External"/><Relationship Id="rId868" Type="http://schemas.openxmlformats.org/officeDocument/2006/relationships/hyperlink" Target="https://www.genome.jp/entry/R11207" TargetMode="External"/><Relationship Id="rId1498" Type="http://schemas.openxmlformats.org/officeDocument/2006/relationships/hyperlink" Target="https://www.genome.jp/entry/R00375" TargetMode="External"/><Relationship Id="rId728" Type="http://schemas.openxmlformats.org/officeDocument/2006/relationships/hyperlink" Target="https://www.genome.jp/entry/R03655" TargetMode="External"/><Relationship Id="rId935" Type="http://schemas.openxmlformats.org/officeDocument/2006/relationships/hyperlink" Target="https://www.genome.jp/entry/3.2.2.27" TargetMode="External"/><Relationship Id="rId1358" Type="http://schemas.openxmlformats.org/officeDocument/2006/relationships/hyperlink" Target="https://www.genome.jp/entry/R08240" TargetMode="External"/><Relationship Id="rId1565" Type="http://schemas.openxmlformats.org/officeDocument/2006/relationships/hyperlink" Target="https://www.genome.jp/entry/R00489" TargetMode="External"/><Relationship Id="rId1772" Type="http://schemas.openxmlformats.org/officeDocument/2006/relationships/hyperlink" Target="https://www.genome.jp/entry/3.6.1.66" TargetMode="External"/><Relationship Id="rId2409" Type="http://schemas.openxmlformats.org/officeDocument/2006/relationships/hyperlink" Target="https://www.genome.jp/entry/R08227" TargetMode="External"/><Relationship Id="rId64" Type="http://schemas.openxmlformats.org/officeDocument/2006/relationships/hyperlink" Target="https://www.genome.jp/entry/R00600" TargetMode="External"/><Relationship Id="rId1218" Type="http://schemas.openxmlformats.org/officeDocument/2006/relationships/hyperlink" Target="https://www.genome.jp/entry/R04173" TargetMode="External"/><Relationship Id="rId1425" Type="http://schemas.openxmlformats.org/officeDocument/2006/relationships/hyperlink" Target="https://www.genome.jp/entry/R00036" TargetMode="External"/><Relationship Id="rId1632" Type="http://schemas.openxmlformats.org/officeDocument/2006/relationships/hyperlink" Target="https://www.genome.jp/entry/2.7.7.72" TargetMode="External"/><Relationship Id="rId2199" Type="http://schemas.openxmlformats.org/officeDocument/2006/relationships/hyperlink" Target="https://www.genome.jp/entry/2.7.7.6" TargetMode="External"/><Relationship Id="rId378" Type="http://schemas.openxmlformats.org/officeDocument/2006/relationships/hyperlink" Target="https://www.genome.jp/entry/R05197" TargetMode="External"/><Relationship Id="rId585" Type="http://schemas.openxmlformats.org/officeDocument/2006/relationships/hyperlink" Target="https://www.genome.jp/entry/1.4.1.4" TargetMode="External"/><Relationship Id="rId792" Type="http://schemas.openxmlformats.org/officeDocument/2006/relationships/hyperlink" Target="https://www.genome.jp/entry/R05635" TargetMode="External"/><Relationship Id="rId2059" Type="http://schemas.openxmlformats.org/officeDocument/2006/relationships/hyperlink" Target="https://www.genome.jp/entry/2.4.1.21" TargetMode="External"/><Relationship Id="rId2266" Type="http://schemas.openxmlformats.org/officeDocument/2006/relationships/hyperlink" Target="https://www.genome.jp/entry/2.7.7.7" TargetMode="External"/><Relationship Id="rId238" Type="http://schemas.openxmlformats.org/officeDocument/2006/relationships/hyperlink" Target="https://www.genome.jp/entry/R00260" TargetMode="External"/><Relationship Id="rId445" Type="http://schemas.openxmlformats.org/officeDocument/2006/relationships/hyperlink" Target="https://www.genome.jp/entry/4.2.3.1" TargetMode="External"/><Relationship Id="rId652" Type="http://schemas.openxmlformats.org/officeDocument/2006/relationships/hyperlink" Target="https://www.genome.jp/entry/R00549" TargetMode="External"/><Relationship Id="rId1075" Type="http://schemas.openxmlformats.org/officeDocument/2006/relationships/hyperlink" Target="https://www.genome.jp/entry/R05884" TargetMode="External"/><Relationship Id="rId1282" Type="http://schemas.openxmlformats.org/officeDocument/2006/relationships/hyperlink" Target="https://www.genome.jp/entry/R00662" TargetMode="External"/><Relationship Id="rId2126" Type="http://schemas.openxmlformats.org/officeDocument/2006/relationships/hyperlink" Target="https://www.genome.jp/entry/3.5.1.2" TargetMode="External"/><Relationship Id="rId2333" Type="http://schemas.openxmlformats.org/officeDocument/2006/relationships/hyperlink" Target="https://www.genome.jp/entry/1.13.11.16" TargetMode="External"/><Relationship Id="rId305" Type="http://schemas.openxmlformats.org/officeDocument/2006/relationships/hyperlink" Target="https://www.genome.jp/entry/R04945" TargetMode="External"/><Relationship Id="rId512" Type="http://schemas.openxmlformats.org/officeDocument/2006/relationships/hyperlink" Target="https://www.genome.jp/entry/R06173" TargetMode="External"/><Relationship Id="rId1142" Type="http://schemas.openxmlformats.org/officeDocument/2006/relationships/hyperlink" Target="https://www.genome.jp/entry/2.4.1.109" TargetMode="External"/><Relationship Id="rId2400" Type="http://schemas.openxmlformats.org/officeDocument/2006/relationships/hyperlink" Target="https://www.genome.jp/entry/3.5.1.28" TargetMode="External"/><Relationship Id="rId1002" Type="http://schemas.openxmlformats.org/officeDocument/2006/relationships/hyperlink" Target="https://www.genome.jp/entry/7.1.2.2" TargetMode="External"/><Relationship Id="rId1959" Type="http://schemas.openxmlformats.org/officeDocument/2006/relationships/hyperlink" Target="https://www.genome.jp/entry/2.7.7.8" TargetMode="External"/><Relationship Id="rId1819" Type="http://schemas.openxmlformats.org/officeDocument/2006/relationships/hyperlink" Target="https://www.genome.jp/entry/3.4.11.2" TargetMode="External"/><Relationship Id="rId2190" Type="http://schemas.openxmlformats.org/officeDocument/2006/relationships/hyperlink" Target="https://www.genome.jp/entry/2.7.4.3" TargetMode="External"/><Relationship Id="rId162" Type="http://schemas.openxmlformats.org/officeDocument/2006/relationships/hyperlink" Target="https://www.genome.jp/entry/4.3.2.2" TargetMode="External"/><Relationship Id="rId2050" Type="http://schemas.openxmlformats.org/officeDocument/2006/relationships/hyperlink" Target="https://www.genome.jp/entry/5.1.99.1" TargetMode="External"/><Relationship Id="rId979" Type="http://schemas.openxmlformats.org/officeDocument/2006/relationships/hyperlink" Target="https://www.genome.jp/entry/R01209" TargetMode="External"/><Relationship Id="rId839" Type="http://schemas.openxmlformats.org/officeDocument/2006/relationships/hyperlink" Target="https://www.genome.jp/entry/R11528" TargetMode="External"/><Relationship Id="rId1469" Type="http://schemas.openxmlformats.org/officeDocument/2006/relationships/hyperlink" Target="https://www.genome.jp/entry/2.5.1.7" TargetMode="External"/><Relationship Id="rId1676" Type="http://schemas.openxmlformats.org/officeDocument/2006/relationships/hyperlink" Target="https://www.genome.jp/entry/1.1.1.1" TargetMode="External"/><Relationship Id="rId1883" Type="http://schemas.openxmlformats.org/officeDocument/2006/relationships/hyperlink" Target="https://www.genome.jp/entry/2.8.1.8" TargetMode="External"/><Relationship Id="rId906" Type="http://schemas.openxmlformats.org/officeDocument/2006/relationships/hyperlink" Target="https://www.genome.jp/entry/R00259" TargetMode="External"/><Relationship Id="rId1329" Type="http://schemas.openxmlformats.org/officeDocument/2006/relationships/hyperlink" Target="https://www.genome.jp/entry/R00379" TargetMode="External"/><Relationship Id="rId1536" Type="http://schemas.openxmlformats.org/officeDocument/2006/relationships/hyperlink" Target="https://www.genome.jp/entry/R03243" TargetMode="External"/><Relationship Id="rId1743" Type="http://schemas.openxmlformats.org/officeDocument/2006/relationships/hyperlink" Target="https://www.genome.jp/entry/6.2.1.5" TargetMode="External"/><Relationship Id="rId1950" Type="http://schemas.openxmlformats.org/officeDocument/2006/relationships/hyperlink" Target="https://www.genome.jp/entry/2.5.1.3" TargetMode="External"/><Relationship Id="rId35" Type="http://schemas.openxmlformats.org/officeDocument/2006/relationships/hyperlink" Target="https://www.genome.jp/entry/2.7.1.12" TargetMode="External"/><Relationship Id="rId1603" Type="http://schemas.openxmlformats.org/officeDocument/2006/relationships/hyperlink" Target="https://www.genome.jp/entry/R04519" TargetMode="External"/><Relationship Id="rId1810" Type="http://schemas.openxmlformats.org/officeDocument/2006/relationships/hyperlink" Target="https://www.genome.jp/entry/3.1.3.1" TargetMode="External"/><Relationship Id="rId489" Type="http://schemas.openxmlformats.org/officeDocument/2006/relationships/hyperlink" Target="https://www.genome.jp/entry/2.7.1.2" TargetMode="External"/><Relationship Id="rId696" Type="http://schemas.openxmlformats.org/officeDocument/2006/relationships/hyperlink" Target="https://www.genome.jp/entry/R02100" TargetMode="External"/><Relationship Id="rId2377" Type="http://schemas.openxmlformats.org/officeDocument/2006/relationships/hyperlink" Target="https://www.genome.jp/entry/3.2.1.18" TargetMode="External"/><Relationship Id="rId349" Type="http://schemas.openxmlformats.org/officeDocument/2006/relationships/hyperlink" Target="https://www.genome.jp/entry/R01631" TargetMode="External"/><Relationship Id="rId556" Type="http://schemas.openxmlformats.org/officeDocument/2006/relationships/hyperlink" Target="https://www.genome.jp/entry/R00734" TargetMode="External"/><Relationship Id="rId763" Type="http://schemas.openxmlformats.org/officeDocument/2006/relationships/hyperlink" Target="https://www.genome.jp/entry/R07641" TargetMode="External"/><Relationship Id="rId1186" Type="http://schemas.openxmlformats.org/officeDocument/2006/relationships/hyperlink" Target="https://www.genome.jp/entry/R04533" TargetMode="External"/><Relationship Id="rId1393" Type="http://schemas.openxmlformats.org/officeDocument/2006/relationships/hyperlink" Target="https://www.genome.jp/entry/R00441" TargetMode="External"/><Relationship Id="rId2237" Type="http://schemas.openxmlformats.org/officeDocument/2006/relationships/hyperlink" Target="https://www.genome.jp/entry/1.11.1.6" TargetMode="External"/><Relationship Id="rId2444" Type="http://schemas.openxmlformats.org/officeDocument/2006/relationships/hyperlink" Target="https://www.genome.jp/entry/4.2.1.80" TargetMode="External"/><Relationship Id="rId209" Type="http://schemas.openxmlformats.org/officeDocument/2006/relationships/hyperlink" Target="https://www.genome.jp/entry/R01057" TargetMode="External"/><Relationship Id="rId416" Type="http://schemas.openxmlformats.org/officeDocument/2006/relationships/hyperlink" Target="https://www.genome.jp/entry/R04941" TargetMode="External"/><Relationship Id="rId970" Type="http://schemas.openxmlformats.org/officeDocument/2006/relationships/hyperlink" Target="https://www.genome.jp/entry/2.2.1.6" TargetMode="External"/><Relationship Id="rId1046" Type="http://schemas.openxmlformats.org/officeDocument/2006/relationships/hyperlink" Target="https://www.genome.jp/entry/2.7.7.27" TargetMode="External"/><Relationship Id="rId1253" Type="http://schemas.openxmlformats.org/officeDocument/2006/relationships/hyperlink" Target="https://www.genome.jp/entry/1.5.1.3" TargetMode="External"/><Relationship Id="rId623" Type="http://schemas.openxmlformats.org/officeDocument/2006/relationships/hyperlink" Target="https://www.genome.jp/entry/R01799" TargetMode="External"/><Relationship Id="rId830" Type="http://schemas.openxmlformats.org/officeDocument/2006/relationships/hyperlink" Target="https://www.genome.jp/entry/R06863" TargetMode="External"/><Relationship Id="rId1460" Type="http://schemas.openxmlformats.org/officeDocument/2006/relationships/hyperlink" Target="https://www.genome.jp/entry/R00289" TargetMode="External"/><Relationship Id="rId2304" Type="http://schemas.openxmlformats.org/officeDocument/2006/relationships/hyperlink" Target="https://www.genome.jp/entry/1.1.1.35" TargetMode="External"/><Relationship Id="rId1113" Type="http://schemas.openxmlformats.org/officeDocument/2006/relationships/hyperlink" Target="https://www.genome.jp/entry/2.7.7.23" TargetMode="External"/><Relationship Id="rId1320" Type="http://schemas.openxmlformats.org/officeDocument/2006/relationships/hyperlink" Target="https://www.genome.jp/entry/2.5.1.47" TargetMode="External"/><Relationship Id="rId2094" Type="http://schemas.openxmlformats.org/officeDocument/2006/relationships/hyperlink" Target="https://www.genome.jp/entry/2.3.1.85" TargetMode="External"/><Relationship Id="rId273" Type="http://schemas.openxmlformats.org/officeDocument/2006/relationships/hyperlink" Target="https://www.genome.jp/entry/R04963" TargetMode="External"/><Relationship Id="rId480" Type="http://schemas.openxmlformats.org/officeDocument/2006/relationships/hyperlink" Target="https://www.genome.jp/entry/R00578" TargetMode="External"/><Relationship Id="rId2161" Type="http://schemas.openxmlformats.org/officeDocument/2006/relationships/hyperlink" Target="https://www.genome.jp/entry/2.3.3.5" TargetMode="External"/><Relationship Id="rId133" Type="http://schemas.openxmlformats.org/officeDocument/2006/relationships/hyperlink" Target="https://www.genome.jp/entry/R02770" TargetMode="External"/><Relationship Id="rId340" Type="http://schemas.openxmlformats.org/officeDocument/2006/relationships/hyperlink" Target="https://www.genome.jp/entry/R04258" TargetMode="External"/><Relationship Id="rId2021" Type="http://schemas.openxmlformats.org/officeDocument/2006/relationships/hyperlink" Target="https://www.genome.jp/entry/1.6.5.2" TargetMode="External"/><Relationship Id="rId200" Type="http://schemas.openxmlformats.org/officeDocument/2006/relationships/hyperlink" Target="https://www.genome.jp/entry/R12184" TargetMode="External"/><Relationship Id="rId1787" Type="http://schemas.openxmlformats.org/officeDocument/2006/relationships/hyperlink" Target="https://www.genome.jp/entry/2.3.1.85" TargetMode="External"/><Relationship Id="rId1994" Type="http://schemas.openxmlformats.org/officeDocument/2006/relationships/hyperlink" Target="https://www.genome.jp/entry/2.7.7.6" TargetMode="External"/><Relationship Id="rId79" Type="http://schemas.openxmlformats.org/officeDocument/2006/relationships/hyperlink" Target="https://www.genome.jp/entry/6.3.4.4" TargetMode="External"/><Relationship Id="rId1647" Type="http://schemas.openxmlformats.org/officeDocument/2006/relationships/hyperlink" Target="https://www.genome.jp/entry/R04929" TargetMode="External"/><Relationship Id="rId1854" Type="http://schemas.openxmlformats.org/officeDocument/2006/relationships/hyperlink" Target="https://www.genome.jp/entry/6.3.2.17" TargetMode="External"/><Relationship Id="rId1507" Type="http://schemas.openxmlformats.org/officeDocument/2006/relationships/hyperlink" Target="https://www.genome.jp/entry/4.2.99.18" TargetMode="External"/><Relationship Id="rId1714" Type="http://schemas.openxmlformats.org/officeDocument/2006/relationships/hyperlink" Target="https://www.genome.jp/entry/2.4.2.8" TargetMode="External"/><Relationship Id="rId1921" Type="http://schemas.openxmlformats.org/officeDocument/2006/relationships/hyperlink" Target="https://www.genome.jp/entry/4.3.1.19" TargetMode="External"/><Relationship Id="rId155" Type="http://schemas.openxmlformats.org/officeDocument/2006/relationships/hyperlink" Target="https://www.genome.jp/entry/R03182" TargetMode="External"/><Relationship Id="rId362" Type="http://schemas.openxmlformats.org/officeDocument/2006/relationships/hyperlink" Target="https://www.genome.jp/entry/R00927" TargetMode="External"/><Relationship Id="rId1297" Type="http://schemas.openxmlformats.org/officeDocument/2006/relationships/hyperlink" Target="https://www.genome.jp/entry/R01324" TargetMode="External"/><Relationship Id="rId2043" Type="http://schemas.openxmlformats.org/officeDocument/2006/relationships/hyperlink" Target="https://www.genome.jp/entry/2.2.1.6" TargetMode="External"/><Relationship Id="rId2250" Type="http://schemas.openxmlformats.org/officeDocument/2006/relationships/hyperlink" Target="https://www.genome.jp/entry/3.5.1.5" TargetMode="External"/><Relationship Id="rId222" Type="http://schemas.openxmlformats.org/officeDocument/2006/relationships/hyperlink" Target="https://www.genome.jp/entry/R02017" TargetMode="External"/><Relationship Id="rId667" Type="http://schemas.openxmlformats.org/officeDocument/2006/relationships/hyperlink" Target="https://www.genome.jp/entry/R10147" TargetMode="External"/><Relationship Id="rId874" Type="http://schemas.openxmlformats.org/officeDocument/2006/relationships/hyperlink" Target="https://www.genome.jp/entry/R04448" TargetMode="External"/><Relationship Id="rId2110" Type="http://schemas.openxmlformats.org/officeDocument/2006/relationships/hyperlink" Target="https://www.genome.jp/entry/2.3.1.85" TargetMode="External"/><Relationship Id="rId2348" Type="http://schemas.openxmlformats.org/officeDocument/2006/relationships/hyperlink" Target="https://www.genome.jp/entry/1.3.1.1" TargetMode="External"/><Relationship Id="rId527" Type="http://schemas.openxmlformats.org/officeDocument/2006/relationships/hyperlink" Target="https://www.genome.jp/entry/3.4.23.36" TargetMode="External"/><Relationship Id="rId734" Type="http://schemas.openxmlformats.org/officeDocument/2006/relationships/hyperlink" Target="https://www.genome.jp/entry/R06131" TargetMode="External"/><Relationship Id="rId941" Type="http://schemas.openxmlformats.org/officeDocument/2006/relationships/hyperlink" Target="https://www.genome.jp/entry/4.2.1.33" TargetMode="External"/><Relationship Id="rId1157" Type="http://schemas.openxmlformats.org/officeDocument/2006/relationships/hyperlink" Target="https://www.genome.jp/entry/R04326" TargetMode="External"/><Relationship Id="rId1364" Type="http://schemas.openxmlformats.org/officeDocument/2006/relationships/hyperlink" Target="https://www.genome.jp/entry/R10648" TargetMode="External"/><Relationship Id="rId1571" Type="http://schemas.openxmlformats.org/officeDocument/2006/relationships/hyperlink" Target="https://www.genome.jp/entry/2.7.1.17" TargetMode="External"/><Relationship Id="rId2208" Type="http://schemas.openxmlformats.org/officeDocument/2006/relationships/hyperlink" Target="https://www.genome.jp/entry/1.5.1.2" TargetMode="External"/><Relationship Id="rId2415" Type="http://schemas.openxmlformats.org/officeDocument/2006/relationships/hyperlink" Target="https://www.genome.jp/entry/R08221" TargetMode="External"/><Relationship Id="rId70" Type="http://schemas.openxmlformats.org/officeDocument/2006/relationships/hyperlink" Target="https://www.genome.jp/entry/1.8.4.8" TargetMode="External"/><Relationship Id="rId801" Type="http://schemas.openxmlformats.org/officeDocument/2006/relationships/hyperlink" Target="https://www.genome.jp/entry/R03459" TargetMode="External"/><Relationship Id="rId1017" Type="http://schemas.openxmlformats.org/officeDocument/2006/relationships/hyperlink" Target="https://www.genome.jp/entry/R09394" TargetMode="External"/><Relationship Id="rId1224" Type="http://schemas.openxmlformats.org/officeDocument/2006/relationships/hyperlink" Target="https://www.genome.jp/entry/3.5.1.2" TargetMode="External"/><Relationship Id="rId1431" Type="http://schemas.openxmlformats.org/officeDocument/2006/relationships/hyperlink" Target="https://www.genome.jp/entry/4.2.1.75" TargetMode="External"/><Relationship Id="rId1669" Type="http://schemas.openxmlformats.org/officeDocument/2006/relationships/hyperlink" Target="https://www.genome.jp/entry/1.1.1.1" TargetMode="External"/><Relationship Id="rId1876" Type="http://schemas.openxmlformats.org/officeDocument/2006/relationships/hyperlink" Target="https://www.genome.jp/entry/4.4.1.13" TargetMode="External"/><Relationship Id="rId1529" Type="http://schemas.openxmlformats.org/officeDocument/2006/relationships/hyperlink" Target="https://www.genome.jp/entry/2.4.2.29" TargetMode="External"/><Relationship Id="rId1736" Type="http://schemas.openxmlformats.org/officeDocument/2006/relationships/hyperlink" Target="https://www.genome.jp/entry/6.3.3.3" TargetMode="External"/><Relationship Id="rId1943" Type="http://schemas.openxmlformats.org/officeDocument/2006/relationships/hyperlink" Target="https://www.genome.jp/entry/3.6.1.7" TargetMode="External"/><Relationship Id="rId28" Type="http://schemas.openxmlformats.org/officeDocument/2006/relationships/hyperlink" Target="https://www.genome.jp/entry/R02589" TargetMode="External"/><Relationship Id="rId1803" Type="http://schemas.openxmlformats.org/officeDocument/2006/relationships/hyperlink" Target="https://www.genome.jp/entry/2.3.1.85" TargetMode="External"/><Relationship Id="rId177" Type="http://schemas.openxmlformats.org/officeDocument/2006/relationships/hyperlink" Target="https://www.genome.jp/entry/R04463" TargetMode="External"/><Relationship Id="rId384" Type="http://schemas.openxmlformats.org/officeDocument/2006/relationships/hyperlink" Target="https://www.genome.jp/entry/R00330" TargetMode="External"/><Relationship Id="rId591" Type="http://schemas.openxmlformats.org/officeDocument/2006/relationships/hyperlink" Target="https://www.genome.jp/entry/3.1.26.3" TargetMode="External"/><Relationship Id="rId2065" Type="http://schemas.openxmlformats.org/officeDocument/2006/relationships/hyperlink" Target="https://www.genome.jp/entry/2.6.1.85" TargetMode="External"/><Relationship Id="rId2272" Type="http://schemas.openxmlformats.org/officeDocument/2006/relationships/hyperlink" Target="https://www.genome.jp/entry/R00895" TargetMode="External"/><Relationship Id="rId244" Type="http://schemas.openxmlformats.org/officeDocument/2006/relationships/hyperlink" Target="https://www.genome.jp/entry/R03531" TargetMode="External"/><Relationship Id="rId689" Type="http://schemas.openxmlformats.org/officeDocument/2006/relationships/hyperlink" Target="https://www.genome.jp/entry/R02984" TargetMode="External"/><Relationship Id="rId896" Type="http://schemas.openxmlformats.org/officeDocument/2006/relationships/hyperlink" Target="https://www.genome.jp/entry/R01086" TargetMode="External"/><Relationship Id="rId1081" Type="http://schemas.openxmlformats.org/officeDocument/2006/relationships/hyperlink" Target="https://www.genome.jp/entry/R04780" TargetMode="External"/><Relationship Id="rId451" Type="http://schemas.openxmlformats.org/officeDocument/2006/relationships/hyperlink" Target="https://www.genome.jp/entry/R07767" TargetMode="External"/><Relationship Id="rId549" Type="http://schemas.openxmlformats.org/officeDocument/2006/relationships/hyperlink" Target="https://www.genome.jp/entry/1.1.1.23" TargetMode="External"/><Relationship Id="rId756" Type="http://schemas.openxmlformats.org/officeDocument/2006/relationships/hyperlink" Target="https://www.genome.jp/entry/R01993" TargetMode="External"/><Relationship Id="rId1179" Type="http://schemas.openxmlformats.org/officeDocument/2006/relationships/hyperlink" Target="https://www.genome.jp/entry/R11765" TargetMode="External"/><Relationship Id="rId1386" Type="http://schemas.openxmlformats.org/officeDocument/2006/relationships/hyperlink" Target="https://www.genome.jp/entry/R00441" TargetMode="External"/><Relationship Id="rId1593" Type="http://schemas.openxmlformats.org/officeDocument/2006/relationships/hyperlink" Target="https://www.genome.jp/entry/2.3.1.286" TargetMode="External"/><Relationship Id="rId2132" Type="http://schemas.openxmlformats.org/officeDocument/2006/relationships/hyperlink" Target="https://www.genome.jp/entry/5.3.1.8" TargetMode="External"/><Relationship Id="rId2437" Type="http://schemas.openxmlformats.org/officeDocument/2006/relationships/hyperlink" Target="https://www.genome.jp/entry/4.1.3.17" TargetMode="External"/><Relationship Id="rId104" Type="http://schemas.openxmlformats.org/officeDocument/2006/relationships/hyperlink" Target="https://www.genome.jp/entry/6.3.4.19" TargetMode="External"/><Relationship Id="rId311" Type="http://schemas.openxmlformats.org/officeDocument/2006/relationships/hyperlink" Target="https://www.genome.jp/entry/R01056" TargetMode="External"/><Relationship Id="rId409" Type="http://schemas.openxmlformats.org/officeDocument/2006/relationships/hyperlink" Target="https://www.genome.jp/entry/4.4.1.13" TargetMode="External"/><Relationship Id="rId963" Type="http://schemas.openxmlformats.org/officeDocument/2006/relationships/hyperlink" Target="https://www.genome.jp/entry/1.1.1.86" TargetMode="External"/><Relationship Id="rId1039" Type="http://schemas.openxmlformats.org/officeDocument/2006/relationships/hyperlink" Target="https://www.genome.jp/entry/R06786" TargetMode="External"/><Relationship Id="rId1246" Type="http://schemas.openxmlformats.org/officeDocument/2006/relationships/hyperlink" Target="https://www.genome.jp/entry/R00885" TargetMode="External"/><Relationship Id="rId1898" Type="http://schemas.openxmlformats.org/officeDocument/2006/relationships/hyperlink" Target="https://www.genome.jp/entry/2.4.1.346" TargetMode="External"/><Relationship Id="rId92" Type="http://schemas.openxmlformats.org/officeDocument/2006/relationships/hyperlink" Target="https://www.genome.jp/entry/R05635/R04268" TargetMode="External"/><Relationship Id="rId616" Type="http://schemas.openxmlformats.org/officeDocument/2006/relationships/hyperlink" Target="https://www.genome.jp/entry/R10712" TargetMode="External"/><Relationship Id="rId823" Type="http://schemas.openxmlformats.org/officeDocument/2006/relationships/hyperlink" Target="https://www.genome.jp/entry/R01827" TargetMode="External"/><Relationship Id="rId1453" Type="http://schemas.openxmlformats.org/officeDocument/2006/relationships/hyperlink" Target="https://www.genome.jp/entry/R03192" TargetMode="External"/><Relationship Id="rId1660" Type="http://schemas.openxmlformats.org/officeDocument/2006/relationships/hyperlink" Target="https://www.genome.jp/entry/R08557" TargetMode="External"/><Relationship Id="rId1758" Type="http://schemas.openxmlformats.org/officeDocument/2006/relationships/hyperlink" Target="https://www.genome.jp/entry/1.17.4.1" TargetMode="External"/><Relationship Id="rId1106" Type="http://schemas.openxmlformats.org/officeDocument/2006/relationships/hyperlink" Target="https://www.genome.jp/entry/R01687" TargetMode="External"/><Relationship Id="rId1313" Type="http://schemas.openxmlformats.org/officeDocument/2006/relationships/hyperlink" Target="https://www.genome.jp/entry/2.3.3.16" TargetMode="External"/><Relationship Id="rId1520" Type="http://schemas.openxmlformats.org/officeDocument/2006/relationships/hyperlink" Target="https://www.genome.jp/entry/6.3.2.13" TargetMode="External"/><Relationship Id="rId1965" Type="http://schemas.openxmlformats.org/officeDocument/2006/relationships/hyperlink" Target="https://www.genome.jp/entry/2.8.4.3" TargetMode="External"/><Relationship Id="rId1618" Type="http://schemas.openxmlformats.org/officeDocument/2006/relationships/hyperlink" Target="https://www.genome.jp/entry/R02340" TargetMode="External"/><Relationship Id="rId1825" Type="http://schemas.openxmlformats.org/officeDocument/2006/relationships/hyperlink" Target="https://www.genome.jp/entry/1.14.12.10" TargetMode="External"/><Relationship Id="rId199" Type="http://schemas.openxmlformats.org/officeDocument/2006/relationships/hyperlink" Target="https://www.genome.jp/entry/R12183" TargetMode="External"/><Relationship Id="rId2087" Type="http://schemas.openxmlformats.org/officeDocument/2006/relationships/hyperlink" Target="https://www.genome.jp/entry/3.1.3.7" TargetMode="External"/><Relationship Id="rId2294" Type="http://schemas.openxmlformats.org/officeDocument/2006/relationships/hyperlink" Target="https://www.genome.jp/entry/1.1.1.35" TargetMode="External"/><Relationship Id="rId266" Type="http://schemas.openxmlformats.org/officeDocument/2006/relationships/hyperlink" Target="https://www.genome.jp/entry/R04953" TargetMode="External"/><Relationship Id="rId473" Type="http://schemas.openxmlformats.org/officeDocument/2006/relationships/hyperlink" Target="https://www.genome.jp/entry/R05221" TargetMode="External"/><Relationship Id="rId680" Type="http://schemas.openxmlformats.org/officeDocument/2006/relationships/hyperlink" Target="https://www.genome.jp/entry/R02071" TargetMode="External"/><Relationship Id="rId2154" Type="http://schemas.openxmlformats.org/officeDocument/2006/relationships/hyperlink" Target="https://www.genome.jp/entry/3.6.1.9" TargetMode="External"/><Relationship Id="rId2361" Type="http://schemas.openxmlformats.org/officeDocument/2006/relationships/hyperlink" Target="https://www.genome.jp/entry/R09675" TargetMode="External"/><Relationship Id="rId126" Type="http://schemas.openxmlformats.org/officeDocument/2006/relationships/hyperlink" Target="https://www.genome.jp/entry/2.7.13.3" TargetMode="External"/><Relationship Id="rId333" Type="http://schemas.openxmlformats.org/officeDocument/2006/relationships/hyperlink" Target="https://www.genome.jp/entry/R08108" TargetMode="External"/><Relationship Id="rId540" Type="http://schemas.openxmlformats.org/officeDocument/2006/relationships/hyperlink" Target="https://www.genome.jp/entry/R06131" TargetMode="External"/><Relationship Id="rId778" Type="http://schemas.openxmlformats.org/officeDocument/2006/relationships/hyperlink" Target="https://www.genome.jp/entry/R00444" TargetMode="External"/><Relationship Id="rId985" Type="http://schemas.openxmlformats.org/officeDocument/2006/relationships/hyperlink" Target="https://www.genome.jp/entry/R00382" TargetMode="External"/><Relationship Id="rId1170" Type="http://schemas.openxmlformats.org/officeDocument/2006/relationships/hyperlink" Target="https://www.genome.jp/entry/2.1.1.45" TargetMode="External"/><Relationship Id="rId2014" Type="http://schemas.openxmlformats.org/officeDocument/2006/relationships/hyperlink" Target="https://www.genome.jp/entry/1.8.7.1" TargetMode="External"/><Relationship Id="rId2221" Type="http://schemas.openxmlformats.org/officeDocument/2006/relationships/hyperlink" Target="https://www.genome.jp/entry/3.1.3.5" TargetMode="External"/><Relationship Id="rId2459" Type="http://schemas.openxmlformats.org/officeDocument/2006/relationships/hyperlink" Target="https://www.genome.jp/entry/2.8.1.13" TargetMode="External"/><Relationship Id="rId638" Type="http://schemas.openxmlformats.org/officeDocument/2006/relationships/hyperlink" Target="https://www.genome.jp/entry/R00360" TargetMode="External"/><Relationship Id="rId845" Type="http://schemas.openxmlformats.org/officeDocument/2006/relationships/hyperlink" Target="https://www.genome.jp/entry/1.3.5.2" TargetMode="External"/><Relationship Id="rId1030" Type="http://schemas.openxmlformats.org/officeDocument/2006/relationships/hyperlink" Target="https://www.genome.jp/entry/R01773" TargetMode="External"/><Relationship Id="rId1268" Type="http://schemas.openxmlformats.org/officeDocument/2006/relationships/hyperlink" Target="https://www.genome.jp/entry/R04209" TargetMode="External"/><Relationship Id="rId1475" Type="http://schemas.openxmlformats.org/officeDocument/2006/relationships/hyperlink" Target="https://www.genome.jp/entry/3.1.3.5" TargetMode="External"/><Relationship Id="rId1682" Type="http://schemas.openxmlformats.org/officeDocument/2006/relationships/hyperlink" Target="https://www.genome.jp/entry/1.1.1.1" TargetMode="External"/><Relationship Id="rId2319" Type="http://schemas.openxmlformats.org/officeDocument/2006/relationships/hyperlink" Target="https://www.genome.jp/entry/R07894" TargetMode="External"/><Relationship Id="rId400" Type="http://schemas.openxmlformats.org/officeDocument/2006/relationships/hyperlink" Target="https://www.genome.jp/entry/2.7.7.18" TargetMode="External"/><Relationship Id="rId705" Type="http://schemas.openxmlformats.org/officeDocument/2006/relationships/hyperlink" Target="https://www.genome.jp/entry/1.8.4.12" TargetMode="External"/><Relationship Id="rId1128" Type="http://schemas.openxmlformats.org/officeDocument/2006/relationships/hyperlink" Target="https://www.genome.jp/entry/R00174" TargetMode="External"/><Relationship Id="rId1335" Type="http://schemas.openxmlformats.org/officeDocument/2006/relationships/hyperlink" Target="https://www.genome.jp/entry/2.7.7.7" TargetMode="External"/><Relationship Id="rId1542" Type="http://schemas.openxmlformats.org/officeDocument/2006/relationships/hyperlink" Target="https://www.genome.jp/entry/R09395" TargetMode="External"/><Relationship Id="rId1987" Type="http://schemas.openxmlformats.org/officeDocument/2006/relationships/hyperlink" Target="https://www.genome.jp/entry/6.3.5.5" TargetMode="External"/><Relationship Id="rId912" Type="http://schemas.openxmlformats.org/officeDocument/2006/relationships/hyperlink" Target="https://www.genome.jp/entry/R03660" TargetMode="External"/><Relationship Id="rId1847" Type="http://schemas.openxmlformats.org/officeDocument/2006/relationships/hyperlink" Target="https://www.genome.jp/entry/2.3.1.9" TargetMode="External"/><Relationship Id="rId41" Type="http://schemas.openxmlformats.org/officeDocument/2006/relationships/hyperlink" Target="https://www.genome.jp/entry/6.5.1.8" TargetMode="External"/><Relationship Id="rId1402" Type="http://schemas.openxmlformats.org/officeDocument/2006/relationships/hyperlink" Target="https://www.genome.jp/entry/2.1.1.163" TargetMode="External"/><Relationship Id="rId1707" Type="http://schemas.openxmlformats.org/officeDocument/2006/relationships/hyperlink" Target="https://www.genome.jp/entry/R02142" TargetMode="External"/><Relationship Id="rId190" Type="http://schemas.openxmlformats.org/officeDocument/2006/relationships/hyperlink" Target="https://www.genome.jp/entry/6.2.1.5" TargetMode="External"/><Relationship Id="rId288" Type="http://schemas.openxmlformats.org/officeDocument/2006/relationships/hyperlink" Target="https://www.genome.jp/entry/R01579" TargetMode="External"/><Relationship Id="rId1914" Type="http://schemas.openxmlformats.org/officeDocument/2006/relationships/hyperlink" Target="https://www.genome.jp/entry/2.7.7.7" TargetMode="External"/><Relationship Id="rId495" Type="http://schemas.openxmlformats.org/officeDocument/2006/relationships/hyperlink" Target="https://www.genome.jp/entry/1.5.1.20" TargetMode="External"/><Relationship Id="rId2176" Type="http://schemas.openxmlformats.org/officeDocument/2006/relationships/hyperlink" Target="https://www.genome.jp/entry/2.7.7.7" TargetMode="External"/><Relationship Id="rId2383" Type="http://schemas.openxmlformats.org/officeDocument/2006/relationships/hyperlink" Target="https://www.genome.jp/entry/R04018" TargetMode="External"/><Relationship Id="rId148" Type="http://schemas.openxmlformats.org/officeDocument/2006/relationships/hyperlink" Target="https://www.genome.jp/entry/R06043" TargetMode="External"/><Relationship Id="rId355" Type="http://schemas.openxmlformats.org/officeDocument/2006/relationships/hyperlink" Target="https://www.genome.jp/entry/R03307" TargetMode="External"/><Relationship Id="rId562" Type="http://schemas.openxmlformats.org/officeDocument/2006/relationships/hyperlink" Target="https://www.genome.jp/entry/R12152" TargetMode="External"/><Relationship Id="rId1192" Type="http://schemas.openxmlformats.org/officeDocument/2006/relationships/hyperlink" Target="https://www.genome.jp/entry/R04544" TargetMode="External"/><Relationship Id="rId2036" Type="http://schemas.openxmlformats.org/officeDocument/2006/relationships/hyperlink" Target="https://www.genome.jp/entry/1.1.1.86" TargetMode="External"/><Relationship Id="rId2243" Type="http://schemas.openxmlformats.org/officeDocument/2006/relationships/hyperlink" Target="https://www.genome.jp/entry/2.7.7.7" TargetMode="External"/><Relationship Id="rId2450" Type="http://schemas.openxmlformats.org/officeDocument/2006/relationships/hyperlink" Target="https://www.genome.jp/entry/5.1.3.14" TargetMode="External"/><Relationship Id="rId215" Type="http://schemas.openxmlformats.org/officeDocument/2006/relationships/hyperlink" Target="https://www.genome.jp/entry/R02017" TargetMode="External"/><Relationship Id="rId422" Type="http://schemas.openxmlformats.org/officeDocument/2006/relationships/hyperlink" Target="https://www.genome.jp/entry/R06218" TargetMode="External"/><Relationship Id="rId867" Type="http://schemas.openxmlformats.org/officeDocument/2006/relationships/hyperlink" Target="https://www.genome.jp/entry/6.3.1.19" TargetMode="External"/><Relationship Id="rId1052" Type="http://schemas.openxmlformats.org/officeDocument/2006/relationships/hyperlink" Target="https://www.genome.jp/entry/R09663" TargetMode="External"/><Relationship Id="rId1497" Type="http://schemas.openxmlformats.org/officeDocument/2006/relationships/hyperlink" Target="https://www.genome.jp/entry/R00379" TargetMode="External"/><Relationship Id="rId2103" Type="http://schemas.openxmlformats.org/officeDocument/2006/relationships/hyperlink" Target="https://www.genome.jp/entry/2.3.1.85" TargetMode="External"/><Relationship Id="rId2310" Type="http://schemas.openxmlformats.org/officeDocument/2006/relationships/hyperlink" Target="https://www.genome.jp/entry/R04203" TargetMode="External"/><Relationship Id="rId727" Type="http://schemas.openxmlformats.org/officeDocument/2006/relationships/hyperlink" Target="https://www.genome.jp/entry/6.1.1.21" TargetMode="External"/><Relationship Id="rId934" Type="http://schemas.openxmlformats.org/officeDocument/2006/relationships/hyperlink" Target="https://www.genome.jp/entry/3.6.4.12" TargetMode="External"/><Relationship Id="rId1357" Type="http://schemas.openxmlformats.org/officeDocument/2006/relationships/hyperlink" Target="https://www.genome.jp/entry/R01130" TargetMode="External"/><Relationship Id="rId1564" Type="http://schemas.openxmlformats.org/officeDocument/2006/relationships/hyperlink" Target="https://www.genome.jp/entry/4.1.1.11" TargetMode="External"/><Relationship Id="rId1771" Type="http://schemas.openxmlformats.org/officeDocument/2006/relationships/hyperlink" Target="https://www.genome.jp/entry/3.6.1.66" TargetMode="External"/><Relationship Id="rId2408" Type="http://schemas.openxmlformats.org/officeDocument/2006/relationships/hyperlink" Target="https://www.genome.jp/entry/R03055" TargetMode="External"/><Relationship Id="rId63" Type="http://schemas.openxmlformats.org/officeDocument/2006/relationships/hyperlink" Target="https://www.genome.jp/entry/2.1.1.33" TargetMode="External"/><Relationship Id="rId1217" Type="http://schemas.openxmlformats.org/officeDocument/2006/relationships/hyperlink" Target="https://www.genome.jp/entry/2.6.1.52" TargetMode="External"/><Relationship Id="rId1424" Type="http://schemas.openxmlformats.org/officeDocument/2006/relationships/hyperlink" Target="https://www.genome.jp/entry/4.2.1.24" TargetMode="External"/><Relationship Id="rId1631" Type="http://schemas.openxmlformats.org/officeDocument/2006/relationships/hyperlink" Target="https://www.genome.jp/entry/2.7.7.72" TargetMode="External"/><Relationship Id="rId1869" Type="http://schemas.openxmlformats.org/officeDocument/2006/relationships/hyperlink" Target="https://www.genome.jp/entry/2.7.4.6" TargetMode="External"/><Relationship Id="rId1729" Type="http://schemas.openxmlformats.org/officeDocument/2006/relationships/hyperlink" Target="https://www.genome.jp/entry/1.2.1.64" TargetMode="External"/><Relationship Id="rId1936" Type="http://schemas.openxmlformats.org/officeDocument/2006/relationships/hyperlink" Target="https://www.genome.jp/entry/2.7.1.40" TargetMode="External"/><Relationship Id="rId2198" Type="http://schemas.openxmlformats.org/officeDocument/2006/relationships/hyperlink" Target="https://www.genome.jp/entry/2.7.7.6" TargetMode="External"/><Relationship Id="rId377" Type="http://schemas.openxmlformats.org/officeDocument/2006/relationships/hyperlink" Target="https://www.genome.jp/entry/R02237" TargetMode="External"/><Relationship Id="rId584" Type="http://schemas.openxmlformats.org/officeDocument/2006/relationships/hyperlink" Target="https://www.genome.jp/entry/R01514" TargetMode="External"/><Relationship Id="rId2058" Type="http://schemas.openxmlformats.org/officeDocument/2006/relationships/hyperlink" Target="https://www.genome.jp/entry/2.1.1.14" TargetMode="External"/><Relationship Id="rId2265" Type="http://schemas.openxmlformats.org/officeDocument/2006/relationships/hyperlink" Target="https://www.genome.jp/entry/2.4.99.28" TargetMode="External"/><Relationship Id="rId5" Type="http://schemas.openxmlformats.org/officeDocument/2006/relationships/hyperlink" Target="https://www.genome.jp/entry/R09382/R09383/R09384/R09386" TargetMode="External"/><Relationship Id="rId237" Type="http://schemas.openxmlformats.org/officeDocument/2006/relationships/hyperlink" Target="https://www.genome.jp/entry/5.1.1.3" TargetMode="External"/><Relationship Id="rId791" Type="http://schemas.openxmlformats.org/officeDocument/2006/relationships/hyperlink" Target="https://www.genome.jp/entry/3.5.1.88" TargetMode="External"/><Relationship Id="rId889" Type="http://schemas.openxmlformats.org/officeDocument/2006/relationships/hyperlink" Target="https://www.genome.jp/entry/R00571" TargetMode="External"/><Relationship Id="rId1074" Type="http://schemas.openxmlformats.org/officeDocument/2006/relationships/hyperlink" Target="https://www.genome.jp/entry/1.17.7.4" TargetMode="External"/><Relationship Id="rId444" Type="http://schemas.openxmlformats.org/officeDocument/2006/relationships/hyperlink" Target="https://www.genome.jp/entry/R00311" TargetMode="External"/><Relationship Id="rId651" Type="http://schemas.openxmlformats.org/officeDocument/2006/relationships/hyperlink" Target="https://www.genome.jp/entry/2.7.1.26" TargetMode="External"/><Relationship Id="rId749" Type="http://schemas.openxmlformats.org/officeDocument/2006/relationships/hyperlink" Target="https://www.genome.jp/entry/R03083" TargetMode="External"/><Relationship Id="rId1281" Type="http://schemas.openxmlformats.org/officeDocument/2006/relationships/hyperlink" Target="https://www.genome.jp/entry/R00515" TargetMode="External"/><Relationship Id="rId1379" Type="http://schemas.openxmlformats.org/officeDocument/2006/relationships/hyperlink" Target="https://www.genome.jp/entry/2.7.4.3" TargetMode="External"/><Relationship Id="rId1586" Type="http://schemas.openxmlformats.org/officeDocument/2006/relationships/hyperlink" Target="https://www.genome.jp/entry/R06134" TargetMode="External"/><Relationship Id="rId2125" Type="http://schemas.openxmlformats.org/officeDocument/2006/relationships/hyperlink" Target="https://www.genome.jp/entry/2.6.1.52" TargetMode="External"/><Relationship Id="rId2332" Type="http://schemas.openxmlformats.org/officeDocument/2006/relationships/hyperlink" Target="https://www.genome.jp/entry/R03303" TargetMode="External"/><Relationship Id="rId304" Type="http://schemas.openxmlformats.org/officeDocument/2006/relationships/hyperlink" Target="https://www.genome.jp/entry/R04944" TargetMode="External"/><Relationship Id="rId511" Type="http://schemas.openxmlformats.org/officeDocument/2006/relationships/hyperlink" Target="https://www.genome.jp/entry/R05662" TargetMode="External"/><Relationship Id="rId609" Type="http://schemas.openxmlformats.org/officeDocument/2006/relationships/hyperlink" Target="https://www.genome.jp/entry/R07463" TargetMode="External"/><Relationship Id="rId956" Type="http://schemas.openxmlformats.org/officeDocument/2006/relationships/hyperlink" Target="https://www.genome.jp/entry/R01652" TargetMode="External"/><Relationship Id="rId1141" Type="http://schemas.openxmlformats.org/officeDocument/2006/relationships/hyperlink" Target="https://www.genome.jp/entry/2.1.1.198" TargetMode="External"/><Relationship Id="rId1239" Type="http://schemas.openxmlformats.org/officeDocument/2006/relationships/hyperlink" Target="https://www.genome.jp/entry/3.13.2.1" TargetMode="External"/><Relationship Id="rId1793" Type="http://schemas.openxmlformats.org/officeDocument/2006/relationships/hyperlink" Target="https://www.genome.jp/entry/2.3.1.85" TargetMode="External"/><Relationship Id="rId85" Type="http://schemas.openxmlformats.org/officeDocument/2006/relationships/hyperlink" Target="https://www.genome.jp/entry/R00315/R01353" TargetMode="External"/><Relationship Id="rId816" Type="http://schemas.openxmlformats.org/officeDocument/2006/relationships/hyperlink" Target="https://www.genome.jp/entry/3.1.1.31" TargetMode="External"/><Relationship Id="rId1001" Type="http://schemas.openxmlformats.org/officeDocument/2006/relationships/hyperlink" Target="https://www.genome.jp/entry/R00086" TargetMode="External"/><Relationship Id="rId1446" Type="http://schemas.openxmlformats.org/officeDocument/2006/relationships/hyperlink" Target="https://www.genome.jp/entry/2.7.13.3" TargetMode="External"/><Relationship Id="rId1653" Type="http://schemas.openxmlformats.org/officeDocument/2006/relationships/hyperlink" Target="https://www.genome.jp/entry/R04880" TargetMode="External"/><Relationship Id="rId1860" Type="http://schemas.openxmlformats.org/officeDocument/2006/relationships/hyperlink" Target="https://www.genome.jp/entry/2.7.4.6" TargetMode="External"/><Relationship Id="rId1306" Type="http://schemas.openxmlformats.org/officeDocument/2006/relationships/hyperlink" Target="https://www.genome.jp/entry/6.1.1.2" TargetMode="External"/><Relationship Id="rId1513" Type="http://schemas.openxmlformats.org/officeDocument/2006/relationships/hyperlink" Target="https://www.genome.jp/entry/R02670" TargetMode="External"/><Relationship Id="rId1720" Type="http://schemas.openxmlformats.org/officeDocument/2006/relationships/hyperlink" Target="https://www.genome.jp/entry/3.5.4.16" TargetMode="External"/><Relationship Id="rId1958" Type="http://schemas.openxmlformats.org/officeDocument/2006/relationships/hyperlink" Target="https://www.genome.jp/entry/2.1.1.107" TargetMode="External"/><Relationship Id="rId12" Type="http://schemas.openxmlformats.org/officeDocument/2006/relationships/hyperlink" Target="https://www.genome.jp/entry/1.1.1.18" TargetMode="External"/><Relationship Id="rId1818" Type="http://schemas.openxmlformats.org/officeDocument/2006/relationships/hyperlink" Target="https://www.genome.jp/entry/2.5.1.48" TargetMode="External"/><Relationship Id="rId161" Type="http://schemas.openxmlformats.org/officeDocument/2006/relationships/hyperlink" Target="https://www.genome.jp/entry/R04144" TargetMode="External"/><Relationship Id="rId399" Type="http://schemas.openxmlformats.org/officeDocument/2006/relationships/hyperlink" Target="https://www.genome.jp/entry/R03313" TargetMode="External"/><Relationship Id="rId2287" Type="http://schemas.openxmlformats.org/officeDocument/2006/relationships/hyperlink" Target="https://www.genome.jp/entry/1.1.1.31" TargetMode="External"/><Relationship Id="rId259" Type="http://schemas.openxmlformats.org/officeDocument/2006/relationships/hyperlink" Target="https://www.genome.jp/entry/R04543" TargetMode="External"/><Relationship Id="rId466" Type="http://schemas.openxmlformats.org/officeDocument/2006/relationships/hyperlink" Target="https://www.genome.jp/entry/R10991" TargetMode="External"/><Relationship Id="rId673" Type="http://schemas.openxmlformats.org/officeDocument/2006/relationships/hyperlink" Target="https://www.genome.jp/entry/R10647" TargetMode="External"/><Relationship Id="rId880" Type="http://schemas.openxmlformats.org/officeDocument/2006/relationships/hyperlink" Target="https://www.genome.jp/entry/7.3.2.2" TargetMode="External"/><Relationship Id="rId1096" Type="http://schemas.openxmlformats.org/officeDocument/2006/relationships/hyperlink" Target="https://www.genome.jp/entry/R02971" TargetMode="External"/><Relationship Id="rId2147" Type="http://schemas.openxmlformats.org/officeDocument/2006/relationships/hyperlink" Target="https://www.genome.jp/entry/1.1.1.100" TargetMode="External"/><Relationship Id="rId2354" Type="http://schemas.openxmlformats.org/officeDocument/2006/relationships/hyperlink" Target="https://www.genome.jp/entry/1.5.3.2" TargetMode="External"/><Relationship Id="rId119" Type="http://schemas.openxmlformats.org/officeDocument/2006/relationships/hyperlink" Target="https://www.genome.jp/entry/R03658" TargetMode="External"/><Relationship Id="rId326" Type="http://schemas.openxmlformats.org/officeDocument/2006/relationships/hyperlink" Target="https://www.genome.jp/entry/R08108" TargetMode="External"/><Relationship Id="rId533" Type="http://schemas.openxmlformats.org/officeDocument/2006/relationships/hyperlink" Target="https://www.genome.jp/entry/R00378" TargetMode="External"/><Relationship Id="rId978" Type="http://schemas.openxmlformats.org/officeDocument/2006/relationships/hyperlink" Target="https://www.genome.jp/entry/4.2.1.9" TargetMode="External"/><Relationship Id="rId1163" Type="http://schemas.openxmlformats.org/officeDocument/2006/relationships/hyperlink" Target="https://www.genome.jp/entry/R00771" TargetMode="External"/><Relationship Id="rId1370" Type="http://schemas.openxmlformats.org/officeDocument/2006/relationships/hyperlink" Target="https://www.genome.jp/entry/R03020" TargetMode="External"/><Relationship Id="rId2007" Type="http://schemas.openxmlformats.org/officeDocument/2006/relationships/hyperlink" Target="https://www.genome.jp/entry/2.2.1.1" TargetMode="External"/><Relationship Id="rId2214" Type="http://schemas.openxmlformats.org/officeDocument/2006/relationships/hyperlink" Target="https://www.genome.jp/entry/1.8.1.4" TargetMode="External"/><Relationship Id="rId740" Type="http://schemas.openxmlformats.org/officeDocument/2006/relationships/hyperlink" Target="https://www.genome.jp/entry/1.1.1.25" TargetMode="External"/><Relationship Id="rId838" Type="http://schemas.openxmlformats.org/officeDocument/2006/relationships/hyperlink" Target="https://www.genome.jp/entry/R07460" TargetMode="External"/><Relationship Id="rId1023" Type="http://schemas.openxmlformats.org/officeDocument/2006/relationships/hyperlink" Target="https://www.genome.jp/entry/R02135" TargetMode="External"/><Relationship Id="rId1468" Type="http://schemas.openxmlformats.org/officeDocument/2006/relationships/hyperlink" Target="https://www.genome.jp/entry/R03191" TargetMode="External"/><Relationship Id="rId1675" Type="http://schemas.openxmlformats.org/officeDocument/2006/relationships/hyperlink" Target="https://www.genome.jp/entry/1.1.1.1" TargetMode="External"/><Relationship Id="rId1882" Type="http://schemas.openxmlformats.org/officeDocument/2006/relationships/hyperlink" Target="https://www.genome.jp/entry/4.2.3.1" TargetMode="External"/><Relationship Id="rId2421" Type="http://schemas.openxmlformats.org/officeDocument/2006/relationships/hyperlink" Target="https://www.genome.jp/entry/R03004" TargetMode="External"/><Relationship Id="rId600" Type="http://schemas.openxmlformats.org/officeDocument/2006/relationships/hyperlink" Target="https://www.genome.jp/entry/R04733" TargetMode="External"/><Relationship Id="rId1230" Type="http://schemas.openxmlformats.org/officeDocument/2006/relationships/hyperlink" Target="https://www.genome.jp/entry/R07456" TargetMode="External"/><Relationship Id="rId1328" Type="http://schemas.openxmlformats.org/officeDocument/2006/relationships/hyperlink" Target="https://www.genome.jp/entry/2.7.7.7" TargetMode="External"/><Relationship Id="rId1535" Type="http://schemas.openxmlformats.org/officeDocument/2006/relationships/hyperlink" Target="https://www.genome.jp/entry/2.6.1.9" TargetMode="External"/><Relationship Id="rId905" Type="http://schemas.openxmlformats.org/officeDocument/2006/relationships/hyperlink" Target="https://www.genome.jp/entry/2.3.1.1" TargetMode="External"/><Relationship Id="rId1742" Type="http://schemas.openxmlformats.org/officeDocument/2006/relationships/hyperlink" Target="https://www.genome.jp/entry/6.2.1.5" TargetMode="External"/><Relationship Id="rId34" Type="http://schemas.openxmlformats.org/officeDocument/2006/relationships/hyperlink" Target="https://www.genome.jp/entry/R09289" TargetMode="External"/><Relationship Id="rId1602" Type="http://schemas.openxmlformats.org/officeDocument/2006/relationships/hyperlink" Target="https://www.genome.jp/entry/R06179" TargetMode="External"/><Relationship Id="rId183" Type="http://schemas.openxmlformats.org/officeDocument/2006/relationships/hyperlink" Target="https://www.genome.jp/entry/R05553" TargetMode="External"/><Relationship Id="rId390" Type="http://schemas.openxmlformats.org/officeDocument/2006/relationships/hyperlink" Target="https://www.genome.jp/entry/R02326" TargetMode="External"/><Relationship Id="rId1907" Type="http://schemas.openxmlformats.org/officeDocument/2006/relationships/hyperlink" Target="https://www.genome.jp/entry/2.4.1.227" TargetMode="External"/><Relationship Id="rId2071" Type="http://schemas.openxmlformats.org/officeDocument/2006/relationships/hyperlink" Target="https://www.genome.jp/entry/2.3.2.2" TargetMode="External"/><Relationship Id="rId250" Type="http://schemas.openxmlformats.org/officeDocument/2006/relationships/hyperlink" Target="https://www.genome.jp/entry/R01706" TargetMode="External"/><Relationship Id="rId488" Type="http://schemas.openxmlformats.org/officeDocument/2006/relationships/hyperlink" Target="https://www.genome.jp/entry/R12041" TargetMode="External"/><Relationship Id="rId695" Type="http://schemas.openxmlformats.org/officeDocument/2006/relationships/hyperlink" Target="https://www.genome.jp/entry/3.6.1.23" TargetMode="External"/><Relationship Id="rId2169" Type="http://schemas.openxmlformats.org/officeDocument/2006/relationships/hyperlink" Target="https://www.genome.jp/entry/2.5.1.47" TargetMode="External"/><Relationship Id="rId2376" Type="http://schemas.openxmlformats.org/officeDocument/2006/relationships/hyperlink" Target="https://www.genome.jp/entry/3.2.1.18" TargetMode="External"/><Relationship Id="rId110" Type="http://schemas.openxmlformats.org/officeDocument/2006/relationships/hyperlink" Target="https://www.genome.jp/entry/2.5.1.15" TargetMode="External"/><Relationship Id="rId348" Type="http://schemas.openxmlformats.org/officeDocument/2006/relationships/hyperlink" Target="https://www.genome.jp/entry/1.13.11.3" TargetMode="External"/><Relationship Id="rId555" Type="http://schemas.openxmlformats.org/officeDocument/2006/relationships/hyperlink" Target="https://www.genome.jp/entry/R00694" TargetMode="External"/><Relationship Id="rId762" Type="http://schemas.openxmlformats.org/officeDocument/2006/relationships/hyperlink" Target="https://www.genome.jp/entry/R10949" TargetMode="External"/><Relationship Id="rId1185" Type="http://schemas.openxmlformats.org/officeDocument/2006/relationships/hyperlink" Target="https://www.genome.jp/entry/R04430" TargetMode="External"/><Relationship Id="rId1392" Type="http://schemas.openxmlformats.org/officeDocument/2006/relationships/hyperlink" Target="https://www.genome.jp/entry/R00435" TargetMode="External"/><Relationship Id="rId2029" Type="http://schemas.openxmlformats.org/officeDocument/2006/relationships/hyperlink" Target="https://www.genome.jp/entry/4.2.1.33" TargetMode="External"/><Relationship Id="rId2236" Type="http://schemas.openxmlformats.org/officeDocument/2006/relationships/hyperlink" Target="https://www.genome.jp/entry/3.3.2.2" TargetMode="External"/><Relationship Id="rId2443" Type="http://schemas.openxmlformats.org/officeDocument/2006/relationships/hyperlink" Target="https://www.genome.jp/entry/4.2.1.80" TargetMode="External"/><Relationship Id="rId208" Type="http://schemas.openxmlformats.org/officeDocument/2006/relationships/hyperlink" Target="https://www.genome.jp/entry/R00959" TargetMode="External"/><Relationship Id="rId415" Type="http://schemas.openxmlformats.org/officeDocument/2006/relationships/hyperlink" Target="https://www.genome.jp/entry/R00782" TargetMode="External"/><Relationship Id="rId622" Type="http://schemas.openxmlformats.org/officeDocument/2006/relationships/hyperlink" Target="https://www.genome.jp/entry/2.7.7.41" TargetMode="External"/><Relationship Id="rId1045" Type="http://schemas.openxmlformats.org/officeDocument/2006/relationships/hyperlink" Target="https://www.genome.jp/entry/R00272" TargetMode="External"/><Relationship Id="rId1252" Type="http://schemas.openxmlformats.org/officeDocument/2006/relationships/hyperlink" Target="https://www.genome.jp/entry/R11765" TargetMode="External"/><Relationship Id="rId1697" Type="http://schemas.openxmlformats.org/officeDocument/2006/relationships/hyperlink" Target="https://www.genome.jp/entry/2.7.2.1" TargetMode="External"/><Relationship Id="rId2303" Type="http://schemas.openxmlformats.org/officeDocument/2006/relationships/hyperlink" Target="https://www.genome.jp/entry/1.1.1.35" TargetMode="External"/><Relationship Id="rId927" Type="http://schemas.openxmlformats.org/officeDocument/2006/relationships/hyperlink" Target="https://www.genome.jp/entry/R00377" TargetMode="External"/><Relationship Id="rId1112" Type="http://schemas.openxmlformats.org/officeDocument/2006/relationships/hyperlink" Target="https://www.genome.jp/entry/2.7.13.3" TargetMode="External"/><Relationship Id="rId1557" Type="http://schemas.openxmlformats.org/officeDocument/2006/relationships/hyperlink" Target="https://www.genome.jp/entry/R08503" TargetMode="External"/><Relationship Id="rId1764" Type="http://schemas.openxmlformats.org/officeDocument/2006/relationships/hyperlink" Target="https://www.genome.jp/entry/1.17.4.1" TargetMode="External"/><Relationship Id="rId1971" Type="http://schemas.openxmlformats.org/officeDocument/2006/relationships/hyperlink" Target="https://www.genome.jp/entry/2.7.1.63" TargetMode="External"/><Relationship Id="rId56" Type="http://schemas.openxmlformats.org/officeDocument/2006/relationships/hyperlink" Target="https://www.genome.jp/entry/R03662/R08218" TargetMode="External"/><Relationship Id="rId1417" Type="http://schemas.openxmlformats.org/officeDocument/2006/relationships/hyperlink" Target="https://www.genome.jp/entry/5.4.3.8" TargetMode="External"/><Relationship Id="rId1624" Type="http://schemas.openxmlformats.org/officeDocument/2006/relationships/hyperlink" Target="https://www.genome.jp/entry/1.8.4.11" TargetMode="External"/><Relationship Id="rId1831" Type="http://schemas.openxmlformats.org/officeDocument/2006/relationships/hyperlink" Target="https://www.genome.jp/entry/1.14.12.10" TargetMode="External"/><Relationship Id="rId1929" Type="http://schemas.openxmlformats.org/officeDocument/2006/relationships/hyperlink" Target="https://www.genome.jp/entry/4.3.2.10" TargetMode="External"/><Relationship Id="rId2093" Type="http://schemas.openxmlformats.org/officeDocument/2006/relationships/hyperlink" Target="https://www.genome.jp/entry/1.5.1.3" TargetMode="External"/><Relationship Id="rId2398" Type="http://schemas.openxmlformats.org/officeDocument/2006/relationships/hyperlink" Target="https://www.genome.jp/entry/R01579" TargetMode="External"/><Relationship Id="rId272" Type="http://schemas.openxmlformats.org/officeDocument/2006/relationships/hyperlink" Target="https://www.genome.jp/entry/R04962" TargetMode="External"/><Relationship Id="rId577" Type="http://schemas.openxmlformats.org/officeDocument/2006/relationships/hyperlink" Target="https://www.genome.jp/entry/R00572" TargetMode="External"/><Relationship Id="rId2160" Type="http://schemas.openxmlformats.org/officeDocument/2006/relationships/hyperlink" Target="https://www.genome.jp/entry/3.6.1.9" TargetMode="External"/><Relationship Id="rId2258" Type="http://schemas.openxmlformats.org/officeDocument/2006/relationships/hyperlink" Target="https://www.genome.jp/entry/3.5.1.5" TargetMode="External"/><Relationship Id="rId132" Type="http://schemas.openxmlformats.org/officeDocument/2006/relationships/hyperlink" Target="https://www.genome.jp/entry/5.1.3.9" TargetMode="External"/><Relationship Id="rId784" Type="http://schemas.openxmlformats.org/officeDocument/2006/relationships/hyperlink" Target="https://www.genome.jp/entry/4.1.1.36" TargetMode="External"/><Relationship Id="rId991" Type="http://schemas.openxmlformats.org/officeDocument/2006/relationships/hyperlink" Target="https://www.genome.jp/entry/R09994" TargetMode="External"/><Relationship Id="rId1067" Type="http://schemas.openxmlformats.org/officeDocument/2006/relationships/hyperlink" Target="https://www.genome.jp/entry/R02472" TargetMode="External"/><Relationship Id="rId2020" Type="http://schemas.openxmlformats.org/officeDocument/2006/relationships/hyperlink" Target="https://www.genome.jp/entry/1.6.5.2" TargetMode="External"/><Relationship Id="rId437" Type="http://schemas.openxmlformats.org/officeDocument/2006/relationships/hyperlink" Target="https://www.genome.jp/entry/3.6.1.25" TargetMode="External"/><Relationship Id="rId644" Type="http://schemas.openxmlformats.org/officeDocument/2006/relationships/hyperlink" Target="https://www.genome.jp/entry/R07238" TargetMode="External"/><Relationship Id="rId851" Type="http://schemas.openxmlformats.org/officeDocument/2006/relationships/hyperlink" Target="https://www.genome.jp/entry/1.20.4.4" TargetMode="External"/><Relationship Id="rId1274" Type="http://schemas.openxmlformats.org/officeDocument/2006/relationships/hyperlink" Target="https://www.genome.jp/entry/R04562" TargetMode="External"/><Relationship Id="rId1481" Type="http://schemas.openxmlformats.org/officeDocument/2006/relationships/hyperlink" Target="https://www.genome.jp/entry/R01227" TargetMode="External"/><Relationship Id="rId1579" Type="http://schemas.openxmlformats.org/officeDocument/2006/relationships/hyperlink" Target="https://www.genome.jp/entry/R00131" TargetMode="External"/><Relationship Id="rId2118" Type="http://schemas.openxmlformats.org/officeDocument/2006/relationships/hyperlink" Target="https://www.genome.jp/entry/2.3.1.85" TargetMode="External"/><Relationship Id="rId2325" Type="http://schemas.openxmlformats.org/officeDocument/2006/relationships/hyperlink" Target="https://www.genome.jp/entry/R01520" TargetMode="External"/><Relationship Id="rId504" Type="http://schemas.openxmlformats.org/officeDocument/2006/relationships/hyperlink" Target="https://www.genome.jp/entry/R04617" TargetMode="External"/><Relationship Id="rId711" Type="http://schemas.openxmlformats.org/officeDocument/2006/relationships/hyperlink" Target="https://www.genome.jp/entry/3.1.3.16" TargetMode="External"/><Relationship Id="rId949" Type="http://schemas.openxmlformats.org/officeDocument/2006/relationships/hyperlink" Target="https://www.genome.jp/entry/4.1.99.17" TargetMode="External"/><Relationship Id="rId1134" Type="http://schemas.openxmlformats.org/officeDocument/2006/relationships/hyperlink" Target="https://www.genome.jp/entry/R10716" TargetMode="External"/><Relationship Id="rId1341" Type="http://schemas.openxmlformats.org/officeDocument/2006/relationships/hyperlink" Target="https://www.genome.jp/entry/R11029" TargetMode="External"/><Relationship Id="rId1786" Type="http://schemas.openxmlformats.org/officeDocument/2006/relationships/hyperlink" Target="https://www.genome.jp/entry/2.3.1.85" TargetMode="External"/><Relationship Id="rId1993" Type="http://schemas.openxmlformats.org/officeDocument/2006/relationships/hyperlink" Target="https://www.genome.jp/entry/2.7.7.6" TargetMode="External"/><Relationship Id="rId78" Type="http://schemas.openxmlformats.org/officeDocument/2006/relationships/hyperlink" Target="https://www.genome.jp/entry/4.1.2.13" TargetMode="External"/><Relationship Id="rId809" Type="http://schemas.openxmlformats.org/officeDocument/2006/relationships/hyperlink" Target="https://www.genome.jp/entry/R04457" TargetMode="External"/><Relationship Id="rId1201" Type="http://schemas.openxmlformats.org/officeDocument/2006/relationships/hyperlink" Target="https://www.genome.jp/entry/R04957" TargetMode="External"/><Relationship Id="rId1439" Type="http://schemas.openxmlformats.org/officeDocument/2006/relationships/hyperlink" Target="https://www.genome.jp/entry/1.2.1.70" TargetMode="External"/><Relationship Id="rId1646" Type="http://schemas.openxmlformats.org/officeDocument/2006/relationships/hyperlink" Target="https://www.genome.jp/entry/5.4.99.9" TargetMode="External"/><Relationship Id="rId1853" Type="http://schemas.openxmlformats.org/officeDocument/2006/relationships/hyperlink" Target="https://www.genome.jp/entry/6.3.2.17" TargetMode="External"/><Relationship Id="rId1506" Type="http://schemas.openxmlformats.org/officeDocument/2006/relationships/hyperlink" Target="https://www.genome.jp/entry/5.6.2.1" TargetMode="External"/><Relationship Id="rId1713" Type="http://schemas.openxmlformats.org/officeDocument/2006/relationships/hyperlink" Target="https://www.genome.jp/entry/2.4.2.8" TargetMode="External"/><Relationship Id="rId1920" Type="http://schemas.openxmlformats.org/officeDocument/2006/relationships/hyperlink" Target="https://www.genome.jp/entry/4.3.1.19" TargetMode="External"/><Relationship Id="rId294" Type="http://schemas.openxmlformats.org/officeDocument/2006/relationships/hyperlink" Target="https://www.genome.jp/entry/R02135" TargetMode="External"/><Relationship Id="rId2182" Type="http://schemas.openxmlformats.org/officeDocument/2006/relationships/hyperlink" Target="https://www.genome.jp/entry/6.3.5.2" TargetMode="External"/><Relationship Id="rId154" Type="http://schemas.openxmlformats.org/officeDocument/2006/relationships/hyperlink" Target="https://www.genome.jp/entry/6.3.3.3" TargetMode="External"/><Relationship Id="rId361" Type="http://schemas.openxmlformats.org/officeDocument/2006/relationships/hyperlink" Target="https://www.genome.jp/entry/R00238" TargetMode="External"/><Relationship Id="rId599" Type="http://schemas.openxmlformats.org/officeDocument/2006/relationships/hyperlink" Target="https://www.genome.jp/entry/2.7.7.59" TargetMode="External"/><Relationship Id="rId2042" Type="http://schemas.openxmlformats.org/officeDocument/2006/relationships/hyperlink" Target="https://www.genome.jp/entry/2.2.1.6" TargetMode="External"/><Relationship Id="rId459" Type="http://schemas.openxmlformats.org/officeDocument/2006/relationships/hyperlink" Target="https://www.genome.jp/entry/3.4.11.1" TargetMode="External"/><Relationship Id="rId666" Type="http://schemas.openxmlformats.org/officeDocument/2006/relationships/hyperlink" Target="https://www.genome.jp/entry/4.3.3.7" TargetMode="External"/><Relationship Id="rId873" Type="http://schemas.openxmlformats.org/officeDocument/2006/relationships/hyperlink" Target="https://www.genome.jp/entry/2.7.1.50" TargetMode="External"/><Relationship Id="rId1089" Type="http://schemas.openxmlformats.org/officeDocument/2006/relationships/hyperlink" Target="https://www.genome.jp/entry/R01716" TargetMode="External"/><Relationship Id="rId1296" Type="http://schemas.openxmlformats.org/officeDocument/2006/relationships/hyperlink" Target="https://www.genome.jp/entry/4.2.1.3" TargetMode="External"/><Relationship Id="rId2347" Type="http://schemas.openxmlformats.org/officeDocument/2006/relationships/hyperlink" Target="https://www.genome.jp/entry/R01172" TargetMode="External"/><Relationship Id="rId221" Type="http://schemas.openxmlformats.org/officeDocument/2006/relationships/hyperlink" Target="https://www.genome.jp/entry/R11893" TargetMode="External"/><Relationship Id="rId319" Type="http://schemas.openxmlformats.org/officeDocument/2006/relationships/hyperlink" Target="https://www.genome.jp/entry/R08113" TargetMode="External"/><Relationship Id="rId526" Type="http://schemas.openxmlformats.org/officeDocument/2006/relationships/hyperlink" Target="https://www.genome.jp/entry/R11029" TargetMode="External"/><Relationship Id="rId1156" Type="http://schemas.openxmlformats.org/officeDocument/2006/relationships/hyperlink" Target="https://www.genome.jp/entry/R04325" TargetMode="External"/><Relationship Id="rId1363" Type="http://schemas.openxmlformats.org/officeDocument/2006/relationships/hyperlink" Target="https://www.genome.jp/entry/2.3.1.234" TargetMode="External"/><Relationship Id="rId2207" Type="http://schemas.openxmlformats.org/officeDocument/2006/relationships/hyperlink" Target="https://www.genome.jp/entry/1.5.1.2" TargetMode="External"/><Relationship Id="rId733" Type="http://schemas.openxmlformats.org/officeDocument/2006/relationships/hyperlink" Target="https://www.genome.jp/entry/R11100" TargetMode="External"/><Relationship Id="rId940" Type="http://schemas.openxmlformats.org/officeDocument/2006/relationships/hyperlink" Target="https://www.genome.jp/entry/R00844" TargetMode="External"/><Relationship Id="rId1016" Type="http://schemas.openxmlformats.org/officeDocument/2006/relationships/hyperlink" Target="https://www.genome.jp/entry/4.1.99.22" TargetMode="External"/><Relationship Id="rId1570" Type="http://schemas.openxmlformats.org/officeDocument/2006/relationships/hyperlink" Target="https://www.genome.jp/entry/R02473" TargetMode="External"/><Relationship Id="rId1668" Type="http://schemas.openxmlformats.org/officeDocument/2006/relationships/hyperlink" Target="https://www.genome.jp/entry/1.1.1.1" TargetMode="External"/><Relationship Id="rId1875" Type="http://schemas.openxmlformats.org/officeDocument/2006/relationships/hyperlink" Target="https://www.genome.jp/entry/4.4.1.13" TargetMode="External"/><Relationship Id="rId2414" Type="http://schemas.openxmlformats.org/officeDocument/2006/relationships/hyperlink" Target="https://www.genome.jp/entry/R02485" TargetMode="External"/><Relationship Id="rId800" Type="http://schemas.openxmlformats.org/officeDocument/2006/relationships/hyperlink" Target="https://www.genome.jp/entry/3.5.4.26" TargetMode="External"/><Relationship Id="rId1223" Type="http://schemas.openxmlformats.org/officeDocument/2006/relationships/hyperlink" Target="https://www.genome.jp/entry/R06134" TargetMode="External"/><Relationship Id="rId1430" Type="http://schemas.openxmlformats.org/officeDocument/2006/relationships/hyperlink" Target="https://www.genome.jp/entry/R03950" TargetMode="External"/><Relationship Id="rId1528" Type="http://schemas.openxmlformats.org/officeDocument/2006/relationships/hyperlink" Target="https://www.genome.jp/entry/R11029" TargetMode="External"/><Relationship Id="rId1735" Type="http://schemas.openxmlformats.org/officeDocument/2006/relationships/hyperlink" Target="https://www.genome.jp/entry/3.1.3.12" TargetMode="External"/><Relationship Id="rId1942" Type="http://schemas.openxmlformats.org/officeDocument/2006/relationships/hyperlink" Target="https://www.genome.jp/entry/3.6.1.7" TargetMode="External"/><Relationship Id="rId27" Type="http://schemas.openxmlformats.org/officeDocument/2006/relationships/hyperlink" Target="https://www.genome.jp/entry/1.14.13.24" TargetMode="External"/><Relationship Id="rId1802" Type="http://schemas.openxmlformats.org/officeDocument/2006/relationships/hyperlink" Target="https://www.genome.jp/entry/2.3.1.85" TargetMode="External"/><Relationship Id="rId176" Type="http://schemas.openxmlformats.org/officeDocument/2006/relationships/hyperlink" Target="https://www.genome.jp/entry/6.3.5.3" TargetMode="External"/><Relationship Id="rId383" Type="http://schemas.openxmlformats.org/officeDocument/2006/relationships/hyperlink" Target="https://www.genome.jp/entry/R00156" TargetMode="External"/><Relationship Id="rId590" Type="http://schemas.openxmlformats.org/officeDocument/2006/relationships/hyperlink" Target="https://www.genome.jp/entry/R00086" TargetMode="External"/><Relationship Id="rId2064" Type="http://schemas.openxmlformats.org/officeDocument/2006/relationships/hyperlink" Target="https://www.genome.jp/entry/2.6.1.85" TargetMode="External"/><Relationship Id="rId2271" Type="http://schemas.openxmlformats.org/officeDocument/2006/relationships/hyperlink" Target="https://www.genome.jp/entry/R00734" TargetMode="External"/><Relationship Id="rId243" Type="http://schemas.openxmlformats.org/officeDocument/2006/relationships/hyperlink" Target="https://www.genome.jp/entry/R02720" TargetMode="External"/><Relationship Id="rId450" Type="http://schemas.openxmlformats.org/officeDocument/2006/relationships/hyperlink" Target="https://www.genome.jp/entry/2.8.1.8" TargetMode="External"/><Relationship Id="rId688" Type="http://schemas.openxmlformats.org/officeDocument/2006/relationships/hyperlink" Target="https://www.genome.jp/entry/R00418" TargetMode="External"/><Relationship Id="rId895" Type="http://schemas.openxmlformats.org/officeDocument/2006/relationships/hyperlink" Target="https://www.genome.jp/entry/4.3.2.1" TargetMode="External"/><Relationship Id="rId1080" Type="http://schemas.openxmlformats.org/officeDocument/2006/relationships/hyperlink" Target="https://www.genome.jp/entry/R00762" TargetMode="External"/><Relationship Id="rId2131" Type="http://schemas.openxmlformats.org/officeDocument/2006/relationships/hyperlink" Target="https://www.genome.jp/entry/2.7.4.9" TargetMode="External"/><Relationship Id="rId2369" Type="http://schemas.openxmlformats.org/officeDocument/2006/relationships/hyperlink" Target="https://www.genome.jp/entry/3.1.21.3" TargetMode="External"/><Relationship Id="rId103" Type="http://schemas.openxmlformats.org/officeDocument/2006/relationships/hyperlink" Target="https://www.genome.jp/entry/3.4.16.4" TargetMode="External"/><Relationship Id="rId310" Type="http://schemas.openxmlformats.org/officeDocument/2006/relationships/hyperlink" Target="https://www.genome.jp/entry/5.3.1.6" TargetMode="External"/><Relationship Id="rId548" Type="http://schemas.openxmlformats.org/officeDocument/2006/relationships/hyperlink" Target="https://www.genome.jp/entry/3.2.1.196" TargetMode="External"/><Relationship Id="rId755" Type="http://schemas.openxmlformats.org/officeDocument/2006/relationships/hyperlink" Target="https://www.genome.jp/entry/3.5.2.3" TargetMode="External"/><Relationship Id="rId962" Type="http://schemas.openxmlformats.org/officeDocument/2006/relationships/hyperlink" Target="https://www.genome.jp/entry/R08198" TargetMode="External"/><Relationship Id="rId1178" Type="http://schemas.openxmlformats.org/officeDocument/2006/relationships/hyperlink" Target="https://www.genome.jp/entry/R02236" TargetMode="External"/><Relationship Id="rId1385" Type="http://schemas.openxmlformats.org/officeDocument/2006/relationships/hyperlink" Target="https://www.genome.jp/entry/R00435" TargetMode="External"/><Relationship Id="rId1592" Type="http://schemas.openxmlformats.org/officeDocument/2006/relationships/hyperlink" Target="https://www.genome.jp/entry/R12185" TargetMode="External"/><Relationship Id="rId2229" Type="http://schemas.openxmlformats.org/officeDocument/2006/relationships/hyperlink" Target="https://www.genome.jp/entry/3.1.3.5" TargetMode="External"/><Relationship Id="rId2436" Type="http://schemas.openxmlformats.org/officeDocument/2006/relationships/hyperlink" Target="https://www.genome.jp/entry/4.1.3.17" TargetMode="External"/><Relationship Id="rId91" Type="http://schemas.openxmlformats.org/officeDocument/2006/relationships/hyperlink" Target="https://www.genome.jp/entry/3.5.1.88" TargetMode="External"/><Relationship Id="rId408" Type="http://schemas.openxmlformats.org/officeDocument/2006/relationships/hyperlink" Target="https://www.genome.jp/entry/R02739" TargetMode="External"/><Relationship Id="rId615" Type="http://schemas.openxmlformats.org/officeDocument/2006/relationships/hyperlink" Target="https://www.genome.jp/entry/R03223" TargetMode="External"/><Relationship Id="rId822" Type="http://schemas.openxmlformats.org/officeDocument/2006/relationships/hyperlink" Target="https://www.genome.jp/entry/R08575" TargetMode="External"/><Relationship Id="rId1038" Type="http://schemas.openxmlformats.org/officeDocument/2006/relationships/hyperlink" Target="https://www.genome.jp/entry/1.14.13.127" TargetMode="External"/><Relationship Id="rId1245" Type="http://schemas.openxmlformats.org/officeDocument/2006/relationships/hyperlink" Target="https://www.genome.jp/entry/2.7.7.13" TargetMode="External"/><Relationship Id="rId1452" Type="http://schemas.openxmlformats.org/officeDocument/2006/relationships/hyperlink" Target="https://www.genome.jp/entry/1.3.1.98" TargetMode="External"/><Relationship Id="rId1897" Type="http://schemas.openxmlformats.org/officeDocument/2006/relationships/hyperlink" Target="https://www.genome.jp/entry/2.4.1.346" TargetMode="External"/><Relationship Id="rId1105" Type="http://schemas.openxmlformats.org/officeDocument/2006/relationships/hyperlink" Target="https://www.genome.jp/entry/R01262" TargetMode="External"/><Relationship Id="rId1312" Type="http://schemas.openxmlformats.org/officeDocument/2006/relationships/hyperlink" Target="https://www.genome.jp/entry/R01899" TargetMode="External"/><Relationship Id="rId1757" Type="http://schemas.openxmlformats.org/officeDocument/2006/relationships/hyperlink" Target="https://www.genome.jp/entry/1.17.4.1" TargetMode="External"/><Relationship Id="rId1964" Type="http://schemas.openxmlformats.org/officeDocument/2006/relationships/hyperlink" Target="https://www.genome.jp/entry/2.8.4.3" TargetMode="External"/><Relationship Id="rId49" Type="http://schemas.openxmlformats.org/officeDocument/2006/relationships/hyperlink" Target="https://www.genome.jp/entry/1.8.4.11" TargetMode="External"/><Relationship Id="rId1617" Type="http://schemas.openxmlformats.org/officeDocument/2006/relationships/hyperlink" Target="https://www.genome.jp/entry/R09386" TargetMode="External"/><Relationship Id="rId1824" Type="http://schemas.openxmlformats.org/officeDocument/2006/relationships/hyperlink" Target="https://www.genome.jp/entry/1.14.12.10" TargetMode="External"/><Relationship Id="rId198" Type="http://schemas.openxmlformats.org/officeDocument/2006/relationships/hyperlink" Target="https://www.genome.jp/entry/2.5.1.17" TargetMode="External"/><Relationship Id="rId2086" Type="http://schemas.openxmlformats.org/officeDocument/2006/relationships/hyperlink" Target="https://www.genome.jp/entry/5.3.1.9" TargetMode="External"/><Relationship Id="rId2293" Type="http://schemas.openxmlformats.org/officeDocument/2006/relationships/hyperlink" Target="https://www.genome.jp/entry/1.1.1.35" TargetMode="External"/><Relationship Id="rId265" Type="http://schemas.openxmlformats.org/officeDocument/2006/relationships/hyperlink" Target="https://www.genome.jp/entry/R04952" TargetMode="External"/><Relationship Id="rId472" Type="http://schemas.openxmlformats.org/officeDocument/2006/relationships/hyperlink" Target="https://www.genome.jp/entry/2.7.1.156" TargetMode="External"/><Relationship Id="rId2153" Type="http://schemas.openxmlformats.org/officeDocument/2006/relationships/hyperlink" Target="https://www.genome.jp/entry/3.6.1.9" TargetMode="External"/><Relationship Id="rId2360" Type="http://schemas.openxmlformats.org/officeDocument/2006/relationships/hyperlink" Target="https://www.genome.jp/entry/2.4.2.52" TargetMode="External"/><Relationship Id="rId125" Type="http://schemas.openxmlformats.org/officeDocument/2006/relationships/hyperlink" Target="https://www.genome.jp/entry/R10342" TargetMode="External"/><Relationship Id="rId332" Type="http://schemas.openxmlformats.org/officeDocument/2006/relationships/hyperlink" Target="https://www.genome.jp/entry/R08101" TargetMode="External"/><Relationship Id="rId777" Type="http://schemas.openxmlformats.org/officeDocument/2006/relationships/hyperlink" Target="https://www.genome.jp/entry/2.7.7.6" TargetMode="External"/><Relationship Id="rId984" Type="http://schemas.openxmlformats.org/officeDocument/2006/relationships/hyperlink" Target="https://www.genome.jp/entry/6.5.1.2" TargetMode="External"/><Relationship Id="rId2013" Type="http://schemas.openxmlformats.org/officeDocument/2006/relationships/hyperlink" Target="https://www.genome.jp/entry/3.5.1.119" TargetMode="External"/><Relationship Id="rId2220" Type="http://schemas.openxmlformats.org/officeDocument/2006/relationships/hyperlink" Target="https://www.genome.jp/entry/3.1.3.5" TargetMode="External"/><Relationship Id="rId2458" Type="http://schemas.openxmlformats.org/officeDocument/2006/relationships/hyperlink" Target="https://www.genome.jp/entry/R01357" TargetMode="External"/><Relationship Id="rId637" Type="http://schemas.openxmlformats.org/officeDocument/2006/relationships/hyperlink" Target="https://www.genome.jp/entry/R00361" TargetMode="External"/><Relationship Id="rId844" Type="http://schemas.openxmlformats.org/officeDocument/2006/relationships/hyperlink" Target="https://www.genome.jp/entry/R00833" TargetMode="External"/><Relationship Id="rId1267" Type="http://schemas.openxmlformats.org/officeDocument/2006/relationships/hyperlink" Target="https://www.genome.jp/entry/4.1.1.21" TargetMode="External"/><Relationship Id="rId1474" Type="http://schemas.openxmlformats.org/officeDocument/2006/relationships/hyperlink" Target="https://www.genome.jp/entry/R02328" TargetMode="External"/><Relationship Id="rId1681" Type="http://schemas.openxmlformats.org/officeDocument/2006/relationships/hyperlink" Target="https://www.genome.jp/entry/1.1.1.1" TargetMode="External"/><Relationship Id="rId2318" Type="http://schemas.openxmlformats.org/officeDocument/2006/relationships/hyperlink" Target="https://www.genome.jp/entry/R07890" TargetMode="External"/><Relationship Id="rId704" Type="http://schemas.openxmlformats.org/officeDocument/2006/relationships/hyperlink" Target="https://www.genome.jp/entry/R12455" TargetMode="External"/><Relationship Id="rId911" Type="http://schemas.openxmlformats.org/officeDocument/2006/relationships/hyperlink" Target="https://www.genome.jp/entry/6.1.1.20" TargetMode="External"/><Relationship Id="rId1127" Type="http://schemas.openxmlformats.org/officeDocument/2006/relationships/hyperlink" Target="https://www.genome.jp/entry/2.7.1.35" TargetMode="External"/><Relationship Id="rId1334" Type="http://schemas.openxmlformats.org/officeDocument/2006/relationships/hyperlink" Target="https://www.genome.jp/entry/R11029" TargetMode="External"/><Relationship Id="rId1541" Type="http://schemas.openxmlformats.org/officeDocument/2006/relationships/hyperlink" Target="https://www.genome.jp/entry/2.8.1.12" TargetMode="External"/><Relationship Id="rId1779" Type="http://schemas.openxmlformats.org/officeDocument/2006/relationships/hyperlink" Target="https://www.genome.jp/entry/2.3.1.85" TargetMode="External"/><Relationship Id="rId1986" Type="http://schemas.openxmlformats.org/officeDocument/2006/relationships/hyperlink" Target="https://www.genome.jp/entry/6.3.5.5" TargetMode="External"/><Relationship Id="rId40" Type="http://schemas.openxmlformats.org/officeDocument/2006/relationships/hyperlink" Target="https://www.genome.jp/entry/R04314" TargetMode="External"/><Relationship Id="rId1401" Type="http://schemas.openxmlformats.org/officeDocument/2006/relationships/hyperlink" Target="https://www.genome.jp/entry/R02063" TargetMode="External"/><Relationship Id="rId1639" Type="http://schemas.openxmlformats.org/officeDocument/2006/relationships/hyperlink" Target="https://www.genome.jp/entry/1.1.1.27" TargetMode="External"/><Relationship Id="rId1846" Type="http://schemas.openxmlformats.org/officeDocument/2006/relationships/hyperlink" Target="https://www.genome.jp/entry/2.3.1.9" TargetMode="External"/><Relationship Id="rId1706" Type="http://schemas.openxmlformats.org/officeDocument/2006/relationships/hyperlink" Target="https://www.genome.jp/entry/R01229" TargetMode="External"/><Relationship Id="rId1913" Type="http://schemas.openxmlformats.org/officeDocument/2006/relationships/hyperlink" Target="https://www.genome.jp/entry/2.7.7.7" TargetMode="External"/><Relationship Id="rId287" Type="http://schemas.openxmlformats.org/officeDocument/2006/relationships/hyperlink" Target="https://www.genome.jp/entry/R00256" TargetMode="External"/><Relationship Id="rId494" Type="http://schemas.openxmlformats.org/officeDocument/2006/relationships/hyperlink" Target="https://www.genome.jp/entry/R01826" TargetMode="External"/><Relationship Id="rId2175" Type="http://schemas.openxmlformats.org/officeDocument/2006/relationships/hyperlink" Target="https://www.genome.jp/entry/2.7.7.7" TargetMode="External"/><Relationship Id="rId2382" Type="http://schemas.openxmlformats.org/officeDocument/2006/relationships/hyperlink" Target="https://www.genome.jp/entry/R03491" TargetMode="External"/><Relationship Id="rId147" Type="http://schemas.openxmlformats.org/officeDocument/2006/relationships/hyperlink" Target="https://www.genome.jp/entry/R00836" TargetMode="External"/><Relationship Id="rId354" Type="http://schemas.openxmlformats.org/officeDocument/2006/relationships/hyperlink" Target="https://www.genome.jp/entry/5.5.1.2" TargetMode="External"/><Relationship Id="rId799" Type="http://schemas.openxmlformats.org/officeDocument/2006/relationships/hyperlink" Target="https://www.genome.jp/entry/R03458" TargetMode="External"/><Relationship Id="rId1191" Type="http://schemas.openxmlformats.org/officeDocument/2006/relationships/hyperlink" Target="https://www.genome.jp/entry/R04543" TargetMode="External"/><Relationship Id="rId2035" Type="http://schemas.openxmlformats.org/officeDocument/2006/relationships/hyperlink" Target="https://www.genome.jp/entry/1.1.1.95" TargetMode="External"/><Relationship Id="rId561" Type="http://schemas.openxmlformats.org/officeDocument/2006/relationships/hyperlink" Target="https://www.genome.jp/entry/R04558" TargetMode="External"/><Relationship Id="rId659" Type="http://schemas.openxmlformats.org/officeDocument/2006/relationships/hyperlink" Target="https://www.genome.jp/entry/R00439" TargetMode="External"/><Relationship Id="rId866" Type="http://schemas.openxmlformats.org/officeDocument/2006/relationships/hyperlink" Target="https://www.genome.jp/entry/R11208" TargetMode="External"/><Relationship Id="rId1289" Type="http://schemas.openxmlformats.org/officeDocument/2006/relationships/hyperlink" Target="https://www.genome.jp/entry/2.3.3.16" TargetMode="External"/><Relationship Id="rId1496" Type="http://schemas.openxmlformats.org/officeDocument/2006/relationships/hyperlink" Target="https://www.genome.jp/entry/2.7.7.7" TargetMode="External"/><Relationship Id="rId2242" Type="http://schemas.openxmlformats.org/officeDocument/2006/relationships/hyperlink" Target="https://www.genome.jp/entry/2.7.7.7" TargetMode="External"/><Relationship Id="rId214" Type="http://schemas.openxmlformats.org/officeDocument/2006/relationships/hyperlink" Target="https://www.genome.jp/entry/R04294" TargetMode="External"/><Relationship Id="rId421" Type="http://schemas.openxmlformats.org/officeDocument/2006/relationships/hyperlink" Target="https://www.genome.jp/entry/R01557" TargetMode="External"/><Relationship Id="rId519" Type="http://schemas.openxmlformats.org/officeDocument/2006/relationships/hyperlink" Target="https://www.genome.jp/entry/R03656" TargetMode="External"/><Relationship Id="rId1051" Type="http://schemas.openxmlformats.org/officeDocument/2006/relationships/hyperlink" Target="https://www.genome.jp/entry/2.4.1.266" TargetMode="External"/><Relationship Id="rId1149" Type="http://schemas.openxmlformats.org/officeDocument/2006/relationships/hyperlink" Target="https://www.genome.jp/entry/R02301" TargetMode="External"/><Relationship Id="rId1356" Type="http://schemas.openxmlformats.org/officeDocument/2006/relationships/hyperlink" Target="https://www.genome.jp/entry/1.1.1.205" TargetMode="External"/><Relationship Id="rId2102" Type="http://schemas.openxmlformats.org/officeDocument/2006/relationships/hyperlink" Target="https://www.genome.jp/entry/2.3.1.85" TargetMode="External"/><Relationship Id="rId726" Type="http://schemas.openxmlformats.org/officeDocument/2006/relationships/hyperlink" Target="https://www.genome.jp/entry/R04273" TargetMode="External"/><Relationship Id="rId933" Type="http://schemas.openxmlformats.org/officeDocument/2006/relationships/hyperlink" Target="https://www.genome.jp/entry/R07234" TargetMode="External"/><Relationship Id="rId1009" Type="http://schemas.openxmlformats.org/officeDocument/2006/relationships/hyperlink" Target="https://www.genome.jp/entry/R00086" TargetMode="External"/><Relationship Id="rId1563" Type="http://schemas.openxmlformats.org/officeDocument/2006/relationships/hyperlink" Target="https://www.genome.jp/entry/3.6.4.13" TargetMode="External"/><Relationship Id="rId1770" Type="http://schemas.openxmlformats.org/officeDocument/2006/relationships/hyperlink" Target="https://www.genome.jp/entry/5.6.2.4" TargetMode="External"/><Relationship Id="rId1868" Type="http://schemas.openxmlformats.org/officeDocument/2006/relationships/hyperlink" Target="https://www.genome.jp/entry/2.7.4.6" TargetMode="External"/><Relationship Id="rId2407" Type="http://schemas.openxmlformats.org/officeDocument/2006/relationships/hyperlink" Target="https://www.genome.jp/entry/R02269" TargetMode="External"/><Relationship Id="rId62" Type="http://schemas.openxmlformats.org/officeDocument/2006/relationships/hyperlink" Target="https://www.genome.jp/entry/R10095" TargetMode="External"/><Relationship Id="rId1216" Type="http://schemas.openxmlformats.org/officeDocument/2006/relationships/hyperlink" Target="https://www.genome.jp/entry/R00351" TargetMode="External"/><Relationship Id="rId1423" Type="http://schemas.openxmlformats.org/officeDocument/2006/relationships/hyperlink" Target="https://www.genome.jp/entry/R04972" TargetMode="External"/><Relationship Id="rId1630" Type="http://schemas.openxmlformats.org/officeDocument/2006/relationships/hyperlink" Target="https://www.genome.jp/entry/4.2.1.20" TargetMode="External"/><Relationship Id="rId1728" Type="http://schemas.openxmlformats.org/officeDocument/2006/relationships/hyperlink" Target="https://www.genome.jp/entry/R11195" TargetMode="External"/><Relationship Id="rId1935" Type="http://schemas.openxmlformats.org/officeDocument/2006/relationships/hyperlink" Target="https://www.genome.jp/entry/2.7.1.40" TargetMode="External"/><Relationship Id="rId2197" Type="http://schemas.openxmlformats.org/officeDocument/2006/relationships/hyperlink" Target="https://www.genome.jp/entry/2.7.7.6" TargetMode="External"/><Relationship Id="rId169" Type="http://schemas.openxmlformats.org/officeDocument/2006/relationships/hyperlink" Target="https://www.genome.jp/entry/R04463" TargetMode="External"/><Relationship Id="rId376" Type="http://schemas.openxmlformats.org/officeDocument/2006/relationships/hyperlink" Target="https://www.genome.jp/entry/R01654" TargetMode="External"/><Relationship Id="rId583" Type="http://schemas.openxmlformats.org/officeDocument/2006/relationships/hyperlink" Target="https://www.genome.jp/entry/2.7.1.31" TargetMode="External"/><Relationship Id="rId790" Type="http://schemas.openxmlformats.org/officeDocument/2006/relationships/hyperlink" Target="https://www.genome.jp/entry/R04771" TargetMode="External"/><Relationship Id="rId2057" Type="http://schemas.openxmlformats.org/officeDocument/2006/relationships/hyperlink" Target="https://www.genome.jp/entry/1.14.13.127" TargetMode="External"/><Relationship Id="rId2264" Type="http://schemas.openxmlformats.org/officeDocument/2006/relationships/hyperlink" Target="https://www.genome.jp/entry/2.4.99.28" TargetMode="External"/><Relationship Id="rId4" Type="http://schemas.openxmlformats.org/officeDocument/2006/relationships/hyperlink" Target="https://www.genome.jp/entry/2.7.7.72" TargetMode="External"/><Relationship Id="rId236" Type="http://schemas.openxmlformats.org/officeDocument/2006/relationships/hyperlink" Target="https://www.genome.jp/entry/3.4.21.105" TargetMode="External"/><Relationship Id="rId443" Type="http://schemas.openxmlformats.org/officeDocument/2006/relationships/hyperlink" Target="https://www.genome.jp/entry/1.14.14.18" TargetMode="External"/><Relationship Id="rId650" Type="http://schemas.openxmlformats.org/officeDocument/2006/relationships/hyperlink" Target="https://www.genome.jp/entry/5.4.99.25" TargetMode="External"/><Relationship Id="rId888" Type="http://schemas.openxmlformats.org/officeDocument/2006/relationships/hyperlink" Target="https://www.genome.jp/entry/R00256" TargetMode="External"/><Relationship Id="rId1073" Type="http://schemas.openxmlformats.org/officeDocument/2006/relationships/hyperlink" Target="https://www.genome.jp/entry/R01398" TargetMode="External"/><Relationship Id="rId1280" Type="http://schemas.openxmlformats.org/officeDocument/2006/relationships/hyperlink" Target="https://www.genome.jp/entry/R00426" TargetMode="External"/><Relationship Id="rId2124" Type="http://schemas.openxmlformats.org/officeDocument/2006/relationships/hyperlink" Target="https://www.genome.jp/entry/2.3.1.85" TargetMode="External"/><Relationship Id="rId2331" Type="http://schemas.openxmlformats.org/officeDocument/2006/relationships/hyperlink" Target="https://www.genome.jp/entry/1.13.11.15" TargetMode="External"/><Relationship Id="rId303" Type="http://schemas.openxmlformats.org/officeDocument/2006/relationships/hyperlink" Target="https://www.genome.jp/entry/R03217" TargetMode="External"/><Relationship Id="rId748" Type="http://schemas.openxmlformats.org/officeDocument/2006/relationships/hyperlink" Target="https://www.genome.jp/entry/4.2.3.4" TargetMode="External"/><Relationship Id="rId955" Type="http://schemas.openxmlformats.org/officeDocument/2006/relationships/hyperlink" Target="https://www.genome.jp/entry/1.1.1.85" TargetMode="External"/><Relationship Id="rId1140" Type="http://schemas.openxmlformats.org/officeDocument/2006/relationships/hyperlink" Target="https://www.genome.jp/entry/R04773" TargetMode="External"/><Relationship Id="rId1378" Type="http://schemas.openxmlformats.org/officeDocument/2006/relationships/hyperlink" Target="https://www.genome.jp/entry/3.4.11.18" TargetMode="External"/><Relationship Id="rId1585" Type="http://schemas.openxmlformats.org/officeDocument/2006/relationships/hyperlink" Target="https://www.genome.jp/entry/R00131" TargetMode="External"/><Relationship Id="rId1792" Type="http://schemas.openxmlformats.org/officeDocument/2006/relationships/hyperlink" Target="https://www.genome.jp/entry/2.3.1.85" TargetMode="External"/><Relationship Id="rId2429" Type="http://schemas.openxmlformats.org/officeDocument/2006/relationships/hyperlink" Target="https://www.genome.jp/entry/R05605" TargetMode="External"/><Relationship Id="rId84" Type="http://schemas.openxmlformats.org/officeDocument/2006/relationships/hyperlink" Target="https://www.genome.jp/entry/2.7.2.1" TargetMode="External"/><Relationship Id="rId510" Type="http://schemas.openxmlformats.org/officeDocument/2006/relationships/hyperlink" Target="https://www.genome.jp/entry/2.4.1.227" TargetMode="External"/><Relationship Id="rId608" Type="http://schemas.openxmlformats.org/officeDocument/2006/relationships/hyperlink" Target="https://www.genome.jp/entry/R00366" TargetMode="External"/><Relationship Id="rId815" Type="http://schemas.openxmlformats.org/officeDocument/2006/relationships/hyperlink" Target="https://www.genome.jp/entry/R00345" TargetMode="External"/><Relationship Id="rId1238" Type="http://schemas.openxmlformats.org/officeDocument/2006/relationships/hyperlink" Target="https://www.genome.jp/entry/R02098" TargetMode="External"/><Relationship Id="rId1445" Type="http://schemas.openxmlformats.org/officeDocument/2006/relationships/hyperlink" Target="https://www.genome.jp/entry/R03293" TargetMode="External"/><Relationship Id="rId1652" Type="http://schemas.openxmlformats.org/officeDocument/2006/relationships/hyperlink" Target="https://www.genome.jp/entry/R04805" TargetMode="External"/><Relationship Id="rId1000" Type="http://schemas.openxmlformats.org/officeDocument/2006/relationships/hyperlink" Target="https://www.genome.jp/entry/7.1.2.2" TargetMode="External"/><Relationship Id="rId1305" Type="http://schemas.openxmlformats.org/officeDocument/2006/relationships/hyperlink" Target="https://www.genome.jp/entry/R00966" TargetMode="External"/><Relationship Id="rId1957" Type="http://schemas.openxmlformats.org/officeDocument/2006/relationships/hyperlink" Target="https://www.genome.jp/entry/2.1.1.107" TargetMode="External"/><Relationship Id="rId1512" Type="http://schemas.openxmlformats.org/officeDocument/2006/relationships/hyperlink" Target="https://www.genome.jp/entry/R00602" TargetMode="External"/><Relationship Id="rId1817" Type="http://schemas.openxmlformats.org/officeDocument/2006/relationships/hyperlink" Target="https://www.genome.jp/entry/2.5.1.48" TargetMode="External"/><Relationship Id="rId11" Type="http://schemas.openxmlformats.org/officeDocument/2006/relationships/hyperlink" Target="https://www.genome.jp/entry/R04314" TargetMode="External"/><Relationship Id="rId398" Type="http://schemas.openxmlformats.org/officeDocument/2006/relationships/hyperlink" Target="https://www.genome.jp/entry/1.2.1.41" TargetMode="External"/><Relationship Id="rId2079" Type="http://schemas.openxmlformats.org/officeDocument/2006/relationships/hyperlink" Target="https://www.genome.jp/entry/6.1.1.10" TargetMode="External"/><Relationship Id="rId160" Type="http://schemas.openxmlformats.org/officeDocument/2006/relationships/hyperlink" Target="https://www.genome.jp/entry/6.3.4.13" TargetMode="External"/><Relationship Id="rId2286" Type="http://schemas.openxmlformats.org/officeDocument/2006/relationships/hyperlink" Target="https://www.genome.jp/entry/R01361" TargetMode="External"/><Relationship Id="rId258" Type="http://schemas.openxmlformats.org/officeDocument/2006/relationships/hyperlink" Target="https://www.genome.jp/entry/R04537" TargetMode="External"/><Relationship Id="rId465" Type="http://schemas.openxmlformats.org/officeDocument/2006/relationships/hyperlink" Target="https://www.genome.jp/entry/R02199" TargetMode="External"/><Relationship Id="rId672" Type="http://schemas.openxmlformats.org/officeDocument/2006/relationships/hyperlink" Target="https://www.genome.jp/entry/R10646" TargetMode="External"/><Relationship Id="rId1095" Type="http://schemas.openxmlformats.org/officeDocument/2006/relationships/hyperlink" Target="https://www.genome.jp/entry/R03018" TargetMode="External"/><Relationship Id="rId2146" Type="http://schemas.openxmlformats.org/officeDocument/2006/relationships/hyperlink" Target="https://www.genome.jp/entry/1.1.1.100" TargetMode="External"/><Relationship Id="rId2353" Type="http://schemas.openxmlformats.org/officeDocument/2006/relationships/hyperlink" Target="https://www.genome.jp/entry/R00977" TargetMode="External"/><Relationship Id="rId118" Type="http://schemas.openxmlformats.org/officeDocument/2006/relationships/hyperlink" Target="https://www.genome.jp/entry/6.1.1.6" TargetMode="External"/><Relationship Id="rId325" Type="http://schemas.openxmlformats.org/officeDocument/2006/relationships/hyperlink" Target="https://www.genome.jp/entry/R08101" TargetMode="External"/><Relationship Id="rId532" Type="http://schemas.openxmlformats.org/officeDocument/2006/relationships/hyperlink" Target="https://www.genome.jp/entry/R00377" TargetMode="External"/><Relationship Id="rId977" Type="http://schemas.openxmlformats.org/officeDocument/2006/relationships/hyperlink" Target="https://www.genome.jp/entry/R08648" TargetMode="External"/><Relationship Id="rId1162" Type="http://schemas.openxmlformats.org/officeDocument/2006/relationships/hyperlink" Target="https://www.genome.jp/entry/R02740" TargetMode="External"/><Relationship Id="rId2006" Type="http://schemas.openxmlformats.org/officeDocument/2006/relationships/hyperlink" Target="https://www.genome.jp/entry/2.2.1.1" TargetMode="External"/><Relationship Id="rId2213" Type="http://schemas.openxmlformats.org/officeDocument/2006/relationships/hyperlink" Target="https://www.genome.jp/entry/1.8.1.4" TargetMode="External"/><Relationship Id="rId2420" Type="http://schemas.openxmlformats.org/officeDocument/2006/relationships/hyperlink" Target="https://www.genome.jp/entry/R11104" TargetMode="External"/><Relationship Id="rId837" Type="http://schemas.openxmlformats.org/officeDocument/2006/relationships/hyperlink" Target="https://www.genome.jp/entry/2.8.1.7" TargetMode="External"/><Relationship Id="rId1022" Type="http://schemas.openxmlformats.org/officeDocument/2006/relationships/hyperlink" Target="https://www.genome.jp/entry/R00548" TargetMode="External"/><Relationship Id="rId1467" Type="http://schemas.openxmlformats.org/officeDocument/2006/relationships/hyperlink" Target="https://www.genome.jp/entry/R03192" TargetMode="External"/><Relationship Id="rId1674" Type="http://schemas.openxmlformats.org/officeDocument/2006/relationships/hyperlink" Target="https://www.genome.jp/entry/1.1.1.1" TargetMode="External"/><Relationship Id="rId1881" Type="http://schemas.openxmlformats.org/officeDocument/2006/relationships/hyperlink" Target="https://www.genome.jp/entry/1.2.4.1" TargetMode="External"/><Relationship Id="rId904" Type="http://schemas.openxmlformats.org/officeDocument/2006/relationships/hyperlink" Target="https://www.genome.jp/entry/R02649" TargetMode="External"/><Relationship Id="rId1327" Type="http://schemas.openxmlformats.org/officeDocument/2006/relationships/hyperlink" Target="https://www.genome.jp/entry/2.1.1.207" TargetMode="External"/><Relationship Id="rId1534" Type="http://schemas.openxmlformats.org/officeDocument/2006/relationships/hyperlink" Target="https://www.genome.jp/entry/R01728" TargetMode="External"/><Relationship Id="rId1741" Type="http://schemas.openxmlformats.org/officeDocument/2006/relationships/hyperlink" Target="https://www.genome.jp/entry/3.5.1.2" TargetMode="External"/><Relationship Id="rId1979" Type="http://schemas.openxmlformats.org/officeDocument/2006/relationships/hyperlink" Target="https://www.genome.jp/entry/4.3.1.17" TargetMode="External"/><Relationship Id="rId33" Type="http://schemas.openxmlformats.org/officeDocument/2006/relationships/hyperlink" Target="https://www.genome.jp/entry/1.1.1.298" TargetMode="External"/><Relationship Id="rId1601" Type="http://schemas.openxmlformats.org/officeDocument/2006/relationships/hyperlink" Target="https://www.genome.jp/entry/2.4.99.28" TargetMode="External"/><Relationship Id="rId1839" Type="http://schemas.openxmlformats.org/officeDocument/2006/relationships/hyperlink" Target="https://www.genome.jp/entry/1.13.11.1" TargetMode="External"/><Relationship Id="rId182" Type="http://schemas.openxmlformats.org/officeDocument/2006/relationships/hyperlink" Target="https://www.genome.jp/entry/4.1.3.38" TargetMode="External"/><Relationship Id="rId1906" Type="http://schemas.openxmlformats.org/officeDocument/2006/relationships/hyperlink" Target="https://www.genome.jp/entry/2.4.1.227" TargetMode="External"/><Relationship Id="rId487" Type="http://schemas.openxmlformats.org/officeDocument/2006/relationships/hyperlink" Target="https://www.genome.jp/entry/R12040" TargetMode="External"/><Relationship Id="rId694" Type="http://schemas.openxmlformats.org/officeDocument/2006/relationships/hyperlink" Target="https://www.genome.jp/entry/R02189" TargetMode="External"/><Relationship Id="rId2070" Type="http://schemas.openxmlformats.org/officeDocument/2006/relationships/hyperlink" Target="https://www.genome.jp/entry/2.3.2.2" TargetMode="External"/><Relationship Id="rId2168" Type="http://schemas.openxmlformats.org/officeDocument/2006/relationships/hyperlink" Target="https://www.genome.jp/entry/2.5.1.47" TargetMode="External"/><Relationship Id="rId2375" Type="http://schemas.openxmlformats.org/officeDocument/2006/relationships/hyperlink" Target="https://www.genome.jp/entry/3.2.1.18" TargetMode="External"/><Relationship Id="rId347" Type="http://schemas.openxmlformats.org/officeDocument/2006/relationships/hyperlink" Target="https://www.genome.jp/entry/R04260" TargetMode="External"/><Relationship Id="rId999" Type="http://schemas.openxmlformats.org/officeDocument/2006/relationships/hyperlink" Target="https://www.genome.jp/entry/R00086" TargetMode="External"/><Relationship Id="rId1184" Type="http://schemas.openxmlformats.org/officeDocument/2006/relationships/hyperlink" Target="https://www.genome.jp/entry/R04428" TargetMode="External"/><Relationship Id="rId2028" Type="http://schemas.openxmlformats.org/officeDocument/2006/relationships/hyperlink" Target="https://www.genome.jp/entry/4.2.1.33" TargetMode="External"/><Relationship Id="rId554" Type="http://schemas.openxmlformats.org/officeDocument/2006/relationships/hyperlink" Target="https://www.genome.jp/entry/R03243" TargetMode="External"/><Relationship Id="rId761" Type="http://schemas.openxmlformats.org/officeDocument/2006/relationships/hyperlink" Target="https://www.genome.jp/entry/R10948" TargetMode="External"/><Relationship Id="rId859" Type="http://schemas.openxmlformats.org/officeDocument/2006/relationships/hyperlink" Target="https://www.genome.jp/entry/2.4.2.17" TargetMode="External"/><Relationship Id="rId1391" Type="http://schemas.openxmlformats.org/officeDocument/2006/relationships/hyperlink" Target="https://www.genome.jp/entry/R00444" TargetMode="External"/><Relationship Id="rId1489" Type="http://schemas.openxmlformats.org/officeDocument/2006/relationships/hyperlink" Target="https://www.genome.jp/entry/R02102" TargetMode="External"/><Relationship Id="rId1696" Type="http://schemas.openxmlformats.org/officeDocument/2006/relationships/hyperlink" Target="https://www.genome.jp/entry/R01353" TargetMode="External"/><Relationship Id="rId2235" Type="http://schemas.openxmlformats.org/officeDocument/2006/relationships/hyperlink" Target="https://www.genome.jp/entry/2.7.7.7" TargetMode="External"/><Relationship Id="rId2442" Type="http://schemas.openxmlformats.org/officeDocument/2006/relationships/hyperlink" Target="https://www.genome.jp/entry/4.2.1.163" TargetMode="External"/><Relationship Id="rId207" Type="http://schemas.openxmlformats.org/officeDocument/2006/relationships/hyperlink" Target="https://www.genome.jp/entry/R08639" TargetMode="External"/><Relationship Id="rId414" Type="http://schemas.openxmlformats.org/officeDocument/2006/relationships/hyperlink" Target="https://www.genome.jp/entry/R03528" TargetMode="External"/><Relationship Id="rId621" Type="http://schemas.openxmlformats.org/officeDocument/2006/relationships/hyperlink" Target="https://www.genome.jp/entry/R00158" TargetMode="External"/><Relationship Id="rId1044" Type="http://schemas.openxmlformats.org/officeDocument/2006/relationships/hyperlink" Target="https://www.genome.jp/entry/4.1.1.71" TargetMode="External"/><Relationship Id="rId1251" Type="http://schemas.openxmlformats.org/officeDocument/2006/relationships/hyperlink" Target="https://www.genome.jp/entry/R02236" TargetMode="External"/><Relationship Id="rId1349" Type="http://schemas.openxmlformats.org/officeDocument/2006/relationships/hyperlink" Target="https://www.genome.jp/entry/R00378" TargetMode="External"/><Relationship Id="rId2302" Type="http://schemas.openxmlformats.org/officeDocument/2006/relationships/hyperlink" Target="https://www.genome.jp/entry/1.1.1.35" TargetMode="External"/><Relationship Id="rId719" Type="http://schemas.openxmlformats.org/officeDocument/2006/relationships/hyperlink" Target="https://www.genome.jp/entry/3.6.4.12" TargetMode="External"/><Relationship Id="rId926" Type="http://schemas.openxmlformats.org/officeDocument/2006/relationships/hyperlink" Target="https://www.genome.jp/entry/R00376" TargetMode="External"/><Relationship Id="rId1111" Type="http://schemas.openxmlformats.org/officeDocument/2006/relationships/hyperlink" Target="https://www.genome.jp/entry/R03971" TargetMode="External"/><Relationship Id="rId1556" Type="http://schemas.openxmlformats.org/officeDocument/2006/relationships/hyperlink" Target="https://www.genome.jp/entry/5.3.1.30" TargetMode="External"/><Relationship Id="rId1763" Type="http://schemas.openxmlformats.org/officeDocument/2006/relationships/hyperlink" Target="https://www.genome.jp/entry/1.17.4.1" TargetMode="External"/><Relationship Id="rId1970" Type="http://schemas.openxmlformats.org/officeDocument/2006/relationships/hyperlink" Target="https://www.genome.jp/entry/2.7.1.63" TargetMode="External"/><Relationship Id="rId55" Type="http://schemas.openxmlformats.org/officeDocument/2006/relationships/hyperlink" Target="https://www.genome.jp/entry/6.1.1.11" TargetMode="External"/><Relationship Id="rId1209" Type="http://schemas.openxmlformats.org/officeDocument/2006/relationships/hyperlink" Target="https://www.genome.jp/entry/R04968" TargetMode="External"/><Relationship Id="rId1416" Type="http://schemas.openxmlformats.org/officeDocument/2006/relationships/hyperlink" Target="https://www.genome.jp/entry/R10757" TargetMode="External"/><Relationship Id="rId1623" Type="http://schemas.openxmlformats.org/officeDocument/2006/relationships/hyperlink" Target="https://www.genome.jp/entry/R07606" TargetMode="External"/><Relationship Id="rId1830" Type="http://schemas.openxmlformats.org/officeDocument/2006/relationships/hyperlink" Target="https://www.genome.jp/entry/1.14.12.10" TargetMode="External"/><Relationship Id="rId1928" Type="http://schemas.openxmlformats.org/officeDocument/2006/relationships/hyperlink" Target="https://www.genome.jp/entry/4.3.2.10" TargetMode="External"/><Relationship Id="rId2092" Type="http://schemas.openxmlformats.org/officeDocument/2006/relationships/hyperlink" Target="https://www.genome.jp/entry/1.5.1.3" TargetMode="External"/><Relationship Id="rId271" Type="http://schemas.openxmlformats.org/officeDocument/2006/relationships/hyperlink" Target="https://www.genome.jp/entry/R04960" TargetMode="External"/><Relationship Id="rId2397" Type="http://schemas.openxmlformats.org/officeDocument/2006/relationships/hyperlink" Target="https://www.genome.jp/entry/3.5.1.2" TargetMode="External"/><Relationship Id="rId131" Type="http://schemas.openxmlformats.org/officeDocument/2006/relationships/hyperlink" Target="https://www.genome.jp/entry/R03067/R03066" TargetMode="External"/><Relationship Id="rId369" Type="http://schemas.openxmlformats.org/officeDocument/2006/relationships/hyperlink" Target="https://www.genome.jp/entry/R03665" TargetMode="External"/><Relationship Id="rId576" Type="http://schemas.openxmlformats.org/officeDocument/2006/relationships/hyperlink" Target="https://www.genome.jp/entry/R00430" TargetMode="External"/><Relationship Id="rId783" Type="http://schemas.openxmlformats.org/officeDocument/2006/relationships/hyperlink" Target="https://www.genome.jp/entry/R10813" TargetMode="External"/><Relationship Id="rId990" Type="http://schemas.openxmlformats.org/officeDocument/2006/relationships/hyperlink" Target="https://www.genome.jp/entry/2.4.99.16" TargetMode="External"/><Relationship Id="rId2257" Type="http://schemas.openxmlformats.org/officeDocument/2006/relationships/hyperlink" Target="https://www.genome.jp/entry/3.5.1.5" TargetMode="External"/><Relationship Id="rId229" Type="http://schemas.openxmlformats.org/officeDocument/2006/relationships/hyperlink" Target="https://www.genome.jp/entry/1.17.4.1" TargetMode="External"/><Relationship Id="rId436" Type="http://schemas.openxmlformats.org/officeDocument/2006/relationships/hyperlink" Target="https://www.genome.jp/entry/R02585" TargetMode="External"/><Relationship Id="rId643" Type="http://schemas.openxmlformats.org/officeDocument/2006/relationships/hyperlink" Target="https://www.genome.jp/entry/R07237" TargetMode="External"/><Relationship Id="rId1066" Type="http://schemas.openxmlformats.org/officeDocument/2006/relationships/hyperlink" Target="https://www.genome.jp/entry/1.1.1.169" TargetMode="External"/><Relationship Id="rId1273" Type="http://schemas.openxmlformats.org/officeDocument/2006/relationships/hyperlink" Target="https://www.genome.jp/entry/6.3.4.15" TargetMode="External"/><Relationship Id="rId1480" Type="http://schemas.openxmlformats.org/officeDocument/2006/relationships/hyperlink" Target="https://www.genome.jp/entry/R01126" TargetMode="External"/><Relationship Id="rId2117" Type="http://schemas.openxmlformats.org/officeDocument/2006/relationships/hyperlink" Target="https://www.genome.jp/entry/2.3.1.85" TargetMode="External"/><Relationship Id="rId2324" Type="http://schemas.openxmlformats.org/officeDocument/2006/relationships/hyperlink" Target="https://www.genome.jp/entry/1.1.1.47" TargetMode="External"/><Relationship Id="rId850" Type="http://schemas.openxmlformats.org/officeDocument/2006/relationships/hyperlink" Target="https://www.genome.jp/entry/R09591" TargetMode="External"/><Relationship Id="rId948" Type="http://schemas.openxmlformats.org/officeDocument/2006/relationships/hyperlink" Target="https://www.genome.jp/entry/R10170" TargetMode="External"/><Relationship Id="rId1133" Type="http://schemas.openxmlformats.org/officeDocument/2006/relationships/hyperlink" Target="https://www.genome.jp/entry/2.1.1.182" TargetMode="External"/><Relationship Id="rId1578" Type="http://schemas.openxmlformats.org/officeDocument/2006/relationships/hyperlink" Target="https://www.genome.jp/entry/R13421" TargetMode="External"/><Relationship Id="rId1785" Type="http://schemas.openxmlformats.org/officeDocument/2006/relationships/hyperlink" Target="https://www.genome.jp/entry/2.3.1.85" TargetMode="External"/><Relationship Id="rId1992" Type="http://schemas.openxmlformats.org/officeDocument/2006/relationships/hyperlink" Target="https://www.genome.jp/entry/2.7.7.6" TargetMode="External"/><Relationship Id="rId77" Type="http://schemas.openxmlformats.org/officeDocument/2006/relationships/hyperlink" Target="https://www.genome.jp/entry/R01870/R08231" TargetMode="External"/><Relationship Id="rId503" Type="http://schemas.openxmlformats.org/officeDocument/2006/relationships/hyperlink" Target="https://www.genome.jp/entry/R04573" TargetMode="External"/><Relationship Id="rId710" Type="http://schemas.openxmlformats.org/officeDocument/2006/relationships/hyperlink" Target="https://www.genome.jp/entry/R04858" TargetMode="External"/><Relationship Id="rId808" Type="http://schemas.openxmlformats.org/officeDocument/2006/relationships/hyperlink" Target="https://www.genome.jp/entry/2.5.1.78" TargetMode="External"/><Relationship Id="rId1340" Type="http://schemas.openxmlformats.org/officeDocument/2006/relationships/hyperlink" Target="https://www.genome.jp/entry/R00378" TargetMode="External"/><Relationship Id="rId1438" Type="http://schemas.openxmlformats.org/officeDocument/2006/relationships/hyperlink" Target="https://www.genome.jp/entry/R00084" TargetMode="External"/><Relationship Id="rId1645" Type="http://schemas.openxmlformats.org/officeDocument/2006/relationships/hyperlink" Target="https://www.genome.jp/entry/R09009" TargetMode="External"/><Relationship Id="rId1200" Type="http://schemas.openxmlformats.org/officeDocument/2006/relationships/hyperlink" Target="https://www.genome.jp/entry/R04956" TargetMode="External"/><Relationship Id="rId1852" Type="http://schemas.openxmlformats.org/officeDocument/2006/relationships/hyperlink" Target="https://www.genome.jp/entry/6.3.2.17" TargetMode="External"/><Relationship Id="rId1505" Type="http://schemas.openxmlformats.org/officeDocument/2006/relationships/hyperlink" Target="https://www.genome.jp/entry/R03415" TargetMode="External"/><Relationship Id="rId1712" Type="http://schemas.openxmlformats.org/officeDocument/2006/relationships/hyperlink" Target="https://www.genome.jp/entry/2.4.2.8" TargetMode="External"/><Relationship Id="rId293" Type="http://schemas.openxmlformats.org/officeDocument/2006/relationships/hyperlink" Target="https://www.genome.jp/entry/R00626" TargetMode="External"/><Relationship Id="rId2181" Type="http://schemas.openxmlformats.org/officeDocument/2006/relationships/hyperlink" Target="https://www.genome.jp/entry/6.3.5.2" TargetMode="External"/><Relationship Id="rId153" Type="http://schemas.openxmlformats.org/officeDocument/2006/relationships/hyperlink" Target="https://www.genome.jp/entry/2.7.13.3" TargetMode="External"/><Relationship Id="rId360" Type="http://schemas.openxmlformats.org/officeDocument/2006/relationships/hyperlink" Target="https://www.genome.jp/entry/2.3.1.9" TargetMode="External"/><Relationship Id="rId598" Type="http://schemas.openxmlformats.org/officeDocument/2006/relationships/hyperlink" Target="https://www.genome.jp/entry/R01515" TargetMode="External"/><Relationship Id="rId2041" Type="http://schemas.openxmlformats.org/officeDocument/2006/relationships/hyperlink" Target="https://www.genome.jp/entry/2.2.1.6" TargetMode="External"/><Relationship Id="rId2279" Type="http://schemas.openxmlformats.org/officeDocument/2006/relationships/hyperlink" Target="https://www.genome.jp/entry/1.1.1.140" TargetMode="External"/><Relationship Id="rId220" Type="http://schemas.openxmlformats.org/officeDocument/2006/relationships/hyperlink" Target="https://www.genome.jp/entry/R08364" TargetMode="External"/><Relationship Id="rId458" Type="http://schemas.openxmlformats.org/officeDocument/2006/relationships/hyperlink" Target="https://www.genome.jp/entry/R07769" TargetMode="External"/><Relationship Id="rId665" Type="http://schemas.openxmlformats.org/officeDocument/2006/relationships/hyperlink" Target="https://www.genome.jp/entry/R06613" TargetMode="External"/><Relationship Id="rId872" Type="http://schemas.openxmlformats.org/officeDocument/2006/relationships/hyperlink" Target="https://www.genome.jp/entry/2.3.1.269" TargetMode="External"/><Relationship Id="rId1088" Type="http://schemas.openxmlformats.org/officeDocument/2006/relationships/hyperlink" Target="https://www.genome.jp/entry/R00256" TargetMode="External"/><Relationship Id="rId1295" Type="http://schemas.openxmlformats.org/officeDocument/2006/relationships/hyperlink" Target="https://www.genome.jp/entry/R00409" TargetMode="External"/><Relationship Id="rId2139" Type="http://schemas.openxmlformats.org/officeDocument/2006/relationships/hyperlink" Target="https://www.genome.jp/entry/1.1.1.100" TargetMode="External"/><Relationship Id="rId2346" Type="http://schemas.openxmlformats.org/officeDocument/2006/relationships/hyperlink" Target="https://www.genome.jp/entry/R00228" TargetMode="External"/><Relationship Id="rId318" Type="http://schemas.openxmlformats.org/officeDocument/2006/relationships/hyperlink" Target="https://www.genome.jp/entry/R08112" TargetMode="External"/><Relationship Id="rId525" Type="http://schemas.openxmlformats.org/officeDocument/2006/relationships/hyperlink" Target="https://www.genome.jp/entry/R00378" TargetMode="External"/><Relationship Id="rId732" Type="http://schemas.openxmlformats.org/officeDocument/2006/relationships/hyperlink" Target="https://www.genome.jp/entry/R11099" TargetMode="External"/><Relationship Id="rId1155" Type="http://schemas.openxmlformats.org/officeDocument/2006/relationships/hyperlink" Target="https://www.genome.jp/entry/2.1.2.2" TargetMode="External"/><Relationship Id="rId1362" Type="http://schemas.openxmlformats.org/officeDocument/2006/relationships/hyperlink" Target="https://www.genome.jp/entry/R04316" TargetMode="External"/><Relationship Id="rId2206" Type="http://schemas.openxmlformats.org/officeDocument/2006/relationships/hyperlink" Target="https://www.genome.jp/entry/2.1.1.107" TargetMode="External"/><Relationship Id="rId2413" Type="http://schemas.openxmlformats.org/officeDocument/2006/relationships/hyperlink" Target="https://www.genome.jp/entry/R01878" TargetMode="External"/><Relationship Id="rId99" Type="http://schemas.openxmlformats.org/officeDocument/2006/relationships/hyperlink" Target="https://www.genome.jp/entry/2.5.1.16" TargetMode="External"/><Relationship Id="rId1015" Type="http://schemas.openxmlformats.org/officeDocument/2006/relationships/hyperlink" Target="https://www.genome.jp/entry/R10806" TargetMode="External"/><Relationship Id="rId1222" Type="http://schemas.openxmlformats.org/officeDocument/2006/relationships/hyperlink" Target="https://www.genome.jp/entry/R01579" TargetMode="External"/><Relationship Id="rId1667" Type="http://schemas.openxmlformats.org/officeDocument/2006/relationships/hyperlink" Target="https://www.genome.jp/entry/1.1.1.1" TargetMode="External"/><Relationship Id="rId1874" Type="http://schemas.openxmlformats.org/officeDocument/2006/relationships/hyperlink" Target="https://www.genome.jp/entry/4.4.1.13" TargetMode="External"/><Relationship Id="rId1527" Type="http://schemas.openxmlformats.org/officeDocument/2006/relationships/hyperlink" Target="https://www.genome.jp/entry/R00378" TargetMode="External"/><Relationship Id="rId1734" Type="http://schemas.openxmlformats.org/officeDocument/2006/relationships/hyperlink" Target="https://www.genome.jp/entry/2.4.1.15" TargetMode="External"/><Relationship Id="rId1941" Type="http://schemas.openxmlformats.org/officeDocument/2006/relationships/hyperlink" Target="https://www.genome.jp/entry/3.6.1.7" TargetMode="External"/><Relationship Id="rId26" Type="http://schemas.openxmlformats.org/officeDocument/2006/relationships/hyperlink" Target="https://www.genome.jp/entry/R00985" TargetMode="External"/><Relationship Id="rId175" Type="http://schemas.openxmlformats.org/officeDocument/2006/relationships/hyperlink" Target="https://www.genome.jp/entry/R06134" TargetMode="External"/><Relationship Id="rId1801" Type="http://schemas.openxmlformats.org/officeDocument/2006/relationships/hyperlink" Target="https://www.genome.jp/entry/2.3.1.85" TargetMode="External"/><Relationship Id="rId382" Type="http://schemas.openxmlformats.org/officeDocument/2006/relationships/hyperlink" Target="https://www.genome.jp/entry/R00139" TargetMode="External"/><Relationship Id="rId687" Type="http://schemas.openxmlformats.org/officeDocument/2006/relationships/hyperlink" Target="https://www.genome.jp/entry/R00291" TargetMode="External"/><Relationship Id="rId2063" Type="http://schemas.openxmlformats.org/officeDocument/2006/relationships/hyperlink" Target="https://www.genome.jp/entry/3.1.3.11" TargetMode="External"/><Relationship Id="rId2270" Type="http://schemas.openxmlformats.org/officeDocument/2006/relationships/hyperlink" Target="https://www.genome.jp/entry/R00694" TargetMode="External"/><Relationship Id="rId2368" Type="http://schemas.openxmlformats.org/officeDocument/2006/relationships/hyperlink" Target="https://www.genome.jp/entry/3.1.12.1" TargetMode="External"/><Relationship Id="rId242" Type="http://schemas.openxmlformats.org/officeDocument/2006/relationships/hyperlink" Target="https://www.genome.jp/entry/R00720" TargetMode="External"/><Relationship Id="rId894" Type="http://schemas.openxmlformats.org/officeDocument/2006/relationships/hyperlink" Target="https://www.genome.jp/entry/R02918" TargetMode="External"/><Relationship Id="rId1177" Type="http://schemas.openxmlformats.org/officeDocument/2006/relationships/hyperlink" Target="https://www.genome.jp/entry/R02235" TargetMode="External"/><Relationship Id="rId2130" Type="http://schemas.openxmlformats.org/officeDocument/2006/relationships/hyperlink" Target="https://www.genome.jp/entry/4.3.3.6" TargetMode="External"/><Relationship Id="rId102" Type="http://schemas.openxmlformats.org/officeDocument/2006/relationships/hyperlink" Target="https://www.genome.jp/entry/R00004" TargetMode="External"/><Relationship Id="rId547" Type="http://schemas.openxmlformats.org/officeDocument/2006/relationships/hyperlink" Target="https://www.genome.jp/entry/R06243" TargetMode="External"/><Relationship Id="rId754" Type="http://schemas.openxmlformats.org/officeDocument/2006/relationships/hyperlink" Target="https://www.genome.jp/entry/R01397" TargetMode="External"/><Relationship Id="rId961" Type="http://schemas.openxmlformats.org/officeDocument/2006/relationships/hyperlink" Target="https://www.genome.jp/entry/R01513" TargetMode="External"/><Relationship Id="rId1384" Type="http://schemas.openxmlformats.org/officeDocument/2006/relationships/hyperlink" Target="https://www.genome.jp/entry/R00444" TargetMode="External"/><Relationship Id="rId1591" Type="http://schemas.openxmlformats.org/officeDocument/2006/relationships/hyperlink" Target="https://www.genome.jp/entry/3.5.1.5" TargetMode="External"/><Relationship Id="rId1689" Type="http://schemas.openxmlformats.org/officeDocument/2006/relationships/hyperlink" Target="https://www.genome.jp/entry/R01829" TargetMode="External"/><Relationship Id="rId2228" Type="http://schemas.openxmlformats.org/officeDocument/2006/relationships/hyperlink" Target="https://www.genome.jp/entry/3.1.3.5" TargetMode="External"/><Relationship Id="rId2435" Type="http://schemas.openxmlformats.org/officeDocument/2006/relationships/hyperlink" Target="https://www.genome.jp/entry/R10283" TargetMode="External"/><Relationship Id="rId90" Type="http://schemas.openxmlformats.org/officeDocument/2006/relationships/hyperlink" Target="https://www.genome.jp/entry/R00259" TargetMode="External"/><Relationship Id="rId407" Type="http://schemas.openxmlformats.org/officeDocument/2006/relationships/hyperlink" Target="https://www.genome.jp/entry/5.1.3.15" TargetMode="External"/><Relationship Id="rId614" Type="http://schemas.openxmlformats.org/officeDocument/2006/relationships/hyperlink" Target="https://www.genome.jp/entry/2.5.1.3" TargetMode="External"/><Relationship Id="rId821" Type="http://schemas.openxmlformats.org/officeDocument/2006/relationships/hyperlink" Target="https://www.genome.jp/entry/2.2.1.2" TargetMode="External"/><Relationship Id="rId1037" Type="http://schemas.openxmlformats.org/officeDocument/2006/relationships/hyperlink" Target="https://www.genome.jp/entry/R00429" TargetMode="External"/><Relationship Id="rId1244" Type="http://schemas.openxmlformats.org/officeDocument/2006/relationships/hyperlink" Target="https://www.genome.jp/entry/R01819" TargetMode="External"/><Relationship Id="rId1451" Type="http://schemas.openxmlformats.org/officeDocument/2006/relationships/hyperlink" Target="https://www.genome.jp/entry/R09634" TargetMode="External"/><Relationship Id="rId1896" Type="http://schemas.openxmlformats.org/officeDocument/2006/relationships/hyperlink" Target="https://www.genome.jp/entry/7.1.1.8" TargetMode="External"/><Relationship Id="rId919" Type="http://schemas.openxmlformats.org/officeDocument/2006/relationships/hyperlink" Target="https://www.genome.jp/entry/R03816" TargetMode="External"/><Relationship Id="rId1104" Type="http://schemas.openxmlformats.org/officeDocument/2006/relationships/hyperlink" Target="https://www.genome.jp/entry/R04159" TargetMode="External"/><Relationship Id="rId1311" Type="http://schemas.openxmlformats.org/officeDocument/2006/relationships/hyperlink" Target="https://www.genome.jp/entry/R00268" TargetMode="External"/><Relationship Id="rId1549" Type="http://schemas.openxmlformats.org/officeDocument/2006/relationships/hyperlink" Target="https://www.genome.jp/entry/R10113" TargetMode="External"/><Relationship Id="rId1756" Type="http://schemas.openxmlformats.org/officeDocument/2006/relationships/hyperlink" Target="https://www.genome.jp/entry/1.17.4.1" TargetMode="External"/><Relationship Id="rId1963" Type="http://schemas.openxmlformats.org/officeDocument/2006/relationships/hyperlink" Target="https://www.genome.jp/entry/1.17.1.8" TargetMode="External"/><Relationship Id="rId48" Type="http://schemas.openxmlformats.org/officeDocument/2006/relationships/hyperlink" Target="https://www.genome.jp/entry/R00275" TargetMode="External"/><Relationship Id="rId1409" Type="http://schemas.openxmlformats.org/officeDocument/2006/relationships/hyperlink" Target="https://www.genome.jp/entry/R04734" TargetMode="External"/><Relationship Id="rId1616" Type="http://schemas.openxmlformats.org/officeDocument/2006/relationships/hyperlink" Target="https://www.genome.jp/entry/R09384" TargetMode="External"/><Relationship Id="rId1823" Type="http://schemas.openxmlformats.org/officeDocument/2006/relationships/hyperlink" Target="https://www.genome.jp/entry/1.3.1.25" TargetMode="External"/><Relationship Id="rId197" Type="http://schemas.openxmlformats.org/officeDocument/2006/relationships/hyperlink" Target="https://www.genome.jp/entry/R07274" TargetMode="External"/><Relationship Id="rId2085" Type="http://schemas.openxmlformats.org/officeDocument/2006/relationships/hyperlink" Target="https://www.genome.jp/entry/5.3.1.9" TargetMode="External"/><Relationship Id="rId2292" Type="http://schemas.openxmlformats.org/officeDocument/2006/relationships/hyperlink" Target="https://www.genome.jp/entry/R03317" TargetMode="External"/><Relationship Id="rId264" Type="http://schemas.openxmlformats.org/officeDocument/2006/relationships/hyperlink" Target="https://www.genome.jp/entry/R04726" TargetMode="External"/><Relationship Id="rId471" Type="http://schemas.openxmlformats.org/officeDocument/2006/relationships/hyperlink" Target="https://www.genome.jp/entry/R04148" TargetMode="External"/><Relationship Id="rId2152" Type="http://schemas.openxmlformats.org/officeDocument/2006/relationships/hyperlink" Target="https://www.genome.jp/entry/3.6.1.9" TargetMode="External"/><Relationship Id="rId124" Type="http://schemas.openxmlformats.org/officeDocument/2006/relationships/hyperlink" Target="https://www.genome.jp/entry/2.7.7.85" TargetMode="External"/><Relationship Id="rId569" Type="http://schemas.openxmlformats.org/officeDocument/2006/relationships/hyperlink" Target="https://www.genome.jp/entry/R00256" TargetMode="External"/><Relationship Id="rId776" Type="http://schemas.openxmlformats.org/officeDocument/2006/relationships/hyperlink" Target="https://www.genome.jp/entry/R12852" TargetMode="External"/><Relationship Id="rId983" Type="http://schemas.openxmlformats.org/officeDocument/2006/relationships/hyperlink" Target="https://www.genome.jp/entry/R08247" TargetMode="External"/><Relationship Id="rId1199" Type="http://schemas.openxmlformats.org/officeDocument/2006/relationships/hyperlink" Target="https://www.genome.jp/entry/R04954" TargetMode="External"/><Relationship Id="rId2457" Type="http://schemas.openxmlformats.org/officeDocument/2006/relationships/hyperlink" Target="https://www.genome.jp/entry/6.2.1.16" TargetMode="External"/><Relationship Id="rId331" Type="http://schemas.openxmlformats.org/officeDocument/2006/relationships/hyperlink" Target="https://www.genome.jp/entry/R08100" TargetMode="External"/><Relationship Id="rId429" Type="http://schemas.openxmlformats.org/officeDocument/2006/relationships/hyperlink" Target="https://www.genome.jp/entry/2.6.1.16" TargetMode="External"/><Relationship Id="rId636" Type="http://schemas.openxmlformats.org/officeDocument/2006/relationships/hyperlink" Target="https://www.genome.jp/entry/1.1.5.4" TargetMode="External"/><Relationship Id="rId1059" Type="http://schemas.openxmlformats.org/officeDocument/2006/relationships/hyperlink" Target="https://www.genome.jp/entry/R04365" TargetMode="External"/><Relationship Id="rId1266" Type="http://schemas.openxmlformats.org/officeDocument/2006/relationships/hyperlink" Target="https://www.genome.jp/entry/R10120" TargetMode="External"/><Relationship Id="rId1473" Type="http://schemas.openxmlformats.org/officeDocument/2006/relationships/hyperlink" Target="https://www.genome.jp/entry/2.7.7.24" TargetMode="External"/><Relationship Id="rId2012" Type="http://schemas.openxmlformats.org/officeDocument/2006/relationships/hyperlink" Target="https://www.genome.jp/entry/2.1.1.13" TargetMode="External"/><Relationship Id="rId2317" Type="http://schemas.openxmlformats.org/officeDocument/2006/relationships/hyperlink" Target="https://www.genome.jp/entry/R06941" TargetMode="External"/><Relationship Id="rId843" Type="http://schemas.openxmlformats.org/officeDocument/2006/relationships/hyperlink" Target="https://www.genome.jp/entry/5.4.99.2" TargetMode="External"/><Relationship Id="rId1126" Type="http://schemas.openxmlformats.org/officeDocument/2006/relationships/hyperlink" Target="https://www.genome.jp/entry/R02184" TargetMode="External"/><Relationship Id="rId1680" Type="http://schemas.openxmlformats.org/officeDocument/2006/relationships/hyperlink" Target="https://www.genome.jp/entry/1.1.1.1" TargetMode="External"/><Relationship Id="rId1778" Type="http://schemas.openxmlformats.org/officeDocument/2006/relationships/hyperlink" Target="https://www.genome.jp/entry/2.3.1.85" TargetMode="External"/><Relationship Id="rId1985" Type="http://schemas.openxmlformats.org/officeDocument/2006/relationships/hyperlink" Target="https://www.genome.jp/entry/6.3.5.5" TargetMode="External"/><Relationship Id="rId703" Type="http://schemas.openxmlformats.org/officeDocument/2006/relationships/hyperlink" Target="https://www.genome.jp/entry/R12454" TargetMode="External"/><Relationship Id="rId910" Type="http://schemas.openxmlformats.org/officeDocument/2006/relationships/hyperlink" Target="https://www.genome.jp/entry/R03443" TargetMode="External"/><Relationship Id="rId1333" Type="http://schemas.openxmlformats.org/officeDocument/2006/relationships/hyperlink" Target="https://www.genome.jp/entry/R00378" TargetMode="External"/><Relationship Id="rId1540" Type="http://schemas.openxmlformats.org/officeDocument/2006/relationships/hyperlink" Target="https://www.genome.jp/entry/R11372" TargetMode="External"/><Relationship Id="rId1638" Type="http://schemas.openxmlformats.org/officeDocument/2006/relationships/hyperlink" Target="https://www.genome.jp/entry/R03104" TargetMode="External"/><Relationship Id="rId1400" Type="http://schemas.openxmlformats.org/officeDocument/2006/relationships/hyperlink" Target="https://www.genome.jp/entry/1.3.1.83" TargetMode="External"/><Relationship Id="rId1845" Type="http://schemas.openxmlformats.org/officeDocument/2006/relationships/hyperlink" Target="https://www.genome.jp/entry/1.13.11.3" TargetMode="External"/><Relationship Id="rId1705" Type="http://schemas.openxmlformats.org/officeDocument/2006/relationships/hyperlink" Target="https://www.genome.jp/entry/2.5.1.16" TargetMode="External"/><Relationship Id="rId1912" Type="http://schemas.openxmlformats.org/officeDocument/2006/relationships/hyperlink" Target="https://www.genome.jp/entry/2.7.7.7" TargetMode="External"/><Relationship Id="rId286" Type="http://schemas.openxmlformats.org/officeDocument/2006/relationships/hyperlink" Target="https://www.genome.jp/entry/3.5.1.2" TargetMode="External"/><Relationship Id="rId493" Type="http://schemas.openxmlformats.org/officeDocument/2006/relationships/hyperlink" Target="https://www.genome.jp/entry/2.5.1.54" TargetMode="External"/><Relationship Id="rId2174" Type="http://schemas.openxmlformats.org/officeDocument/2006/relationships/hyperlink" Target="https://www.genome.jp/entry/2.7.7.7" TargetMode="External"/><Relationship Id="rId2381" Type="http://schemas.openxmlformats.org/officeDocument/2006/relationships/hyperlink" Target="https://www.genome.jp/entry/3.2.1.18" TargetMode="External"/><Relationship Id="rId146" Type="http://schemas.openxmlformats.org/officeDocument/2006/relationships/hyperlink" Target="https://www.genome.jp/entry/2.4.1.15" TargetMode="External"/><Relationship Id="rId353" Type="http://schemas.openxmlformats.org/officeDocument/2006/relationships/hyperlink" Target="https://www.genome.jp/entry/R03549" TargetMode="External"/><Relationship Id="rId560" Type="http://schemas.openxmlformats.org/officeDocument/2006/relationships/hyperlink" Target="https://www.genome.jp/entry/R00256" TargetMode="External"/><Relationship Id="rId798" Type="http://schemas.openxmlformats.org/officeDocument/2006/relationships/hyperlink" Target="https://www.genome.jp/entry/1.1.1.193" TargetMode="External"/><Relationship Id="rId1190" Type="http://schemas.openxmlformats.org/officeDocument/2006/relationships/hyperlink" Target="https://www.genome.jp/entry/R04537" TargetMode="External"/><Relationship Id="rId2034" Type="http://schemas.openxmlformats.org/officeDocument/2006/relationships/hyperlink" Target="https://www.genome.jp/entry/1.1.1.85" TargetMode="External"/><Relationship Id="rId2241" Type="http://schemas.openxmlformats.org/officeDocument/2006/relationships/hyperlink" Target="https://www.genome.jp/entry/2.7.7.7" TargetMode="External"/><Relationship Id="rId213" Type="http://schemas.openxmlformats.org/officeDocument/2006/relationships/hyperlink" Target="https://www.genome.jp/entry/1.17.4.1" TargetMode="External"/><Relationship Id="rId420" Type="http://schemas.openxmlformats.org/officeDocument/2006/relationships/hyperlink" Target="https://www.genome.jp/entry/5.4.99.16" TargetMode="External"/><Relationship Id="rId658" Type="http://schemas.openxmlformats.org/officeDocument/2006/relationships/hyperlink" Target="https://www.genome.jp/entry/R00438" TargetMode="External"/><Relationship Id="rId865" Type="http://schemas.openxmlformats.org/officeDocument/2006/relationships/hyperlink" Target="https://www.genome.jp/entry/R11209" TargetMode="External"/><Relationship Id="rId1050" Type="http://schemas.openxmlformats.org/officeDocument/2006/relationships/hyperlink" Target="https://www.genome.jp/entry/R06049" TargetMode="External"/><Relationship Id="rId1288" Type="http://schemas.openxmlformats.org/officeDocument/2006/relationships/hyperlink" Target="https://www.genome.jp/entry/R03036" TargetMode="External"/><Relationship Id="rId1495" Type="http://schemas.openxmlformats.org/officeDocument/2006/relationships/hyperlink" Target="https://www.genome.jp/entry/R10301" TargetMode="External"/><Relationship Id="rId2101" Type="http://schemas.openxmlformats.org/officeDocument/2006/relationships/hyperlink" Target="https://www.genome.jp/entry/2.3.1.85" TargetMode="External"/><Relationship Id="rId2339" Type="http://schemas.openxmlformats.org/officeDocument/2006/relationships/hyperlink" Target="https://www.genome.jp/entry/1.14.11.33" TargetMode="External"/><Relationship Id="rId518" Type="http://schemas.openxmlformats.org/officeDocument/2006/relationships/hyperlink" Target="https://www.genome.jp/entry/6.1.1.5" TargetMode="External"/><Relationship Id="rId725" Type="http://schemas.openxmlformats.org/officeDocument/2006/relationships/hyperlink" Target="https://www.genome.jp/entry/5.2.1.8" TargetMode="External"/><Relationship Id="rId932" Type="http://schemas.openxmlformats.org/officeDocument/2006/relationships/hyperlink" Target="https://www.genome.jp/entry/2.1.1.171" TargetMode="External"/><Relationship Id="rId1148" Type="http://schemas.openxmlformats.org/officeDocument/2006/relationships/hyperlink" Target="https://www.genome.jp/entry/6.3.3.2" TargetMode="External"/><Relationship Id="rId1355" Type="http://schemas.openxmlformats.org/officeDocument/2006/relationships/hyperlink" Target="https://www.genome.jp/entry/R08244" TargetMode="External"/><Relationship Id="rId1562" Type="http://schemas.openxmlformats.org/officeDocument/2006/relationships/hyperlink" Target="https://www.genome.jp/entry/3.2.2.20" TargetMode="External"/><Relationship Id="rId2406" Type="http://schemas.openxmlformats.org/officeDocument/2006/relationships/hyperlink" Target="https://www.genome.jp/entry/3.5.2.2" TargetMode="External"/><Relationship Id="rId1008" Type="http://schemas.openxmlformats.org/officeDocument/2006/relationships/hyperlink" Target="https://www.genome.jp/entry/7.1.2.2" TargetMode="External"/><Relationship Id="rId1215" Type="http://schemas.openxmlformats.org/officeDocument/2006/relationships/hyperlink" Target="https://www.genome.jp/entry/2.3.3.16" TargetMode="External"/><Relationship Id="rId1422" Type="http://schemas.openxmlformats.org/officeDocument/2006/relationships/hyperlink" Target="https://www.genome.jp/entry/R03197" TargetMode="External"/><Relationship Id="rId1867" Type="http://schemas.openxmlformats.org/officeDocument/2006/relationships/hyperlink" Target="https://www.genome.jp/entry/2.7.4.6" TargetMode="External"/><Relationship Id="rId61" Type="http://schemas.openxmlformats.org/officeDocument/2006/relationships/hyperlink" Target="https://www.genome.jp/entry/2.4.2.45" TargetMode="External"/><Relationship Id="rId1727" Type="http://schemas.openxmlformats.org/officeDocument/2006/relationships/hyperlink" Target="https://www.genome.jp/entry/R01294" TargetMode="External"/><Relationship Id="rId1934" Type="http://schemas.openxmlformats.org/officeDocument/2006/relationships/hyperlink" Target="https://www.genome.jp/entry/2.7.1.40" TargetMode="External"/><Relationship Id="rId19" Type="http://schemas.openxmlformats.org/officeDocument/2006/relationships/hyperlink" Target="https://www.genome.jp/entry/R03508" TargetMode="External"/><Relationship Id="rId2196" Type="http://schemas.openxmlformats.org/officeDocument/2006/relationships/hyperlink" Target="https://www.genome.jp/entry/2.7.7.6" TargetMode="External"/><Relationship Id="rId168" Type="http://schemas.openxmlformats.org/officeDocument/2006/relationships/hyperlink" Target="https://www.genome.jp/entry/6.3.5.3" TargetMode="External"/><Relationship Id="rId375" Type="http://schemas.openxmlformats.org/officeDocument/2006/relationships/hyperlink" Target="https://www.genome.jp/entry/R00942" TargetMode="External"/><Relationship Id="rId582" Type="http://schemas.openxmlformats.org/officeDocument/2006/relationships/hyperlink" Target="https://www.genome.jp/entry/R02320" TargetMode="External"/><Relationship Id="rId2056" Type="http://schemas.openxmlformats.org/officeDocument/2006/relationships/hyperlink" Target="https://www.genome.jp/entry/1.1.1.3" TargetMode="External"/><Relationship Id="rId2263" Type="http://schemas.openxmlformats.org/officeDocument/2006/relationships/hyperlink" Target="https://www.genome.jp/entry/2.4.99.28" TargetMode="External"/><Relationship Id="rId3" Type="http://schemas.openxmlformats.org/officeDocument/2006/relationships/hyperlink" Target="https://www.genome.jp/entry/R02016/R00900/R03596/R09372" TargetMode="External"/><Relationship Id="rId235" Type="http://schemas.openxmlformats.org/officeDocument/2006/relationships/hyperlink" Target="https://www.genome.jp/entry/R04238" TargetMode="External"/><Relationship Id="rId442" Type="http://schemas.openxmlformats.org/officeDocument/2006/relationships/hyperlink" Target="https://www.genome.jp/entry/R03474" TargetMode="External"/><Relationship Id="rId887" Type="http://schemas.openxmlformats.org/officeDocument/2006/relationships/hyperlink" Target="https://www.genome.jp/entry/6.3.4.2" TargetMode="External"/><Relationship Id="rId1072" Type="http://schemas.openxmlformats.org/officeDocument/2006/relationships/hyperlink" Target="https://www.genome.jp/entry/2.1.3.3" TargetMode="External"/><Relationship Id="rId2123" Type="http://schemas.openxmlformats.org/officeDocument/2006/relationships/hyperlink" Target="https://www.genome.jp/entry/2.3.1.85" TargetMode="External"/><Relationship Id="rId2330" Type="http://schemas.openxmlformats.org/officeDocument/2006/relationships/hyperlink" Target="https://www.genome.jp/entry/R06180" TargetMode="External"/><Relationship Id="rId302" Type="http://schemas.openxmlformats.org/officeDocument/2006/relationships/hyperlink" Target="https://www.genome.jp/entry/R02508" TargetMode="External"/><Relationship Id="rId747" Type="http://schemas.openxmlformats.org/officeDocument/2006/relationships/hyperlink" Target="https://www.genome.jp/entry/R02412" TargetMode="External"/><Relationship Id="rId954" Type="http://schemas.openxmlformats.org/officeDocument/2006/relationships/hyperlink" Target="https://www.genome.jp/entry/R01717" TargetMode="External"/><Relationship Id="rId1377" Type="http://schemas.openxmlformats.org/officeDocument/2006/relationships/hyperlink" Target="https://www.genome.jp/entry/R10813" TargetMode="External"/><Relationship Id="rId1584" Type="http://schemas.openxmlformats.org/officeDocument/2006/relationships/hyperlink" Target="https://www.genome.jp/entry/R13421" TargetMode="External"/><Relationship Id="rId1791" Type="http://schemas.openxmlformats.org/officeDocument/2006/relationships/hyperlink" Target="https://www.genome.jp/entry/2.3.1.85" TargetMode="External"/><Relationship Id="rId2428" Type="http://schemas.openxmlformats.org/officeDocument/2006/relationships/hyperlink" Target="https://www.genome.jp/entry/4.1.2.14" TargetMode="External"/><Relationship Id="rId83" Type="http://schemas.openxmlformats.org/officeDocument/2006/relationships/hyperlink" Target="https://www.genome.jp/entry/R00230/R00921" TargetMode="External"/><Relationship Id="rId607" Type="http://schemas.openxmlformats.org/officeDocument/2006/relationships/hyperlink" Target="https://www.genome.jp/entry/1.4.3.19" TargetMode="External"/><Relationship Id="rId814" Type="http://schemas.openxmlformats.org/officeDocument/2006/relationships/hyperlink" Target="https://www.genome.jp/entry/4.1.1.31" TargetMode="External"/><Relationship Id="rId1237" Type="http://schemas.openxmlformats.org/officeDocument/2006/relationships/hyperlink" Target="https://www.genome.jp/entry/R02094" TargetMode="External"/><Relationship Id="rId1444" Type="http://schemas.openxmlformats.org/officeDocument/2006/relationships/hyperlink" Target="https://www.genome.jp/entry/R03291" TargetMode="External"/><Relationship Id="rId1651" Type="http://schemas.openxmlformats.org/officeDocument/2006/relationships/hyperlink" Target="https://www.genome.jp/entry/R02878" TargetMode="External"/><Relationship Id="rId1889" Type="http://schemas.openxmlformats.org/officeDocument/2006/relationships/hyperlink" Target="https://www.genome.jp/entry/2.6.1.42" TargetMode="External"/><Relationship Id="rId1304" Type="http://schemas.openxmlformats.org/officeDocument/2006/relationships/hyperlink" Target="https://www.genome.jp/entry/2.4.2.9" TargetMode="External"/><Relationship Id="rId1511" Type="http://schemas.openxmlformats.org/officeDocument/2006/relationships/hyperlink" Target="https://www.genome.jp/entry/R00009" TargetMode="External"/><Relationship Id="rId1749" Type="http://schemas.openxmlformats.org/officeDocument/2006/relationships/hyperlink" Target="https://www.genome.jp/entry/2.5.1.17" TargetMode="External"/><Relationship Id="rId1956" Type="http://schemas.openxmlformats.org/officeDocument/2006/relationships/hyperlink" Target="https://www.genome.jp/entry/2.1.1.107" TargetMode="External"/><Relationship Id="rId1609" Type="http://schemas.openxmlformats.org/officeDocument/2006/relationships/hyperlink" Target="https://www.genome.jp/entry/5.6.2.2" TargetMode="External"/><Relationship Id="rId1816" Type="http://schemas.openxmlformats.org/officeDocument/2006/relationships/hyperlink" Target="https://www.genome.jp/entry/2.5.1.48" TargetMode="External"/><Relationship Id="rId10" Type="http://schemas.openxmlformats.org/officeDocument/2006/relationships/hyperlink" Target="https://www.genome.jp/entry/2.1.1.63" TargetMode="External"/><Relationship Id="rId397" Type="http://schemas.openxmlformats.org/officeDocument/2006/relationships/hyperlink" Target="https://www.genome.jp/entry/R00239" TargetMode="External"/><Relationship Id="rId2078" Type="http://schemas.openxmlformats.org/officeDocument/2006/relationships/hyperlink" Target="https://www.genome.jp/entry/2.7.1.35" TargetMode="External"/><Relationship Id="rId2285" Type="http://schemas.openxmlformats.org/officeDocument/2006/relationships/hyperlink" Target="https://www.genome.jp/entry/1.1.1.30" TargetMode="External"/><Relationship Id="rId257" Type="http://schemas.openxmlformats.org/officeDocument/2006/relationships/hyperlink" Target="https://www.genome.jp/entry/R04536" TargetMode="External"/><Relationship Id="rId464" Type="http://schemas.openxmlformats.org/officeDocument/2006/relationships/hyperlink" Target="https://www.genome.jp/entry/R01214" TargetMode="External"/><Relationship Id="rId1094" Type="http://schemas.openxmlformats.org/officeDocument/2006/relationships/hyperlink" Target="https://www.genome.jp/entry/2.7.1.33" TargetMode="External"/><Relationship Id="rId2145" Type="http://schemas.openxmlformats.org/officeDocument/2006/relationships/hyperlink" Target="https://www.genome.jp/entry/1.1.1.100" TargetMode="External"/><Relationship Id="rId117" Type="http://schemas.openxmlformats.org/officeDocument/2006/relationships/hyperlink" Target="https://www.genome.jp/entry/R02473" TargetMode="External"/><Relationship Id="rId671" Type="http://schemas.openxmlformats.org/officeDocument/2006/relationships/hyperlink" Target="https://www.genome.jp/entry/R10645" TargetMode="External"/><Relationship Id="rId769" Type="http://schemas.openxmlformats.org/officeDocument/2006/relationships/hyperlink" Target="https://www.genome.jp/entry/R10949" TargetMode="External"/><Relationship Id="rId976" Type="http://schemas.openxmlformats.org/officeDocument/2006/relationships/hyperlink" Target="https://www.genome.jp/entry/R04673" TargetMode="External"/><Relationship Id="rId1399" Type="http://schemas.openxmlformats.org/officeDocument/2006/relationships/hyperlink" Target="https://www.genome.jp/entry/R00908" TargetMode="External"/><Relationship Id="rId2352" Type="http://schemas.openxmlformats.org/officeDocument/2006/relationships/hyperlink" Target="https://www.genome.jp/entry/R11026" TargetMode="External"/><Relationship Id="rId324" Type="http://schemas.openxmlformats.org/officeDocument/2006/relationships/hyperlink" Target="https://www.genome.jp/entry/R08100" TargetMode="External"/><Relationship Id="rId531" Type="http://schemas.openxmlformats.org/officeDocument/2006/relationships/hyperlink" Target="https://www.genome.jp/entry/R00376" TargetMode="External"/><Relationship Id="rId629" Type="http://schemas.openxmlformats.org/officeDocument/2006/relationships/hyperlink" Target="https://www.genome.jp/entry/2.7.13.3" TargetMode="External"/><Relationship Id="rId1161" Type="http://schemas.openxmlformats.org/officeDocument/2006/relationships/hyperlink" Target="https://www.genome.jp/entry/5.3.1.9" TargetMode="External"/><Relationship Id="rId1259" Type="http://schemas.openxmlformats.org/officeDocument/2006/relationships/hyperlink" Target="https://www.genome.jp/entry/R04536" TargetMode="External"/><Relationship Id="rId1466" Type="http://schemas.openxmlformats.org/officeDocument/2006/relationships/hyperlink" Target="https://www.genome.jp/entry/1.3.1.98" TargetMode="External"/><Relationship Id="rId2005" Type="http://schemas.openxmlformats.org/officeDocument/2006/relationships/hyperlink" Target="https://www.genome.jp/entry/2.2.1.1" TargetMode="External"/><Relationship Id="rId2212" Type="http://schemas.openxmlformats.org/officeDocument/2006/relationships/hyperlink" Target="https://www.genome.jp/entry/1.8.1.4" TargetMode="External"/><Relationship Id="rId836" Type="http://schemas.openxmlformats.org/officeDocument/2006/relationships/hyperlink" Target="https://www.genome.jp/entry/R12683" TargetMode="External"/><Relationship Id="rId1021" Type="http://schemas.openxmlformats.org/officeDocument/2006/relationships/hyperlink" Target="https://www.genome.jp/entry/R00626" TargetMode="External"/><Relationship Id="rId1119" Type="http://schemas.openxmlformats.org/officeDocument/2006/relationships/hyperlink" Target="https://www.genome.jp/entry/1.2.1.12" TargetMode="External"/><Relationship Id="rId1673" Type="http://schemas.openxmlformats.org/officeDocument/2006/relationships/hyperlink" Target="https://www.genome.jp/entry/1.1.1.1" TargetMode="External"/><Relationship Id="rId1880" Type="http://schemas.openxmlformats.org/officeDocument/2006/relationships/hyperlink" Target="https://www.genome.jp/entry/1.2.4.1" TargetMode="External"/><Relationship Id="rId1978" Type="http://schemas.openxmlformats.org/officeDocument/2006/relationships/hyperlink" Target="https://www.genome.jp/entry/4.3.1.17" TargetMode="External"/><Relationship Id="rId903" Type="http://schemas.openxmlformats.org/officeDocument/2006/relationships/hyperlink" Target="https://www.genome.jp/entry/2.7.2.8" TargetMode="External"/><Relationship Id="rId1326" Type="http://schemas.openxmlformats.org/officeDocument/2006/relationships/hyperlink" Target="https://www.genome.jp/entry/R01776" TargetMode="External"/><Relationship Id="rId1533" Type="http://schemas.openxmlformats.org/officeDocument/2006/relationships/hyperlink" Target="https://www.genome.jp/entry/1.3.1.12" TargetMode="External"/><Relationship Id="rId1740" Type="http://schemas.openxmlformats.org/officeDocument/2006/relationships/hyperlink" Target="https://www.genome.jp/entry/3.5.1.2" TargetMode="External"/><Relationship Id="rId32" Type="http://schemas.openxmlformats.org/officeDocument/2006/relationships/hyperlink" Target="https://www.genome.jp/entry/R03657" TargetMode="External"/><Relationship Id="rId1600" Type="http://schemas.openxmlformats.org/officeDocument/2006/relationships/hyperlink" Target="https://www.genome.jp/entry/R00164" TargetMode="External"/><Relationship Id="rId1838" Type="http://schemas.openxmlformats.org/officeDocument/2006/relationships/hyperlink" Target="https://www.genome.jp/entry/1.13.11.1" TargetMode="External"/><Relationship Id="rId181" Type="http://schemas.openxmlformats.org/officeDocument/2006/relationships/hyperlink" Target="https://www.genome.jp/entry/R04208" TargetMode="External"/><Relationship Id="rId1905" Type="http://schemas.openxmlformats.org/officeDocument/2006/relationships/hyperlink" Target="https://www.genome.jp/entry/2.4.1.227" TargetMode="External"/><Relationship Id="rId279" Type="http://schemas.openxmlformats.org/officeDocument/2006/relationships/hyperlink" Target="https://www.genome.jp/entry/2.7.8.7" TargetMode="External"/><Relationship Id="rId486" Type="http://schemas.openxmlformats.org/officeDocument/2006/relationships/hyperlink" Target="https://www.genome.jp/entry/R11704" TargetMode="External"/><Relationship Id="rId693" Type="http://schemas.openxmlformats.org/officeDocument/2006/relationships/hyperlink" Target="https://www.genome.jp/entry/R02187" TargetMode="External"/><Relationship Id="rId2167" Type="http://schemas.openxmlformats.org/officeDocument/2006/relationships/hyperlink" Target="https://www.genome.jp/entry/2.5.1.47" TargetMode="External"/><Relationship Id="rId2374" Type="http://schemas.openxmlformats.org/officeDocument/2006/relationships/hyperlink" Target="https://www.genome.jp/entry/3.2.1.18" TargetMode="External"/><Relationship Id="rId139" Type="http://schemas.openxmlformats.org/officeDocument/2006/relationships/hyperlink" Target="https://www.genome.jp/entry/2.7.1.211" TargetMode="External"/><Relationship Id="rId346" Type="http://schemas.openxmlformats.org/officeDocument/2006/relationships/hyperlink" Target="https://www.genome.jp/entry/R06990" TargetMode="External"/><Relationship Id="rId553" Type="http://schemas.openxmlformats.org/officeDocument/2006/relationships/hyperlink" Target="https://www.genome.jp/entry/2.6.1.9" TargetMode="External"/><Relationship Id="rId760" Type="http://schemas.openxmlformats.org/officeDocument/2006/relationships/hyperlink" Target="https://www.genome.jp/entry/R01395" TargetMode="External"/><Relationship Id="rId998" Type="http://schemas.openxmlformats.org/officeDocument/2006/relationships/hyperlink" Target="https://www.genome.jp/entry/7.1.2.2" TargetMode="External"/><Relationship Id="rId1183" Type="http://schemas.openxmlformats.org/officeDocument/2006/relationships/hyperlink" Target="https://www.genome.jp/entry/R04355" TargetMode="External"/><Relationship Id="rId1390" Type="http://schemas.openxmlformats.org/officeDocument/2006/relationships/hyperlink" Target="https://www.genome.jp/entry/2.7.7.6" TargetMode="External"/><Relationship Id="rId2027" Type="http://schemas.openxmlformats.org/officeDocument/2006/relationships/hyperlink" Target="https://www.genome.jp/entry/1.1.1.94" TargetMode="External"/><Relationship Id="rId2234" Type="http://schemas.openxmlformats.org/officeDocument/2006/relationships/hyperlink" Target="https://www.genome.jp/entry/2.7.7.7" TargetMode="External"/><Relationship Id="rId2441" Type="http://schemas.openxmlformats.org/officeDocument/2006/relationships/hyperlink" Target="https://www.genome.jp/entry/R00750" TargetMode="External"/><Relationship Id="rId206" Type="http://schemas.openxmlformats.org/officeDocument/2006/relationships/hyperlink" Target="https://www.genome.jp/entry/5.4.2.2" TargetMode="External"/><Relationship Id="rId413" Type="http://schemas.openxmlformats.org/officeDocument/2006/relationships/hyperlink" Target="https://www.genome.jp/entry/R02953" TargetMode="External"/><Relationship Id="rId858" Type="http://schemas.openxmlformats.org/officeDocument/2006/relationships/hyperlink" Target="https://www.genome.jp/entry/R04035" TargetMode="External"/><Relationship Id="rId1043" Type="http://schemas.openxmlformats.org/officeDocument/2006/relationships/hyperlink" Target="https://www.genome.jp/entry/R09365" TargetMode="External"/><Relationship Id="rId1488" Type="http://schemas.openxmlformats.org/officeDocument/2006/relationships/hyperlink" Target="https://www.genome.jp/entry/R02088" TargetMode="External"/><Relationship Id="rId1695" Type="http://schemas.openxmlformats.org/officeDocument/2006/relationships/hyperlink" Target="https://www.genome.jp/entry/2.3.1.8" TargetMode="External"/><Relationship Id="rId620" Type="http://schemas.openxmlformats.org/officeDocument/2006/relationships/hyperlink" Target="https://www.genome.jp/entry/2.7.4.22" TargetMode="External"/><Relationship Id="rId718" Type="http://schemas.openxmlformats.org/officeDocument/2006/relationships/hyperlink" Target="https://www.genome.jp/entry/3.6.4.12" TargetMode="External"/><Relationship Id="rId925" Type="http://schemas.openxmlformats.org/officeDocument/2006/relationships/hyperlink" Target="https://www.genome.jp/entry/R00375" TargetMode="External"/><Relationship Id="rId1250" Type="http://schemas.openxmlformats.org/officeDocument/2006/relationships/hyperlink" Target="https://www.genome.jp/entry/R02235" TargetMode="External"/><Relationship Id="rId1348" Type="http://schemas.openxmlformats.org/officeDocument/2006/relationships/hyperlink" Target="https://www.genome.jp/entry/R00377" TargetMode="External"/><Relationship Id="rId1555" Type="http://schemas.openxmlformats.org/officeDocument/2006/relationships/hyperlink" Target="https://www.genome.jp/entry/R08603" TargetMode="External"/><Relationship Id="rId1762" Type="http://schemas.openxmlformats.org/officeDocument/2006/relationships/hyperlink" Target="https://www.genome.jp/entry/1.17.4.1" TargetMode="External"/><Relationship Id="rId2301" Type="http://schemas.openxmlformats.org/officeDocument/2006/relationships/hyperlink" Target="https://www.genome.jp/entry/1.1.1.35" TargetMode="External"/><Relationship Id="rId1110" Type="http://schemas.openxmlformats.org/officeDocument/2006/relationships/hyperlink" Target="https://www.genome.jp/entry/R03970" TargetMode="External"/><Relationship Id="rId1208" Type="http://schemas.openxmlformats.org/officeDocument/2006/relationships/hyperlink" Target="https://www.genome.jp/entry/R04967" TargetMode="External"/><Relationship Id="rId1415" Type="http://schemas.openxmlformats.org/officeDocument/2006/relationships/hyperlink" Target="https://www.genome.jp/entry/2.5.1.74" TargetMode="External"/><Relationship Id="rId54" Type="http://schemas.openxmlformats.org/officeDocument/2006/relationships/hyperlink" Target="https://www.genome.jp/entry/R01373/R00691" TargetMode="External"/><Relationship Id="rId1622" Type="http://schemas.openxmlformats.org/officeDocument/2006/relationships/hyperlink" Target="https://www.genome.jp/entry/R00217" TargetMode="External"/><Relationship Id="rId1927" Type="http://schemas.openxmlformats.org/officeDocument/2006/relationships/hyperlink" Target="https://www.genome.jp/entry/2.6.1.9" TargetMode="External"/><Relationship Id="rId2091" Type="http://schemas.openxmlformats.org/officeDocument/2006/relationships/hyperlink" Target="https://www.genome.jp/entry/1.5.1.3" TargetMode="External"/><Relationship Id="rId2189" Type="http://schemas.openxmlformats.org/officeDocument/2006/relationships/hyperlink" Target="https://www.genome.jp/entry/2.7.4.3" TargetMode="External"/><Relationship Id="rId270" Type="http://schemas.openxmlformats.org/officeDocument/2006/relationships/hyperlink" Target="https://www.genome.jp/entry/R04959" TargetMode="External"/><Relationship Id="rId2396" Type="http://schemas.openxmlformats.org/officeDocument/2006/relationships/hyperlink" Target="https://www.genome.jp/entry/3.5.1.2" TargetMode="External"/><Relationship Id="rId130" Type="http://schemas.openxmlformats.org/officeDocument/2006/relationships/hyperlink" Target="https://www.genome.jp/entry/R05637" TargetMode="External"/><Relationship Id="rId368" Type="http://schemas.openxmlformats.org/officeDocument/2006/relationships/hyperlink" Target="https://www.genome.jp/entry/6.1.1.9" TargetMode="External"/><Relationship Id="rId575" Type="http://schemas.openxmlformats.org/officeDocument/2006/relationships/hyperlink" Target="https://www.genome.jp/entry/R00200" TargetMode="External"/><Relationship Id="rId782" Type="http://schemas.openxmlformats.org/officeDocument/2006/relationships/hyperlink" Target="https://www.genome.jp/entry/R00443" TargetMode="External"/><Relationship Id="rId2049" Type="http://schemas.openxmlformats.org/officeDocument/2006/relationships/hyperlink" Target="https://www.genome.jp/entry/2.4.1.18" TargetMode="External"/><Relationship Id="rId2256" Type="http://schemas.openxmlformats.org/officeDocument/2006/relationships/hyperlink" Target="https://www.genome.jp/entry/3.5.1.5" TargetMode="External"/><Relationship Id="rId2463" Type="http://schemas.openxmlformats.org/officeDocument/2006/relationships/printerSettings" Target="../printerSettings/printerSettings2.bin"/><Relationship Id="rId228" Type="http://schemas.openxmlformats.org/officeDocument/2006/relationships/hyperlink" Target="https://www.genome.jp/entry/R11893" TargetMode="External"/><Relationship Id="rId435" Type="http://schemas.openxmlformats.org/officeDocument/2006/relationships/hyperlink" Target="https://www.genome.jp/entry/3.1.3.48" TargetMode="External"/><Relationship Id="rId642" Type="http://schemas.openxmlformats.org/officeDocument/2006/relationships/hyperlink" Target="https://www.genome.jp/entry/R03194" TargetMode="External"/><Relationship Id="rId1065" Type="http://schemas.openxmlformats.org/officeDocument/2006/relationships/hyperlink" Target="https://www.genome.jp/entry/R05747" TargetMode="External"/><Relationship Id="rId1272" Type="http://schemas.openxmlformats.org/officeDocument/2006/relationships/hyperlink" Target="https://www.genome.jp/entry/R07404" TargetMode="External"/><Relationship Id="rId2116" Type="http://schemas.openxmlformats.org/officeDocument/2006/relationships/hyperlink" Target="https://www.genome.jp/entry/2.3.1.85" TargetMode="External"/><Relationship Id="rId2323" Type="http://schemas.openxmlformats.org/officeDocument/2006/relationships/hyperlink" Target="https://www.genome.jp/entry/1.1.1.47" TargetMode="External"/><Relationship Id="rId502" Type="http://schemas.openxmlformats.org/officeDocument/2006/relationships/hyperlink" Target="https://www.genome.jp/entry/6.3.2.10" TargetMode="External"/><Relationship Id="rId947" Type="http://schemas.openxmlformats.org/officeDocument/2006/relationships/hyperlink" Target="https://www.genome.jp/entry/R04001" TargetMode="External"/><Relationship Id="rId1132" Type="http://schemas.openxmlformats.org/officeDocument/2006/relationships/hyperlink" Target="https://www.genome.jp/entry/R05634" TargetMode="External"/><Relationship Id="rId1577" Type="http://schemas.openxmlformats.org/officeDocument/2006/relationships/hyperlink" Target="https://www.genome.jp/entry/R13420" TargetMode="External"/><Relationship Id="rId1784" Type="http://schemas.openxmlformats.org/officeDocument/2006/relationships/hyperlink" Target="https://www.genome.jp/entry/2.3.1.85" TargetMode="External"/><Relationship Id="rId1991" Type="http://schemas.openxmlformats.org/officeDocument/2006/relationships/hyperlink" Target="https://www.genome.jp/entry/6.3.5.5" TargetMode="External"/><Relationship Id="rId76" Type="http://schemas.openxmlformats.org/officeDocument/2006/relationships/hyperlink" Target="https://www.genome.jp/entry/2.4.2.10" TargetMode="External"/><Relationship Id="rId807" Type="http://schemas.openxmlformats.org/officeDocument/2006/relationships/hyperlink" Target="https://www.genome.jp/entry/R07281" TargetMode="External"/><Relationship Id="rId1437" Type="http://schemas.openxmlformats.org/officeDocument/2006/relationships/hyperlink" Target="https://www.genome.jp/entry/2.5.1.61" TargetMode="External"/><Relationship Id="rId1644" Type="http://schemas.openxmlformats.org/officeDocument/2006/relationships/hyperlink" Target="https://www.genome.jp/entry/6.1.1.11" TargetMode="External"/><Relationship Id="rId1851" Type="http://schemas.openxmlformats.org/officeDocument/2006/relationships/hyperlink" Target="https://www.genome.jp/entry/6.3.2.17" TargetMode="External"/><Relationship Id="rId1504" Type="http://schemas.openxmlformats.org/officeDocument/2006/relationships/hyperlink" Target="https://www.genome.jp/entry/R02745" TargetMode="External"/><Relationship Id="rId1711" Type="http://schemas.openxmlformats.org/officeDocument/2006/relationships/hyperlink" Target="https://www.genome.jp/entry/2.4.2.8" TargetMode="External"/><Relationship Id="rId1949" Type="http://schemas.openxmlformats.org/officeDocument/2006/relationships/hyperlink" Target="https://www.genome.jp/entry/2.5.1.3" TargetMode="External"/><Relationship Id="rId292" Type="http://schemas.openxmlformats.org/officeDocument/2006/relationships/hyperlink" Target="https://www.genome.jp/entry/3.1.3.1" TargetMode="External"/><Relationship Id="rId1809" Type="http://schemas.openxmlformats.org/officeDocument/2006/relationships/hyperlink" Target="https://www.genome.jp/entry/3.1.3.1" TargetMode="External"/><Relationship Id="rId597" Type="http://schemas.openxmlformats.org/officeDocument/2006/relationships/hyperlink" Target="https://www.genome.jp/entry/R01421" TargetMode="External"/><Relationship Id="rId2180" Type="http://schemas.openxmlformats.org/officeDocument/2006/relationships/hyperlink" Target="https://www.genome.jp/entry/6.3.5.2" TargetMode="External"/><Relationship Id="rId2278" Type="http://schemas.openxmlformats.org/officeDocument/2006/relationships/hyperlink" Target="https://www.genome.jp/entry/R07133" TargetMode="External"/><Relationship Id="rId152" Type="http://schemas.openxmlformats.org/officeDocument/2006/relationships/hyperlink" Target="https://www.genome.jp/entry/R02755" TargetMode="External"/><Relationship Id="rId457" Type="http://schemas.openxmlformats.org/officeDocument/2006/relationships/hyperlink" Target="https://www.genome.jp/entry/R12428" TargetMode="External"/><Relationship Id="rId1087" Type="http://schemas.openxmlformats.org/officeDocument/2006/relationships/hyperlink" Target="https://www.genome.jp/entry/2.6.1.85" TargetMode="External"/><Relationship Id="rId1294" Type="http://schemas.openxmlformats.org/officeDocument/2006/relationships/hyperlink" Target="https://www.genome.jp/entry/4.1.3.30" TargetMode="External"/><Relationship Id="rId2040" Type="http://schemas.openxmlformats.org/officeDocument/2006/relationships/hyperlink" Target="https://www.genome.jp/entry/1.1.1.86" TargetMode="External"/><Relationship Id="rId2138" Type="http://schemas.openxmlformats.org/officeDocument/2006/relationships/hyperlink" Target="https://www.genome.jp/entry/1.5.1.3" TargetMode="External"/><Relationship Id="rId664" Type="http://schemas.openxmlformats.org/officeDocument/2006/relationships/hyperlink" Target="https://www.genome.jp/entry/2.1.1.148" TargetMode="External"/><Relationship Id="rId871" Type="http://schemas.openxmlformats.org/officeDocument/2006/relationships/hyperlink" Target="https://www.genome.jp/entry/R03600" TargetMode="External"/><Relationship Id="rId969" Type="http://schemas.openxmlformats.org/officeDocument/2006/relationships/hyperlink" Target="https://www.genome.jp/entry/R05071" TargetMode="External"/><Relationship Id="rId1599" Type="http://schemas.openxmlformats.org/officeDocument/2006/relationships/hyperlink" Target="https://www.genome.jp/entry/3.1.3.16" TargetMode="External"/><Relationship Id="rId2345" Type="http://schemas.openxmlformats.org/officeDocument/2006/relationships/hyperlink" Target="https://www.genome.jp/entry/1.2.1.10" TargetMode="External"/><Relationship Id="rId317" Type="http://schemas.openxmlformats.org/officeDocument/2006/relationships/hyperlink" Target="https://www.genome.jp/entry/R08111" TargetMode="External"/><Relationship Id="rId524" Type="http://schemas.openxmlformats.org/officeDocument/2006/relationships/hyperlink" Target="https://www.genome.jp/entry/R00377" TargetMode="External"/><Relationship Id="rId731" Type="http://schemas.openxmlformats.org/officeDocument/2006/relationships/hyperlink" Target="https://www.genome.jp/entry/R00590" TargetMode="External"/><Relationship Id="rId1154" Type="http://schemas.openxmlformats.org/officeDocument/2006/relationships/hyperlink" Target="https://www.genome.jp/entry/R01127" TargetMode="External"/><Relationship Id="rId1361" Type="http://schemas.openxmlformats.org/officeDocument/2006/relationships/hyperlink" Target="https://www.genome.jp/entry/2.3.1.266" TargetMode="External"/><Relationship Id="rId1459" Type="http://schemas.openxmlformats.org/officeDocument/2006/relationships/hyperlink" Target="https://www.genome.jp/entry/2.7.7.9" TargetMode="External"/><Relationship Id="rId2205" Type="http://schemas.openxmlformats.org/officeDocument/2006/relationships/hyperlink" Target="https://www.genome.jp/entry/2.1.1.107" TargetMode="External"/><Relationship Id="rId2412" Type="http://schemas.openxmlformats.org/officeDocument/2006/relationships/hyperlink" Target="https://www.genome.jp/entry/3.5.4.5" TargetMode="External"/><Relationship Id="rId98" Type="http://schemas.openxmlformats.org/officeDocument/2006/relationships/hyperlink" Target="https://www.genome.jp/entry/R00714" TargetMode="External"/><Relationship Id="rId829" Type="http://schemas.openxmlformats.org/officeDocument/2006/relationships/hyperlink" Target="https://www.genome.jp/entry/R06861" TargetMode="External"/><Relationship Id="rId1014" Type="http://schemas.openxmlformats.org/officeDocument/2006/relationships/hyperlink" Target="https://www.genome.jp/entry/2.1.1.297" TargetMode="External"/><Relationship Id="rId1221" Type="http://schemas.openxmlformats.org/officeDocument/2006/relationships/hyperlink" Target="https://www.genome.jp/entry/R03013" TargetMode="External"/><Relationship Id="rId1666" Type="http://schemas.openxmlformats.org/officeDocument/2006/relationships/hyperlink" Target="https://www.genome.jp/entry/R07105" TargetMode="External"/><Relationship Id="rId1873" Type="http://schemas.openxmlformats.org/officeDocument/2006/relationships/hyperlink" Target="https://www.genome.jp/entry/4.4.1.13" TargetMode="External"/><Relationship Id="rId1319" Type="http://schemas.openxmlformats.org/officeDocument/2006/relationships/hyperlink" Target="https://www.genome.jp/entry/R00409" TargetMode="External"/><Relationship Id="rId1526" Type="http://schemas.openxmlformats.org/officeDocument/2006/relationships/hyperlink" Target="https://www.genome.jp/entry/R00377" TargetMode="External"/><Relationship Id="rId1733" Type="http://schemas.openxmlformats.org/officeDocument/2006/relationships/hyperlink" Target="https://www.genome.jp/entry/2.4.1.15" TargetMode="External"/><Relationship Id="rId1940" Type="http://schemas.openxmlformats.org/officeDocument/2006/relationships/hyperlink" Target="https://www.genome.jp/entry/1.4.1.4" TargetMode="External"/><Relationship Id="rId25" Type="http://schemas.openxmlformats.org/officeDocument/2006/relationships/hyperlink" Target="https://www.genome.jp/entry/R00986/R00985" TargetMode="External"/><Relationship Id="rId1800" Type="http://schemas.openxmlformats.org/officeDocument/2006/relationships/hyperlink" Target="https://www.genome.jp/entry/2.3.1.85" TargetMode="External"/><Relationship Id="rId174" Type="http://schemas.openxmlformats.org/officeDocument/2006/relationships/hyperlink" Target="https://www.genome.jp/entry/R01579" TargetMode="External"/><Relationship Id="rId381" Type="http://schemas.openxmlformats.org/officeDocument/2006/relationships/hyperlink" Target="https://www.genome.jp/entry/R00124" TargetMode="External"/><Relationship Id="rId2062" Type="http://schemas.openxmlformats.org/officeDocument/2006/relationships/hyperlink" Target="https://www.genome.jp/entry/3.1.3.11" TargetMode="External"/><Relationship Id="rId241" Type="http://schemas.openxmlformats.org/officeDocument/2006/relationships/hyperlink" Target="https://www.genome.jp/entry/3.6.1.66" TargetMode="External"/><Relationship Id="rId479" Type="http://schemas.openxmlformats.org/officeDocument/2006/relationships/hyperlink" Target="https://www.genome.jp/entry/R00483" TargetMode="External"/><Relationship Id="rId686" Type="http://schemas.openxmlformats.org/officeDocument/2006/relationships/hyperlink" Target="https://www.genome.jp/entry/5.1.3.2" TargetMode="External"/><Relationship Id="rId893" Type="http://schemas.openxmlformats.org/officeDocument/2006/relationships/hyperlink" Target="https://www.genome.jp/entry/6.1.1.1" TargetMode="External"/><Relationship Id="rId2367" Type="http://schemas.openxmlformats.org/officeDocument/2006/relationships/hyperlink" Target="https://www.genome.jp/entry/R00379" TargetMode="External"/><Relationship Id="rId339" Type="http://schemas.openxmlformats.org/officeDocument/2006/relationships/hyperlink" Target="https://www.genome.jp/entry/R00817" TargetMode="External"/><Relationship Id="rId546" Type="http://schemas.openxmlformats.org/officeDocument/2006/relationships/hyperlink" Target="https://www.genome.jp/entry/R01824" TargetMode="External"/><Relationship Id="rId753" Type="http://schemas.openxmlformats.org/officeDocument/2006/relationships/hyperlink" Target="https://www.genome.jp/entry/2.1.3.2" TargetMode="External"/><Relationship Id="rId1176" Type="http://schemas.openxmlformats.org/officeDocument/2006/relationships/hyperlink" Target="https://www.genome.jp/entry/R00940" TargetMode="External"/><Relationship Id="rId1383" Type="http://schemas.openxmlformats.org/officeDocument/2006/relationships/hyperlink" Target="https://www.genome.jp/entry/2.7.7.6" TargetMode="External"/><Relationship Id="rId2227" Type="http://schemas.openxmlformats.org/officeDocument/2006/relationships/hyperlink" Target="https://www.genome.jp/entry/3.1.3.5" TargetMode="External"/><Relationship Id="rId2434" Type="http://schemas.openxmlformats.org/officeDocument/2006/relationships/hyperlink" Target="https://www.genome.jp/entry/R00471" TargetMode="External"/><Relationship Id="rId101" Type="http://schemas.openxmlformats.org/officeDocument/2006/relationships/hyperlink" Target="https://www.genome.jp/entry/3.6.1.1" TargetMode="External"/><Relationship Id="rId406" Type="http://schemas.openxmlformats.org/officeDocument/2006/relationships/hyperlink" Target="https://www.genome.jp/entry/R00472" TargetMode="External"/><Relationship Id="rId960" Type="http://schemas.openxmlformats.org/officeDocument/2006/relationships/hyperlink" Target="https://www.genome.jp/entry/1.1.1.95" TargetMode="External"/><Relationship Id="rId1036" Type="http://schemas.openxmlformats.org/officeDocument/2006/relationships/hyperlink" Target="https://www.genome.jp/entry/2.7.6.5" TargetMode="External"/><Relationship Id="rId1243" Type="http://schemas.openxmlformats.org/officeDocument/2006/relationships/hyperlink" Target="https://www.genome.jp/entry/R00772" TargetMode="External"/><Relationship Id="rId1590" Type="http://schemas.openxmlformats.org/officeDocument/2006/relationships/hyperlink" Target="https://www.genome.jp/entry/R06134" TargetMode="External"/><Relationship Id="rId1688" Type="http://schemas.openxmlformats.org/officeDocument/2006/relationships/hyperlink" Target="https://www.genome.jp/entry/R01070" TargetMode="External"/><Relationship Id="rId1895" Type="http://schemas.openxmlformats.org/officeDocument/2006/relationships/hyperlink" Target="https://www.genome.jp/entry/6.3.5.4" TargetMode="External"/><Relationship Id="rId613" Type="http://schemas.openxmlformats.org/officeDocument/2006/relationships/hyperlink" Target="https://www.genome.jp/entry/R05863" TargetMode="External"/><Relationship Id="rId820" Type="http://schemas.openxmlformats.org/officeDocument/2006/relationships/hyperlink" Target="https://www.genome.jp/entry/R02736" TargetMode="External"/><Relationship Id="rId918" Type="http://schemas.openxmlformats.org/officeDocument/2006/relationships/hyperlink" Target="https://www.genome.jp/entry/R03643" TargetMode="External"/><Relationship Id="rId1450" Type="http://schemas.openxmlformats.org/officeDocument/2006/relationships/hyperlink" Target="https://www.genome.jp/entry/2.4.1.250" TargetMode="External"/><Relationship Id="rId1548" Type="http://schemas.openxmlformats.org/officeDocument/2006/relationships/hyperlink" Target="https://www.genome.jp/entry/1.1.1.333" TargetMode="External"/><Relationship Id="rId1755" Type="http://schemas.openxmlformats.org/officeDocument/2006/relationships/hyperlink" Target="https://www.genome.jp/entry/1.17.4.1" TargetMode="External"/><Relationship Id="rId1103" Type="http://schemas.openxmlformats.org/officeDocument/2006/relationships/hyperlink" Target="https://www.genome.jp/entry/2.3.2.2" TargetMode="External"/><Relationship Id="rId1310" Type="http://schemas.openxmlformats.org/officeDocument/2006/relationships/hyperlink" Target="https://www.genome.jp/entry/R00267" TargetMode="External"/><Relationship Id="rId1408" Type="http://schemas.openxmlformats.org/officeDocument/2006/relationships/hyperlink" Target="https://www.genome.jp/entry/4.2.1.96" TargetMode="External"/><Relationship Id="rId1962" Type="http://schemas.openxmlformats.org/officeDocument/2006/relationships/hyperlink" Target="https://www.genome.jp/entry/2.7.7.8" TargetMode="External"/><Relationship Id="rId47" Type="http://schemas.openxmlformats.org/officeDocument/2006/relationships/hyperlink" Target="https://www.genome.jp/entry/1.15.1.1" TargetMode="External"/><Relationship Id="rId1615" Type="http://schemas.openxmlformats.org/officeDocument/2006/relationships/hyperlink" Target="https://www.genome.jp/entry/R09383" TargetMode="External"/><Relationship Id="rId1822" Type="http://schemas.openxmlformats.org/officeDocument/2006/relationships/hyperlink" Target="https://www.genome.jp/entry/1.3.1.25" TargetMode="External"/><Relationship Id="rId196" Type="http://schemas.openxmlformats.org/officeDocument/2006/relationships/hyperlink" Target="https://www.genome.jp/entry/R04859" TargetMode="External"/><Relationship Id="rId2084" Type="http://schemas.openxmlformats.org/officeDocument/2006/relationships/hyperlink" Target="https://www.genome.jp/entry/5.3.1.9" TargetMode="External"/><Relationship Id="rId2291" Type="http://schemas.openxmlformats.org/officeDocument/2006/relationships/hyperlink" Target="https://www.genome.jp/entry/1.1.1.336" TargetMode="External"/><Relationship Id="rId263" Type="http://schemas.openxmlformats.org/officeDocument/2006/relationships/hyperlink" Target="https://www.genome.jp/entry/R04725" TargetMode="External"/><Relationship Id="rId470" Type="http://schemas.openxmlformats.org/officeDocument/2006/relationships/hyperlink" Target="https://www.genome.jp/entry/2.4.2.21" TargetMode="External"/><Relationship Id="rId2151" Type="http://schemas.openxmlformats.org/officeDocument/2006/relationships/hyperlink" Target="https://www.genome.jp/entry/3.6.1.9" TargetMode="External"/><Relationship Id="rId2389" Type="http://schemas.openxmlformats.org/officeDocument/2006/relationships/hyperlink" Target="https://www.genome.jp/entry/R05998" TargetMode="External"/><Relationship Id="rId123" Type="http://schemas.openxmlformats.org/officeDocument/2006/relationships/hyperlink" Target="https://www.genome.jp/entry/1.2.1.96" TargetMode="External"/><Relationship Id="rId330" Type="http://schemas.openxmlformats.org/officeDocument/2006/relationships/hyperlink" Target="https://www.genome.jp/entry/R05622" TargetMode="External"/><Relationship Id="rId568" Type="http://schemas.openxmlformats.org/officeDocument/2006/relationships/hyperlink" Target="https://www.genome.jp/entry/R04558" TargetMode="External"/><Relationship Id="rId775" Type="http://schemas.openxmlformats.org/officeDocument/2006/relationships/hyperlink" Target="https://www.genome.jp/entry/R02090" TargetMode="External"/><Relationship Id="rId982" Type="http://schemas.openxmlformats.org/officeDocument/2006/relationships/hyperlink" Target="https://www.genome.jp/entry/5.4.99.62" TargetMode="External"/><Relationship Id="rId1198" Type="http://schemas.openxmlformats.org/officeDocument/2006/relationships/hyperlink" Target="https://www.genome.jp/entry/R04953" TargetMode="External"/><Relationship Id="rId2011" Type="http://schemas.openxmlformats.org/officeDocument/2006/relationships/hyperlink" Target="https://www.genome.jp/entry/2.8.1.7" TargetMode="External"/><Relationship Id="rId2249" Type="http://schemas.openxmlformats.org/officeDocument/2006/relationships/hyperlink" Target="https://www.genome.jp/entry/2.1.2.11" TargetMode="External"/><Relationship Id="rId2456" Type="http://schemas.openxmlformats.org/officeDocument/2006/relationships/hyperlink" Target="https://www.genome.jp/entry/R07839" TargetMode="External"/><Relationship Id="rId428" Type="http://schemas.openxmlformats.org/officeDocument/2006/relationships/hyperlink" Target="https://www.genome.jp/entry/R03654" TargetMode="External"/><Relationship Id="rId635" Type="http://schemas.openxmlformats.org/officeDocument/2006/relationships/hyperlink" Target="https://www.genome.jp/entry/R06290" TargetMode="External"/><Relationship Id="rId842" Type="http://schemas.openxmlformats.org/officeDocument/2006/relationships/hyperlink" Target="https://www.genome.jp/entry/R00310" TargetMode="External"/><Relationship Id="rId1058" Type="http://schemas.openxmlformats.org/officeDocument/2006/relationships/hyperlink" Target="https://www.genome.jp/entry/2.3.1.117" TargetMode="External"/><Relationship Id="rId1265" Type="http://schemas.openxmlformats.org/officeDocument/2006/relationships/hyperlink" Target="https://www.genome.jp/entry/R10116" TargetMode="External"/><Relationship Id="rId1472" Type="http://schemas.openxmlformats.org/officeDocument/2006/relationships/hyperlink" Target="https://www.genome.jp/entry/R06513" TargetMode="External"/><Relationship Id="rId2109" Type="http://schemas.openxmlformats.org/officeDocument/2006/relationships/hyperlink" Target="https://www.genome.jp/entry/2.3.1.85" TargetMode="External"/><Relationship Id="rId2316" Type="http://schemas.openxmlformats.org/officeDocument/2006/relationships/hyperlink" Target="https://www.genome.jp/entry/R04748" TargetMode="External"/><Relationship Id="rId702" Type="http://schemas.openxmlformats.org/officeDocument/2006/relationships/hyperlink" Target="https://www.genome.jp/entry/R11522" TargetMode="External"/><Relationship Id="rId1125" Type="http://schemas.openxmlformats.org/officeDocument/2006/relationships/hyperlink" Target="https://www.genome.jp/entry/2.7.4.1" TargetMode="External"/><Relationship Id="rId1332" Type="http://schemas.openxmlformats.org/officeDocument/2006/relationships/hyperlink" Target="https://www.genome.jp/entry/R00377" TargetMode="External"/><Relationship Id="rId1777" Type="http://schemas.openxmlformats.org/officeDocument/2006/relationships/hyperlink" Target="https://www.genome.jp/entry/2.3.1.85" TargetMode="External"/><Relationship Id="rId1984" Type="http://schemas.openxmlformats.org/officeDocument/2006/relationships/hyperlink" Target="https://www.genome.jp/entry/6.3.5.5" TargetMode="External"/><Relationship Id="rId69" Type="http://schemas.openxmlformats.org/officeDocument/2006/relationships/hyperlink" Target="https://www.genome.jp/entry/3.2.2.20" TargetMode="External"/><Relationship Id="rId1637" Type="http://schemas.openxmlformats.org/officeDocument/2006/relationships/hyperlink" Target="https://www.genome.jp/entry/R01000" TargetMode="External"/><Relationship Id="rId1844" Type="http://schemas.openxmlformats.org/officeDocument/2006/relationships/hyperlink" Target="https://www.genome.jp/entry/1.13.11.3" TargetMode="External"/><Relationship Id="rId1704" Type="http://schemas.openxmlformats.org/officeDocument/2006/relationships/hyperlink" Target="https://www.genome.jp/entry/R08359" TargetMode="External"/><Relationship Id="rId285" Type="http://schemas.openxmlformats.org/officeDocument/2006/relationships/hyperlink" Target="https://www.genome.jp/entry/R01983" TargetMode="External"/><Relationship Id="rId1911" Type="http://schemas.openxmlformats.org/officeDocument/2006/relationships/hyperlink" Target="https://www.genome.jp/entry/2.7.7.7" TargetMode="External"/><Relationship Id="rId492" Type="http://schemas.openxmlformats.org/officeDocument/2006/relationships/hyperlink" Target="https://www.genome.jp/entry/R01786" TargetMode="External"/><Relationship Id="rId797" Type="http://schemas.openxmlformats.org/officeDocument/2006/relationships/hyperlink" Target="https://www.genome.jp/entry/R01529" TargetMode="External"/><Relationship Id="rId2173" Type="http://schemas.openxmlformats.org/officeDocument/2006/relationships/hyperlink" Target="https://www.genome.jp/entry/2.7.7.7" TargetMode="External"/><Relationship Id="rId2380" Type="http://schemas.openxmlformats.org/officeDocument/2006/relationships/hyperlink" Target="https://www.genome.jp/entry/3.2.1.18" TargetMode="External"/><Relationship Id="rId145" Type="http://schemas.openxmlformats.org/officeDocument/2006/relationships/hyperlink" Target="https://www.genome.jp/entry/R06228" TargetMode="External"/><Relationship Id="rId352" Type="http://schemas.openxmlformats.org/officeDocument/2006/relationships/hyperlink" Target="https://www.genome.jp/entry/R01631" TargetMode="External"/><Relationship Id="rId1287" Type="http://schemas.openxmlformats.org/officeDocument/2006/relationships/hyperlink" Target="https://www.genome.jp/entry/R03004" TargetMode="External"/><Relationship Id="rId2033" Type="http://schemas.openxmlformats.org/officeDocument/2006/relationships/hyperlink" Target="https://www.genome.jp/entry/1.1.1.85" TargetMode="External"/><Relationship Id="rId2240" Type="http://schemas.openxmlformats.org/officeDocument/2006/relationships/hyperlink" Target="https://www.genome.jp/entry/2.7.7.7" TargetMode="External"/><Relationship Id="rId212" Type="http://schemas.openxmlformats.org/officeDocument/2006/relationships/hyperlink" Target="https://www.genome.jp/entry/R00189" TargetMode="External"/><Relationship Id="rId657" Type="http://schemas.openxmlformats.org/officeDocument/2006/relationships/hyperlink" Target="https://www.genome.jp/entry/R00437" TargetMode="External"/><Relationship Id="rId864" Type="http://schemas.openxmlformats.org/officeDocument/2006/relationships/hyperlink" Target="https://www.genome.jp/entry/3.5.1.119" TargetMode="External"/><Relationship Id="rId1494" Type="http://schemas.openxmlformats.org/officeDocument/2006/relationships/hyperlink" Target="https://www.genome.jp/entry/R09129" TargetMode="External"/><Relationship Id="rId1799" Type="http://schemas.openxmlformats.org/officeDocument/2006/relationships/hyperlink" Target="https://www.genome.jp/entry/2.3.1.85" TargetMode="External"/><Relationship Id="rId2100" Type="http://schemas.openxmlformats.org/officeDocument/2006/relationships/hyperlink" Target="https://www.genome.jp/entry/2.3.1.85" TargetMode="External"/><Relationship Id="rId2338" Type="http://schemas.openxmlformats.org/officeDocument/2006/relationships/hyperlink" Target="https://www.genome.jp/entry/R13011" TargetMode="External"/><Relationship Id="rId517" Type="http://schemas.openxmlformats.org/officeDocument/2006/relationships/hyperlink" Target="https://www.genome.jp/entry/R03193" TargetMode="External"/><Relationship Id="rId724" Type="http://schemas.openxmlformats.org/officeDocument/2006/relationships/hyperlink" Target="https://www.genome.jp/entry/R00429" TargetMode="External"/><Relationship Id="rId931" Type="http://schemas.openxmlformats.org/officeDocument/2006/relationships/hyperlink" Target="https://www.genome.jp/entry/R03035" TargetMode="External"/><Relationship Id="rId1147" Type="http://schemas.openxmlformats.org/officeDocument/2006/relationships/hyperlink" Target="https://www.genome.jp/entry/R00289" TargetMode="External"/><Relationship Id="rId1354" Type="http://schemas.openxmlformats.org/officeDocument/2006/relationships/hyperlink" Target="https://www.genome.jp/entry/R01231" TargetMode="External"/><Relationship Id="rId1561" Type="http://schemas.openxmlformats.org/officeDocument/2006/relationships/hyperlink" Target="https://www.genome.jp/entry/R04314" TargetMode="External"/><Relationship Id="rId2405" Type="http://schemas.openxmlformats.org/officeDocument/2006/relationships/hyperlink" Target="https://www.genome.jp/entry/3.5.2.2" TargetMode="External"/><Relationship Id="rId60" Type="http://schemas.openxmlformats.org/officeDocument/2006/relationships/hyperlink" Target="https://www.genome.jp/entry/R00505/R09009" TargetMode="External"/><Relationship Id="rId1007" Type="http://schemas.openxmlformats.org/officeDocument/2006/relationships/hyperlink" Target="https://www.genome.jp/entry/R00086" TargetMode="External"/><Relationship Id="rId1214" Type="http://schemas.openxmlformats.org/officeDocument/2006/relationships/hyperlink" Target="https://www.genome.jp/entry/R04386" TargetMode="External"/><Relationship Id="rId1421" Type="http://schemas.openxmlformats.org/officeDocument/2006/relationships/hyperlink" Target="https://www.genome.jp/entry/4.1.1.37" TargetMode="External"/><Relationship Id="rId1659" Type="http://schemas.openxmlformats.org/officeDocument/2006/relationships/hyperlink" Target="https://www.genome.jp/entry/R08306" TargetMode="External"/><Relationship Id="rId1866" Type="http://schemas.openxmlformats.org/officeDocument/2006/relationships/hyperlink" Target="https://www.genome.jp/entry/2.7.4.6" TargetMode="External"/><Relationship Id="rId1519" Type="http://schemas.openxmlformats.org/officeDocument/2006/relationships/hyperlink" Target="https://www.genome.jp/entry/R01213" TargetMode="External"/><Relationship Id="rId1726" Type="http://schemas.openxmlformats.org/officeDocument/2006/relationships/hyperlink" Target="https://www.genome.jp/entry/R07667" TargetMode="External"/><Relationship Id="rId1933" Type="http://schemas.openxmlformats.org/officeDocument/2006/relationships/hyperlink" Target="https://www.genome.jp/entry/2.7.1.40" TargetMode="External"/><Relationship Id="rId18" Type="http://schemas.openxmlformats.org/officeDocument/2006/relationships/hyperlink" Target="https://www.genome.jp/entry/4.1.1.48" TargetMode="External"/><Relationship Id="rId2195" Type="http://schemas.openxmlformats.org/officeDocument/2006/relationships/hyperlink" Target="https://www.genome.jp/entry/2.7.7.6" TargetMode="External"/><Relationship Id="rId167" Type="http://schemas.openxmlformats.org/officeDocument/2006/relationships/hyperlink" Target="https://www.genome.jp/entry/R04591" TargetMode="External"/><Relationship Id="rId374" Type="http://schemas.openxmlformats.org/officeDocument/2006/relationships/hyperlink" Target="https://www.genome.jp/entry/R04241" TargetMode="External"/><Relationship Id="rId581" Type="http://schemas.openxmlformats.org/officeDocument/2006/relationships/hyperlink" Target="https://www.genome.jp/entry/R01858" TargetMode="External"/><Relationship Id="rId2055" Type="http://schemas.openxmlformats.org/officeDocument/2006/relationships/hyperlink" Target="https://www.genome.jp/entry/3.1.3.2" TargetMode="External"/><Relationship Id="rId2262" Type="http://schemas.openxmlformats.org/officeDocument/2006/relationships/hyperlink" Target="https://www.genome.jp/entry/2.3.1.286" TargetMode="External"/><Relationship Id="rId234" Type="http://schemas.openxmlformats.org/officeDocument/2006/relationships/hyperlink" Target="https://www.genome.jp/entry/3.1.1.29" TargetMode="External"/><Relationship Id="rId679" Type="http://schemas.openxmlformats.org/officeDocument/2006/relationships/hyperlink" Target="https://www.genome.jp/entry/R13203" TargetMode="External"/><Relationship Id="rId886" Type="http://schemas.openxmlformats.org/officeDocument/2006/relationships/hyperlink" Target="https://www.genome.jp/entry/R01665" TargetMode="External"/><Relationship Id="rId2" Type="http://schemas.openxmlformats.org/officeDocument/2006/relationships/hyperlink" Target="https://www.genome.jp/entry/1.8.1.9" TargetMode="External"/><Relationship Id="rId441" Type="http://schemas.openxmlformats.org/officeDocument/2006/relationships/hyperlink" Target="https://www.genome.jp/entry/2.7.7.89" TargetMode="External"/><Relationship Id="rId539" Type="http://schemas.openxmlformats.org/officeDocument/2006/relationships/hyperlink" Target="https://www.genome.jp/entry/R00220" TargetMode="External"/><Relationship Id="rId746" Type="http://schemas.openxmlformats.org/officeDocument/2006/relationships/hyperlink" Target="https://www.genome.jp/entry/2.7.1.71" TargetMode="External"/><Relationship Id="rId1071" Type="http://schemas.openxmlformats.org/officeDocument/2006/relationships/hyperlink" Target="https://www.genome.jp/entry/R03348" TargetMode="External"/><Relationship Id="rId1169" Type="http://schemas.openxmlformats.org/officeDocument/2006/relationships/hyperlink" Target="https://www.genome.jp/entry/R00508" TargetMode="External"/><Relationship Id="rId1376" Type="http://schemas.openxmlformats.org/officeDocument/2006/relationships/hyperlink" Target="https://www.genome.jp/entry/R00443" TargetMode="External"/><Relationship Id="rId1583" Type="http://schemas.openxmlformats.org/officeDocument/2006/relationships/hyperlink" Target="https://www.genome.jp/entry/R13420" TargetMode="External"/><Relationship Id="rId2122" Type="http://schemas.openxmlformats.org/officeDocument/2006/relationships/hyperlink" Target="https://www.genome.jp/entry/2.3.1.85" TargetMode="External"/><Relationship Id="rId2427" Type="http://schemas.openxmlformats.org/officeDocument/2006/relationships/hyperlink" Target="https://www.genome.jp/entry/R09483" TargetMode="External"/><Relationship Id="rId301" Type="http://schemas.openxmlformats.org/officeDocument/2006/relationships/hyperlink" Target="https://www.genome.jp/entry/R01288" TargetMode="External"/><Relationship Id="rId953" Type="http://schemas.openxmlformats.org/officeDocument/2006/relationships/hyperlink" Target="https://www.genome.jp/entry/5.4.4.2" TargetMode="External"/><Relationship Id="rId1029" Type="http://schemas.openxmlformats.org/officeDocument/2006/relationships/hyperlink" Target="https://www.genome.jp/entry/1.1.1.3" TargetMode="External"/><Relationship Id="rId1236" Type="http://schemas.openxmlformats.org/officeDocument/2006/relationships/hyperlink" Target="https://www.genome.jp/entry/2.7.4.9" TargetMode="External"/><Relationship Id="rId1790" Type="http://schemas.openxmlformats.org/officeDocument/2006/relationships/hyperlink" Target="https://www.genome.jp/entry/2.3.1.85" TargetMode="External"/><Relationship Id="rId1888" Type="http://schemas.openxmlformats.org/officeDocument/2006/relationships/hyperlink" Target="https://www.genome.jp/entry/3.4.11.1" TargetMode="External"/><Relationship Id="rId82" Type="http://schemas.openxmlformats.org/officeDocument/2006/relationships/hyperlink" Target="https://www.genome.jp/entry/2.3.1.8" TargetMode="External"/><Relationship Id="rId606" Type="http://schemas.openxmlformats.org/officeDocument/2006/relationships/hyperlink" Target="https://www.genome.jp/entry/R10247" TargetMode="External"/><Relationship Id="rId813" Type="http://schemas.openxmlformats.org/officeDocument/2006/relationships/hyperlink" Target="https://www.genome.jp/entry/R01015" TargetMode="External"/><Relationship Id="rId1443" Type="http://schemas.openxmlformats.org/officeDocument/2006/relationships/hyperlink" Target="https://www.genome.jp/entry/R01251" TargetMode="External"/><Relationship Id="rId1650" Type="http://schemas.openxmlformats.org/officeDocument/2006/relationships/hyperlink" Target="https://www.genome.jp/entry/R02124" TargetMode="External"/><Relationship Id="rId1748" Type="http://schemas.openxmlformats.org/officeDocument/2006/relationships/hyperlink" Target="https://www.genome.jp/entry/2.5.1.17" TargetMode="External"/><Relationship Id="rId1303" Type="http://schemas.openxmlformats.org/officeDocument/2006/relationships/hyperlink" Target="https://www.genome.jp/entry/R00344" TargetMode="External"/><Relationship Id="rId1510" Type="http://schemas.openxmlformats.org/officeDocument/2006/relationships/hyperlink" Target="https://www.genome.jp/entry/1.11.1.6" TargetMode="External"/><Relationship Id="rId1955" Type="http://schemas.openxmlformats.org/officeDocument/2006/relationships/hyperlink" Target="https://www.genome.jp/entry/1.1.5.4" TargetMode="External"/><Relationship Id="rId1608" Type="http://schemas.openxmlformats.org/officeDocument/2006/relationships/hyperlink" Target="https://www.genome.jp/entry/5.6.2.2" TargetMode="External"/><Relationship Id="rId1815" Type="http://schemas.openxmlformats.org/officeDocument/2006/relationships/hyperlink" Target="https://www.genome.jp/entry/2.5.1.48" TargetMode="External"/><Relationship Id="rId189" Type="http://schemas.openxmlformats.org/officeDocument/2006/relationships/hyperlink" Target="https://www.genome.jp/entry/R02404" TargetMode="External"/><Relationship Id="rId396" Type="http://schemas.openxmlformats.org/officeDocument/2006/relationships/hyperlink" Target="https://www.genome.jp/entry/2.7.2.11" TargetMode="External"/><Relationship Id="rId2077" Type="http://schemas.openxmlformats.org/officeDocument/2006/relationships/hyperlink" Target="https://www.genome.jp/entry/2.7.1.35" TargetMode="External"/><Relationship Id="rId2284" Type="http://schemas.openxmlformats.org/officeDocument/2006/relationships/hyperlink" Target="https://www.genome.jp/entry/1.1.1.17" TargetMode="External"/><Relationship Id="rId256" Type="http://schemas.openxmlformats.org/officeDocument/2006/relationships/hyperlink" Target="https://www.genome.jp/entry/R04535" TargetMode="External"/><Relationship Id="rId463" Type="http://schemas.openxmlformats.org/officeDocument/2006/relationships/hyperlink" Target="https://www.genome.jp/entry/R01090" TargetMode="External"/><Relationship Id="rId670" Type="http://schemas.openxmlformats.org/officeDocument/2006/relationships/hyperlink" Target="https://www.genome.jp/entry/2.8.4.3" TargetMode="External"/><Relationship Id="rId1093" Type="http://schemas.openxmlformats.org/officeDocument/2006/relationships/hyperlink" Target="https://www.genome.jp/entry/R09099" TargetMode="External"/><Relationship Id="rId2144" Type="http://schemas.openxmlformats.org/officeDocument/2006/relationships/hyperlink" Target="https://www.genome.jp/entry/1.1.1.100" TargetMode="External"/><Relationship Id="rId2351" Type="http://schemas.openxmlformats.org/officeDocument/2006/relationships/hyperlink" Target="https://www.genome.jp/entry/R01414" TargetMode="External"/><Relationship Id="rId116" Type="http://schemas.openxmlformats.org/officeDocument/2006/relationships/hyperlink" Target="https://www.genome.jp/entry/6.3.2.1" TargetMode="External"/><Relationship Id="rId323" Type="http://schemas.openxmlformats.org/officeDocument/2006/relationships/hyperlink" Target="https://www.genome.jp/entry/R05622" TargetMode="External"/><Relationship Id="rId530" Type="http://schemas.openxmlformats.org/officeDocument/2006/relationships/hyperlink" Target="https://www.genome.jp/entry/R00375" TargetMode="External"/><Relationship Id="rId768" Type="http://schemas.openxmlformats.org/officeDocument/2006/relationships/hyperlink" Target="https://www.genome.jp/entry/R10948" TargetMode="External"/><Relationship Id="rId975" Type="http://schemas.openxmlformats.org/officeDocument/2006/relationships/hyperlink" Target="https://www.genome.jp/entry/R04672" TargetMode="External"/><Relationship Id="rId1160" Type="http://schemas.openxmlformats.org/officeDocument/2006/relationships/hyperlink" Target="https://www.genome.jp/entry/R01715" TargetMode="External"/><Relationship Id="rId1398" Type="http://schemas.openxmlformats.org/officeDocument/2006/relationships/hyperlink" Target="https://www.genome.jp/entry/R01648" TargetMode="External"/><Relationship Id="rId2004" Type="http://schemas.openxmlformats.org/officeDocument/2006/relationships/hyperlink" Target="https://www.genome.jp/entry/2.2.1.1" TargetMode="External"/><Relationship Id="rId2211" Type="http://schemas.openxmlformats.org/officeDocument/2006/relationships/hyperlink" Target="https://www.genome.jp/entry/1.3.1.98" TargetMode="External"/><Relationship Id="rId2449" Type="http://schemas.openxmlformats.org/officeDocument/2006/relationships/hyperlink" Target="https://www.genome.jp/entry/5.1.3.14" TargetMode="External"/><Relationship Id="rId628" Type="http://schemas.openxmlformats.org/officeDocument/2006/relationships/hyperlink" Target="https://www.genome.jp/entry/R08689" TargetMode="External"/><Relationship Id="rId835" Type="http://schemas.openxmlformats.org/officeDocument/2006/relationships/hyperlink" Target="https://www.genome.jp/entry/R12682" TargetMode="External"/><Relationship Id="rId1258" Type="http://schemas.openxmlformats.org/officeDocument/2006/relationships/hyperlink" Target="https://www.genome.jp/entry/R04534" TargetMode="External"/><Relationship Id="rId1465" Type="http://schemas.openxmlformats.org/officeDocument/2006/relationships/hyperlink" Target="https://www.genome.jp/entry/R01698" TargetMode="External"/><Relationship Id="rId1672" Type="http://schemas.openxmlformats.org/officeDocument/2006/relationships/hyperlink" Target="https://www.genome.jp/entry/1.1.1.1" TargetMode="External"/><Relationship Id="rId2309" Type="http://schemas.openxmlformats.org/officeDocument/2006/relationships/hyperlink" Target="https://www.genome.jp/entry/R01975" TargetMode="External"/><Relationship Id="rId1020" Type="http://schemas.openxmlformats.org/officeDocument/2006/relationships/hyperlink" Target="https://www.genome.jp/entry/3.1.3.2" TargetMode="External"/><Relationship Id="rId1118" Type="http://schemas.openxmlformats.org/officeDocument/2006/relationships/hyperlink" Target="https://www.genome.jp/entry/R04238" TargetMode="External"/><Relationship Id="rId1325" Type="http://schemas.openxmlformats.org/officeDocument/2006/relationships/hyperlink" Target="https://www.genome.jp/entry/2.3.1.31" TargetMode="External"/><Relationship Id="rId1532" Type="http://schemas.openxmlformats.org/officeDocument/2006/relationships/hyperlink" Target="https://www.genome.jp/entry/R10223" TargetMode="External"/><Relationship Id="rId1977" Type="http://schemas.openxmlformats.org/officeDocument/2006/relationships/hyperlink" Target="https://www.genome.jp/entry/4.3.1.17" TargetMode="External"/><Relationship Id="rId902" Type="http://schemas.openxmlformats.org/officeDocument/2006/relationships/hyperlink" Target="https://www.genome.jp/entry/R02283" TargetMode="External"/><Relationship Id="rId1837" Type="http://schemas.openxmlformats.org/officeDocument/2006/relationships/hyperlink" Target="https://www.genome.jp/entry/1.14.12.10" TargetMode="External"/><Relationship Id="rId31" Type="http://schemas.openxmlformats.org/officeDocument/2006/relationships/hyperlink" Target="https://www.genome.jp/entry/6.1.1.4" TargetMode="External"/><Relationship Id="rId2099" Type="http://schemas.openxmlformats.org/officeDocument/2006/relationships/hyperlink" Target="https://www.genome.jp/entry/2.3.1.85" TargetMode="External"/><Relationship Id="rId180" Type="http://schemas.openxmlformats.org/officeDocument/2006/relationships/hyperlink" Target="https://www.genome.jp/entry/6.3.3.1" TargetMode="External"/><Relationship Id="rId278" Type="http://schemas.openxmlformats.org/officeDocument/2006/relationships/hyperlink" Target="https://www.genome.jp/entry/R04970" TargetMode="External"/><Relationship Id="rId1904" Type="http://schemas.openxmlformats.org/officeDocument/2006/relationships/hyperlink" Target="https://www.genome.jp/entry/2.7.8.13" TargetMode="External"/><Relationship Id="rId485" Type="http://schemas.openxmlformats.org/officeDocument/2006/relationships/hyperlink" Target="https://www.genome.jp/entry/R11703" TargetMode="External"/><Relationship Id="rId692" Type="http://schemas.openxmlformats.org/officeDocument/2006/relationships/hyperlink" Target="https://www.genome.jp/entry/R02185" TargetMode="External"/><Relationship Id="rId2166" Type="http://schemas.openxmlformats.org/officeDocument/2006/relationships/hyperlink" Target="https://www.genome.jp/entry/2.3.3.5" TargetMode="External"/><Relationship Id="rId2373" Type="http://schemas.openxmlformats.org/officeDocument/2006/relationships/hyperlink" Target="https://www.genome.jp/entry/3.2.1.18" TargetMode="External"/><Relationship Id="rId138" Type="http://schemas.openxmlformats.org/officeDocument/2006/relationships/hyperlink" Target="https://www.genome.jp/entry/R00765" TargetMode="External"/><Relationship Id="rId345" Type="http://schemas.openxmlformats.org/officeDocument/2006/relationships/hyperlink" Target="https://www.genome.jp/entry/5.3.3.4" TargetMode="External"/><Relationship Id="rId552" Type="http://schemas.openxmlformats.org/officeDocument/2006/relationships/hyperlink" Target="https://www.genome.jp/entry/R03012" TargetMode="External"/><Relationship Id="rId997" Type="http://schemas.openxmlformats.org/officeDocument/2006/relationships/hyperlink" Target="https://www.genome.jp/entry/R09979" TargetMode="External"/><Relationship Id="rId1182" Type="http://schemas.openxmlformats.org/officeDocument/2006/relationships/hyperlink" Target="https://www.genome.jp/entry/R01706" TargetMode="External"/><Relationship Id="rId2026" Type="http://schemas.openxmlformats.org/officeDocument/2006/relationships/hyperlink" Target="https://www.genome.jp/entry/2.7.7.7" TargetMode="External"/><Relationship Id="rId2233" Type="http://schemas.openxmlformats.org/officeDocument/2006/relationships/hyperlink" Target="https://www.genome.jp/entry/2.7.7.7" TargetMode="External"/><Relationship Id="rId2440" Type="http://schemas.openxmlformats.org/officeDocument/2006/relationships/hyperlink" Target="https://www.genome.jp/entry/4.1.3.39" TargetMode="External"/><Relationship Id="rId205" Type="http://schemas.openxmlformats.org/officeDocument/2006/relationships/hyperlink" Target="https://www.genome.jp/entry/R00660" TargetMode="External"/><Relationship Id="rId412" Type="http://schemas.openxmlformats.org/officeDocument/2006/relationships/hyperlink" Target="https://www.genome.jp/entry/R02408" TargetMode="External"/><Relationship Id="rId857" Type="http://schemas.openxmlformats.org/officeDocument/2006/relationships/hyperlink" Target="https://www.genome.jp/entry/3.6.1.31" TargetMode="External"/><Relationship Id="rId1042" Type="http://schemas.openxmlformats.org/officeDocument/2006/relationships/hyperlink" Target="https://www.genome.jp/entry/R04405" TargetMode="External"/><Relationship Id="rId1487" Type="http://schemas.openxmlformats.org/officeDocument/2006/relationships/hyperlink" Target="https://www.genome.jp/entry/R01968" TargetMode="External"/><Relationship Id="rId1694" Type="http://schemas.openxmlformats.org/officeDocument/2006/relationships/hyperlink" Target="https://www.genome.jp/entry/R00921" TargetMode="External"/><Relationship Id="rId2300" Type="http://schemas.openxmlformats.org/officeDocument/2006/relationships/hyperlink" Target="https://www.genome.jp/entry/1.1.1.35" TargetMode="External"/><Relationship Id="rId717" Type="http://schemas.openxmlformats.org/officeDocument/2006/relationships/hyperlink" Target="https://www.genome.jp/entry/3.1.21.10" TargetMode="External"/><Relationship Id="rId924" Type="http://schemas.openxmlformats.org/officeDocument/2006/relationships/hyperlink" Target="https://www.genome.jp/entry/R00379" TargetMode="External"/><Relationship Id="rId1347" Type="http://schemas.openxmlformats.org/officeDocument/2006/relationships/hyperlink" Target="https://www.genome.jp/entry/R00376" TargetMode="External"/><Relationship Id="rId1554" Type="http://schemas.openxmlformats.org/officeDocument/2006/relationships/hyperlink" Target="https://www.genome.jp/entry/3.7.1.22" TargetMode="External"/><Relationship Id="rId1761" Type="http://schemas.openxmlformats.org/officeDocument/2006/relationships/hyperlink" Target="https://www.genome.jp/entry/1.17.4.1" TargetMode="External"/><Relationship Id="rId1999" Type="http://schemas.openxmlformats.org/officeDocument/2006/relationships/hyperlink" Target="https://www.genome.jp/entry/2.5.1.6" TargetMode="External"/><Relationship Id="rId53" Type="http://schemas.openxmlformats.org/officeDocument/2006/relationships/hyperlink" Target="https://www.genome.jp/entry/4.2.1.51" TargetMode="External"/><Relationship Id="rId1207" Type="http://schemas.openxmlformats.org/officeDocument/2006/relationships/hyperlink" Target="https://www.genome.jp/entry/R04965" TargetMode="External"/><Relationship Id="rId1414" Type="http://schemas.openxmlformats.org/officeDocument/2006/relationships/hyperlink" Target="https://www.genome.jp/entry/R04030" TargetMode="External"/><Relationship Id="rId1621" Type="http://schemas.openxmlformats.org/officeDocument/2006/relationships/hyperlink" Target="https://www.genome.jp/entry/R02722" TargetMode="External"/><Relationship Id="rId1859" Type="http://schemas.openxmlformats.org/officeDocument/2006/relationships/hyperlink" Target="https://www.genome.jp/entry/2.7.4.6" TargetMode="External"/><Relationship Id="rId1719" Type="http://schemas.openxmlformats.org/officeDocument/2006/relationships/hyperlink" Target="https://www.genome.jp/entry/R05048" TargetMode="External"/><Relationship Id="rId1926" Type="http://schemas.openxmlformats.org/officeDocument/2006/relationships/hyperlink" Target="https://www.genome.jp/entry/2.6.1.9" TargetMode="External"/><Relationship Id="rId2090" Type="http://schemas.openxmlformats.org/officeDocument/2006/relationships/hyperlink" Target="https://www.genome.jp/entry/1.5.1.3" TargetMode="External"/><Relationship Id="rId2188" Type="http://schemas.openxmlformats.org/officeDocument/2006/relationships/hyperlink" Target="https://www.genome.jp/entry/2.7.7.6" TargetMode="External"/><Relationship Id="rId2395" Type="http://schemas.openxmlformats.org/officeDocument/2006/relationships/hyperlink" Target="https://www.genome.jp/entry/R00256" TargetMode="External"/><Relationship Id="rId367" Type="http://schemas.openxmlformats.org/officeDocument/2006/relationships/hyperlink" Target="https://www.genome.jp/entry/R07136" TargetMode="External"/><Relationship Id="rId574" Type="http://schemas.openxmlformats.org/officeDocument/2006/relationships/hyperlink" Target="https://www.genome.jp/entry/2.7.1.40" TargetMode="External"/><Relationship Id="rId2048" Type="http://schemas.openxmlformats.org/officeDocument/2006/relationships/hyperlink" Target="https://www.genome.jp/entry/4.2.1.9" TargetMode="External"/><Relationship Id="rId2255" Type="http://schemas.openxmlformats.org/officeDocument/2006/relationships/hyperlink" Target="https://www.genome.jp/entry/3.5.1.5" TargetMode="External"/><Relationship Id="rId227" Type="http://schemas.openxmlformats.org/officeDocument/2006/relationships/hyperlink" Target="https://www.genome.jp/entry/R08364" TargetMode="External"/><Relationship Id="rId781" Type="http://schemas.openxmlformats.org/officeDocument/2006/relationships/hyperlink" Target="https://www.genome.jp/entry/R00442" TargetMode="External"/><Relationship Id="rId879" Type="http://schemas.openxmlformats.org/officeDocument/2006/relationships/hyperlink" Target="https://www.genome.jp/entry/7.3.2.2" TargetMode="External"/><Relationship Id="rId2462" Type="http://schemas.openxmlformats.org/officeDocument/2006/relationships/hyperlink" Target="https://www.genome.jp/entry/R01724" TargetMode="External"/><Relationship Id="rId434" Type="http://schemas.openxmlformats.org/officeDocument/2006/relationships/hyperlink" Target="https://www.genome.jp/entry/R03270" TargetMode="External"/><Relationship Id="rId641" Type="http://schemas.openxmlformats.org/officeDocument/2006/relationships/hyperlink" Target="https://www.genome.jp/entry/2.1.1.107" TargetMode="External"/><Relationship Id="rId739" Type="http://schemas.openxmlformats.org/officeDocument/2006/relationships/hyperlink" Target="https://www.genome.jp/entry/3.1.21.10" TargetMode="External"/><Relationship Id="rId1064" Type="http://schemas.openxmlformats.org/officeDocument/2006/relationships/hyperlink" Target="https://www.genome.jp/entry/1.20.4.1" TargetMode="External"/><Relationship Id="rId1271" Type="http://schemas.openxmlformats.org/officeDocument/2006/relationships/hyperlink" Target="https://www.genome.jp/entry/6.3.4.18" TargetMode="External"/><Relationship Id="rId1369" Type="http://schemas.openxmlformats.org/officeDocument/2006/relationships/hyperlink" Target="https://www.genome.jp/entry/5.4.99.12" TargetMode="External"/><Relationship Id="rId1576" Type="http://schemas.openxmlformats.org/officeDocument/2006/relationships/hyperlink" Target="https://www.genome.jp/entry/R12185" TargetMode="External"/><Relationship Id="rId2115" Type="http://schemas.openxmlformats.org/officeDocument/2006/relationships/hyperlink" Target="https://www.genome.jp/entry/2.3.1.85" TargetMode="External"/><Relationship Id="rId2322" Type="http://schemas.openxmlformats.org/officeDocument/2006/relationships/hyperlink" Target="https://www.genome.jp/entry/R08094" TargetMode="External"/><Relationship Id="rId501" Type="http://schemas.openxmlformats.org/officeDocument/2006/relationships/hyperlink" Target="https://www.genome.jp/entry/R02788" TargetMode="External"/><Relationship Id="rId946" Type="http://schemas.openxmlformats.org/officeDocument/2006/relationships/hyperlink" Target="https://www.genome.jp/entry/R03968" TargetMode="External"/><Relationship Id="rId1131" Type="http://schemas.openxmlformats.org/officeDocument/2006/relationships/hyperlink" Target="https://www.genome.jp/entry/2.7.1.148" TargetMode="External"/><Relationship Id="rId1229" Type="http://schemas.openxmlformats.org/officeDocument/2006/relationships/hyperlink" Target="https://www.genome.jp/entry/R10089" TargetMode="External"/><Relationship Id="rId1783" Type="http://schemas.openxmlformats.org/officeDocument/2006/relationships/hyperlink" Target="https://www.genome.jp/entry/2.3.1.85" TargetMode="External"/><Relationship Id="rId1990" Type="http://schemas.openxmlformats.org/officeDocument/2006/relationships/hyperlink" Target="https://www.genome.jp/entry/6.3.5.5" TargetMode="External"/><Relationship Id="rId75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806" Type="http://schemas.openxmlformats.org/officeDocument/2006/relationships/hyperlink" Target="https://www.genome.jp/entry/4.1.99.12" TargetMode="External"/><Relationship Id="rId1436" Type="http://schemas.openxmlformats.org/officeDocument/2006/relationships/hyperlink" Target="https://www.genome.jp/entry/R01627" TargetMode="External"/><Relationship Id="rId1643" Type="http://schemas.openxmlformats.org/officeDocument/2006/relationships/hyperlink" Target="https://www.genome.jp/entry/R08218" TargetMode="External"/><Relationship Id="rId1850" Type="http://schemas.openxmlformats.org/officeDocument/2006/relationships/hyperlink" Target="https://www.genome.jp/entry/6.3.2.12" TargetMode="External"/><Relationship Id="rId1503" Type="http://schemas.openxmlformats.org/officeDocument/2006/relationships/hyperlink" Target="https://www.genome.jp/entry/3.3.2.2" TargetMode="External"/><Relationship Id="rId1710" Type="http://schemas.openxmlformats.org/officeDocument/2006/relationships/hyperlink" Target="https://www.genome.jp/entry/R08245" TargetMode="External"/><Relationship Id="rId1948" Type="http://schemas.openxmlformats.org/officeDocument/2006/relationships/hyperlink" Target="https://www.genome.jp/entry/1.4.3.19" TargetMode="External"/><Relationship Id="rId291" Type="http://schemas.openxmlformats.org/officeDocument/2006/relationships/hyperlink" Target="https://www.genome.jp/entry/R11921" TargetMode="External"/><Relationship Id="rId1808" Type="http://schemas.openxmlformats.org/officeDocument/2006/relationships/hyperlink" Target="https://www.genome.jp/entry/3.1.3.1" TargetMode="External"/><Relationship Id="rId151" Type="http://schemas.openxmlformats.org/officeDocument/2006/relationships/hyperlink" Target="https://www.genome.jp/entry/1.4.1.16" TargetMode="External"/><Relationship Id="rId389" Type="http://schemas.openxmlformats.org/officeDocument/2006/relationships/hyperlink" Target="https://www.genome.jp/entry/R02093" TargetMode="External"/><Relationship Id="rId596" Type="http://schemas.openxmlformats.org/officeDocument/2006/relationships/hyperlink" Target="https://www.genome.jp/entry/R00317" TargetMode="External"/><Relationship Id="rId2277" Type="http://schemas.openxmlformats.org/officeDocument/2006/relationships/hyperlink" Target="https://www.genome.jp/entry/1.1.1.140" TargetMode="External"/><Relationship Id="rId249" Type="http://schemas.openxmlformats.org/officeDocument/2006/relationships/hyperlink" Target="https://www.genome.jp/entry/R01626" TargetMode="External"/><Relationship Id="rId456" Type="http://schemas.openxmlformats.org/officeDocument/2006/relationships/hyperlink" Target="https://www.genome.jp/entry/R12427" TargetMode="External"/><Relationship Id="rId663" Type="http://schemas.openxmlformats.org/officeDocument/2006/relationships/hyperlink" Target="https://www.genome.jp/entry/R04199" TargetMode="External"/><Relationship Id="rId870" Type="http://schemas.openxmlformats.org/officeDocument/2006/relationships/hyperlink" Target="https://www.genome.jp/entry/R00859" TargetMode="External"/><Relationship Id="rId1086" Type="http://schemas.openxmlformats.org/officeDocument/2006/relationships/hyperlink" Target="https://www.genome.jp/entry/R00251" TargetMode="External"/><Relationship Id="rId1293" Type="http://schemas.openxmlformats.org/officeDocument/2006/relationships/hyperlink" Target="https://www.genome.jp/entry/R00351" TargetMode="External"/><Relationship Id="rId2137" Type="http://schemas.openxmlformats.org/officeDocument/2006/relationships/hyperlink" Target="https://www.genome.jp/entry/1.5.1.3" TargetMode="External"/><Relationship Id="rId2344" Type="http://schemas.openxmlformats.org/officeDocument/2006/relationships/hyperlink" Target="https://www.genome.jp/entry/1.2.1.10" TargetMode="External"/><Relationship Id="rId109" Type="http://schemas.openxmlformats.org/officeDocument/2006/relationships/hyperlink" Target="https://www.genome.jp/entry/R00424/R00428/R04639/R05046/R05048" TargetMode="External"/><Relationship Id="rId316" Type="http://schemas.openxmlformats.org/officeDocument/2006/relationships/hyperlink" Target="https://www.genome.jp/entry/R00813" TargetMode="External"/><Relationship Id="rId523" Type="http://schemas.openxmlformats.org/officeDocument/2006/relationships/hyperlink" Target="https://www.genome.jp/entry/R00376" TargetMode="External"/><Relationship Id="rId968" Type="http://schemas.openxmlformats.org/officeDocument/2006/relationships/hyperlink" Target="https://www.genome.jp/entry/R05069" TargetMode="External"/><Relationship Id="rId1153" Type="http://schemas.openxmlformats.org/officeDocument/2006/relationships/hyperlink" Target="https://www.genome.jp/entry/3.5.4.10" TargetMode="External"/><Relationship Id="rId1598" Type="http://schemas.openxmlformats.org/officeDocument/2006/relationships/hyperlink" Target="https://www.genome.jp/entry/2.7.13.3" TargetMode="External"/><Relationship Id="rId2204" Type="http://schemas.openxmlformats.org/officeDocument/2006/relationships/hyperlink" Target="https://www.genome.jp/entry/2.1.1.107" TargetMode="External"/><Relationship Id="rId97" Type="http://schemas.openxmlformats.org/officeDocument/2006/relationships/hyperlink" Target="https://www.genome.jp/entry/1.2.1.79" TargetMode="External"/><Relationship Id="rId730" Type="http://schemas.openxmlformats.org/officeDocument/2006/relationships/hyperlink" Target="https://www.genome.jp/entry/R00220" TargetMode="External"/><Relationship Id="rId828" Type="http://schemas.openxmlformats.org/officeDocument/2006/relationships/hyperlink" Target="https://www.genome.jp/entry/R06590" TargetMode="External"/><Relationship Id="rId1013" Type="http://schemas.openxmlformats.org/officeDocument/2006/relationships/hyperlink" Target="https://www.genome.jp/entry/R10463" TargetMode="External"/><Relationship Id="rId1360" Type="http://schemas.openxmlformats.org/officeDocument/2006/relationships/hyperlink" Target="https://www.genome.jp/entry/R10648" TargetMode="External"/><Relationship Id="rId1458" Type="http://schemas.openxmlformats.org/officeDocument/2006/relationships/hyperlink" Target="https://www.genome.jp/entry/R00944" TargetMode="External"/><Relationship Id="rId1665" Type="http://schemas.openxmlformats.org/officeDocument/2006/relationships/hyperlink" Target="https://www.genome.jp/entry/R02246" TargetMode="External"/><Relationship Id="rId1872" Type="http://schemas.openxmlformats.org/officeDocument/2006/relationships/hyperlink" Target="https://www.genome.jp/entry/4.4.1.13" TargetMode="External"/><Relationship Id="rId2411" Type="http://schemas.openxmlformats.org/officeDocument/2006/relationships/hyperlink" Target="https://www.genome.jp/entry/3.5.4.5" TargetMode="External"/><Relationship Id="rId1220" Type="http://schemas.openxmlformats.org/officeDocument/2006/relationships/hyperlink" Target="https://www.genome.jp/entry/3.1.3.15" TargetMode="External"/><Relationship Id="rId1318" Type="http://schemas.openxmlformats.org/officeDocument/2006/relationships/hyperlink" Target="https://www.genome.jp/entry/4.1.3.30" TargetMode="External"/><Relationship Id="rId1525" Type="http://schemas.openxmlformats.org/officeDocument/2006/relationships/hyperlink" Target="https://www.genome.jp/entry/R00376" TargetMode="External"/><Relationship Id="rId1732" Type="http://schemas.openxmlformats.org/officeDocument/2006/relationships/hyperlink" Target="https://www.genome.jp/entry/2.4.1.15" TargetMode="External"/><Relationship Id="rId24" Type="http://schemas.openxmlformats.org/officeDocument/2006/relationships/hyperlink" Target="https://www.genome.jp/entry/4.1.3.27" TargetMode="External"/><Relationship Id="rId2299" Type="http://schemas.openxmlformats.org/officeDocument/2006/relationships/hyperlink" Target="https://www.genome.jp/entry/1.1.1.35" TargetMode="External"/><Relationship Id="rId173" Type="http://schemas.openxmlformats.org/officeDocument/2006/relationships/hyperlink" Target="https://www.genome.jp/entry/R00256" TargetMode="External"/><Relationship Id="rId380" Type="http://schemas.openxmlformats.org/officeDocument/2006/relationships/hyperlink" Target="https://www.genome.jp/entry/R00331" TargetMode="External"/><Relationship Id="rId2061" Type="http://schemas.openxmlformats.org/officeDocument/2006/relationships/hyperlink" Target="https://www.genome.jp/entry/1.17.7.4" TargetMode="External"/><Relationship Id="rId240" Type="http://schemas.openxmlformats.org/officeDocument/2006/relationships/hyperlink" Target="https://www.genome.jp/entry/R07285" TargetMode="External"/><Relationship Id="rId478" Type="http://schemas.openxmlformats.org/officeDocument/2006/relationships/hyperlink" Target="https://www.genome.jp/entry/R00256" TargetMode="External"/><Relationship Id="rId685" Type="http://schemas.openxmlformats.org/officeDocument/2006/relationships/hyperlink" Target="https://www.genome.jp/entry/3.6.4.13" TargetMode="External"/><Relationship Id="rId892" Type="http://schemas.openxmlformats.org/officeDocument/2006/relationships/hyperlink" Target="https://www.genome.jp/entry/R00104" TargetMode="External"/><Relationship Id="rId2159" Type="http://schemas.openxmlformats.org/officeDocument/2006/relationships/hyperlink" Target="https://www.genome.jp/entry/3.6.1.9" TargetMode="External"/><Relationship Id="rId2366" Type="http://schemas.openxmlformats.org/officeDocument/2006/relationships/hyperlink" Target="https://www.genome.jp/entry/2.7.7.49" TargetMode="External"/><Relationship Id="rId100" Type="http://schemas.openxmlformats.org/officeDocument/2006/relationships/hyperlink" Target="https://www.genome.jp/entry/R01920/R08359" TargetMode="External"/><Relationship Id="rId338" Type="http://schemas.openxmlformats.org/officeDocument/2006/relationships/hyperlink" Target="https://www.genome.jp/entry/1.13.11.1" TargetMode="External"/><Relationship Id="rId545" Type="http://schemas.openxmlformats.org/officeDocument/2006/relationships/hyperlink" Target="https://www.genome.jp/entry/5.4.99.15" TargetMode="External"/><Relationship Id="rId752" Type="http://schemas.openxmlformats.org/officeDocument/2006/relationships/hyperlink" Target="https://www.genome.jp/entry/R00966" TargetMode="External"/><Relationship Id="rId1175" Type="http://schemas.openxmlformats.org/officeDocument/2006/relationships/hyperlink" Target="https://www.genome.jp/entry/R00937" TargetMode="External"/><Relationship Id="rId1382" Type="http://schemas.openxmlformats.org/officeDocument/2006/relationships/hyperlink" Target="https://www.genome.jp/entry/R11319" TargetMode="External"/><Relationship Id="rId2019" Type="http://schemas.openxmlformats.org/officeDocument/2006/relationships/hyperlink" Target="https://www.genome.jp/entry/1.6.5.2" TargetMode="External"/><Relationship Id="rId2226" Type="http://schemas.openxmlformats.org/officeDocument/2006/relationships/hyperlink" Target="https://www.genome.jp/entry/3.1.3.5" TargetMode="External"/><Relationship Id="rId2433" Type="http://schemas.openxmlformats.org/officeDocument/2006/relationships/hyperlink" Target="https://www.genome.jp/entry/R00470" TargetMode="External"/><Relationship Id="rId405" Type="http://schemas.openxmlformats.org/officeDocument/2006/relationships/hyperlink" Target="https://www.genome.jp/entry/2.3.3.9" TargetMode="External"/><Relationship Id="rId612" Type="http://schemas.openxmlformats.org/officeDocument/2006/relationships/hyperlink" Target="https://www.genome.jp/entry/R05862" TargetMode="External"/><Relationship Id="rId1035" Type="http://schemas.openxmlformats.org/officeDocument/2006/relationships/hyperlink" Target="https://www.genome.jp/entry/R03646" TargetMode="External"/><Relationship Id="rId1242" Type="http://schemas.openxmlformats.org/officeDocument/2006/relationships/hyperlink" Target="https://www.genome.jp/entry/5.3.1.8" TargetMode="External"/><Relationship Id="rId1687" Type="http://schemas.openxmlformats.org/officeDocument/2006/relationships/hyperlink" Target="https://www.genome.jp/entry/R01068" TargetMode="External"/><Relationship Id="rId1894" Type="http://schemas.openxmlformats.org/officeDocument/2006/relationships/hyperlink" Target="https://www.genome.jp/entry/6.3.5.4" TargetMode="External"/><Relationship Id="rId917" Type="http://schemas.openxmlformats.org/officeDocument/2006/relationships/hyperlink" Target="https://www.genome.jp/entry/R02964" TargetMode="External"/><Relationship Id="rId1102" Type="http://schemas.openxmlformats.org/officeDocument/2006/relationships/hyperlink" Target="https://www.genome.jp/entry/R04206" TargetMode="External"/><Relationship Id="rId1547" Type="http://schemas.openxmlformats.org/officeDocument/2006/relationships/hyperlink" Target="https://www.genome.jp/entry/R12079" TargetMode="External"/><Relationship Id="rId1754" Type="http://schemas.openxmlformats.org/officeDocument/2006/relationships/hyperlink" Target="https://www.genome.jp/entry/1.17.4.1" TargetMode="External"/><Relationship Id="rId1961" Type="http://schemas.openxmlformats.org/officeDocument/2006/relationships/hyperlink" Target="https://www.genome.jp/entry/2.7.7.8" TargetMode="External"/><Relationship Id="rId46" Type="http://schemas.openxmlformats.org/officeDocument/2006/relationships/hyperlink" Target="https://www.genome.jp/entry/2.7.13.3" TargetMode="External"/><Relationship Id="rId1407" Type="http://schemas.openxmlformats.org/officeDocument/2006/relationships/hyperlink" Target="https://www.genome.jp/entry/R04031" TargetMode="External"/><Relationship Id="rId1614" Type="http://schemas.openxmlformats.org/officeDocument/2006/relationships/hyperlink" Target="https://www.genome.jp/entry/R09372" TargetMode="External"/><Relationship Id="rId1821" Type="http://schemas.openxmlformats.org/officeDocument/2006/relationships/hyperlink" Target="https://www.genome.jp/entry/1.3.1.25" TargetMode="External"/><Relationship Id="rId195" Type="http://schemas.openxmlformats.org/officeDocument/2006/relationships/hyperlink" Target="https://www.genome.jp/entry/R03601" TargetMode="External"/><Relationship Id="rId1919" Type="http://schemas.openxmlformats.org/officeDocument/2006/relationships/hyperlink" Target="https://www.genome.jp/entry/4.3.1.19" TargetMode="External"/><Relationship Id="rId2083" Type="http://schemas.openxmlformats.org/officeDocument/2006/relationships/hyperlink" Target="https://www.genome.jp/entry/5.3.1.9" TargetMode="External"/><Relationship Id="rId2290" Type="http://schemas.openxmlformats.org/officeDocument/2006/relationships/hyperlink" Target="https://www.genome.jp/entry/R05066" TargetMode="External"/><Relationship Id="rId2388" Type="http://schemas.openxmlformats.org/officeDocument/2006/relationships/hyperlink" Target="https://www.genome.jp/entry/R05996" TargetMode="External"/><Relationship Id="rId262" Type="http://schemas.openxmlformats.org/officeDocument/2006/relationships/hyperlink" Target="https://www.genome.jp/entry/R04568" TargetMode="External"/><Relationship Id="rId567" Type="http://schemas.openxmlformats.org/officeDocument/2006/relationships/hyperlink" Target="https://www.genome.jp/entry/R12152" TargetMode="External"/><Relationship Id="rId1197" Type="http://schemas.openxmlformats.org/officeDocument/2006/relationships/hyperlink" Target="https://www.genome.jp/entry/R04952" TargetMode="External"/><Relationship Id="rId2150" Type="http://schemas.openxmlformats.org/officeDocument/2006/relationships/hyperlink" Target="https://www.genome.jp/entry/6.3.4.15" TargetMode="External"/><Relationship Id="rId2248" Type="http://schemas.openxmlformats.org/officeDocument/2006/relationships/hyperlink" Target="https://www.genome.jp/entry/1.4.1.13" TargetMode="External"/><Relationship Id="rId122" Type="http://schemas.openxmlformats.org/officeDocument/2006/relationships/hyperlink" Target="https://www.genome.jp/entry/R05699" TargetMode="External"/><Relationship Id="rId774" Type="http://schemas.openxmlformats.org/officeDocument/2006/relationships/hyperlink" Target="https://www.genome.jp/entry/R00332" TargetMode="External"/><Relationship Id="rId981" Type="http://schemas.openxmlformats.org/officeDocument/2006/relationships/hyperlink" Target="https://www.genome.jp/entry/R05070" TargetMode="External"/><Relationship Id="rId1057" Type="http://schemas.openxmlformats.org/officeDocument/2006/relationships/hyperlink" Target="https://www.genome.jp/entry/R02734" TargetMode="External"/><Relationship Id="rId2010" Type="http://schemas.openxmlformats.org/officeDocument/2006/relationships/hyperlink" Target="https://www.genome.jp/entry/2.8.1.7" TargetMode="External"/><Relationship Id="rId2455" Type="http://schemas.openxmlformats.org/officeDocument/2006/relationships/hyperlink" Target="https://www.genome.jp/entry/5.3.2.8" TargetMode="External"/><Relationship Id="rId427" Type="http://schemas.openxmlformats.org/officeDocument/2006/relationships/hyperlink" Target="https://www.genome.jp/entry/6.1.1.14" TargetMode="External"/><Relationship Id="rId634" Type="http://schemas.openxmlformats.org/officeDocument/2006/relationships/hyperlink" Target="https://www.genome.jp/entry/R06289" TargetMode="External"/><Relationship Id="rId841" Type="http://schemas.openxmlformats.org/officeDocument/2006/relationships/hyperlink" Target="https://www.genome.jp/entry/4.98.1.1" TargetMode="External"/><Relationship Id="rId1264" Type="http://schemas.openxmlformats.org/officeDocument/2006/relationships/hyperlink" Target="https://www.genome.jp/entry/R07763" TargetMode="External"/><Relationship Id="rId1471" Type="http://schemas.openxmlformats.org/officeDocument/2006/relationships/hyperlink" Target="https://www.genome.jp/entry/4.2.1.46" TargetMode="External"/><Relationship Id="rId1569" Type="http://schemas.openxmlformats.org/officeDocument/2006/relationships/hyperlink" Target="https://www.genome.jp/entry/6.3.2.1" TargetMode="External"/><Relationship Id="rId2108" Type="http://schemas.openxmlformats.org/officeDocument/2006/relationships/hyperlink" Target="https://www.genome.jp/entry/2.3.1.85" TargetMode="External"/><Relationship Id="rId2315" Type="http://schemas.openxmlformats.org/officeDocument/2006/relationships/hyperlink" Target="https://www.genome.jp/entry/R04745" TargetMode="External"/><Relationship Id="rId701" Type="http://schemas.openxmlformats.org/officeDocument/2006/relationships/hyperlink" Target="https://www.genome.jp/entry/1.3.98.5" TargetMode="External"/><Relationship Id="rId939" Type="http://schemas.openxmlformats.org/officeDocument/2006/relationships/hyperlink" Target="https://www.genome.jp/entry/R00842" TargetMode="External"/><Relationship Id="rId1124" Type="http://schemas.openxmlformats.org/officeDocument/2006/relationships/hyperlink" Target="https://www.genome.jp/entry/R04238" TargetMode="External"/><Relationship Id="rId1331" Type="http://schemas.openxmlformats.org/officeDocument/2006/relationships/hyperlink" Target="https://www.genome.jp/entry/R00376" TargetMode="External"/><Relationship Id="rId1776" Type="http://schemas.openxmlformats.org/officeDocument/2006/relationships/hyperlink" Target="https://www.genome.jp/entry/2.3.1.85" TargetMode="External"/><Relationship Id="rId1983" Type="http://schemas.openxmlformats.org/officeDocument/2006/relationships/hyperlink" Target="https://www.genome.jp/entry/6.3.5.5" TargetMode="External"/><Relationship Id="rId68" Type="http://schemas.openxmlformats.org/officeDocument/2006/relationships/hyperlink" Target="https://www.genome.jp/entry/R02325" TargetMode="External"/><Relationship Id="rId1429" Type="http://schemas.openxmlformats.org/officeDocument/2006/relationships/hyperlink" Target="https://www.genome.jp/entry/R07238" TargetMode="External"/><Relationship Id="rId1636" Type="http://schemas.openxmlformats.org/officeDocument/2006/relationships/hyperlink" Target="https://www.genome.jp/entry/1.8.1.9" TargetMode="External"/><Relationship Id="rId1843" Type="http://schemas.openxmlformats.org/officeDocument/2006/relationships/hyperlink" Target="https://www.genome.jp/entry/5.3.3.4" TargetMode="External"/><Relationship Id="rId1703" Type="http://schemas.openxmlformats.org/officeDocument/2006/relationships/hyperlink" Target="https://www.genome.jp/entry/6.3.2.2" TargetMode="External"/><Relationship Id="rId1910" Type="http://schemas.openxmlformats.org/officeDocument/2006/relationships/hyperlink" Target="https://www.genome.jp/entry/2.7.7.7" TargetMode="External"/><Relationship Id="rId284" Type="http://schemas.openxmlformats.org/officeDocument/2006/relationships/hyperlink" Target="https://www.genome.jp/entry/R01482" TargetMode="External"/><Relationship Id="rId491" Type="http://schemas.openxmlformats.org/officeDocument/2006/relationships/hyperlink" Target="https://www.genome.jp/entry/R01600" TargetMode="External"/><Relationship Id="rId2172" Type="http://schemas.openxmlformats.org/officeDocument/2006/relationships/hyperlink" Target="https://www.genome.jp/entry/2.7.7.7" TargetMode="External"/><Relationship Id="rId144" Type="http://schemas.openxmlformats.org/officeDocument/2006/relationships/hyperlink" Target="https://www.genome.jp/entry/R02778" TargetMode="External"/><Relationship Id="rId589" Type="http://schemas.openxmlformats.org/officeDocument/2006/relationships/hyperlink" Target="https://www.genome.jp/entry/7.1.2.2" TargetMode="External"/><Relationship Id="rId796" Type="http://schemas.openxmlformats.org/officeDocument/2006/relationships/hyperlink" Target="https://www.genome.jp/entry/5.1.3.1" TargetMode="External"/><Relationship Id="rId351" Type="http://schemas.openxmlformats.org/officeDocument/2006/relationships/hyperlink" Target="https://www.genome.jp/entry/1.13.11.3" TargetMode="External"/><Relationship Id="rId449" Type="http://schemas.openxmlformats.org/officeDocument/2006/relationships/hyperlink" Target="https://www.genome.jp/entry/R00253" TargetMode="External"/><Relationship Id="rId656" Type="http://schemas.openxmlformats.org/officeDocument/2006/relationships/hyperlink" Target="https://www.genome.jp/entry/R07282" TargetMode="External"/><Relationship Id="rId863" Type="http://schemas.openxmlformats.org/officeDocument/2006/relationships/hyperlink" Target="https://www.genome.jp/entry/5.6.1.5" TargetMode="External"/><Relationship Id="rId1079" Type="http://schemas.openxmlformats.org/officeDocument/2006/relationships/hyperlink" Target="https://www.genome.jp/entry/3.1.3.11" TargetMode="External"/><Relationship Id="rId1286" Type="http://schemas.openxmlformats.org/officeDocument/2006/relationships/hyperlink" Target="https://www.genome.jp/entry/R00287" TargetMode="External"/><Relationship Id="rId1493" Type="http://schemas.openxmlformats.org/officeDocument/2006/relationships/hyperlink" Target="https://www.genome.jp/entry/1.1.1.306" TargetMode="External"/><Relationship Id="rId2032" Type="http://schemas.openxmlformats.org/officeDocument/2006/relationships/hyperlink" Target="https://www.genome.jp/entry/1.1.1.85" TargetMode="External"/><Relationship Id="rId2337" Type="http://schemas.openxmlformats.org/officeDocument/2006/relationships/hyperlink" Target="https://www.genome.jp/entry/1.13.11.93" TargetMode="External"/><Relationship Id="rId211" Type="http://schemas.openxmlformats.org/officeDocument/2006/relationships/hyperlink" Target="https://www.genome.jp/entry/6.3.1.5" TargetMode="External"/><Relationship Id="rId309" Type="http://schemas.openxmlformats.org/officeDocument/2006/relationships/hyperlink" Target="https://www.genome.jp/entry/R04951" TargetMode="External"/><Relationship Id="rId516" Type="http://schemas.openxmlformats.org/officeDocument/2006/relationships/hyperlink" Target="https://www.genome.jp/entry/6.3.2.8" TargetMode="External"/><Relationship Id="rId1146" Type="http://schemas.openxmlformats.org/officeDocument/2006/relationships/hyperlink" Target="https://www.genome.jp/entry/2.7.7.9" TargetMode="External"/><Relationship Id="rId1798" Type="http://schemas.openxmlformats.org/officeDocument/2006/relationships/hyperlink" Target="https://www.genome.jp/entry/2.3.1.85" TargetMode="External"/><Relationship Id="rId723" Type="http://schemas.openxmlformats.org/officeDocument/2006/relationships/hyperlink" Target="https://www.genome.jp/entry/2.7.6.5" TargetMode="External"/><Relationship Id="rId930" Type="http://schemas.openxmlformats.org/officeDocument/2006/relationships/hyperlink" Target="https://www.genome.jp/entry/2.7.7.3" TargetMode="External"/><Relationship Id="rId1006" Type="http://schemas.openxmlformats.org/officeDocument/2006/relationships/hyperlink" Target="https://www.genome.jp/entry/7.1.2.2" TargetMode="External"/><Relationship Id="rId1353" Type="http://schemas.openxmlformats.org/officeDocument/2006/relationships/hyperlink" Target="https://www.genome.jp/entry/R01230" TargetMode="External"/><Relationship Id="rId1560" Type="http://schemas.openxmlformats.org/officeDocument/2006/relationships/hyperlink" Target="https://www.genome.jp/entry/2.1.1.63" TargetMode="External"/><Relationship Id="rId1658" Type="http://schemas.openxmlformats.org/officeDocument/2006/relationships/hyperlink" Target="https://www.genome.jp/entry/R08281" TargetMode="External"/><Relationship Id="rId1865" Type="http://schemas.openxmlformats.org/officeDocument/2006/relationships/hyperlink" Target="https://www.genome.jp/entry/2.7.4.6" TargetMode="External"/><Relationship Id="rId2404" Type="http://schemas.openxmlformats.org/officeDocument/2006/relationships/hyperlink" Target="https://www.genome.jp/entry/3.5.2.2" TargetMode="External"/><Relationship Id="rId1213" Type="http://schemas.openxmlformats.org/officeDocument/2006/relationships/hyperlink" Target="https://www.genome.jp/entry/2.1.3.15" TargetMode="External"/><Relationship Id="rId1420" Type="http://schemas.openxmlformats.org/officeDocument/2006/relationships/hyperlink" Target="https://www.genome.jp/entry/R03222" TargetMode="External"/><Relationship Id="rId1518" Type="http://schemas.openxmlformats.org/officeDocument/2006/relationships/hyperlink" Target="https://www.genome.jp/entry/2.3.3.13" TargetMode="External"/><Relationship Id="rId1725" Type="http://schemas.openxmlformats.org/officeDocument/2006/relationships/hyperlink" Target="https://www.genome.jp/entry/R01293" TargetMode="External"/><Relationship Id="rId1932" Type="http://schemas.openxmlformats.org/officeDocument/2006/relationships/hyperlink" Target="https://www.genome.jp/entry/2.7.1.40" TargetMode="External"/><Relationship Id="rId17" Type="http://schemas.openxmlformats.org/officeDocument/2006/relationships/hyperlink" Target="https://www.genome.jp/entry/R00674/R02340/R02722" TargetMode="External"/><Relationship Id="rId2194" Type="http://schemas.openxmlformats.org/officeDocument/2006/relationships/hyperlink" Target="https://www.genome.jp/entry/2.7.7.6" TargetMode="External"/><Relationship Id="rId166" Type="http://schemas.openxmlformats.org/officeDocument/2006/relationships/hyperlink" Target="https://www.genome.jp/entry/6.3.2.6" TargetMode="External"/><Relationship Id="rId373" Type="http://schemas.openxmlformats.org/officeDocument/2006/relationships/hyperlink" Target="https://www.genome.jp/entry/6.3.2.17" TargetMode="External"/><Relationship Id="rId580" Type="http://schemas.openxmlformats.org/officeDocument/2006/relationships/hyperlink" Target="https://www.genome.jp/entry/R01138" TargetMode="External"/><Relationship Id="rId2054" Type="http://schemas.openxmlformats.org/officeDocument/2006/relationships/hyperlink" Target="https://www.genome.jp/entry/3.1.3.2" TargetMode="External"/><Relationship Id="rId2261" Type="http://schemas.openxmlformats.org/officeDocument/2006/relationships/hyperlink" Target="https://www.genome.jp/entry/3.5.1.5" TargetMode="External"/><Relationship Id="rId1" Type="http://schemas.openxmlformats.org/officeDocument/2006/relationships/hyperlink" Target="https://www.genome.jp/entry/R06178" TargetMode="External"/><Relationship Id="rId233" Type="http://schemas.openxmlformats.org/officeDocument/2006/relationships/hyperlink" Target="https://www.genome.jp/entry/R02853" TargetMode="External"/><Relationship Id="rId440" Type="http://schemas.openxmlformats.org/officeDocument/2006/relationships/hyperlink" Target="https://www.genome.jp/entry/R03473" TargetMode="External"/><Relationship Id="rId678" Type="http://schemas.openxmlformats.org/officeDocument/2006/relationships/hyperlink" Target="https://www.genome.jp/entry/2.7.1.56" TargetMode="External"/><Relationship Id="rId885" Type="http://schemas.openxmlformats.org/officeDocument/2006/relationships/hyperlink" Target="https://www.genome.jp/entry/R00512" TargetMode="External"/><Relationship Id="rId1070" Type="http://schemas.openxmlformats.org/officeDocument/2006/relationships/hyperlink" Target="https://www.genome.jp/entry/2.4.2.19" TargetMode="External"/><Relationship Id="rId2121" Type="http://schemas.openxmlformats.org/officeDocument/2006/relationships/hyperlink" Target="https://www.genome.jp/entry/2.3.1.85" TargetMode="External"/><Relationship Id="rId2359" Type="http://schemas.openxmlformats.org/officeDocument/2006/relationships/hyperlink" Target="https://www.genome.jp/entry/R01626" TargetMode="External"/><Relationship Id="rId300" Type="http://schemas.openxmlformats.org/officeDocument/2006/relationships/hyperlink" Target="https://www.genome.jp/entry/R00999" TargetMode="External"/><Relationship Id="rId538" Type="http://schemas.openxmlformats.org/officeDocument/2006/relationships/hyperlink" Target="https://www.genome.jp/entry/R11101" TargetMode="External"/><Relationship Id="rId745" Type="http://schemas.openxmlformats.org/officeDocument/2006/relationships/hyperlink" Target="https://www.genome.jp/entry/R01714" TargetMode="External"/><Relationship Id="rId952" Type="http://schemas.openxmlformats.org/officeDocument/2006/relationships/hyperlink" Target="https://www.genome.jp/entry/R05578" TargetMode="External"/><Relationship Id="rId1168" Type="http://schemas.openxmlformats.org/officeDocument/2006/relationships/hyperlink" Target="https://www.genome.jp/entry/R00188" TargetMode="External"/><Relationship Id="rId1375" Type="http://schemas.openxmlformats.org/officeDocument/2006/relationships/hyperlink" Target="https://www.genome.jp/entry/R00442" TargetMode="External"/><Relationship Id="rId1582" Type="http://schemas.openxmlformats.org/officeDocument/2006/relationships/hyperlink" Target="https://www.genome.jp/entry/R12185" TargetMode="External"/><Relationship Id="rId2219" Type="http://schemas.openxmlformats.org/officeDocument/2006/relationships/hyperlink" Target="https://www.genome.jp/entry/3.1.3.5" TargetMode="External"/><Relationship Id="rId2426" Type="http://schemas.openxmlformats.org/officeDocument/2006/relationships/hyperlink" Target="https://www.genome.jp/entry/4.1.1.88" TargetMode="External"/><Relationship Id="rId81" Type="http://schemas.openxmlformats.org/officeDocument/2006/relationships/hyperlink" Target="https://www.genome.jp/entry/2.7.13.3" TargetMode="External"/><Relationship Id="rId605" Type="http://schemas.openxmlformats.org/officeDocument/2006/relationships/hyperlink" Target="https://www.genome.jp/entry/2.8.1.10" TargetMode="External"/><Relationship Id="rId812" Type="http://schemas.openxmlformats.org/officeDocument/2006/relationships/hyperlink" Target="https://www.genome.jp/entry/5.3.1.1" TargetMode="External"/><Relationship Id="rId1028" Type="http://schemas.openxmlformats.org/officeDocument/2006/relationships/hyperlink" Target="https://www.genome.jp/entry/R01771" TargetMode="External"/><Relationship Id="rId1235" Type="http://schemas.openxmlformats.org/officeDocument/2006/relationships/hyperlink" Target="https://www.genome.jp/entry/R03460" TargetMode="External"/><Relationship Id="rId1442" Type="http://schemas.openxmlformats.org/officeDocument/2006/relationships/hyperlink" Target="https://www.genome.jp/entry/R01248" TargetMode="External"/><Relationship Id="rId1887" Type="http://schemas.openxmlformats.org/officeDocument/2006/relationships/hyperlink" Target="https://www.genome.jp/entry/2.3.1.181" TargetMode="External"/><Relationship Id="rId1302" Type="http://schemas.openxmlformats.org/officeDocument/2006/relationships/hyperlink" Target="https://www.genome.jp/entry/6.4.1.1" TargetMode="External"/><Relationship Id="rId1747" Type="http://schemas.openxmlformats.org/officeDocument/2006/relationships/hyperlink" Target="https://www.genome.jp/entry/2.5.1.17" TargetMode="External"/><Relationship Id="rId1954" Type="http://schemas.openxmlformats.org/officeDocument/2006/relationships/hyperlink" Target="https://www.genome.jp/entry/1.1.5.4" TargetMode="External"/><Relationship Id="rId39" Type="http://schemas.openxmlformats.org/officeDocument/2006/relationships/hyperlink" Target="https://www.genome.jp/entry/2.1.1.63" TargetMode="External"/><Relationship Id="rId1607" Type="http://schemas.openxmlformats.org/officeDocument/2006/relationships/hyperlink" Target="https://www.genome.jp/entry/R04273" TargetMode="External"/><Relationship Id="rId1814" Type="http://schemas.openxmlformats.org/officeDocument/2006/relationships/hyperlink" Target="https://www.genome.jp/entry/2.5.1.48" TargetMode="External"/><Relationship Id="rId188" Type="http://schemas.openxmlformats.org/officeDocument/2006/relationships/hyperlink" Target="https://www.genome.jp/entry/R00405" TargetMode="External"/><Relationship Id="rId395" Type="http://schemas.openxmlformats.org/officeDocument/2006/relationships/hyperlink" Target="https://www.genome.jp/entry/R11895" TargetMode="External"/><Relationship Id="rId2076" Type="http://schemas.openxmlformats.org/officeDocument/2006/relationships/hyperlink" Target="https://www.genome.jp/entry/2.3.2.2" TargetMode="External"/><Relationship Id="rId2283" Type="http://schemas.openxmlformats.org/officeDocument/2006/relationships/hyperlink" Target="https://www.genome.jp/entry/R02703" TargetMode="External"/><Relationship Id="rId255" Type="http://schemas.openxmlformats.org/officeDocument/2006/relationships/hyperlink" Target="https://www.genome.jp/entry/R04534" TargetMode="External"/><Relationship Id="rId462" Type="http://schemas.openxmlformats.org/officeDocument/2006/relationships/hyperlink" Target="https://www.genome.jp/entry/2.6.1.42" TargetMode="External"/><Relationship Id="rId1092" Type="http://schemas.openxmlformats.org/officeDocument/2006/relationships/hyperlink" Target="https://www.genome.jp/entry/R00945" TargetMode="External"/><Relationship Id="rId1397" Type="http://schemas.openxmlformats.org/officeDocument/2006/relationships/hyperlink" Target="https://www.genome.jp/entry/2.6.1.19" TargetMode="External"/><Relationship Id="rId2143" Type="http://schemas.openxmlformats.org/officeDocument/2006/relationships/hyperlink" Target="https://www.genome.jp/entry/1.1.1.100" TargetMode="External"/><Relationship Id="rId2350" Type="http://schemas.openxmlformats.org/officeDocument/2006/relationships/hyperlink" Target="https://www.genome.jp/entry/1.3.1.1" TargetMode="External"/><Relationship Id="rId115" Type="http://schemas.openxmlformats.org/officeDocument/2006/relationships/hyperlink" Target="https://www.genome.jp/entry/R03503" TargetMode="External"/><Relationship Id="rId322" Type="http://schemas.openxmlformats.org/officeDocument/2006/relationships/hyperlink" Target="https://www.genome.jp/entry/R05621" TargetMode="External"/><Relationship Id="rId767" Type="http://schemas.openxmlformats.org/officeDocument/2006/relationships/hyperlink" Target="https://www.genome.jp/entry/R01395" TargetMode="External"/><Relationship Id="rId974" Type="http://schemas.openxmlformats.org/officeDocument/2006/relationships/hyperlink" Target="https://www.genome.jp/entry/R03050" TargetMode="External"/><Relationship Id="rId2003" Type="http://schemas.openxmlformats.org/officeDocument/2006/relationships/hyperlink" Target="https://www.genome.jp/entry/2.2.1.1" TargetMode="External"/><Relationship Id="rId2210" Type="http://schemas.openxmlformats.org/officeDocument/2006/relationships/hyperlink" Target="https://www.genome.jp/entry/5.4.2.11" TargetMode="External"/><Relationship Id="rId2448" Type="http://schemas.openxmlformats.org/officeDocument/2006/relationships/hyperlink" Target="https://www.genome.jp/entry/R05297" TargetMode="External"/><Relationship Id="rId627" Type="http://schemas.openxmlformats.org/officeDocument/2006/relationships/hyperlink" Target="https://www.genome.jp/entry/1.17.7.1" TargetMode="External"/><Relationship Id="rId834" Type="http://schemas.openxmlformats.org/officeDocument/2006/relationships/hyperlink" Target="https://www.genome.jp/entry/R07412" TargetMode="External"/><Relationship Id="rId1257" Type="http://schemas.openxmlformats.org/officeDocument/2006/relationships/hyperlink" Target="https://www.genome.jp/entry/R04533" TargetMode="External"/><Relationship Id="rId1464" Type="http://schemas.openxmlformats.org/officeDocument/2006/relationships/hyperlink" Target="https://www.genome.jp/entry/R07618" TargetMode="External"/><Relationship Id="rId1671" Type="http://schemas.openxmlformats.org/officeDocument/2006/relationships/hyperlink" Target="https://www.genome.jp/entry/1.1.1.1" TargetMode="External"/><Relationship Id="rId2308" Type="http://schemas.openxmlformats.org/officeDocument/2006/relationships/hyperlink" Target="https://www.genome.jp/entry/R01778" TargetMode="External"/><Relationship Id="rId901" Type="http://schemas.openxmlformats.org/officeDocument/2006/relationships/hyperlink" Target="https://www.genome.jp/entry/2.6.1.11" TargetMode="External"/><Relationship Id="rId1117" Type="http://schemas.openxmlformats.org/officeDocument/2006/relationships/hyperlink" Target="https://www.genome.jp/entry/3.1.1.29" TargetMode="External"/><Relationship Id="rId1324" Type="http://schemas.openxmlformats.org/officeDocument/2006/relationships/hyperlink" Target="https://www.genome.jp/entry/R07274" TargetMode="External"/><Relationship Id="rId1531" Type="http://schemas.openxmlformats.org/officeDocument/2006/relationships/hyperlink" Target="https://www.genome.jp/entry/3.5.4.33" TargetMode="External"/><Relationship Id="rId1769" Type="http://schemas.openxmlformats.org/officeDocument/2006/relationships/hyperlink" Target="https://www.genome.jp/entry/5.6.2.3" TargetMode="External"/><Relationship Id="rId1976" Type="http://schemas.openxmlformats.org/officeDocument/2006/relationships/hyperlink" Target="https://www.genome.jp/entry/2.4.2.7" TargetMode="External"/><Relationship Id="rId30" Type="http://schemas.openxmlformats.org/officeDocument/2006/relationships/hyperlink" Target="https://www.genome.jp/entry/R03868" TargetMode="External"/><Relationship Id="rId1629" Type="http://schemas.openxmlformats.org/officeDocument/2006/relationships/hyperlink" Target="https://www.genome.jp/entry/4.2.1.20" TargetMode="External"/><Relationship Id="rId1836" Type="http://schemas.openxmlformats.org/officeDocument/2006/relationships/hyperlink" Target="https://www.genome.jp/entry/1.14.12.10" TargetMode="External"/><Relationship Id="rId1903" Type="http://schemas.openxmlformats.org/officeDocument/2006/relationships/hyperlink" Target="https://www.genome.jp/entry/6.3.2.10" TargetMode="External"/><Relationship Id="rId2098" Type="http://schemas.openxmlformats.org/officeDocument/2006/relationships/hyperlink" Target="https://www.genome.jp/entry/2.3.1.85" TargetMode="External"/><Relationship Id="rId277" Type="http://schemas.openxmlformats.org/officeDocument/2006/relationships/hyperlink" Target="https://www.genome.jp/entry/R04968" TargetMode="External"/><Relationship Id="rId484" Type="http://schemas.openxmlformats.org/officeDocument/2006/relationships/hyperlink" Target="https://www.genome.jp/entry/2.4.1.346" TargetMode="External"/><Relationship Id="rId2165" Type="http://schemas.openxmlformats.org/officeDocument/2006/relationships/hyperlink" Target="https://www.genome.jp/entry/1.1.1.42" TargetMode="External"/><Relationship Id="rId137" Type="http://schemas.openxmlformats.org/officeDocument/2006/relationships/hyperlink" Target="https://www.genome.jp/entry/3.5.99.6" TargetMode="External"/><Relationship Id="rId344" Type="http://schemas.openxmlformats.org/officeDocument/2006/relationships/hyperlink" Target="https://www.genome.jp/entry/R09134" TargetMode="External"/><Relationship Id="rId691" Type="http://schemas.openxmlformats.org/officeDocument/2006/relationships/hyperlink" Target="https://www.genome.jp/entry/2.7.1.63" TargetMode="External"/><Relationship Id="rId789" Type="http://schemas.openxmlformats.org/officeDocument/2006/relationships/hyperlink" Target="https://www.genome.jp/entry/R00177" TargetMode="External"/><Relationship Id="rId996" Type="http://schemas.openxmlformats.org/officeDocument/2006/relationships/hyperlink" Target="https://www.genome.jp/entry/R02765" TargetMode="External"/><Relationship Id="rId2025" Type="http://schemas.openxmlformats.org/officeDocument/2006/relationships/hyperlink" Target="https://www.genome.jp/entry/2.7.7.7" TargetMode="External"/><Relationship Id="rId2372" Type="http://schemas.openxmlformats.org/officeDocument/2006/relationships/hyperlink" Target="https://www.genome.jp/entry/3.2.1.18" TargetMode="External"/><Relationship Id="rId551" Type="http://schemas.openxmlformats.org/officeDocument/2006/relationships/hyperlink" Target="https://www.genome.jp/entry/R01163" TargetMode="External"/><Relationship Id="rId649" Type="http://schemas.openxmlformats.org/officeDocument/2006/relationships/hyperlink" Target="https://www.genome.jp/entry/R01625" TargetMode="External"/><Relationship Id="rId856" Type="http://schemas.openxmlformats.org/officeDocument/2006/relationships/hyperlink" Target="https://www.genome.jp/entry/R09365" TargetMode="External"/><Relationship Id="rId1181" Type="http://schemas.openxmlformats.org/officeDocument/2006/relationships/hyperlink" Target="https://www.genome.jp/entry/R01626" TargetMode="External"/><Relationship Id="rId1279" Type="http://schemas.openxmlformats.org/officeDocument/2006/relationships/hyperlink" Target="https://www.genome.jp/entry/R00087" TargetMode="External"/><Relationship Id="rId1486" Type="http://schemas.openxmlformats.org/officeDocument/2006/relationships/hyperlink" Target="https://www.genome.jp/entry/R01664" TargetMode="External"/><Relationship Id="rId2232" Type="http://schemas.openxmlformats.org/officeDocument/2006/relationships/hyperlink" Target="https://www.genome.jp/entry/2.7.7.7" TargetMode="External"/><Relationship Id="rId204" Type="http://schemas.openxmlformats.org/officeDocument/2006/relationships/hyperlink" Target="https://www.genome.jp/entry/2.5.1.7" TargetMode="External"/><Relationship Id="rId411" Type="http://schemas.openxmlformats.org/officeDocument/2006/relationships/hyperlink" Target="https://www.genome.jp/entry/R01286" TargetMode="External"/><Relationship Id="rId509" Type="http://schemas.openxmlformats.org/officeDocument/2006/relationships/hyperlink" Target="https://www.genome.jp/entry/R02783" TargetMode="External"/><Relationship Id="rId1041" Type="http://schemas.openxmlformats.org/officeDocument/2006/relationships/hyperlink" Target="https://www.genome.jp/entry/2.1.1.14" TargetMode="External"/><Relationship Id="rId1139" Type="http://schemas.openxmlformats.org/officeDocument/2006/relationships/hyperlink" Target="https://www.genome.jp/entry/R03659" TargetMode="External"/><Relationship Id="rId1346" Type="http://schemas.openxmlformats.org/officeDocument/2006/relationships/hyperlink" Target="https://www.genome.jp/entry/R00375" TargetMode="External"/><Relationship Id="rId1693" Type="http://schemas.openxmlformats.org/officeDocument/2006/relationships/hyperlink" Target="https://www.genome.jp/entry/4.1.2.13" TargetMode="External"/><Relationship Id="rId1998" Type="http://schemas.openxmlformats.org/officeDocument/2006/relationships/hyperlink" Target="https://www.genome.jp/entry/2.7.4.8" TargetMode="External"/><Relationship Id="rId716" Type="http://schemas.openxmlformats.org/officeDocument/2006/relationships/hyperlink" Target="https://www.genome.jp/entry/R03663" TargetMode="External"/><Relationship Id="rId923" Type="http://schemas.openxmlformats.org/officeDocument/2006/relationships/hyperlink" Target="https://www.genome.jp/entry/2.7.7.7" TargetMode="External"/><Relationship Id="rId1553" Type="http://schemas.openxmlformats.org/officeDocument/2006/relationships/hyperlink" Target="https://www.genome.jp/entry/R00256" TargetMode="External"/><Relationship Id="rId1760" Type="http://schemas.openxmlformats.org/officeDocument/2006/relationships/hyperlink" Target="https://www.genome.jp/entry/1.17.4.1" TargetMode="External"/><Relationship Id="rId1858" Type="http://schemas.openxmlformats.org/officeDocument/2006/relationships/hyperlink" Target="https://www.genome.jp/entry/2.7.4.6" TargetMode="External"/><Relationship Id="rId52" Type="http://schemas.openxmlformats.org/officeDocument/2006/relationships/hyperlink" Target="https://www.genome.jp/entry/R00703/R01000/R03104" TargetMode="External"/><Relationship Id="rId1206" Type="http://schemas.openxmlformats.org/officeDocument/2006/relationships/hyperlink" Target="https://www.genome.jp/entry/R04964" TargetMode="External"/><Relationship Id="rId1413" Type="http://schemas.openxmlformats.org/officeDocument/2006/relationships/hyperlink" Target="https://www.genome.jp/entry/6.2.1.26" TargetMode="External"/><Relationship Id="rId1620" Type="http://schemas.openxmlformats.org/officeDocument/2006/relationships/hyperlink" Target="https://www.genome.jp/entry/R02340" TargetMode="External"/><Relationship Id="rId1718" Type="http://schemas.openxmlformats.org/officeDocument/2006/relationships/hyperlink" Target="https://www.genome.jp/entry/R05046" TargetMode="External"/><Relationship Id="rId1925" Type="http://schemas.openxmlformats.org/officeDocument/2006/relationships/hyperlink" Target="https://www.genome.jp/entry/1.1.1.23" TargetMode="External"/><Relationship Id="rId299" Type="http://schemas.openxmlformats.org/officeDocument/2006/relationships/hyperlink" Target="https://www.genome.jp/entry/R03260" TargetMode="External"/><Relationship Id="rId2187" Type="http://schemas.openxmlformats.org/officeDocument/2006/relationships/hyperlink" Target="https://www.genome.jp/entry/2.7.7.6" TargetMode="External"/><Relationship Id="rId2394" Type="http://schemas.openxmlformats.org/officeDocument/2006/relationships/hyperlink" Target="https://www.genome.jp/entry/3.5.1.2" TargetMode="External"/><Relationship Id="rId159" Type="http://schemas.openxmlformats.org/officeDocument/2006/relationships/hyperlink" Target="https://www.genome.jp/entry/R03231" TargetMode="External"/><Relationship Id="rId366" Type="http://schemas.openxmlformats.org/officeDocument/2006/relationships/hyperlink" Target="https://www.genome.jp/entry/R03431" TargetMode="External"/><Relationship Id="rId573" Type="http://schemas.openxmlformats.org/officeDocument/2006/relationships/hyperlink" Target="https://www.genome.jp/entry/2.5.1.145" TargetMode="External"/><Relationship Id="rId780" Type="http://schemas.openxmlformats.org/officeDocument/2006/relationships/hyperlink" Target="https://www.genome.jp/entry/R00441" TargetMode="External"/><Relationship Id="rId2047" Type="http://schemas.openxmlformats.org/officeDocument/2006/relationships/hyperlink" Target="https://www.genome.jp/entry/4.2.1.9" TargetMode="External"/><Relationship Id="rId2254" Type="http://schemas.openxmlformats.org/officeDocument/2006/relationships/hyperlink" Target="https://www.genome.jp/entry/3.5.1.5" TargetMode="External"/><Relationship Id="rId2461" Type="http://schemas.openxmlformats.org/officeDocument/2006/relationships/hyperlink" Target="https://www.genome.jp/entry/6.3.4.21" TargetMode="External"/><Relationship Id="rId226" Type="http://schemas.openxmlformats.org/officeDocument/2006/relationships/hyperlink" Target="https://www.genome.jp/entry/R08363" TargetMode="External"/><Relationship Id="rId433" Type="http://schemas.openxmlformats.org/officeDocument/2006/relationships/hyperlink" Target="https://www.genome.jp/entry/R00014" TargetMode="External"/><Relationship Id="rId878" Type="http://schemas.openxmlformats.org/officeDocument/2006/relationships/hyperlink" Target="https://www.genome.jp/entry/R04509" TargetMode="External"/><Relationship Id="rId1063" Type="http://schemas.openxmlformats.org/officeDocument/2006/relationships/hyperlink" Target="https://www.genome.jp/entry/R09651" TargetMode="External"/><Relationship Id="rId1270" Type="http://schemas.openxmlformats.org/officeDocument/2006/relationships/hyperlink" Target="https://www.genome.jp/entry/R07405" TargetMode="External"/><Relationship Id="rId2114" Type="http://schemas.openxmlformats.org/officeDocument/2006/relationships/hyperlink" Target="https://www.genome.jp/entry/2.3.1.85" TargetMode="External"/><Relationship Id="rId640" Type="http://schemas.openxmlformats.org/officeDocument/2006/relationships/hyperlink" Target="https://www.genome.jp/entry/2.7.7.108" TargetMode="External"/><Relationship Id="rId738" Type="http://schemas.openxmlformats.org/officeDocument/2006/relationships/hyperlink" Target="https://www.genome.jp/entry/R03038" TargetMode="External"/><Relationship Id="rId945" Type="http://schemas.openxmlformats.org/officeDocument/2006/relationships/hyperlink" Target="https://www.genome.jp/entry/4.2.1.33" TargetMode="External"/><Relationship Id="rId1368" Type="http://schemas.openxmlformats.org/officeDocument/2006/relationships/hyperlink" Target="https://www.genome.jp/entry/R02060" TargetMode="External"/><Relationship Id="rId1575" Type="http://schemas.openxmlformats.org/officeDocument/2006/relationships/hyperlink" Target="https://www.genome.jp/entry/3.5.1.5" TargetMode="External"/><Relationship Id="rId1782" Type="http://schemas.openxmlformats.org/officeDocument/2006/relationships/hyperlink" Target="https://www.genome.jp/entry/2.3.1.85" TargetMode="External"/><Relationship Id="rId2321" Type="http://schemas.openxmlformats.org/officeDocument/2006/relationships/hyperlink" Target="https://www.genome.jp/entry/R05305" TargetMode="External"/><Relationship Id="rId2419" Type="http://schemas.openxmlformats.org/officeDocument/2006/relationships/hyperlink" Target="https://www.genome.jp/entry/3.6.1.22" TargetMode="External"/><Relationship Id="rId74" Type="http://schemas.openxmlformats.org/officeDocument/2006/relationships/hyperlink" Target="https://www.genome.jp/entry/1.1.1.1" TargetMode="External"/><Relationship Id="rId500" Type="http://schemas.openxmlformats.org/officeDocument/2006/relationships/hyperlink" Target="https://www.genome.jp/entry/6.3.2.13" TargetMode="External"/><Relationship Id="rId805" Type="http://schemas.openxmlformats.org/officeDocument/2006/relationships/hyperlink" Target="https://www.genome.jp/entry/R00425" TargetMode="External"/><Relationship Id="rId1130" Type="http://schemas.openxmlformats.org/officeDocument/2006/relationships/hyperlink" Target="https://www.genome.jp/entry/R02493" TargetMode="External"/><Relationship Id="rId1228" Type="http://schemas.openxmlformats.org/officeDocument/2006/relationships/hyperlink" Target="https://www.genome.jp/entry/R10088" TargetMode="External"/><Relationship Id="rId1435" Type="http://schemas.openxmlformats.org/officeDocument/2006/relationships/hyperlink" Target="https://www.genome.jp/entry/4.2.1.118" TargetMode="External"/><Relationship Id="rId1642" Type="http://schemas.openxmlformats.org/officeDocument/2006/relationships/hyperlink" Target="https://www.genome.jp/entry/4.2.1.51" TargetMode="External"/><Relationship Id="rId1947" Type="http://schemas.openxmlformats.org/officeDocument/2006/relationships/hyperlink" Target="https://www.genome.jp/entry/1.4.3.19" TargetMode="External"/><Relationship Id="rId1502" Type="http://schemas.openxmlformats.org/officeDocument/2006/relationships/hyperlink" Target="https://www.genome.jp/entry/R11029" TargetMode="External"/><Relationship Id="rId1807" Type="http://schemas.openxmlformats.org/officeDocument/2006/relationships/hyperlink" Target="https://www.genome.jp/entry/3.5.1.2" TargetMode="External"/><Relationship Id="rId290" Type="http://schemas.openxmlformats.org/officeDocument/2006/relationships/hyperlink" Target="https://www.genome.jp/entry/4.99.1.12" TargetMode="External"/><Relationship Id="rId388" Type="http://schemas.openxmlformats.org/officeDocument/2006/relationships/hyperlink" Target="https://www.genome.jp/entry/R01857" TargetMode="External"/><Relationship Id="rId2069" Type="http://schemas.openxmlformats.org/officeDocument/2006/relationships/hyperlink" Target="https://www.genome.jp/entry/4.2.1.11" TargetMode="External"/><Relationship Id="rId150" Type="http://schemas.openxmlformats.org/officeDocument/2006/relationships/hyperlink" Target="https://www.genome.jp/entry/R06226" TargetMode="External"/><Relationship Id="rId595" Type="http://schemas.openxmlformats.org/officeDocument/2006/relationships/hyperlink" Target="https://www.genome.jp/entry/R00539" TargetMode="External"/><Relationship Id="rId2276" Type="http://schemas.openxmlformats.org/officeDocument/2006/relationships/hyperlink" Target="https://www.genome.jp/entry/R05052" TargetMode="External"/><Relationship Id="rId248" Type="http://schemas.openxmlformats.org/officeDocument/2006/relationships/hyperlink" Target="https://www.genome.jp/entry/R01624" TargetMode="External"/><Relationship Id="rId455" Type="http://schemas.openxmlformats.org/officeDocument/2006/relationships/hyperlink" Target="https://www.genome.jp/entry/R07766" TargetMode="External"/><Relationship Id="rId662" Type="http://schemas.openxmlformats.org/officeDocument/2006/relationships/hyperlink" Target="https://www.genome.jp/entry/R04198" TargetMode="External"/><Relationship Id="rId1085" Type="http://schemas.openxmlformats.org/officeDocument/2006/relationships/hyperlink" Target="https://www.genome.jp/entry/3.5.2.9" TargetMode="External"/><Relationship Id="rId1292" Type="http://schemas.openxmlformats.org/officeDocument/2006/relationships/hyperlink" Target="https://www.genome.jp/entry/R00931" TargetMode="External"/><Relationship Id="rId2136" Type="http://schemas.openxmlformats.org/officeDocument/2006/relationships/hyperlink" Target="https://www.genome.jp/entry/1.5.1.3" TargetMode="External"/><Relationship Id="rId2343" Type="http://schemas.openxmlformats.org/officeDocument/2006/relationships/hyperlink" Target="https://www.genome.jp/entry/R02807" TargetMode="External"/><Relationship Id="rId108" Type="http://schemas.openxmlformats.org/officeDocument/2006/relationships/hyperlink" Target="https://www.genome.jp/entry/3.5.4.16" TargetMode="External"/><Relationship Id="rId315" Type="http://schemas.openxmlformats.org/officeDocument/2006/relationships/hyperlink" Target="https://www.genome.jp/entry/1.3.1.25" TargetMode="External"/><Relationship Id="rId522" Type="http://schemas.openxmlformats.org/officeDocument/2006/relationships/hyperlink" Target="https://www.genome.jp/entry/R00375" TargetMode="External"/><Relationship Id="rId967" Type="http://schemas.openxmlformats.org/officeDocument/2006/relationships/hyperlink" Target="https://www.genome.jp/entry/R05068" TargetMode="External"/><Relationship Id="rId1152" Type="http://schemas.openxmlformats.org/officeDocument/2006/relationships/hyperlink" Target="https://www.genome.jp/entry/R04560" TargetMode="External"/><Relationship Id="rId1597" Type="http://schemas.openxmlformats.org/officeDocument/2006/relationships/hyperlink" Target="https://www.genome.jp/entry/R01078" TargetMode="External"/><Relationship Id="rId2203" Type="http://schemas.openxmlformats.org/officeDocument/2006/relationships/hyperlink" Target="https://www.genome.jp/entry/4.1.1.37" TargetMode="External"/><Relationship Id="rId2410" Type="http://schemas.openxmlformats.org/officeDocument/2006/relationships/hyperlink" Target="https://www.genome.jp/entry/3.5.4.5" TargetMode="External"/><Relationship Id="rId96" Type="http://schemas.openxmlformats.org/officeDocument/2006/relationships/hyperlink" Target="https://www.genome.jp/entry/R02184" TargetMode="External"/><Relationship Id="rId827" Type="http://schemas.openxmlformats.org/officeDocument/2006/relationships/hyperlink" Target="https://www.genome.jp/entry/R01830" TargetMode="External"/><Relationship Id="rId1012" Type="http://schemas.openxmlformats.org/officeDocument/2006/relationships/hyperlink" Target="https://www.genome.jp/entry/2.7.7.87" TargetMode="External"/><Relationship Id="rId1457" Type="http://schemas.openxmlformats.org/officeDocument/2006/relationships/hyperlink" Target="https://www.genome.jp/entry/3.5.1.10" TargetMode="External"/><Relationship Id="rId1664" Type="http://schemas.openxmlformats.org/officeDocument/2006/relationships/hyperlink" Target="https://www.genome.jp/entry/R08310" TargetMode="External"/><Relationship Id="rId1871" Type="http://schemas.openxmlformats.org/officeDocument/2006/relationships/hyperlink" Target="https://www.genome.jp/entry/4.4.1.13" TargetMode="External"/><Relationship Id="rId1317" Type="http://schemas.openxmlformats.org/officeDocument/2006/relationships/hyperlink" Target="https://www.genome.jp/entry/R00351" TargetMode="External"/><Relationship Id="rId1524" Type="http://schemas.openxmlformats.org/officeDocument/2006/relationships/hyperlink" Target="https://www.genome.jp/entry/R00375" TargetMode="External"/><Relationship Id="rId1731" Type="http://schemas.openxmlformats.org/officeDocument/2006/relationships/hyperlink" Target="https://www.genome.jp/entry/5.1.3.9" TargetMode="External"/><Relationship Id="rId1969" Type="http://schemas.openxmlformats.org/officeDocument/2006/relationships/hyperlink" Target="https://www.genome.jp/entry/5.1.3.2" TargetMode="External"/><Relationship Id="rId23" Type="http://schemas.openxmlformats.org/officeDocument/2006/relationships/hyperlink" Target="https://www.genome.jp/entry/R01073" TargetMode="External"/><Relationship Id="rId1829" Type="http://schemas.openxmlformats.org/officeDocument/2006/relationships/hyperlink" Target="https://www.genome.jp/entry/1.14.12.10" TargetMode="External"/><Relationship Id="rId2298" Type="http://schemas.openxmlformats.org/officeDocument/2006/relationships/hyperlink" Target="https://www.genome.jp/entry/1.1.1.35" TargetMode="External"/><Relationship Id="rId172" Type="http://schemas.openxmlformats.org/officeDocument/2006/relationships/hyperlink" Target="https://www.genome.jp/entry/R04463" TargetMode="External"/><Relationship Id="rId477" Type="http://schemas.openxmlformats.org/officeDocument/2006/relationships/hyperlink" Target="https://www.genome.jp/entry/6.3.5.4" TargetMode="External"/><Relationship Id="rId684" Type="http://schemas.openxmlformats.org/officeDocument/2006/relationships/hyperlink" Target="https://www.genome.jp/entry/3.4.21.88" TargetMode="External"/><Relationship Id="rId2060" Type="http://schemas.openxmlformats.org/officeDocument/2006/relationships/hyperlink" Target="https://www.genome.jp/entry/2.5.1.15" TargetMode="External"/><Relationship Id="rId2158" Type="http://schemas.openxmlformats.org/officeDocument/2006/relationships/hyperlink" Target="https://www.genome.jp/entry/3.6.1.9" TargetMode="External"/><Relationship Id="rId2365" Type="http://schemas.openxmlformats.org/officeDocument/2006/relationships/hyperlink" Target="https://www.genome.jp/entry/R01092" TargetMode="External"/><Relationship Id="rId337" Type="http://schemas.openxmlformats.org/officeDocument/2006/relationships/hyperlink" Target="https://www.genome.jp/entry/R07188" TargetMode="External"/><Relationship Id="rId891" Type="http://schemas.openxmlformats.org/officeDocument/2006/relationships/hyperlink" Target="https://www.genome.jp/entry/2.7.1.23" TargetMode="External"/><Relationship Id="rId989" Type="http://schemas.openxmlformats.org/officeDocument/2006/relationships/hyperlink" Target="https://www.genome.jp/entry/R00162/R03632" TargetMode="External"/><Relationship Id="rId2018" Type="http://schemas.openxmlformats.org/officeDocument/2006/relationships/hyperlink" Target="https://www.genome.jp/entry/1.6.5.2" TargetMode="External"/><Relationship Id="rId544" Type="http://schemas.openxmlformats.org/officeDocument/2006/relationships/hyperlink" Target="https://www.genome.jp/entry/R00429" TargetMode="External"/><Relationship Id="rId751" Type="http://schemas.openxmlformats.org/officeDocument/2006/relationships/hyperlink" Target="https://www.genome.jp/entry/2.4.2.9" TargetMode="External"/><Relationship Id="rId849" Type="http://schemas.openxmlformats.org/officeDocument/2006/relationships/hyperlink" Target="https://www.genome.jp/entry/6.3.1.13" TargetMode="External"/><Relationship Id="rId1174" Type="http://schemas.openxmlformats.org/officeDocument/2006/relationships/hyperlink" Target="https://www.genome.jp/entry/R00936" TargetMode="External"/><Relationship Id="rId1381" Type="http://schemas.openxmlformats.org/officeDocument/2006/relationships/hyperlink" Target="https://www.genome.jp/entry/R01547" TargetMode="External"/><Relationship Id="rId1479" Type="http://schemas.openxmlformats.org/officeDocument/2006/relationships/hyperlink" Target="https://www.genome.jp/entry/R00963" TargetMode="External"/><Relationship Id="rId1686" Type="http://schemas.openxmlformats.org/officeDocument/2006/relationships/hyperlink" Target="https://www.genome.jp/entry/2.4.2.10" TargetMode="External"/><Relationship Id="rId2225" Type="http://schemas.openxmlformats.org/officeDocument/2006/relationships/hyperlink" Target="https://www.genome.jp/entry/3.1.3.5" TargetMode="External"/><Relationship Id="rId2432" Type="http://schemas.openxmlformats.org/officeDocument/2006/relationships/hyperlink" Target="https://www.genome.jp/entry/4.1.3.16" TargetMode="External"/><Relationship Id="rId404" Type="http://schemas.openxmlformats.org/officeDocument/2006/relationships/hyperlink" Target="https://www.genome.jp/entry/R00479" TargetMode="External"/><Relationship Id="rId611" Type="http://schemas.openxmlformats.org/officeDocument/2006/relationships/hyperlink" Target="https://www.genome.jp/entry/R05861" TargetMode="External"/><Relationship Id="rId1034" Type="http://schemas.openxmlformats.org/officeDocument/2006/relationships/hyperlink" Target="https://www.genome.jp/entry/6.1.1.19" TargetMode="External"/><Relationship Id="rId1241" Type="http://schemas.openxmlformats.org/officeDocument/2006/relationships/hyperlink" Target="https://www.genome.jp/entry/2.5.1.145" TargetMode="External"/><Relationship Id="rId1339" Type="http://schemas.openxmlformats.org/officeDocument/2006/relationships/hyperlink" Target="https://www.genome.jp/entry/R00377" TargetMode="External"/><Relationship Id="rId1893" Type="http://schemas.openxmlformats.org/officeDocument/2006/relationships/hyperlink" Target="https://www.genome.jp/entry/2.7.8.26" TargetMode="External"/><Relationship Id="rId709" Type="http://schemas.openxmlformats.org/officeDocument/2006/relationships/hyperlink" Target="https://www.genome.jp/entry/R00380" TargetMode="External"/><Relationship Id="rId916" Type="http://schemas.openxmlformats.org/officeDocument/2006/relationships/hyperlink" Target="https://www.genome.jp/entry/R07358" TargetMode="External"/><Relationship Id="rId1101" Type="http://schemas.openxmlformats.org/officeDocument/2006/relationships/hyperlink" Target="https://www.genome.jp/entry/R00658" TargetMode="External"/><Relationship Id="rId1546" Type="http://schemas.openxmlformats.org/officeDocument/2006/relationships/hyperlink" Target="https://www.genome.jp/entry/R12078" TargetMode="External"/><Relationship Id="rId1753" Type="http://schemas.openxmlformats.org/officeDocument/2006/relationships/hyperlink" Target="https://www.genome.jp/entry/5.4.2.2" TargetMode="External"/><Relationship Id="rId1960" Type="http://schemas.openxmlformats.org/officeDocument/2006/relationships/hyperlink" Target="https://www.genome.jp/entry/2.7.7.8" TargetMode="External"/><Relationship Id="rId45" Type="http://schemas.openxmlformats.org/officeDocument/2006/relationships/hyperlink" Target="https://www.genome.jp/entry/2.7.13.3" TargetMode="External"/><Relationship Id="rId1406" Type="http://schemas.openxmlformats.org/officeDocument/2006/relationships/hyperlink" Target="https://www.genome.jp/entry/4.2.1.113" TargetMode="External"/><Relationship Id="rId1613" Type="http://schemas.openxmlformats.org/officeDocument/2006/relationships/hyperlink" Target="https://www.genome.jp/entry/R03596" TargetMode="External"/><Relationship Id="rId1820" Type="http://schemas.openxmlformats.org/officeDocument/2006/relationships/hyperlink" Target="https://www.genome.jp/entry/5.3.1.6" TargetMode="External"/><Relationship Id="rId194" Type="http://schemas.openxmlformats.org/officeDocument/2006/relationships/hyperlink" Target="https://www.genome.jp/entry/R00897" TargetMode="External"/><Relationship Id="rId1918" Type="http://schemas.openxmlformats.org/officeDocument/2006/relationships/hyperlink" Target="https://www.genome.jp/entry/2.7.7.7" TargetMode="External"/><Relationship Id="rId2082" Type="http://schemas.openxmlformats.org/officeDocument/2006/relationships/hyperlink" Target="https://www.genome.jp/entry/2.1.2.2" TargetMode="External"/><Relationship Id="rId261" Type="http://schemas.openxmlformats.org/officeDocument/2006/relationships/hyperlink" Target="https://www.genome.jp/entry/R04566" TargetMode="External"/><Relationship Id="rId499" Type="http://schemas.openxmlformats.org/officeDocument/2006/relationships/hyperlink" Target="https://www.genome.jp/entry/3.4.16.4" TargetMode="External"/><Relationship Id="rId2387" Type="http://schemas.openxmlformats.org/officeDocument/2006/relationships/hyperlink" Target="https://www.genome.jp/entry/R05117" TargetMode="External"/><Relationship Id="rId359" Type="http://schemas.openxmlformats.org/officeDocument/2006/relationships/hyperlink" Target="https://www.genome.jp/entry/R02991" TargetMode="External"/><Relationship Id="rId566" Type="http://schemas.openxmlformats.org/officeDocument/2006/relationships/hyperlink" Target="https://www.genome.jp/entry/R03509" TargetMode="External"/><Relationship Id="rId773" Type="http://schemas.openxmlformats.org/officeDocument/2006/relationships/hyperlink" Target="https://www.genome.jp/entry/2.7.4.8" TargetMode="External"/><Relationship Id="rId1196" Type="http://schemas.openxmlformats.org/officeDocument/2006/relationships/hyperlink" Target="https://www.genome.jp/entry/R04726" TargetMode="External"/><Relationship Id="rId2247" Type="http://schemas.openxmlformats.org/officeDocument/2006/relationships/hyperlink" Target="https://www.genome.jp/entry/1.4.1.13" TargetMode="External"/><Relationship Id="rId2454" Type="http://schemas.openxmlformats.org/officeDocument/2006/relationships/hyperlink" Target="https://www.genome.jp/entry/R02707" TargetMode="External"/><Relationship Id="rId121" Type="http://schemas.openxmlformats.org/officeDocument/2006/relationships/hyperlink" Target="https://www.genome.jp/entry/1.2.1.67" TargetMode="External"/><Relationship Id="rId219" Type="http://schemas.openxmlformats.org/officeDocument/2006/relationships/hyperlink" Target="https://www.genome.jp/entry/R08363" TargetMode="External"/><Relationship Id="rId426" Type="http://schemas.openxmlformats.org/officeDocument/2006/relationships/hyperlink" Target="https://www.genome.jp/entry/2.1.1.193" TargetMode="External"/><Relationship Id="rId633" Type="http://schemas.openxmlformats.org/officeDocument/2006/relationships/hyperlink" Target="https://www.genome.jp/entry/R05716" TargetMode="External"/><Relationship Id="rId980" Type="http://schemas.openxmlformats.org/officeDocument/2006/relationships/hyperlink" Target="https://www.genome.jp/entry/R04441" TargetMode="External"/><Relationship Id="rId1056" Type="http://schemas.openxmlformats.org/officeDocument/2006/relationships/hyperlink" Target="https://www.genome.jp/entry/3.5.1.18" TargetMode="External"/><Relationship Id="rId1263" Type="http://schemas.openxmlformats.org/officeDocument/2006/relationships/hyperlink" Target="https://www.genome.jp/entry/R04964" TargetMode="External"/><Relationship Id="rId2107" Type="http://schemas.openxmlformats.org/officeDocument/2006/relationships/hyperlink" Target="https://www.genome.jp/entry/2.3.1.85" TargetMode="External"/><Relationship Id="rId2314" Type="http://schemas.openxmlformats.org/officeDocument/2006/relationships/hyperlink" Target="https://www.genome.jp/entry/R04743" TargetMode="External"/><Relationship Id="rId840" Type="http://schemas.openxmlformats.org/officeDocument/2006/relationships/hyperlink" Target="https://www.genome.jp/entry/R11529" TargetMode="External"/><Relationship Id="rId938" Type="http://schemas.openxmlformats.org/officeDocument/2006/relationships/hyperlink" Target="https://www.genome.jp/entry/1.1.1.94" TargetMode="External"/><Relationship Id="rId1470" Type="http://schemas.openxmlformats.org/officeDocument/2006/relationships/hyperlink" Target="https://www.genome.jp/entry/R00660" TargetMode="External"/><Relationship Id="rId1568" Type="http://schemas.openxmlformats.org/officeDocument/2006/relationships/hyperlink" Target="https://www.genome.jp/entry/R01216" TargetMode="External"/><Relationship Id="rId1775" Type="http://schemas.openxmlformats.org/officeDocument/2006/relationships/hyperlink" Target="https://www.genome.jp/entry/2.3.1.85" TargetMode="External"/><Relationship Id="rId67" Type="http://schemas.openxmlformats.org/officeDocument/2006/relationships/hyperlink" Target="https://www.genome.jp/entry/3.5.4.13" TargetMode="External"/><Relationship Id="rId700" Type="http://schemas.openxmlformats.org/officeDocument/2006/relationships/hyperlink" Target="https://www.genome.jp/entry/3.1.13.5" TargetMode="External"/><Relationship Id="rId1123" Type="http://schemas.openxmlformats.org/officeDocument/2006/relationships/hyperlink" Target="https://www.genome.jp/entry/3.1.1.29" TargetMode="External"/><Relationship Id="rId1330" Type="http://schemas.openxmlformats.org/officeDocument/2006/relationships/hyperlink" Target="https://www.genome.jp/entry/R00375" TargetMode="External"/><Relationship Id="rId1428" Type="http://schemas.openxmlformats.org/officeDocument/2006/relationships/hyperlink" Target="https://www.genome.jp/entry/R07237" TargetMode="External"/><Relationship Id="rId1635" Type="http://schemas.openxmlformats.org/officeDocument/2006/relationships/hyperlink" Target="https://www.genome.jp/entry/1.8.1.9" TargetMode="External"/><Relationship Id="rId1982" Type="http://schemas.openxmlformats.org/officeDocument/2006/relationships/hyperlink" Target="https://www.genome.jp/entry/6.3.5.5" TargetMode="External"/><Relationship Id="rId1842" Type="http://schemas.openxmlformats.org/officeDocument/2006/relationships/hyperlink" Target="https://www.genome.jp/entry/1.13.11.1" TargetMode="External"/><Relationship Id="rId1702" Type="http://schemas.openxmlformats.org/officeDocument/2006/relationships/hyperlink" Target="https://www.genome.jp/entry/R10993" TargetMode="External"/><Relationship Id="rId283" Type="http://schemas.openxmlformats.org/officeDocument/2006/relationships/hyperlink" Target="https://www.genome.jp/entry/5.3.1.12" TargetMode="External"/><Relationship Id="rId490" Type="http://schemas.openxmlformats.org/officeDocument/2006/relationships/hyperlink" Target="https://www.genome.jp/entry/R00299" TargetMode="External"/><Relationship Id="rId2171" Type="http://schemas.openxmlformats.org/officeDocument/2006/relationships/hyperlink" Target="https://www.genome.jp/entry/2.7.7.7" TargetMode="External"/><Relationship Id="rId143" Type="http://schemas.openxmlformats.org/officeDocument/2006/relationships/hyperlink" Target="https://www.genome.jp/entry/3.1.3.12" TargetMode="External"/><Relationship Id="rId350" Type="http://schemas.openxmlformats.org/officeDocument/2006/relationships/hyperlink" Target="https://www.genome.jp/entry/R03549" TargetMode="External"/><Relationship Id="rId588" Type="http://schemas.openxmlformats.org/officeDocument/2006/relationships/hyperlink" Target="https://www.genome.jp/entry/R00146" TargetMode="External"/><Relationship Id="rId795" Type="http://schemas.openxmlformats.org/officeDocument/2006/relationships/hyperlink" Target="https://www.genome.jp/entry/R03940" TargetMode="External"/><Relationship Id="rId2031" Type="http://schemas.openxmlformats.org/officeDocument/2006/relationships/hyperlink" Target="https://www.genome.jp/entry/4.2.1.33" TargetMode="External"/><Relationship Id="rId2269" Type="http://schemas.openxmlformats.org/officeDocument/2006/relationships/hyperlink" Target="https://www.genome.jp/entry/R00355" TargetMode="External"/><Relationship Id="rId9" Type="http://schemas.openxmlformats.org/officeDocument/2006/relationships/hyperlink" Target="https://www.genome.jp/entry/R04509" TargetMode="External"/><Relationship Id="rId210" Type="http://schemas.openxmlformats.org/officeDocument/2006/relationships/hyperlink" Target="https://www.genome.jp/entry/R03319" TargetMode="External"/><Relationship Id="rId448" Type="http://schemas.openxmlformats.org/officeDocument/2006/relationships/hyperlink" Target="https://www.genome.jp/entry/6.3.1.2" TargetMode="External"/><Relationship Id="rId655" Type="http://schemas.openxmlformats.org/officeDocument/2006/relationships/hyperlink" Target="https://www.genome.jp/entry/2.7.7.8" TargetMode="External"/><Relationship Id="rId862" Type="http://schemas.openxmlformats.org/officeDocument/2006/relationships/hyperlink" Target="https://www.genome.jp/entry/R00490" TargetMode="External"/><Relationship Id="rId1078" Type="http://schemas.openxmlformats.org/officeDocument/2006/relationships/hyperlink" Target="https://www.genome.jp/entry/3.1.11.6" TargetMode="External"/><Relationship Id="rId1285" Type="http://schemas.openxmlformats.org/officeDocument/2006/relationships/hyperlink" Target="https://www.genome.jp/entry/R00160" TargetMode="External"/><Relationship Id="rId1492" Type="http://schemas.openxmlformats.org/officeDocument/2006/relationships/hyperlink" Target="https://www.genome.jp/entry/R00888" TargetMode="External"/><Relationship Id="rId2129" Type="http://schemas.openxmlformats.org/officeDocument/2006/relationships/hyperlink" Target="https://www.genome.jp/entry/4.3.3.6" TargetMode="External"/><Relationship Id="rId2336" Type="http://schemas.openxmlformats.org/officeDocument/2006/relationships/hyperlink" Target="https://www.genome.jp/entry/R06788" TargetMode="External"/><Relationship Id="rId308" Type="http://schemas.openxmlformats.org/officeDocument/2006/relationships/hyperlink" Target="https://www.genome.jp/entry/R00899" TargetMode="External"/><Relationship Id="rId515" Type="http://schemas.openxmlformats.org/officeDocument/2006/relationships/hyperlink" Target="https://www.genome.jp/entry/R06174" TargetMode="External"/><Relationship Id="rId722" Type="http://schemas.openxmlformats.org/officeDocument/2006/relationships/hyperlink" Target="https://www.genome.jp/entry/R04378" TargetMode="External"/><Relationship Id="rId1145" Type="http://schemas.openxmlformats.org/officeDocument/2006/relationships/hyperlink" Target="https://www.genome.jp/entry/R11399" TargetMode="External"/><Relationship Id="rId1352" Type="http://schemas.openxmlformats.org/officeDocument/2006/relationships/hyperlink" Target="https://www.genome.jp/entry/R00256" TargetMode="External"/><Relationship Id="rId1797" Type="http://schemas.openxmlformats.org/officeDocument/2006/relationships/hyperlink" Target="https://www.genome.jp/entry/2.3.1.85" TargetMode="External"/><Relationship Id="rId2403" Type="http://schemas.openxmlformats.org/officeDocument/2006/relationships/hyperlink" Target="https://www.genome.jp/entry/R01884" TargetMode="External"/><Relationship Id="rId89" Type="http://schemas.openxmlformats.org/officeDocument/2006/relationships/hyperlink" Target="https://www.genome.jp/entry/2.3.1.1" TargetMode="External"/><Relationship Id="rId1005" Type="http://schemas.openxmlformats.org/officeDocument/2006/relationships/hyperlink" Target="https://www.genome.jp/entry/R00086" TargetMode="External"/><Relationship Id="rId1212" Type="http://schemas.openxmlformats.org/officeDocument/2006/relationships/hyperlink" Target="https://www.genome.jp/entry/R05188" TargetMode="External"/><Relationship Id="rId1657" Type="http://schemas.openxmlformats.org/officeDocument/2006/relationships/hyperlink" Target="https://www.genome.jp/entry/R06927" TargetMode="External"/><Relationship Id="rId1864" Type="http://schemas.openxmlformats.org/officeDocument/2006/relationships/hyperlink" Target="https://www.genome.jp/entry/2.7.4.6" TargetMode="External"/><Relationship Id="rId1517" Type="http://schemas.openxmlformats.org/officeDocument/2006/relationships/hyperlink" Target="https://www.genome.jp/entry/R00480" TargetMode="External"/><Relationship Id="rId1724" Type="http://schemas.openxmlformats.org/officeDocument/2006/relationships/hyperlink" Target="https://www.genome.jp/entry/2.5.1.15" TargetMode="External"/><Relationship Id="rId16" Type="http://schemas.openxmlformats.org/officeDocument/2006/relationships/hyperlink" Target="https://www.genome.jp/entry/4.2.1.20" TargetMode="External"/><Relationship Id="rId1931" Type="http://schemas.openxmlformats.org/officeDocument/2006/relationships/hyperlink" Target="https://www.genome.jp/entry/4.3.2.10" TargetMode="External"/><Relationship Id="rId2193" Type="http://schemas.openxmlformats.org/officeDocument/2006/relationships/hyperlink" Target="https://www.genome.jp/entry/2.7.7.6" TargetMode="External"/><Relationship Id="rId165" Type="http://schemas.openxmlformats.org/officeDocument/2006/relationships/hyperlink" Target="https://www.genome.jp/entry/R12851" TargetMode="External"/><Relationship Id="rId372" Type="http://schemas.openxmlformats.org/officeDocument/2006/relationships/hyperlink" Target="https://www.genome.jp/entry/R01654" TargetMode="External"/><Relationship Id="rId677" Type="http://schemas.openxmlformats.org/officeDocument/2006/relationships/hyperlink" Target="https://www.genome.jp/entry/R02735" TargetMode="External"/><Relationship Id="rId2053" Type="http://schemas.openxmlformats.org/officeDocument/2006/relationships/hyperlink" Target="https://www.genome.jp/entry/3.1.3.2" TargetMode="External"/><Relationship Id="rId2260" Type="http://schemas.openxmlformats.org/officeDocument/2006/relationships/hyperlink" Target="https://www.genome.jp/entry/3.5.1.5" TargetMode="External"/><Relationship Id="rId2358" Type="http://schemas.openxmlformats.org/officeDocument/2006/relationships/hyperlink" Target="https://www.genome.jp/entry/2.3.1.39" TargetMode="External"/><Relationship Id="rId232" Type="http://schemas.openxmlformats.org/officeDocument/2006/relationships/hyperlink" Target="https://www.genome.jp/entry/R00582" TargetMode="External"/><Relationship Id="rId884" Type="http://schemas.openxmlformats.org/officeDocument/2006/relationships/hyperlink" Target="https://www.genome.jp/entry/2.7.4.25" TargetMode="External"/><Relationship Id="rId2120" Type="http://schemas.openxmlformats.org/officeDocument/2006/relationships/hyperlink" Target="https://www.genome.jp/entry/2.3.1.85" TargetMode="External"/><Relationship Id="rId537" Type="http://schemas.openxmlformats.org/officeDocument/2006/relationships/hyperlink" Target="https://www.genome.jp/entry/R11098" TargetMode="External"/><Relationship Id="rId744" Type="http://schemas.openxmlformats.org/officeDocument/2006/relationships/hyperlink" Target="https://www.genome.jp/entry/4.2.3.5" TargetMode="External"/><Relationship Id="rId951" Type="http://schemas.openxmlformats.org/officeDocument/2006/relationships/hyperlink" Target="https://www.genome.jp/entry/6.1.1.17" TargetMode="External"/><Relationship Id="rId1167" Type="http://schemas.openxmlformats.org/officeDocument/2006/relationships/hyperlink" Target="https://www.genome.jp/entry/3.1.3.7" TargetMode="External"/><Relationship Id="rId1374" Type="http://schemas.openxmlformats.org/officeDocument/2006/relationships/hyperlink" Target="https://www.genome.jp/entry/R00441" TargetMode="External"/><Relationship Id="rId1581" Type="http://schemas.openxmlformats.org/officeDocument/2006/relationships/hyperlink" Target="https://www.genome.jp/entry/3.5.1.5" TargetMode="External"/><Relationship Id="rId1679" Type="http://schemas.openxmlformats.org/officeDocument/2006/relationships/hyperlink" Target="https://www.genome.jp/entry/1.1.1.1" TargetMode="External"/><Relationship Id="rId2218" Type="http://schemas.openxmlformats.org/officeDocument/2006/relationships/hyperlink" Target="https://www.genome.jp/entry/3.1.3.5" TargetMode="External"/><Relationship Id="rId2425" Type="http://schemas.openxmlformats.org/officeDocument/2006/relationships/hyperlink" Target="https://www.genome.jp/entry/R00995" TargetMode="External"/><Relationship Id="rId80" Type="http://schemas.openxmlformats.org/officeDocument/2006/relationships/hyperlink" Target="https://www.genome.jp/entry/R01135" TargetMode="External"/><Relationship Id="rId604" Type="http://schemas.openxmlformats.org/officeDocument/2006/relationships/hyperlink" Target="https://www.genome.jp/entry/R03307" TargetMode="External"/><Relationship Id="rId811" Type="http://schemas.openxmlformats.org/officeDocument/2006/relationships/hyperlink" Target="https://www.genome.jp/entry/R01512" TargetMode="External"/><Relationship Id="rId1027" Type="http://schemas.openxmlformats.org/officeDocument/2006/relationships/hyperlink" Target="https://www.genome.jp/entry/2.7.1.39" TargetMode="External"/><Relationship Id="rId1234" Type="http://schemas.openxmlformats.org/officeDocument/2006/relationships/hyperlink" Target="https://www.genome.jp/entry/2.5.1.19" TargetMode="External"/><Relationship Id="rId1441" Type="http://schemas.openxmlformats.org/officeDocument/2006/relationships/hyperlink" Target="https://www.genome.jp/entry/1.5.1.2" TargetMode="External"/><Relationship Id="rId1886" Type="http://schemas.openxmlformats.org/officeDocument/2006/relationships/hyperlink" Target="https://www.genome.jp/entry/2.3.1.181" TargetMode="External"/><Relationship Id="rId909" Type="http://schemas.openxmlformats.org/officeDocument/2006/relationships/hyperlink" Target="https://www.genome.jp/entry/1.2.1.38" TargetMode="External"/><Relationship Id="rId1301" Type="http://schemas.openxmlformats.org/officeDocument/2006/relationships/hyperlink" Target="https://www.genome.jp/entry/R04424" TargetMode="External"/><Relationship Id="rId1539" Type="http://schemas.openxmlformats.org/officeDocument/2006/relationships/hyperlink" Target="https://www.genome.jp/entry/4.6.1.17" TargetMode="External"/><Relationship Id="rId1746" Type="http://schemas.openxmlformats.org/officeDocument/2006/relationships/hyperlink" Target="https://www.genome.jp/entry/2.5.1.47" TargetMode="External"/><Relationship Id="rId1953" Type="http://schemas.openxmlformats.org/officeDocument/2006/relationships/hyperlink" Target="https://www.genome.jp/entry/1.8.1.15" TargetMode="External"/><Relationship Id="rId38" Type="http://schemas.openxmlformats.org/officeDocument/2006/relationships/hyperlink" Target="https://www.genome.jp/entry/R00216/R00217" TargetMode="External"/><Relationship Id="rId1606" Type="http://schemas.openxmlformats.org/officeDocument/2006/relationships/hyperlink" Target="https://www.genome.jp/entry/5.2.1.8" TargetMode="External"/><Relationship Id="rId1813" Type="http://schemas.openxmlformats.org/officeDocument/2006/relationships/hyperlink" Target="https://www.genome.jp/entry/2.5.1.48" TargetMode="External"/><Relationship Id="rId187" Type="http://schemas.openxmlformats.org/officeDocument/2006/relationships/hyperlink" Target="https://www.genome.jp/entry/6.2.1.5" TargetMode="External"/><Relationship Id="rId394" Type="http://schemas.openxmlformats.org/officeDocument/2006/relationships/hyperlink" Target="https://www.genome.jp/entry/R11894" TargetMode="External"/><Relationship Id="rId2075" Type="http://schemas.openxmlformats.org/officeDocument/2006/relationships/hyperlink" Target="https://www.genome.jp/entry/2.3.2.2" TargetMode="External"/><Relationship Id="rId2282" Type="http://schemas.openxmlformats.org/officeDocument/2006/relationships/hyperlink" Target="https://www.genome.jp/entry/R00758" TargetMode="External"/><Relationship Id="rId254" Type="http://schemas.openxmlformats.org/officeDocument/2006/relationships/hyperlink" Target="https://www.genome.jp/entry/R04533" TargetMode="External"/><Relationship Id="rId699" Type="http://schemas.openxmlformats.org/officeDocument/2006/relationships/hyperlink" Target="https://www.genome.jp/entry/R05636" TargetMode="External"/><Relationship Id="rId1091" Type="http://schemas.openxmlformats.org/officeDocument/2006/relationships/hyperlink" Target="https://www.genome.jp/entry/2.1.2.1" TargetMode="External"/><Relationship Id="rId114" Type="http://schemas.openxmlformats.org/officeDocument/2006/relationships/hyperlink" Target="https://www.genome.jp/entry/2.7.6.3" TargetMode="External"/><Relationship Id="rId461" Type="http://schemas.openxmlformats.org/officeDocument/2006/relationships/hyperlink" Target="https://www.genome.jp/entry/R04951" TargetMode="External"/><Relationship Id="rId559" Type="http://schemas.openxmlformats.org/officeDocument/2006/relationships/hyperlink" Target="https://www.genome.jp/entry/4.3.2.10" TargetMode="External"/><Relationship Id="rId766" Type="http://schemas.openxmlformats.org/officeDocument/2006/relationships/hyperlink" Target="https://www.genome.jp/entry/R00575" TargetMode="External"/><Relationship Id="rId1189" Type="http://schemas.openxmlformats.org/officeDocument/2006/relationships/hyperlink" Target="https://www.genome.jp/entry/R04536" TargetMode="External"/><Relationship Id="rId1396" Type="http://schemas.openxmlformats.org/officeDocument/2006/relationships/hyperlink" Target="https://www.genome.jp/entry/R10813" TargetMode="External"/><Relationship Id="rId2142" Type="http://schemas.openxmlformats.org/officeDocument/2006/relationships/hyperlink" Target="https://www.genome.jp/entry/1.1.1.100" TargetMode="External"/><Relationship Id="rId2447" Type="http://schemas.openxmlformats.org/officeDocument/2006/relationships/hyperlink" Target="https://www.genome.jp/entry/R04781" TargetMode="External"/><Relationship Id="rId321" Type="http://schemas.openxmlformats.org/officeDocument/2006/relationships/hyperlink" Target="https://www.genome.jp/entry/R07188" TargetMode="External"/><Relationship Id="rId419" Type="http://schemas.openxmlformats.org/officeDocument/2006/relationships/hyperlink" Target="https://www.genome.jp/entry/R01123" TargetMode="External"/><Relationship Id="rId626" Type="http://schemas.openxmlformats.org/officeDocument/2006/relationships/hyperlink" Target="https://www.genome.jp/entry/R05688" TargetMode="External"/><Relationship Id="rId973" Type="http://schemas.openxmlformats.org/officeDocument/2006/relationships/hyperlink" Target="https://www.genome.jp/entry/R00014" TargetMode="External"/><Relationship Id="rId1049" Type="http://schemas.openxmlformats.org/officeDocument/2006/relationships/hyperlink" Target="https://www.genome.jp/entry/R02421" TargetMode="External"/><Relationship Id="rId1256" Type="http://schemas.openxmlformats.org/officeDocument/2006/relationships/hyperlink" Target="https://www.genome.jp/entry/R02767" TargetMode="External"/><Relationship Id="rId2002" Type="http://schemas.openxmlformats.org/officeDocument/2006/relationships/hyperlink" Target="https://www.genome.jp/entry/2.2.1.2" TargetMode="External"/><Relationship Id="rId2307" Type="http://schemas.openxmlformats.org/officeDocument/2006/relationships/hyperlink" Target="https://www.genome.jp/entry/1.1.1.35" TargetMode="External"/><Relationship Id="rId833" Type="http://schemas.openxmlformats.org/officeDocument/2006/relationships/hyperlink" Target="https://www.genome.jp/entry/1.17.99.9" TargetMode="External"/><Relationship Id="rId1116" Type="http://schemas.openxmlformats.org/officeDocument/2006/relationships/hyperlink" Target="https://www.genome.jp/entry/R01049" TargetMode="External"/><Relationship Id="rId1463" Type="http://schemas.openxmlformats.org/officeDocument/2006/relationships/hyperlink" Target="https://www.genome.jp/entry/R03815" TargetMode="External"/><Relationship Id="rId1670" Type="http://schemas.openxmlformats.org/officeDocument/2006/relationships/hyperlink" Target="https://www.genome.jp/entry/1.1.1.1" TargetMode="External"/><Relationship Id="rId1768" Type="http://schemas.openxmlformats.org/officeDocument/2006/relationships/hyperlink" Target="https://www.genome.jp/entry/3.1.3.3" TargetMode="External"/><Relationship Id="rId900" Type="http://schemas.openxmlformats.org/officeDocument/2006/relationships/hyperlink" Target="https://www.genome.jp/entry/R01398" TargetMode="External"/><Relationship Id="rId1323" Type="http://schemas.openxmlformats.org/officeDocument/2006/relationships/hyperlink" Target="https://www.genome.jp/entry/R04859" TargetMode="External"/><Relationship Id="rId1530" Type="http://schemas.openxmlformats.org/officeDocument/2006/relationships/hyperlink" Target="https://www.genome.jp/entry/R10209" TargetMode="External"/><Relationship Id="rId1628" Type="http://schemas.openxmlformats.org/officeDocument/2006/relationships/hyperlink" Target="https://www.genome.jp/entry/4.2.1.20" TargetMode="External"/><Relationship Id="rId1975" Type="http://schemas.openxmlformats.org/officeDocument/2006/relationships/hyperlink" Target="https://www.genome.jp/entry/2.1.1.37" TargetMode="External"/><Relationship Id="rId1835" Type="http://schemas.openxmlformats.org/officeDocument/2006/relationships/hyperlink" Target="https://www.genome.jp/entry/1.14.12.10" TargetMode="External"/><Relationship Id="rId1902" Type="http://schemas.openxmlformats.org/officeDocument/2006/relationships/hyperlink" Target="https://www.genome.jp/entry/1.5.1.20" TargetMode="External"/><Relationship Id="rId2097" Type="http://schemas.openxmlformats.org/officeDocument/2006/relationships/hyperlink" Target="https://www.genome.jp/entry/2.3.1.85" TargetMode="External"/><Relationship Id="rId276" Type="http://schemas.openxmlformats.org/officeDocument/2006/relationships/hyperlink" Target="https://www.genome.jp/entry/R04967" TargetMode="External"/><Relationship Id="rId483" Type="http://schemas.openxmlformats.org/officeDocument/2006/relationships/hyperlink" Target="https://www.genome.jp/entry/R02161" TargetMode="External"/><Relationship Id="rId690" Type="http://schemas.openxmlformats.org/officeDocument/2006/relationships/hyperlink" Target="https://www.genome.jp/entry/3.1.1.96" TargetMode="External"/><Relationship Id="rId2164" Type="http://schemas.openxmlformats.org/officeDocument/2006/relationships/hyperlink" Target="https://www.genome.jp/entry/1.1.1.42" TargetMode="External"/><Relationship Id="rId2371" Type="http://schemas.openxmlformats.org/officeDocument/2006/relationships/hyperlink" Target="https://www.genome.jp/entry/3.2.1.18" TargetMode="External"/><Relationship Id="rId136" Type="http://schemas.openxmlformats.org/officeDocument/2006/relationships/hyperlink" Target="https://www.genome.jp/entry/R02059" TargetMode="External"/><Relationship Id="rId343" Type="http://schemas.openxmlformats.org/officeDocument/2006/relationships/hyperlink" Target="https://www.genome.jp/entry/R08115" TargetMode="External"/><Relationship Id="rId550" Type="http://schemas.openxmlformats.org/officeDocument/2006/relationships/hyperlink" Target="https://www.genome.jp/entry/R01158" TargetMode="External"/><Relationship Id="rId788" Type="http://schemas.openxmlformats.org/officeDocument/2006/relationships/hyperlink" Target="https://www.genome.jp/entry/2.5.1.6" TargetMode="External"/><Relationship Id="rId995" Type="http://schemas.openxmlformats.org/officeDocument/2006/relationships/hyperlink" Target="https://www.genome.jp/entry/5.1.99.1" TargetMode="External"/><Relationship Id="rId1180" Type="http://schemas.openxmlformats.org/officeDocument/2006/relationships/hyperlink" Target="https://www.genome.jp/entry/R01624" TargetMode="External"/><Relationship Id="rId2024" Type="http://schemas.openxmlformats.org/officeDocument/2006/relationships/hyperlink" Target="https://www.genome.jp/entry/2.7.7.7" TargetMode="External"/><Relationship Id="rId2231" Type="http://schemas.openxmlformats.org/officeDocument/2006/relationships/hyperlink" Target="https://www.genome.jp/entry/2.7.7.7" TargetMode="External"/><Relationship Id="rId203" Type="http://schemas.openxmlformats.org/officeDocument/2006/relationships/hyperlink" Target="https://www.genome.jp/entry/R07268" TargetMode="External"/><Relationship Id="rId648" Type="http://schemas.openxmlformats.org/officeDocument/2006/relationships/hyperlink" Target="https://www.genome.jp/entry/2.7.8.7" TargetMode="External"/><Relationship Id="rId855" Type="http://schemas.openxmlformats.org/officeDocument/2006/relationships/hyperlink" Target="https://www.genome.jp/entry/R00946" TargetMode="External"/><Relationship Id="rId1040" Type="http://schemas.openxmlformats.org/officeDocument/2006/relationships/hyperlink" Target="https://www.genome.jp/entry/R06787" TargetMode="External"/><Relationship Id="rId1278" Type="http://schemas.openxmlformats.org/officeDocument/2006/relationships/hyperlink" Target="https://www.genome.jp/entry/R01532" TargetMode="External"/><Relationship Id="rId1485" Type="http://schemas.openxmlformats.org/officeDocument/2006/relationships/hyperlink" Target="https://www.genome.jp/entry/R01569" TargetMode="External"/><Relationship Id="rId1692" Type="http://schemas.openxmlformats.org/officeDocument/2006/relationships/hyperlink" Target="https://www.genome.jp/entry/4.1.2.13" TargetMode="External"/><Relationship Id="rId2329" Type="http://schemas.openxmlformats.org/officeDocument/2006/relationships/hyperlink" Target="https://www.genome.jp/entry/R02545" TargetMode="External"/><Relationship Id="rId410" Type="http://schemas.openxmlformats.org/officeDocument/2006/relationships/hyperlink" Target="https://www.genome.jp/entry/R12188" TargetMode="External"/><Relationship Id="rId508" Type="http://schemas.openxmlformats.org/officeDocument/2006/relationships/hyperlink" Target="https://www.genome.jp/entry/6.3.2.9" TargetMode="External"/><Relationship Id="rId715" Type="http://schemas.openxmlformats.org/officeDocument/2006/relationships/hyperlink" Target="https://www.genome.jp/entry/6.1.1.3" TargetMode="External"/><Relationship Id="rId922" Type="http://schemas.openxmlformats.org/officeDocument/2006/relationships/hyperlink" Target="https://www.genome.jp/entry/R00130" TargetMode="External"/><Relationship Id="rId1138" Type="http://schemas.openxmlformats.org/officeDocument/2006/relationships/hyperlink" Target="https://www.genome.jp/entry/6.1.1.10" TargetMode="External"/><Relationship Id="rId1345" Type="http://schemas.openxmlformats.org/officeDocument/2006/relationships/hyperlink" Target="https://www.genome.jp/entry/R00379" TargetMode="External"/><Relationship Id="rId1552" Type="http://schemas.openxmlformats.org/officeDocument/2006/relationships/hyperlink" Target="https://www.genome.jp/entry/R00248" TargetMode="External"/><Relationship Id="rId1997" Type="http://schemas.openxmlformats.org/officeDocument/2006/relationships/hyperlink" Target="https://www.genome.jp/entry/2.7.4.8" TargetMode="External"/><Relationship Id="rId1205" Type="http://schemas.openxmlformats.org/officeDocument/2006/relationships/hyperlink" Target="https://www.genome.jp/entry/R04963" TargetMode="External"/><Relationship Id="rId1857" Type="http://schemas.openxmlformats.org/officeDocument/2006/relationships/hyperlink" Target="https://www.genome.jp/entry/2.7.4.6" TargetMode="External"/><Relationship Id="rId51" Type="http://schemas.openxmlformats.org/officeDocument/2006/relationships/hyperlink" Target="https://www.genome.jp/entry/1.1.1.27" TargetMode="External"/><Relationship Id="rId1412" Type="http://schemas.openxmlformats.org/officeDocument/2006/relationships/hyperlink" Target="https://www.genome.jp/entry/R07263" TargetMode="External"/><Relationship Id="rId1717" Type="http://schemas.openxmlformats.org/officeDocument/2006/relationships/hyperlink" Target="https://www.genome.jp/entry/R04639" TargetMode="External"/><Relationship Id="rId1924" Type="http://schemas.openxmlformats.org/officeDocument/2006/relationships/hyperlink" Target="https://www.genome.jp/entry/1.1.1.23" TargetMode="External"/><Relationship Id="rId298" Type="http://schemas.openxmlformats.org/officeDocument/2006/relationships/hyperlink" Target="https://www.genome.jp/entry/2.5.1.48" TargetMode="External"/><Relationship Id="rId158" Type="http://schemas.openxmlformats.org/officeDocument/2006/relationships/hyperlink" Target="https://www.genome.jp/entry/2.6.1.62" TargetMode="External"/><Relationship Id="rId2186" Type="http://schemas.openxmlformats.org/officeDocument/2006/relationships/hyperlink" Target="https://www.genome.jp/entry/2.7.7.6" TargetMode="External"/><Relationship Id="rId2393" Type="http://schemas.openxmlformats.org/officeDocument/2006/relationships/hyperlink" Target="https://www.genome.jp/entry/R06253" TargetMode="External"/><Relationship Id="rId365" Type="http://schemas.openxmlformats.org/officeDocument/2006/relationships/hyperlink" Target="https://www.genome.jp/entry/R00342" TargetMode="External"/><Relationship Id="rId572" Type="http://schemas.openxmlformats.org/officeDocument/2006/relationships/hyperlink" Target="https://www.genome.jp/entry/R04037" TargetMode="External"/><Relationship Id="rId2046" Type="http://schemas.openxmlformats.org/officeDocument/2006/relationships/hyperlink" Target="https://www.genome.jp/entry/2.2.1.6" TargetMode="External"/><Relationship Id="rId2253" Type="http://schemas.openxmlformats.org/officeDocument/2006/relationships/hyperlink" Target="https://www.genome.jp/entry/3.5.1.5" TargetMode="External"/><Relationship Id="rId2460" Type="http://schemas.openxmlformats.org/officeDocument/2006/relationships/hyperlink" Target="https://www.genome.jp/entry/R08700" TargetMode="External"/><Relationship Id="rId225" Type="http://schemas.openxmlformats.org/officeDocument/2006/relationships/hyperlink" Target="https://www.genome.jp/entry/R02024" TargetMode="External"/><Relationship Id="rId432" Type="http://schemas.openxmlformats.org/officeDocument/2006/relationships/hyperlink" Target="https://www.genome.jp/entry/R01699" TargetMode="External"/><Relationship Id="rId877" Type="http://schemas.openxmlformats.org/officeDocument/2006/relationships/hyperlink" Target="https://www.genome.jp/entry/2.7.4.7" TargetMode="External"/><Relationship Id="rId1062" Type="http://schemas.openxmlformats.org/officeDocument/2006/relationships/hyperlink" Target="https://www.genome.jp/entry/3.5.1.103" TargetMode="External"/><Relationship Id="rId2113" Type="http://schemas.openxmlformats.org/officeDocument/2006/relationships/hyperlink" Target="https://www.genome.jp/entry/2.3.1.85" TargetMode="External"/><Relationship Id="rId2320" Type="http://schemas.openxmlformats.org/officeDocument/2006/relationships/hyperlink" Target="https://www.genome.jp/entry/R07898" TargetMode="External"/><Relationship Id="rId737" Type="http://schemas.openxmlformats.org/officeDocument/2006/relationships/hyperlink" Target="https://www.genome.jp/entry/6.1.1.7" TargetMode="External"/><Relationship Id="rId944" Type="http://schemas.openxmlformats.org/officeDocument/2006/relationships/hyperlink" Target="https://www.genome.jp/entry/R10170" TargetMode="External"/><Relationship Id="rId1367" Type="http://schemas.openxmlformats.org/officeDocument/2006/relationships/hyperlink" Target="https://www.genome.jp/entry/5.4.2.10" TargetMode="External"/><Relationship Id="rId1574" Type="http://schemas.openxmlformats.org/officeDocument/2006/relationships/hyperlink" Target="https://www.genome.jp/entry/R00182" TargetMode="External"/><Relationship Id="rId1781" Type="http://schemas.openxmlformats.org/officeDocument/2006/relationships/hyperlink" Target="https://www.genome.jp/entry/2.3.1.85" TargetMode="External"/><Relationship Id="rId2418" Type="http://schemas.openxmlformats.org/officeDocument/2006/relationships/hyperlink" Target="https://www.genome.jp/entry/3.6.1.22" TargetMode="External"/><Relationship Id="rId73" Type="http://schemas.openxmlformats.org/officeDocument/2006/relationships/hyperlink" Target="https://www.genome.jp/entry/R00529/R04929" TargetMode="External"/><Relationship Id="rId804" Type="http://schemas.openxmlformats.org/officeDocument/2006/relationships/hyperlink" Target="https://www.genome.jp/entry/3.5.4.25" TargetMode="External"/><Relationship Id="rId1227" Type="http://schemas.openxmlformats.org/officeDocument/2006/relationships/hyperlink" Target="https://www.genome.jp/entry/R00256" TargetMode="External"/><Relationship Id="rId1434" Type="http://schemas.openxmlformats.org/officeDocument/2006/relationships/hyperlink" Target="https://www.genome.jp/entry/R03084" TargetMode="External"/><Relationship Id="rId1641" Type="http://schemas.openxmlformats.org/officeDocument/2006/relationships/hyperlink" Target="https://www.genome.jp/entry/R00691" TargetMode="External"/><Relationship Id="rId1879" Type="http://schemas.openxmlformats.org/officeDocument/2006/relationships/hyperlink" Target="https://www.genome.jp/entry/2.4.1.25" TargetMode="External"/><Relationship Id="rId1501" Type="http://schemas.openxmlformats.org/officeDocument/2006/relationships/hyperlink" Target="https://www.genome.jp/entry/R00378" TargetMode="External"/><Relationship Id="rId1739" Type="http://schemas.openxmlformats.org/officeDocument/2006/relationships/hyperlink" Target="https://www.genome.jp/entry/4.3.2.2" TargetMode="External"/><Relationship Id="rId1946" Type="http://schemas.openxmlformats.org/officeDocument/2006/relationships/hyperlink" Target="https://www.genome.jp/entry/1.4.3.19" TargetMode="External"/><Relationship Id="rId1806" Type="http://schemas.openxmlformats.org/officeDocument/2006/relationships/hyperlink" Target="https://www.genome.jp/entry/3.5.1.2" TargetMode="External"/><Relationship Id="rId387" Type="http://schemas.openxmlformats.org/officeDocument/2006/relationships/hyperlink" Target="https://www.genome.jp/entry/R01137" TargetMode="External"/><Relationship Id="rId594" Type="http://schemas.openxmlformats.org/officeDocument/2006/relationships/hyperlink" Target="https://www.genome.jp/entry/3.6.1.7" TargetMode="External"/><Relationship Id="rId2068" Type="http://schemas.openxmlformats.org/officeDocument/2006/relationships/hyperlink" Target="https://www.genome.jp/entry/2.7.1.33" TargetMode="External"/><Relationship Id="rId2275" Type="http://schemas.openxmlformats.org/officeDocument/2006/relationships/hyperlink" Target="https://www.genome.jp/entry/R02619" TargetMode="External"/><Relationship Id="rId247" Type="http://schemas.openxmlformats.org/officeDocument/2006/relationships/hyperlink" Target="https://www.genome.jp/entry/R05188" TargetMode="External"/><Relationship Id="rId899" Type="http://schemas.openxmlformats.org/officeDocument/2006/relationships/hyperlink" Target="https://www.genome.jp/entry/2.1.3.3" TargetMode="External"/><Relationship Id="rId1084" Type="http://schemas.openxmlformats.org/officeDocument/2006/relationships/hyperlink" Target="https://www.genome.jp/entry/R01082" TargetMode="External"/><Relationship Id="rId107" Type="http://schemas.openxmlformats.org/officeDocument/2006/relationships/hyperlink" Target="https://www.genome.jp/entry/R01132/R01229/R02142/R08237/R08238/R08245" TargetMode="External"/><Relationship Id="rId454" Type="http://schemas.openxmlformats.org/officeDocument/2006/relationships/hyperlink" Target="https://www.genome.jp/entry/2.3.1.181" TargetMode="External"/><Relationship Id="rId661" Type="http://schemas.openxmlformats.org/officeDocument/2006/relationships/hyperlink" Target="https://www.genome.jp/entry/1.17.1.8" TargetMode="External"/><Relationship Id="rId759" Type="http://schemas.openxmlformats.org/officeDocument/2006/relationships/hyperlink" Target="https://www.genome.jp/entry/R00575" TargetMode="External"/><Relationship Id="rId966" Type="http://schemas.openxmlformats.org/officeDocument/2006/relationships/hyperlink" Target="https://www.genome.jp/entry/R04440" TargetMode="External"/><Relationship Id="rId1291" Type="http://schemas.openxmlformats.org/officeDocument/2006/relationships/hyperlink" Target="https://www.genome.jp/entry/2.3.3.5" TargetMode="External"/><Relationship Id="rId1389" Type="http://schemas.openxmlformats.org/officeDocument/2006/relationships/hyperlink" Target="https://www.genome.jp/entry/R10813" TargetMode="External"/><Relationship Id="rId1596" Type="http://schemas.openxmlformats.org/officeDocument/2006/relationships/hyperlink" Target="https://www.genome.jp/entry/2.8.1.6" TargetMode="External"/><Relationship Id="rId2135" Type="http://schemas.openxmlformats.org/officeDocument/2006/relationships/hyperlink" Target="https://www.genome.jp/entry/1.5.1.3" TargetMode="External"/><Relationship Id="rId2342" Type="http://schemas.openxmlformats.org/officeDocument/2006/relationships/hyperlink" Target="https://www.genome.jp/entry/1.16.1.1" TargetMode="External"/><Relationship Id="rId314" Type="http://schemas.openxmlformats.org/officeDocument/2006/relationships/hyperlink" Target="https://www.genome.jp/entry/5.2.1.8" TargetMode="External"/><Relationship Id="rId521" Type="http://schemas.openxmlformats.org/officeDocument/2006/relationships/hyperlink" Target="https://www.genome.jp/entry/R00379" TargetMode="External"/><Relationship Id="rId619" Type="http://schemas.openxmlformats.org/officeDocument/2006/relationships/hyperlink" Target="https://www.genome.jp/entry/3.1.26.4" TargetMode="External"/><Relationship Id="rId1151" Type="http://schemas.openxmlformats.org/officeDocument/2006/relationships/hyperlink" Target="https://www.genome.jp/entry/2.1.2.3" TargetMode="External"/><Relationship Id="rId1249" Type="http://schemas.openxmlformats.org/officeDocument/2006/relationships/hyperlink" Target="https://www.genome.jp/entry/R00940" TargetMode="External"/><Relationship Id="rId2202" Type="http://schemas.openxmlformats.org/officeDocument/2006/relationships/hyperlink" Target="https://www.genome.jp/entry/4.1.3.36" TargetMode="External"/><Relationship Id="rId95" Type="http://schemas.openxmlformats.org/officeDocument/2006/relationships/hyperlink" Target="https://www.genome.jp/entry/2.7.4.1" TargetMode="External"/><Relationship Id="rId826" Type="http://schemas.openxmlformats.org/officeDocument/2006/relationships/hyperlink" Target="https://www.genome.jp/entry/R01067" TargetMode="External"/><Relationship Id="rId1011" Type="http://schemas.openxmlformats.org/officeDocument/2006/relationships/hyperlink" Target="https://www.genome.jp/entry/R00086" TargetMode="External"/><Relationship Id="rId1109" Type="http://schemas.openxmlformats.org/officeDocument/2006/relationships/hyperlink" Target="https://www.genome.jp/entry/R03916" TargetMode="External"/><Relationship Id="rId1456" Type="http://schemas.openxmlformats.org/officeDocument/2006/relationships/hyperlink" Target="https://www.genome.jp/entry/R01066" TargetMode="External"/><Relationship Id="rId1663" Type="http://schemas.openxmlformats.org/officeDocument/2006/relationships/hyperlink" Target="https://www.genome.jp/entry/R00624" TargetMode="External"/><Relationship Id="rId1870" Type="http://schemas.openxmlformats.org/officeDocument/2006/relationships/hyperlink" Target="https://www.genome.jp/entry/2.7.7.18" TargetMode="External"/><Relationship Id="rId1968" Type="http://schemas.openxmlformats.org/officeDocument/2006/relationships/hyperlink" Target="https://www.genome.jp/entry/5.1.3.2" TargetMode="External"/><Relationship Id="rId1316" Type="http://schemas.openxmlformats.org/officeDocument/2006/relationships/hyperlink" Target="https://www.genome.jp/entry/R00931" TargetMode="External"/><Relationship Id="rId1523" Type="http://schemas.openxmlformats.org/officeDocument/2006/relationships/hyperlink" Target="https://www.genome.jp/entry/R00379" TargetMode="External"/><Relationship Id="rId1730" Type="http://schemas.openxmlformats.org/officeDocument/2006/relationships/hyperlink" Target="https://www.genome.jp/entry/1.2.1.96" TargetMode="External"/><Relationship Id="rId22" Type="http://schemas.openxmlformats.org/officeDocument/2006/relationships/hyperlink" Target="https://www.genome.jp/entry/2.4.2.18" TargetMode="External"/><Relationship Id="rId1828" Type="http://schemas.openxmlformats.org/officeDocument/2006/relationships/hyperlink" Target="https://www.genome.jp/entry/1.14.12.10" TargetMode="External"/><Relationship Id="rId171" Type="http://schemas.openxmlformats.org/officeDocument/2006/relationships/hyperlink" Target="https://www.genome.jp/entry/6.3.5.3" TargetMode="External"/><Relationship Id="rId2297" Type="http://schemas.openxmlformats.org/officeDocument/2006/relationships/hyperlink" Target="https://www.genome.jp/entry/1.1.1.35" TargetMode="External"/><Relationship Id="rId269" Type="http://schemas.openxmlformats.org/officeDocument/2006/relationships/hyperlink" Target="https://www.genome.jp/entry/R04957" TargetMode="External"/><Relationship Id="rId476" Type="http://schemas.openxmlformats.org/officeDocument/2006/relationships/hyperlink" Target="https://www.genome.jp/entry/R05222" TargetMode="External"/><Relationship Id="rId683" Type="http://schemas.openxmlformats.org/officeDocument/2006/relationships/hyperlink" Target="https://www.genome.jp/entry/R02628" TargetMode="External"/><Relationship Id="rId890" Type="http://schemas.openxmlformats.org/officeDocument/2006/relationships/hyperlink" Target="https://www.genome.jp/entry/R00573" TargetMode="External"/><Relationship Id="rId2157" Type="http://schemas.openxmlformats.org/officeDocument/2006/relationships/hyperlink" Target="https://www.genome.jp/entry/3.6.1.9" TargetMode="External"/><Relationship Id="rId2364" Type="http://schemas.openxmlformats.org/officeDocument/2006/relationships/hyperlink" Target="https://www.genome.jp/entry/2.7.1.6" TargetMode="External"/><Relationship Id="rId129" Type="http://schemas.openxmlformats.org/officeDocument/2006/relationships/hyperlink" Target="https://www.genome.jp/entry/4.6.1.12" TargetMode="External"/><Relationship Id="rId336" Type="http://schemas.openxmlformats.org/officeDocument/2006/relationships/hyperlink" Target="https://www.genome.jp/entry/1.14.12.10" TargetMode="External"/><Relationship Id="rId543" Type="http://schemas.openxmlformats.org/officeDocument/2006/relationships/hyperlink" Target="https://www.genome.jp/entry/2.7.6.5" TargetMode="External"/><Relationship Id="rId988" Type="http://schemas.openxmlformats.org/officeDocument/2006/relationships/hyperlink" Target="https://www.genome.jp/entry/2.7.11.1" TargetMode="External"/><Relationship Id="rId1173" Type="http://schemas.openxmlformats.org/officeDocument/2006/relationships/hyperlink" Target="https://www.genome.jp/entry/R00939" TargetMode="External"/><Relationship Id="rId1380" Type="http://schemas.openxmlformats.org/officeDocument/2006/relationships/hyperlink" Target="https://www.genome.jp/entry/R00127" TargetMode="External"/><Relationship Id="rId2017" Type="http://schemas.openxmlformats.org/officeDocument/2006/relationships/hyperlink" Target="https://www.genome.jp/entry/6.3.4.2" TargetMode="External"/><Relationship Id="rId2224" Type="http://schemas.openxmlformats.org/officeDocument/2006/relationships/hyperlink" Target="https://www.genome.jp/entry/3.1.3.5" TargetMode="External"/><Relationship Id="rId403" Type="http://schemas.openxmlformats.org/officeDocument/2006/relationships/hyperlink" Target="https://www.genome.jp/entry/4.1.3.1" TargetMode="External"/><Relationship Id="rId750" Type="http://schemas.openxmlformats.org/officeDocument/2006/relationships/hyperlink" Target="https://www.genome.jp/entry/3.4.11.9" TargetMode="External"/><Relationship Id="rId848" Type="http://schemas.openxmlformats.org/officeDocument/2006/relationships/hyperlink" Target="https://www.genome.jp/entry/R05627" TargetMode="External"/><Relationship Id="rId1033" Type="http://schemas.openxmlformats.org/officeDocument/2006/relationships/hyperlink" Target="https://www.genome.jp/entry/R00451" TargetMode="External"/><Relationship Id="rId1478" Type="http://schemas.openxmlformats.org/officeDocument/2006/relationships/hyperlink" Target="https://www.genome.jp/entry/R00511" TargetMode="External"/><Relationship Id="rId1685" Type="http://schemas.openxmlformats.org/officeDocument/2006/relationships/hyperlink" Target="https://www.genome.jp/entry/R08231" TargetMode="External"/><Relationship Id="rId1892" Type="http://schemas.openxmlformats.org/officeDocument/2006/relationships/hyperlink" Target="https://www.genome.jp/entry/2.7.1.156" TargetMode="External"/><Relationship Id="rId2431" Type="http://schemas.openxmlformats.org/officeDocument/2006/relationships/hyperlink" Target="https://www.genome.jp/entry/4.1.3.16" TargetMode="External"/><Relationship Id="rId610" Type="http://schemas.openxmlformats.org/officeDocument/2006/relationships/hyperlink" Target="https://www.genome.jp/entry/R10245" TargetMode="External"/><Relationship Id="rId708" Type="http://schemas.openxmlformats.org/officeDocument/2006/relationships/hyperlink" Target="https://www.genome.jp/entry/2.1.1.37" TargetMode="External"/><Relationship Id="rId915" Type="http://schemas.openxmlformats.org/officeDocument/2006/relationships/hyperlink" Target="https://www.genome.jp/entry/1.6.5.2" TargetMode="External"/><Relationship Id="rId1240" Type="http://schemas.openxmlformats.org/officeDocument/2006/relationships/hyperlink" Target="https://www.genome.jp/entry/R00192" TargetMode="External"/><Relationship Id="rId1338" Type="http://schemas.openxmlformats.org/officeDocument/2006/relationships/hyperlink" Target="https://www.genome.jp/entry/R00376" TargetMode="External"/><Relationship Id="rId1545" Type="http://schemas.openxmlformats.org/officeDocument/2006/relationships/hyperlink" Target="https://www.genome.jp/entry/2.4.1.287" TargetMode="External"/><Relationship Id="rId1100" Type="http://schemas.openxmlformats.org/officeDocument/2006/relationships/hyperlink" Target="https://www.genome.jp/entry/4.2.1.11" TargetMode="External"/><Relationship Id="rId1405" Type="http://schemas.openxmlformats.org/officeDocument/2006/relationships/hyperlink" Target="https://www.genome.jp/entry/R08165" TargetMode="External"/><Relationship Id="rId1752" Type="http://schemas.openxmlformats.org/officeDocument/2006/relationships/hyperlink" Target="https://www.genome.jp/entry/5.4.2.2" TargetMode="External"/><Relationship Id="rId44" Type="http://schemas.openxmlformats.org/officeDocument/2006/relationships/hyperlink" Target="https://www.genome.jp/entry/5.6.2.3" TargetMode="External"/><Relationship Id="rId1612" Type="http://schemas.openxmlformats.org/officeDocument/2006/relationships/hyperlink" Target="https://www.genome.jp/entry/R00900" TargetMode="External"/><Relationship Id="rId1917" Type="http://schemas.openxmlformats.org/officeDocument/2006/relationships/hyperlink" Target="https://www.genome.jp/entry/2.7.7.7" TargetMode="External"/><Relationship Id="rId193" Type="http://schemas.openxmlformats.org/officeDocument/2006/relationships/hyperlink" Target="https://www.genome.jp/entry/2.5.1.47" TargetMode="External"/><Relationship Id="rId498" Type="http://schemas.openxmlformats.org/officeDocument/2006/relationships/hyperlink" Target="https://www.genome.jp/entry/2.1.1.199" TargetMode="External"/><Relationship Id="rId2081" Type="http://schemas.openxmlformats.org/officeDocument/2006/relationships/hyperlink" Target="https://www.genome.jp/entry/2.4.1.109" TargetMode="External"/><Relationship Id="rId2179" Type="http://schemas.openxmlformats.org/officeDocument/2006/relationships/hyperlink" Target="https://www.genome.jp/entry/2.7.7.7" TargetMode="External"/><Relationship Id="rId260" Type="http://schemas.openxmlformats.org/officeDocument/2006/relationships/hyperlink" Target="https://www.genome.jp/entry/R04544" TargetMode="External"/><Relationship Id="rId2386" Type="http://schemas.openxmlformats.org/officeDocument/2006/relationships/hyperlink" Target="https://www.genome.jp/entry/R05115" TargetMode="External"/><Relationship Id="rId120" Type="http://schemas.openxmlformats.org/officeDocument/2006/relationships/hyperlink" Target="https://www.genome.jp/entry/1.2.1.64" TargetMode="External"/><Relationship Id="rId358" Type="http://schemas.openxmlformats.org/officeDocument/2006/relationships/hyperlink" Target="https://www.genome.jp/entry/3.1.1.24" TargetMode="External"/><Relationship Id="rId565" Type="http://schemas.openxmlformats.org/officeDocument/2006/relationships/hyperlink" Target="https://www.genome.jp/entry/5.3.1.24" TargetMode="External"/><Relationship Id="rId772" Type="http://schemas.openxmlformats.org/officeDocument/2006/relationships/hyperlink" Target="https://www.genome.jp/entry/R00965" TargetMode="External"/><Relationship Id="rId1195" Type="http://schemas.openxmlformats.org/officeDocument/2006/relationships/hyperlink" Target="https://www.genome.jp/entry/R04725" TargetMode="External"/><Relationship Id="rId2039" Type="http://schemas.openxmlformats.org/officeDocument/2006/relationships/hyperlink" Target="https://www.genome.jp/entry/1.1.1.86" TargetMode="External"/><Relationship Id="rId2246" Type="http://schemas.openxmlformats.org/officeDocument/2006/relationships/hyperlink" Target="https://www.genome.jp/entry/2.4.1.287" TargetMode="External"/><Relationship Id="rId2453" Type="http://schemas.openxmlformats.org/officeDocument/2006/relationships/hyperlink" Target="https://www.genome.jp/entry/R00414" TargetMode="External"/><Relationship Id="rId218" Type="http://schemas.openxmlformats.org/officeDocument/2006/relationships/hyperlink" Target="https://www.genome.jp/entry/R02024" TargetMode="External"/><Relationship Id="rId425" Type="http://schemas.openxmlformats.org/officeDocument/2006/relationships/hyperlink" Target="https://www.genome.jp/entry/R06069" TargetMode="External"/><Relationship Id="rId632" Type="http://schemas.openxmlformats.org/officeDocument/2006/relationships/hyperlink" Target="https://www.genome.jp/entry/R05715" TargetMode="External"/><Relationship Id="rId1055" Type="http://schemas.openxmlformats.org/officeDocument/2006/relationships/hyperlink" Target="https://www.genome.jp/entry/R03067/R03066" TargetMode="External"/><Relationship Id="rId1262" Type="http://schemas.openxmlformats.org/officeDocument/2006/relationships/hyperlink" Target="https://www.genome.jp/entry/R04953" TargetMode="External"/><Relationship Id="rId2106" Type="http://schemas.openxmlformats.org/officeDocument/2006/relationships/hyperlink" Target="https://www.genome.jp/entry/2.3.1.85" TargetMode="External"/><Relationship Id="rId2313" Type="http://schemas.openxmlformats.org/officeDocument/2006/relationships/hyperlink" Target="https://www.genome.jp/entry/R04741" TargetMode="External"/><Relationship Id="rId937" Type="http://schemas.openxmlformats.org/officeDocument/2006/relationships/hyperlink" Target="https://www.genome.jp/entry/R00617" TargetMode="External"/><Relationship Id="rId1122" Type="http://schemas.openxmlformats.org/officeDocument/2006/relationships/hyperlink" Target="https://www.genome.jp/entry/R00025" TargetMode="External"/><Relationship Id="rId1567" Type="http://schemas.openxmlformats.org/officeDocument/2006/relationships/hyperlink" Target="https://www.genome.jp/entry/R01226" TargetMode="External"/><Relationship Id="rId1774" Type="http://schemas.openxmlformats.org/officeDocument/2006/relationships/hyperlink" Target="https://www.genome.jp/entry/2.3.1.85" TargetMode="External"/><Relationship Id="rId1981" Type="http://schemas.openxmlformats.org/officeDocument/2006/relationships/hyperlink" Target="https://www.genome.jp/entry/1.1.1.25" TargetMode="External"/><Relationship Id="rId66" Type="http://schemas.openxmlformats.org/officeDocument/2006/relationships/hyperlink" Target="https://www.genome.jp/entry/R00431/R00726" TargetMode="External"/><Relationship Id="rId1427" Type="http://schemas.openxmlformats.org/officeDocument/2006/relationships/hyperlink" Target="https://www.genome.jp/entry/R03194" TargetMode="External"/><Relationship Id="rId1634" Type="http://schemas.openxmlformats.org/officeDocument/2006/relationships/hyperlink" Target="https://www.genome.jp/entry/1.8.1.9" TargetMode="External"/><Relationship Id="rId1841" Type="http://schemas.openxmlformats.org/officeDocument/2006/relationships/hyperlink" Target="https://www.genome.jp/entry/1.13.11.1" TargetMode="External"/><Relationship Id="rId1939" Type="http://schemas.openxmlformats.org/officeDocument/2006/relationships/hyperlink" Target="https://www.genome.jp/entry/1.4.1.4" TargetMode="External"/><Relationship Id="rId1701" Type="http://schemas.openxmlformats.org/officeDocument/2006/relationships/hyperlink" Target="https://www.genome.jp/entry/3.5.1.88" TargetMode="External"/><Relationship Id="rId282" Type="http://schemas.openxmlformats.org/officeDocument/2006/relationships/hyperlink" Target="https://www.genome.jp/entry/R12570" TargetMode="External"/><Relationship Id="rId587" Type="http://schemas.openxmlformats.org/officeDocument/2006/relationships/hyperlink" Target="https://www.genome.jp/entry/R00145" TargetMode="External"/><Relationship Id="rId2170" Type="http://schemas.openxmlformats.org/officeDocument/2006/relationships/hyperlink" Target="https://www.genome.jp/entry/2.7.7.7" TargetMode="External"/><Relationship Id="rId2268" Type="http://schemas.openxmlformats.org/officeDocument/2006/relationships/hyperlink" Target="https://www.genome.jp/entry/2.6.1.1" TargetMode="External"/><Relationship Id="rId8" Type="http://schemas.openxmlformats.org/officeDocument/2006/relationships/hyperlink" Target="https://www.genome.jp/entry/2.7.4.7" TargetMode="External"/><Relationship Id="rId142" Type="http://schemas.openxmlformats.org/officeDocument/2006/relationships/hyperlink" Target="https://www.genome.jp/entry/R03650" TargetMode="External"/><Relationship Id="rId447" Type="http://schemas.openxmlformats.org/officeDocument/2006/relationships/hyperlink" Target="https://www.genome.jp/entry/R05086" TargetMode="External"/><Relationship Id="rId794" Type="http://schemas.openxmlformats.org/officeDocument/2006/relationships/hyperlink" Target="https://www.genome.jp/entry/2.1.2.9" TargetMode="External"/><Relationship Id="rId1077" Type="http://schemas.openxmlformats.org/officeDocument/2006/relationships/hyperlink" Target="https://www.genome.jp/entry/3.1.11.6" TargetMode="External"/><Relationship Id="rId2030" Type="http://schemas.openxmlformats.org/officeDocument/2006/relationships/hyperlink" Target="https://www.genome.jp/entry/4.2.1.33" TargetMode="External"/><Relationship Id="rId2128" Type="http://schemas.openxmlformats.org/officeDocument/2006/relationships/hyperlink" Target="https://www.genome.jp/entry/4.3.3.6" TargetMode="External"/><Relationship Id="rId654" Type="http://schemas.openxmlformats.org/officeDocument/2006/relationships/hyperlink" Target="https://www.genome.jp/entry/R00161" TargetMode="External"/><Relationship Id="rId861" Type="http://schemas.openxmlformats.org/officeDocument/2006/relationships/hyperlink" Target="https://www.genome.jp/entry/4.3.1.1" TargetMode="External"/><Relationship Id="rId959" Type="http://schemas.openxmlformats.org/officeDocument/2006/relationships/hyperlink" Target="https://www.genome.jp/entry/R00994" TargetMode="External"/><Relationship Id="rId1284" Type="http://schemas.openxmlformats.org/officeDocument/2006/relationships/hyperlink" Target="https://www.genome.jp/entry/R00103" TargetMode="External"/><Relationship Id="rId1491" Type="http://schemas.openxmlformats.org/officeDocument/2006/relationships/hyperlink" Target="https://www.genome.jp/entry/4.2.1.47" TargetMode="External"/><Relationship Id="rId1589" Type="http://schemas.openxmlformats.org/officeDocument/2006/relationships/hyperlink" Target="https://www.genome.jp/entry/R00131" TargetMode="External"/><Relationship Id="rId2335" Type="http://schemas.openxmlformats.org/officeDocument/2006/relationships/hyperlink" Target="https://www.genome.jp/entry/R04376" TargetMode="External"/><Relationship Id="rId307" Type="http://schemas.openxmlformats.org/officeDocument/2006/relationships/hyperlink" Target="https://www.genome.jp/entry/3.4.11.2" TargetMode="External"/><Relationship Id="rId514" Type="http://schemas.openxmlformats.org/officeDocument/2006/relationships/hyperlink" Target="https://www.genome.jp/entry/R06172" TargetMode="External"/><Relationship Id="rId721" Type="http://schemas.openxmlformats.org/officeDocument/2006/relationships/hyperlink" Target="https://www.genome.jp/entry/R00190" TargetMode="External"/><Relationship Id="rId1144" Type="http://schemas.openxmlformats.org/officeDocument/2006/relationships/hyperlink" Target="https://www.genome.jp/entry/R07620" TargetMode="External"/><Relationship Id="rId1351" Type="http://schemas.openxmlformats.org/officeDocument/2006/relationships/hyperlink" Target="https://www.genome.jp/entry/6.3.5.2" TargetMode="External"/><Relationship Id="rId1449" Type="http://schemas.openxmlformats.org/officeDocument/2006/relationships/hyperlink" Target="https://www.genome.jp/entry/R01518" TargetMode="External"/><Relationship Id="rId1796" Type="http://schemas.openxmlformats.org/officeDocument/2006/relationships/hyperlink" Target="https://www.genome.jp/entry/2.3.1.85" TargetMode="External"/><Relationship Id="rId2402" Type="http://schemas.openxmlformats.org/officeDocument/2006/relationships/hyperlink" Target="https://www.genome.jp/entry/3.5.2.10" TargetMode="External"/><Relationship Id="rId88" Type="http://schemas.openxmlformats.org/officeDocument/2006/relationships/hyperlink" Target="https://www.genome.jp/entry/3.1.11.2" TargetMode="External"/><Relationship Id="rId819" Type="http://schemas.openxmlformats.org/officeDocument/2006/relationships/hyperlink" Target="https://www.genome.jp/entry/R00835" TargetMode="External"/><Relationship Id="rId1004" Type="http://schemas.openxmlformats.org/officeDocument/2006/relationships/hyperlink" Target="https://www.genome.jp/entry/7.1.2.2" TargetMode="External"/><Relationship Id="rId1211" Type="http://schemas.openxmlformats.org/officeDocument/2006/relationships/hyperlink" Target="https://www.genome.jp/entry/2.3.1.85" TargetMode="External"/><Relationship Id="rId1656" Type="http://schemas.openxmlformats.org/officeDocument/2006/relationships/hyperlink" Target="https://www.genome.jp/entry/R06917" TargetMode="External"/><Relationship Id="rId1863" Type="http://schemas.openxmlformats.org/officeDocument/2006/relationships/hyperlink" Target="https://www.genome.jp/entry/2.7.4.6" TargetMode="External"/><Relationship Id="rId1309" Type="http://schemas.openxmlformats.org/officeDocument/2006/relationships/hyperlink" Target="https://www.genome.jp/entry/1.1.1.42" TargetMode="External"/><Relationship Id="rId1516" Type="http://schemas.openxmlformats.org/officeDocument/2006/relationships/hyperlink" Target="https://www.genome.jp/entry/2.7.2.4" TargetMode="External"/><Relationship Id="rId1723" Type="http://schemas.openxmlformats.org/officeDocument/2006/relationships/hyperlink" Target="https://www.genome.jp/entry/3.5.4.16" TargetMode="External"/><Relationship Id="rId1930" Type="http://schemas.openxmlformats.org/officeDocument/2006/relationships/hyperlink" Target="https://www.genome.jp/entry/4.3.2.10" TargetMode="External"/><Relationship Id="rId15" Type="http://schemas.openxmlformats.org/officeDocument/2006/relationships/hyperlink" Target="https://www.genome.jp/entry/R00674/R02340/R02722" TargetMode="External"/><Relationship Id="rId2192" Type="http://schemas.openxmlformats.org/officeDocument/2006/relationships/hyperlink" Target="https://www.genome.jp/entry/2.7.7.6" TargetMode="External"/><Relationship Id="rId164" Type="http://schemas.openxmlformats.org/officeDocument/2006/relationships/hyperlink" Target="https://www.genome.jp/entry/R04559" TargetMode="External"/><Relationship Id="rId371" Type="http://schemas.openxmlformats.org/officeDocument/2006/relationships/hyperlink" Target="https://www.genome.jp/entry/R02237" TargetMode="External"/><Relationship Id="rId2052" Type="http://schemas.openxmlformats.org/officeDocument/2006/relationships/hyperlink" Target="https://www.genome.jp/entry/3.1.3.2" TargetMode="External"/><Relationship Id="rId469" Type="http://schemas.openxmlformats.org/officeDocument/2006/relationships/hyperlink" Target="https://www.genome.jp/entry/R11174" TargetMode="External"/><Relationship Id="rId676" Type="http://schemas.openxmlformats.org/officeDocument/2006/relationships/hyperlink" Target="https://www.genome.jp/entry/5.1.1.7" TargetMode="External"/><Relationship Id="rId883" Type="http://schemas.openxmlformats.org/officeDocument/2006/relationships/hyperlink" Target="https://www.genome.jp/entry/R01528" TargetMode="External"/><Relationship Id="rId1099" Type="http://schemas.openxmlformats.org/officeDocument/2006/relationships/hyperlink" Target="https://www.genome.jp/entry/R01826" TargetMode="External"/><Relationship Id="rId2357" Type="http://schemas.openxmlformats.org/officeDocument/2006/relationships/hyperlink" Target="https://www.genome.jp/entry/R02961" TargetMode="External"/><Relationship Id="rId231" Type="http://schemas.openxmlformats.org/officeDocument/2006/relationships/hyperlink" Target="https://www.genome.jp/entry/3.1.3.3" TargetMode="External"/><Relationship Id="rId329" Type="http://schemas.openxmlformats.org/officeDocument/2006/relationships/hyperlink" Target="https://www.genome.jp/entry/R05621" TargetMode="External"/><Relationship Id="rId536" Type="http://schemas.openxmlformats.org/officeDocument/2006/relationships/hyperlink" Target="https://www.genome.jp/entry/R00996" TargetMode="External"/><Relationship Id="rId1166" Type="http://schemas.openxmlformats.org/officeDocument/2006/relationships/hyperlink" Target="https://www.genome.jp/entry/R13199" TargetMode="External"/><Relationship Id="rId1373" Type="http://schemas.openxmlformats.org/officeDocument/2006/relationships/hyperlink" Target="https://www.genome.jp/entry/R00435" TargetMode="External"/><Relationship Id="rId2217" Type="http://schemas.openxmlformats.org/officeDocument/2006/relationships/hyperlink" Target="https://www.genome.jp/entry/3.1.3.5" TargetMode="External"/><Relationship Id="rId743" Type="http://schemas.openxmlformats.org/officeDocument/2006/relationships/hyperlink" Target="https://www.genome.jp/entry/3.4.23.43" TargetMode="External"/><Relationship Id="rId950" Type="http://schemas.openxmlformats.org/officeDocument/2006/relationships/hyperlink" Target="https://www.genome.jp/entry/R03472" TargetMode="External"/><Relationship Id="rId1026" Type="http://schemas.openxmlformats.org/officeDocument/2006/relationships/hyperlink" Target="https://www.genome.jp/entry/R01010" TargetMode="External"/><Relationship Id="rId1580" Type="http://schemas.openxmlformats.org/officeDocument/2006/relationships/hyperlink" Target="https://www.genome.jp/entry/R06134" TargetMode="External"/><Relationship Id="rId1678" Type="http://schemas.openxmlformats.org/officeDocument/2006/relationships/hyperlink" Target="https://www.genome.jp/entry/1.1.1.1" TargetMode="External"/><Relationship Id="rId1885" Type="http://schemas.openxmlformats.org/officeDocument/2006/relationships/hyperlink" Target="https://www.genome.jp/entry/2.3.1.181" TargetMode="External"/><Relationship Id="rId2424" Type="http://schemas.openxmlformats.org/officeDocument/2006/relationships/hyperlink" Target="https://www.genome.jp/entry/4.1.1.112" TargetMode="External"/><Relationship Id="rId603" Type="http://schemas.openxmlformats.org/officeDocument/2006/relationships/hyperlink" Target="https://www.genome.jp/entry/5.5.1.2" TargetMode="External"/><Relationship Id="rId810" Type="http://schemas.openxmlformats.org/officeDocument/2006/relationships/hyperlink" Target="https://www.genome.jp/entry/2.7.2.3" TargetMode="External"/><Relationship Id="rId908" Type="http://schemas.openxmlformats.org/officeDocument/2006/relationships/hyperlink" Target="https://www.genome.jp/entry/R02282" TargetMode="External"/><Relationship Id="rId1233" Type="http://schemas.openxmlformats.org/officeDocument/2006/relationships/hyperlink" Target="https://www.genome.jp/entry/5.6.2.4" TargetMode="External"/><Relationship Id="rId1440" Type="http://schemas.openxmlformats.org/officeDocument/2006/relationships/hyperlink" Target="https://www.genome.jp/entry/R04109" TargetMode="External"/><Relationship Id="rId1538" Type="http://schemas.openxmlformats.org/officeDocument/2006/relationships/hyperlink" Target="https://www.genome.jp/entry/R00734" TargetMode="External"/><Relationship Id="rId1300" Type="http://schemas.openxmlformats.org/officeDocument/2006/relationships/hyperlink" Target="https://www.genome.jp/entry/4.2.1.79" TargetMode="External"/><Relationship Id="rId1745" Type="http://schemas.openxmlformats.org/officeDocument/2006/relationships/hyperlink" Target="https://www.genome.jp/entry/2.5.1.47" TargetMode="External"/><Relationship Id="rId1952" Type="http://schemas.openxmlformats.org/officeDocument/2006/relationships/hyperlink" Target="https://www.genome.jp/entry/1.8.1.15" TargetMode="External"/><Relationship Id="rId37" Type="http://schemas.openxmlformats.org/officeDocument/2006/relationships/hyperlink" Target="https://www.genome.jp/entry/1.1.1.40" TargetMode="External"/><Relationship Id="rId1605" Type="http://schemas.openxmlformats.org/officeDocument/2006/relationships/hyperlink" Target="https://www.genome.jp/entry/3.4.21.105" TargetMode="External"/><Relationship Id="rId1812" Type="http://schemas.openxmlformats.org/officeDocument/2006/relationships/hyperlink" Target="https://www.genome.jp/entry/2.5.1.48" TargetMode="External"/><Relationship Id="rId186" Type="http://schemas.openxmlformats.org/officeDocument/2006/relationships/hyperlink" Target="https://www.genome.jp/entry/7.3.2.1" TargetMode="External"/><Relationship Id="rId393" Type="http://schemas.openxmlformats.org/officeDocument/2006/relationships/hyperlink" Target="https://www.genome.jp/entry/R12853" TargetMode="External"/><Relationship Id="rId2074" Type="http://schemas.openxmlformats.org/officeDocument/2006/relationships/hyperlink" Target="https://www.genome.jp/entry/2.3.2.2" TargetMode="External"/><Relationship Id="rId2281" Type="http://schemas.openxmlformats.org/officeDocument/2006/relationships/hyperlink" Target="https://www.genome.jp/entry/1.1.1.17" TargetMode="External"/><Relationship Id="rId253" Type="http://schemas.openxmlformats.org/officeDocument/2006/relationships/hyperlink" Target="https://www.genome.jp/entry/R04430" TargetMode="External"/><Relationship Id="rId460" Type="http://schemas.openxmlformats.org/officeDocument/2006/relationships/hyperlink" Target="https://www.genome.jp/entry/R00899" TargetMode="External"/><Relationship Id="rId698" Type="http://schemas.openxmlformats.org/officeDocument/2006/relationships/hyperlink" Target="https://www.genome.jp/entry/2.2.1.7" TargetMode="External"/><Relationship Id="rId1090" Type="http://schemas.openxmlformats.org/officeDocument/2006/relationships/hyperlink" Target="https://www.genome.jp/entry/R05552" TargetMode="External"/><Relationship Id="rId2141" Type="http://schemas.openxmlformats.org/officeDocument/2006/relationships/hyperlink" Target="https://www.genome.jp/entry/1.1.1.100" TargetMode="External"/><Relationship Id="rId2379" Type="http://schemas.openxmlformats.org/officeDocument/2006/relationships/hyperlink" Target="https://www.genome.jp/entry/3.2.1.18" TargetMode="External"/><Relationship Id="rId113" Type="http://schemas.openxmlformats.org/officeDocument/2006/relationships/hyperlink" Target="https://www.genome.jp/entry/R03504" TargetMode="External"/><Relationship Id="rId320" Type="http://schemas.openxmlformats.org/officeDocument/2006/relationships/hyperlink" Target="https://www.genome.jp/entry/1.14.12.10" TargetMode="External"/><Relationship Id="rId558" Type="http://schemas.openxmlformats.org/officeDocument/2006/relationships/hyperlink" Target="https://www.genome.jp/entry/R03457" TargetMode="External"/><Relationship Id="rId765" Type="http://schemas.openxmlformats.org/officeDocument/2006/relationships/hyperlink" Target="https://www.genome.jp/entry/R00256" TargetMode="External"/><Relationship Id="rId972" Type="http://schemas.openxmlformats.org/officeDocument/2006/relationships/hyperlink" Target="https://www.genome.jp/entry/R00226" TargetMode="External"/><Relationship Id="rId1188" Type="http://schemas.openxmlformats.org/officeDocument/2006/relationships/hyperlink" Target="https://www.genome.jp/entry/R04535" TargetMode="External"/><Relationship Id="rId1395" Type="http://schemas.openxmlformats.org/officeDocument/2006/relationships/hyperlink" Target="https://www.genome.jp/entry/R00443" TargetMode="External"/><Relationship Id="rId2001" Type="http://schemas.openxmlformats.org/officeDocument/2006/relationships/hyperlink" Target="https://www.genome.jp/entry/1.1.1.49" TargetMode="External"/><Relationship Id="rId2239" Type="http://schemas.openxmlformats.org/officeDocument/2006/relationships/hyperlink" Target="https://www.genome.jp/entry/2.7.7.7" TargetMode="External"/><Relationship Id="rId2446" Type="http://schemas.openxmlformats.org/officeDocument/2006/relationships/hyperlink" Target="https://www.genome.jp/entry/R02601" TargetMode="External"/><Relationship Id="rId418" Type="http://schemas.openxmlformats.org/officeDocument/2006/relationships/hyperlink" Target="https://www.genome.jp/entry/5.3.3.2" TargetMode="External"/><Relationship Id="rId625" Type="http://schemas.openxmlformats.org/officeDocument/2006/relationships/hyperlink" Target="https://www.genome.jp/entry/1.1.1.267" TargetMode="External"/><Relationship Id="rId832" Type="http://schemas.openxmlformats.org/officeDocument/2006/relationships/hyperlink" Target="https://www.genome.jp/entry/R07411" TargetMode="External"/><Relationship Id="rId1048" Type="http://schemas.openxmlformats.org/officeDocument/2006/relationships/hyperlink" Target="https://www.genome.jp/entry/2.4.1.21" TargetMode="External"/><Relationship Id="rId1255" Type="http://schemas.openxmlformats.org/officeDocument/2006/relationships/hyperlink" Target="https://www.genome.jp/entry/1.1.1.100" TargetMode="External"/><Relationship Id="rId1462" Type="http://schemas.openxmlformats.org/officeDocument/2006/relationships/hyperlink" Target="https://www.genome.jp/entry/R08550" TargetMode="External"/><Relationship Id="rId2306" Type="http://schemas.openxmlformats.org/officeDocument/2006/relationships/hyperlink" Target="https://www.genome.jp/entry/1.1.1.35" TargetMode="External"/><Relationship Id="rId1115" Type="http://schemas.openxmlformats.org/officeDocument/2006/relationships/hyperlink" Target="https://www.genome.jp/entry/2.7.6.1" TargetMode="External"/><Relationship Id="rId1322" Type="http://schemas.openxmlformats.org/officeDocument/2006/relationships/hyperlink" Target="https://www.genome.jp/entry/R03601" TargetMode="External"/><Relationship Id="rId1767" Type="http://schemas.openxmlformats.org/officeDocument/2006/relationships/hyperlink" Target="https://www.genome.jp/entry/1.17.4.1" TargetMode="External"/><Relationship Id="rId1974" Type="http://schemas.openxmlformats.org/officeDocument/2006/relationships/hyperlink" Target="https://www.genome.jp/entry/1.3.98.5" TargetMode="External"/><Relationship Id="rId59" Type="http://schemas.openxmlformats.org/officeDocument/2006/relationships/hyperlink" Target="https://www.genome.jp/entry/5.4.99.9" TargetMode="External"/><Relationship Id="rId1627" Type="http://schemas.openxmlformats.org/officeDocument/2006/relationships/hyperlink" Target="https://www.genome.jp/entry/4.2.1.20" TargetMode="External"/><Relationship Id="rId1834" Type="http://schemas.openxmlformats.org/officeDocument/2006/relationships/hyperlink" Target="https://www.genome.jp/entry/1.14.12.10" TargetMode="External"/><Relationship Id="rId2096" Type="http://schemas.openxmlformats.org/officeDocument/2006/relationships/hyperlink" Target="https://www.genome.jp/entry/2.3.1.85" TargetMode="External"/><Relationship Id="rId1901" Type="http://schemas.openxmlformats.org/officeDocument/2006/relationships/hyperlink" Target="https://www.genome.jp/entry/2.7.1.2" TargetMode="External"/><Relationship Id="rId275" Type="http://schemas.openxmlformats.org/officeDocument/2006/relationships/hyperlink" Target="https://www.genome.jp/entry/R04965" TargetMode="External"/><Relationship Id="rId482" Type="http://schemas.openxmlformats.org/officeDocument/2006/relationships/hyperlink" Target="https://www.genome.jp/entry/R13224" TargetMode="External"/><Relationship Id="rId2163" Type="http://schemas.openxmlformats.org/officeDocument/2006/relationships/hyperlink" Target="https://www.genome.jp/entry/4.2.1.3" TargetMode="External"/><Relationship Id="rId2370" Type="http://schemas.openxmlformats.org/officeDocument/2006/relationships/hyperlink" Target="https://www.genome.jp/entry/3.2.1.18" TargetMode="External"/><Relationship Id="rId135" Type="http://schemas.openxmlformats.org/officeDocument/2006/relationships/hyperlink" Target="https://www.genome.jp/entry/3.5.1.25" TargetMode="External"/><Relationship Id="rId342" Type="http://schemas.openxmlformats.org/officeDocument/2006/relationships/hyperlink" Target="https://www.genome.jp/entry/R08114" TargetMode="External"/><Relationship Id="rId787" Type="http://schemas.openxmlformats.org/officeDocument/2006/relationships/hyperlink" Target="https://www.genome.jp/entry/R04231" TargetMode="External"/><Relationship Id="rId994" Type="http://schemas.openxmlformats.org/officeDocument/2006/relationships/hyperlink" Target="https://www.genome.jp/entry/R06186" TargetMode="External"/><Relationship Id="rId2023" Type="http://schemas.openxmlformats.org/officeDocument/2006/relationships/hyperlink" Target="https://www.genome.jp/entry/2.7.7.7" TargetMode="External"/><Relationship Id="rId2230" Type="http://schemas.openxmlformats.org/officeDocument/2006/relationships/hyperlink" Target="https://www.genome.jp/entry/1.1.1.306" TargetMode="External"/><Relationship Id="rId202" Type="http://schemas.openxmlformats.org/officeDocument/2006/relationships/hyperlink" Target="https://www.genome.jp/entry/R05220" TargetMode="External"/><Relationship Id="rId647" Type="http://schemas.openxmlformats.org/officeDocument/2006/relationships/hyperlink" Target="https://www.genome.jp/entry/R03661" TargetMode="External"/><Relationship Id="rId854" Type="http://schemas.openxmlformats.org/officeDocument/2006/relationships/hyperlink" Target="https://www.genome.jp/entry/2.1.1.13" TargetMode="External"/><Relationship Id="rId1277" Type="http://schemas.openxmlformats.org/officeDocument/2006/relationships/hyperlink" Target="https://www.genome.jp/entry/3.6.1.9" TargetMode="External"/><Relationship Id="rId1484" Type="http://schemas.openxmlformats.org/officeDocument/2006/relationships/hyperlink" Target="https://www.genome.jp/entry/R03346" TargetMode="External"/><Relationship Id="rId1691" Type="http://schemas.openxmlformats.org/officeDocument/2006/relationships/hyperlink" Target="https://www.genome.jp/entry/4.1.2.13" TargetMode="External"/><Relationship Id="rId2328" Type="http://schemas.openxmlformats.org/officeDocument/2006/relationships/hyperlink" Target="https://www.genome.jp/entry/1.1.1.93" TargetMode="External"/><Relationship Id="rId507" Type="http://schemas.openxmlformats.org/officeDocument/2006/relationships/hyperlink" Target="https://www.genome.jp/entry/R05630" TargetMode="External"/><Relationship Id="rId714" Type="http://schemas.openxmlformats.org/officeDocument/2006/relationships/hyperlink" Target="https://www.genome.jp/entry/R02585" TargetMode="External"/><Relationship Id="rId921" Type="http://schemas.openxmlformats.org/officeDocument/2006/relationships/hyperlink" Target="https://www.genome.jp/entry/2.7.1.24" TargetMode="External"/><Relationship Id="rId1137" Type="http://schemas.openxmlformats.org/officeDocument/2006/relationships/hyperlink" Target="https://www.genome.jp/entry/5.6.2.4" TargetMode="External"/><Relationship Id="rId1344" Type="http://schemas.openxmlformats.org/officeDocument/2006/relationships/hyperlink" Target="https://www.genome.jp/entry/2.7.7.7" TargetMode="External"/><Relationship Id="rId1551" Type="http://schemas.openxmlformats.org/officeDocument/2006/relationships/hyperlink" Target="https://www.genome.jp/entry/R00114" TargetMode="External"/><Relationship Id="rId1789" Type="http://schemas.openxmlformats.org/officeDocument/2006/relationships/hyperlink" Target="https://www.genome.jp/entry/2.3.1.85" TargetMode="External"/><Relationship Id="rId1996" Type="http://schemas.openxmlformats.org/officeDocument/2006/relationships/hyperlink" Target="https://www.genome.jp/entry/2.7.7.6" TargetMode="External"/><Relationship Id="rId50" Type="http://schemas.openxmlformats.org/officeDocument/2006/relationships/hyperlink" Target="https://www.genome.jp/entry/R04120/R07606" TargetMode="External"/><Relationship Id="rId1204" Type="http://schemas.openxmlformats.org/officeDocument/2006/relationships/hyperlink" Target="https://www.genome.jp/entry/R04962" TargetMode="External"/><Relationship Id="rId1411" Type="http://schemas.openxmlformats.org/officeDocument/2006/relationships/hyperlink" Target="https://www.genome.jp/entry/R04150" TargetMode="External"/><Relationship Id="rId1649" Type="http://schemas.openxmlformats.org/officeDocument/2006/relationships/hyperlink" Target="https://www.genome.jp/entry/R00754" TargetMode="External"/><Relationship Id="rId1856" Type="http://schemas.openxmlformats.org/officeDocument/2006/relationships/hyperlink" Target="https://www.genome.jp/entry/2.7.4.6" TargetMode="External"/><Relationship Id="rId1509" Type="http://schemas.openxmlformats.org/officeDocument/2006/relationships/hyperlink" Target="https://www.genome.jp/entry/2.8.4.2" TargetMode="External"/><Relationship Id="rId1716" Type="http://schemas.openxmlformats.org/officeDocument/2006/relationships/hyperlink" Target="https://www.genome.jp/entry/R00428" TargetMode="External"/><Relationship Id="rId1923" Type="http://schemas.openxmlformats.org/officeDocument/2006/relationships/hyperlink" Target="https://www.genome.jp/entry/5.4.99.15" TargetMode="External"/><Relationship Id="rId297" Type="http://schemas.openxmlformats.org/officeDocument/2006/relationships/hyperlink" Target="https://www.genome.jp/entry/R04620" TargetMode="External"/><Relationship Id="rId2185" Type="http://schemas.openxmlformats.org/officeDocument/2006/relationships/hyperlink" Target="https://www.genome.jp/entry/2.7.7.6" TargetMode="External"/><Relationship Id="rId2392" Type="http://schemas.openxmlformats.org/officeDocument/2006/relationships/hyperlink" Target="https://www.genome.jp/entry/R06147" TargetMode="External"/><Relationship Id="rId157" Type="http://schemas.openxmlformats.org/officeDocument/2006/relationships/hyperlink" Target="https://www.genome.jp/entry/R12934" TargetMode="External"/><Relationship Id="rId364" Type="http://schemas.openxmlformats.org/officeDocument/2006/relationships/hyperlink" Target="https://www.genome.jp/entry/1.1.1.37" TargetMode="External"/><Relationship Id="rId2045" Type="http://schemas.openxmlformats.org/officeDocument/2006/relationships/hyperlink" Target="https://www.genome.jp/entry/2.2.1.6" TargetMode="External"/><Relationship Id="rId571" Type="http://schemas.openxmlformats.org/officeDocument/2006/relationships/hyperlink" Target="https://www.genome.jp/entry/3.5.4.19" TargetMode="External"/><Relationship Id="rId669" Type="http://schemas.openxmlformats.org/officeDocument/2006/relationships/hyperlink" Target="https://www.genome.jp/entry/R01801" TargetMode="External"/><Relationship Id="rId876" Type="http://schemas.openxmlformats.org/officeDocument/2006/relationships/hyperlink" Target="https://www.genome.jp/entry/R03471" TargetMode="External"/><Relationship Id="rId1299" Type="http://schemas.openxmlformats.org/officeDocument/2006/relationships/hyperlink" Target="https://www.genome.jp/entry/R01900" TargetMode="External"/><Relationship Id="rId2252" Type="http://schemas.openxmlformats.org/officeDocument/2006/relationships/hyperlink" Target="https://www.genome.jp/entry/3.5.1.5" TargetMode="External"/><Relationship Id="rId224" Type="http://schemas.openxmlformats.org/officeDocument/2006/relationships/hyperlink" Target="https://www.genome.jp/entry/R02019" TargetMode="External"/><Relationship Id="rId431" Type="http://schemas.openxmlformats.org/officeDocument/2006/relationships/hyperlink" Target="https://www.genome.jp/entry/1.2.4.1" TargetMode="External"/><Relationship Id="rId529" Type="http://schemas.openxmlformats.org/officeDocument/2006/relationships/hyperlink" Target="https://www.genome.jp/entry/R00379" TargetMode="External"/><Relationship Id="rId736" Type="http://schemas.openxmlformats.org/officeDocument/2006/relationships/hyperlink" Target="https://www.genome.jp/entry/R05577" TargetMode="External"/><Relationship Id="rId1061" Type="http://schemas.openxmlformats.org/officeDocument/2006/relationships/hyperlink" Target="https://www.genome.jp/entry/R04475" TargetMode="External"/><Relationship Id="rId1159" Type="http://schemas.openxmlformats.org/officeDocument/2006/relationships/hyperlink" Target="https://www.genome.jp/entry/5.4.99.5" TargetMode="External"/><Relationship Id="rId1366" Type="http://schemas.openxmlformats.org/officeDocument/2006/relationships/hyperlink" Target="https://www.genome.jp/entry/R00401" TargetMode="External"/><Relationship Id="rId2112" Type="http://schemas.openxmlformats.org/officeDocument/2006/relationships/hyperlink" Target="https://www.genome.jp/entry/2.3.1.85" TargetMode="External"/><Relationship Id="rId2417" Type="http://schemas.openxmlformats.org/officeDocument/2006/relationships/hyperlink" Target="https://www.genome.jp/entry/R00103" TargetMode="External"/><Relationship Id="rId943" Type="http://schemas.openxmlformats.org/officeDocument/2006/relationships/hyperlink" Target="https://www.genome.jp/entry/R04001" TargetMode="External"/><Relationship Id="rId1019" Type="http://schemas.openxmlformats.org/officeDocument/2006/relationships/hyperlink" Target="https://www.genome.jp/entry/R11581" TargetMode="External"/><Relationship Id="rId1573" Type="http://schemas.openxmlformats.org/officeDocument/2006/relationships/hyperlink" Target="https://www.genome.jp/entry/3.2.2.4" TargetMode="External"/><Relationship Id="rId1780" Type="http://schemas.openxmlformats.org/officeDocument/2006/relationships/hyperlink" Target="https://www.genome.jp/entry/2.3.1.85" TargetMode="External"/><Relationship Id="rId1878" Type="http://schemas.openxmlformats.org/officeDocument/2006/relationships/hyperlink" Target="https://www.genome.jp/entry/5.4.99.16" TargetMode="External"/><Relationship Id="rId72" Type="http://schemas.openxmlformats.org/officeDocument/2006/relationships/hyperlink" Target="https://www.genome.jp/entry/2.7.7.4" TargetMode="External"/><Relationship Id="rId803" Type="http://schemas.openxmlformats.org/officeDocument/2006/relationships/hyperlink" Target="https://www.genome.jp/entry/R00066" TargetMode="External"/><Relationship Id="rId1226" Type="http://schemas.openxmlformats.org/officeDocument/2006/relationships/hyperlink" Target="https://www.genome.jp/entry/4.3.3.6" TargetMode="External"/><Relationship Id="rId1433" Type="http://schemas.openxmlformats.org/officeDocument/2006/relationships/hyperlink" Target="https://www.genome.jp/entry/4.2.1.10" TargetMode="External"/><Relationship Id="rId1640" Type="http://schemas.openxmlformats.org/officeDocument/2006/relationships/hyperlink" Target="https://www.genome.jp/entry/1.1.1.27" TargetMode="External"/><Relationship Id="rId1738" Type="http://schemas.openxmlformats.org/officeDocument/2006/relationships/hyperlink" Target="https://www.genome.jp/entry/4.3.2.2" TargetMode="External"/><Relationship Id="rId1500" Type="http://schemas.openxmlformats.org/officeDocument/2006/relationships/hyperlink" Target="https://www.genome.jp/entry/R00377" TargetMode="External"/><Relationship Id="rId1945" Type="http://schemas.openxmlformats.org/officeDocument/2006/relationships/hyperlink" Target="https://www.genome.jp/entry/1.4.3.19" TargetMode="External"/><Relationship Id="rId1805" Type="http://schemas.openxmlformats.org/officeDocument/2006/relationships/hyperlink" Target="https://www.genome.jp/entry/5.3.1.12" TargetMode="External"/><Relationship Id="rId179" Type="http://schemas.openxmlformats.org/officeDocument/2006/relationships/hyperlink" Target="https://www.genome.jp/entry/R01072" TargetMode="External"/><Relationship Id="rId386" Type="http://schemas.openxmlformats.org/officeDocument/2006/relationships/hyperlink" Target="https://www.genome.jp/entry/R00722" TargetMode="External"/><Relationship Id="rId593" Type="http://schemas.openxmlformats.org/officeDocument/2006/relationships/hyperlink" Target="https://www.genome.jp/entry/4.2.99.18" TargetMode="External"/><Relationship Id="rId2067" Type="http://schemas.openxmlformats.org/officeDocument/2006/relationships/hyperlink" Target="https://www.genome.jp/entry/2.7.1.33" TargetMode="External"/><Relationship Id="rId2274" Type="http://schemas.openxmlformats.org/officeDocument/2006/relationships/hyperlink" Target="https://www.genome.jp/entry/R02433" TargetMode="External"/><Relationship Id="rId246" Type="http://schemas.openxmlformats.org/officeDocument/2006/relationships/hyperlink" Target="https://www.genome.jp/entry/2.3.1.85" TargetMode="External"/><Relationship Id="rId453" Type="http://schemas.openxmlformats.org/officeDocument/2006/relationships/hyperlink" Target="https://www.genome.jp/entry/R12424" TargetMode="External"/><Relationship Id="rId660" Type="http://schemas.openxmlformats.org/officeDocument/2006/relationships/hyperlink" Target="https://www.genome.jp/entry/R00440" TargetMode="External"/><Relationship Id="rId898" Type="http://schemas.openxmlformats.org/officeDocument/2006/relationships/hyperlink" Target="https://www.genome.jp/entry/R01954" TargetMode="External"/><Relationship Id="rId1083" Type="http://schemas.openxmlformats.org/officeDocument/2006/relationships/hyperlink" Target="https://www.genome.jp/entry/4.2.1.2" TargetMode="External"/><Relationship Id="rId1290" Type="http://schemas.openxmlformats.org/officeDocument/2006/relationships/hyperlink" Target="https://www.genome.jp/entry/R00351" TargetMode="External"/><Relationship Id="rId2134" Type="http://schemas.openxmlformats.org/officeDocument/2006/relationships/hyperlink" Target="https://www.genome.jp/entry/1.5.1.3" TargetMode="External"/><Relationship Id="rId2341" Type="http://schemas.openxmlformats.org/officeDocument/2006/relationships/hyperlink" Target="https://www.genome.jp/entry/R09838" TargetMode="External"/><Relationship Id="rId106" Type="http://schemas.openxmlformats.org/officeDocument/2006/relationships/hyperlink" Target="https://www.genome.jp/entry/2.4.2.8" TargetMode="External"/><Relationship Id="rId313" Type="http://schemas.openxmlformats.org/officeDocument/2006/relationships/hyperlink" Target="https://www.genome.jp/entry/R04273" TargetMode="External"/><Relationship Id="rId758" Type="http://schemas.openxmlformats.org/officeDocument/2006/relationships/hyperlink" Target="https://www.genome.jp/entry/R00256" TargetMode="External"/><Relationship Id="rId965" Type="http://schemas.openxmlformats.org/officeDocument/2006/relationships/hyperlink" Target="https://www.genome.jp/entry/R03051" TargetMode="External"/><Relationship Id="rId1150" Type="http://schemas.openxmlformats.org/officeDocument/2006/relationships/hyperlink" Target="https://www.genome.jp/entry/2.7.13.3" TargetMode="External"/><Relationship Id="rId1388" Type="http://schemas.openxmlformats.org/officeDocument/2006/relationships/hyperlink" Target="https://www.genome.jp/entry/R00443" TargetMode="External"/><Relationship Id="rId1595" Type="http://schemas.openxmlformats.org/officeDocument/2006/relationships/hyperlink" Target="https://www.genome.jp/entry/R10633" TargetMode="External"/><Relationship Id="rId2439" Type="http://schemas.openxmlformats.org/officeDocument/2006/relationships/hyperlink" Target="https://www.genome.jp/entry/R00350" TargetMode="External"/><Relationship Id="rId94" Type="http://schemas.openxmlformats.org/officeDocument/2006/relationships/hyperlink" Target="https://www.genome.jp/entry/R00894/R10993" TargetMode="External"/><Relationship Id="rId520" Type="http://schemas.openxmlformats.org/officeDocument/2006/relationships/hyperlink" Target="https://www.genome.jp/entry/2.7.7.7" TargetMode="External"/><Relationship Id="rId618" Type="http://schemas.openxmlformats.org/officeDocument/2006/relationships/hyperlink" Target="https://www.genome.jp/entry/3.4.21.89" TargetMode="External"/><Relationship Id="rId825" Type="http://schemas.openxmlformats.org/officeDocument/2006/relationships/hyperlink" Target="https://www.genome.jp/entry/R01641" TargetMode="External"/><Relationship Id="rId1248" Type="http://schemas.openxmlformats.org/officeDocument/2006/relationships/hyperlink" Target="https://www.genome.jp/entry/R00937" TargetMode="External"/><Relationship Id="rId1455" Type="http://schemas.openxmlformats.org/officeDocument/2006/relationships/hyperlink" Target="https://www.genome.jp/entry/4.1.2.4" TargetMode="External"/><Relationship Id="rId1662" Type="http://schemas.openxmlformats.org/officeDocument/2006/relationships/hyperlink" Target="https://www.genome.jp/entry/R10783" TargetMode="External"/><Relationship Id="rId2201" Type="http://schemas.openxmlformats.org/officeDocument/2006/relationships/hyperlink" Target="https://www.genome.jp/entry/2.6.1.19" TargetMode="External"/><Relationship Id="rId1010" Type="http://schemas.openxmlformats.org/officeDocument/2006/relationships/hyperlink" Target="https://www.genome.jp/entry/7.1.2.2" TargetMode="External"/><Relationship Id="rId1108" Type="http://schemas.openxmlformats.org/officeDocument/2006/relationships/hyperlink" Target="https://www.genome.jp/entry/R04935" TargetMode="External"/><Relationship Id="rId1315" Type="http://schemas.openxmlformats.org/officeDocument/2006/relationships/hyperlink" Target="https://www.genome.jp/entry/2.3.3.5" TargetMode="External"/><Relationship Id="rId1967" Type="http://schemas.openxmlformats.org/officeDocument/2006/relationships/hyperlink" Target="https://www.genome.jp/entry/2.7.1.56" TargetMode="External"/><Relationship Id="rId1522" Type="http://schemas.openxmlformats.org/officeDocument/2006/relationships/hyperlink" Target="https://www.genome.jp/entry/2.7.7.7" TargetMode="External"/><Relationship Id="rId21" Type="http://schemas.openxmlformats.org/officeDocument/2006/relationships/hyperlink" Target="https://www.genome.jp/entry/R03509" TargetMode="External"/><Relationship Id="rId2089" Type="http://schemas.openxmlformats.org/officeDocument/2006/relationships/hyperlink" Target="https://www.genome.jp/entry/1.5.1.3" TargetMode="External"/><Relationship Id="rId2296" Type="http://schemas.openxmlformats.org/officeDocument/2006/relationships/hyperlink" Target="https://www.genome.jp/entry/1.1.1.35" TargetMode="External"/><Relationship Id="rId268" Type="http://schemas.openxmlformats.org/officeDocument/2006/relationships/hyperlink" Target="https://www.genome.jp/entry/R04956" TargetMode="External"/><Relationship Id="rId475" Type="http://schemas.openxmlformats.org/officeDocument/2006/relationships/hyperlink" Target="https://www.genome.jp/entry/2.7.7.62" TargetMode="External"/><Relationship Id="rId682" Type="http://schemas.openxmlformats.org/officeDocument/2006/relationships/hyperlink" Target="https://www.genome.jp/entry/2.7.3.9" TargetMode="External"/><Relationship Id="rId2156" Type="http://schemas.openxmlformats.org/officeDocument/2006/relationships/hyperlink" Target="https://www.genome.jp/entry/3.6.1.9" TargetMode="External"/><Relationship Id="rId2363" Type="http://schemas.openxmlformats.org/officeDocument/2006/relationships/hyperlink" Target="https://www.genome.jp/entry/R02704" TargetMode="External"/><Relationship Id="rId128" Type="http://schemas.openxmlformats.org/officeDocument/2006/relationships/hyperlink" Target="https://www.genome.jp/entry/R05633" TargetMode="External"/><Relationship Id="rId335" Type="http://schemas.openxmlformats.org/officeDocument/2006/relationships/hyperlink" Target="https://www.genome.jp/entry/R08110" TargetMode="External"/><Relationship Id="rId542" Type="http://schemas.openxmlformats.org/officeDocument/2006/relationships/hyperlink" Target="https://www.genome.jp/entry/R11256" TargetMode="External"/><Relationship Id="rId1172" Type="http://schemas.openxmlformats.org/officeDocument/2006/relationships/hyperlink" Target="https://www.genome.jp/entry/1.5.1.3" TargetMode="External"/><Relationship Id="rId2016" Type="http://schemas.openxmlformats.org/officeDocument/2006/relationships/hyperlink" Target="https://www.genome.jp/entry/6.3.4.2" TargetMode="External"/><Relationship Id="rId2223" Type="http://schemas.openxmlformats.org/officeDocument/2006/relationships/hyperlink" Target="https://www.genome.jp/entry/3.1.3.5" TargetMode="External"/><Relationship Id="rId2430" Type="http://schemas.openxmlformats.org/officeDocument/2006/relationships/hyperlink" Target="https://www.genome.jp/entry/4.1.3.16" TargetMode="External"/><Relationship Id="rId402" Type="http://schemas.openxmlformats.org/officeDocument/2006/relationships/hyperlink" Target="https://www.genome.jp/entry/R00137" TargetMode="External"/><Relationship Id="rId1032" Type="http://schemas.openxmlformats.org/officeDocument/2006/relationships/hyperlink" Target="https://www.genome.jp/entry/4.1.1.20" TargetMode="External"/><Relationship Id="rId1989" Type="http://schemas.openxmlformats.org/officeDocument/2006/relationships/hyperlink" Target="https://www.genome.jp/entry/6.3.5.5" TargetMode="External"/><Relationship Id="rId1849" Type="http://schemas.openxmlformats.org/officeDocument/2006/relationships/hyperlink" Target="https://www.genome.jp/entry/1.1.1.37" TargetMode="External"/><Relationship Id="rId192" Type="http://schemas.openxmlformats.org/officeDocument/2006/relationships/hyperlink" Target="https://www.genome.jp/entry/R02404" TargetMode="External"/><Relationship Id="rId1709" Type="http://schemas.openxmlformats.org/officeDocument/2006/relationships/hyperlink" Target="https://www.genome.jp/entry/R08238" TargetMode="External"/><Relationship Id="rId1916" Type="http://schemas.openxmlformats.org/officeDocument/2006/relationships/hyperlink" Target="https://www.genome.jp/entry/2.7.7.7" TargetMode="External"/><Relationship Id="rId2080" Type="http://schemas.openxmlformats.org/officeDocument/2006/relationships/hyperlink" Target="https://www.genome.jp/entry/2.4.1.109" TargetMode="External"/><Relationship Id="rId869" Type="http://schemas.openxmlformats.org/officeDocument/2006/relationships/hyperlink" Target="https://www.genome.jp/entry/1.8.7.1" TargetMode="External"/><Relationship Id="rId1499" Type="http://schemas.openxmlformats.org/officeDocument/2006/relationships/hyperlink" Target="https://www.genome.jp/entry/R00376" TargetMode="External"/><Relationship Id="rId729" Type="http://schemas.openxmlformats.org/officeDocument/2006/relationships/hyperlink" Target="https://www.genome.jp/entry/4.3.1.17" TargetMode="External"/><Relationship Id="rId1359" Type="http://schemas.openxmlformats.org/officeDocument/2006/relationships/hyperlink" Target="https://www.genome.jp/entry/2.3.1.234" TargetMode="External"/><Relationship Id="rId936" Type="http://schemas.openxmlformats.org/officeDocument/2006/relationships/hyperlink" Target="https://www.genome.jp/entry/2.7.4.16" TargetMode="External"/><Relationship Id="rId1219" Type="http://schemas.openxmlformats.org/officeDocument/2006/relationships/hyperlink" Target="https://www.genome.jp/entry/R05085" TargetMode="External"/><Relationship Id="rId1566" Type="http://schemas.openxmlformats.org/officeDocument/2006/relationships/hyperlink" Target="https://www.genome.jp/entry/2.1.2.11" TargetMode="External"/><Relationship Id="rId1773" Type="http://schemas.openxmlformats.org/officeDocument/2006/relationships/hyperlink" Target="https://www.genome.jp/entry/3.6.1.66" TargetMode="External"/><Relationship Id="rId1980" Type="http://schemas.openxmlformats.org/officeDocument/2006/relationships/hyperlink" Target="https://www.genome.jp/entry/4.3.1.17" TargetMode="External"/><Relationship Id="rId65" Type="http://schemas.openxmlformats.org/officeDocument/2006/relationships/hyperlink" Target="https://www.genome.jp/entry/4.1.1.32" TargetMode="External"/><Relationship Id="rId1426" Type="http://schemas.openxmlformats.org/officeDocument/2006/relationships/hyperlink" Target="https://www.genome.jp/entry/2.1.1.107" TargetMode="External"/><Relationship Id="rId1633" Type="http://schemas.openxmlformats.org/officeDocument/2006/relationships/hyperlink" Target="https://www.genome.jp/entry/2.7.7.72" TargetMode="External"/><Relationship Id="rId1840" Type="http://schemas.openxmlformats.org/officeDocument/2006/relationships/hyperlink" Target="https://www.genome.jp/entry/1.13.11.1" TargetMode="External"/><Relationship Id="rId1700" Type="http://schemas.openxmlformats.org/officeDocument/2006/relationships/hyperlink" Target="https://www.genome.jp/entry/R04268" TargetMode="External"/><Relationship Id="rId379" Type="http://schemas.openxmlformats.org/officeDocument/2006/relationships/hyperlink" Target="https://www.genome.jp/entry/2.7.4.6" TargetMode="External"/><Relationship Id="rId586" Type="http://schemas.openxmlformats.org/officeDocument/2006/relationships/hyperlink" Target="https://www.genome.jp/entry/R00248" TargetMode="External"/><Relationship Id="rId793" Type="http://schemas.openxmlformats.org/officeDocument/2006/relationships/hyperlink" Target="https://www.genome.jp/entry/R04268" TargetMode="External"/><Relationship Id="rId2267" Type="http://schemas.openxmlformats.org/officeDocument/2006/relationships/hyperlink" Target="https://www.genome.jp/entry/2.6.1.1" TargetMode="External"/><Relationship Id="rId239" Type="http://schemas.openxmlformats.org/officeDocument/2006/relationships/hyperlink" Target="https://www.genome.jp/entry/2.7.7.56" TargetMode="External"/><Relationship Id="rId446" Type="http://schemas.openxmlformats.org/officeDocument/2006/relationships/hyperlink" Target="https://www.genome.jp/entry/R01466" TargetMode="External"/><Relationship Id="rId653" Type="http://schemas.openxmlformats.org/officeDocument/2006/relationships/hyperlink" Target="https://www.genome.jp/entry/2.7.7.2" TargetMode="External"/><Relationship Id="rId1076" Type="http://schemas.openxmlformats.org/officeDocument/2006/relationships/hyperlink" Target="https://www.genome.jp/entry/R08210" TargetMode="External"/><Relationship Id="rId1283" Type="http://schemas.openxmlformats.org/officeDocument/2006/relationships/hyperlink" Target="https://www.genome.jp/entry/R11323" TargetMode="External"/><Relationship Id="rId1490" Type="http://schemas.openxmlformats.org/officeDocument/2006/relationships/hyperlink" Target="https://www.genome.jp/entry/R12958" TargetMode="External"/><Relationship Id="rId2127" Type="http://schemas.openxmlformats.org/officeDocument/2006/relationships/hyperlink" Target="https://www.genome.jp/entry/3.5.1.2" TargetMode="External"/><Relationship Id="rId2334" Type="http://schemas.openxmlformats.org/officeDocument/2006/relationships/hyperlink" Target="https://www.genome.jp/entry/1.13.11.16" TargetMode="External"/><Relationship Id="rId306" Type="http://schemas.openxmlformats.org/officeDocument/2006/relationships/hyperlink" Target="https://www.genome.jp/entry/R04946" TargetMode="External"/><Relationship Id="rId860" Type="http://schemas.openxmlformats.org/officeDocument/2006/relationships/hyperlink" Target="https://www.genome.jp/entry/R01071" TargetMode="External"/><Relationship Id="rId1143" Type="http://schemas.openxmlformats.org/officeDocument/2006/relationships/hyperlink" Target="https://www.genome.jp/entry/R04072" TargetMode="External"/><Relationship Id="rId513" Type="http://schemas.openxmlformats.org/officeDocument/2006/relationships/hyperlink" Target="https://www.genome.jp/entry/R05032" TargetMode="External"/><Relationship Id="rId720" Type="http://schemas.openxmlformats.org/officeDocument/2006/relationships/hyperlink" Target="https://www.genome.jp/entry/2.4.2.7" TargetMode="External"/><Relationship Id="rId1350" Type="http://schemas.openxmlformats.org/officeDocument/2006/relationships/hyperlink" Target="https://www.genome.jp/entry/R11029" TargetMode="External"/><Relationship Id="rId2401" Type="http://schemas.openxmlformats.org/officeDocument/2006/relationships/hyperlink" Target="https://www.genome.jp/entry/R04112" TargetMode="External"/><Relationship Id="rId1003" Type="http://schemas.openxmlformats.org/officeDocument/2006/relationships/hyperlink" Target="https://www.genome.jp/entry/R00086" TargetMode="External"/><Relationship Id="rId1210" Type="http://schemas.openxmlformats.org/officeDocument/2006/relationships/hyperlink" Target="https://www.genome.jp/entry/R04970" TargetMode="External"/><Relationship Id="rId2191" Type="http://schemas.openxmlformats.org/officeDocument/2006/relationships/hyperlink" Target="https://www.genome.jp/entry/2.7.7.6" TargetMode="External"/><Relationship Id="rId163" Type="http://schemas.openxmlformats.org/officeDocument/2006/relationships/hyperlink" Target="https://www.genome.jp/entry/R01083" TargetMode="External"/><Relationship Id="rId370" Type="http://schemas.openxmlformats.org/officeDocument/2006/relationships/hyperlink" Target="https://www.genome.jp/entry/6.3.2.12" TargetMode="External"/><Relationship Id="rId2051" Type="http://schemas.openxmlformats.org/officeDocument/2006/relationships/hyperlink" Target="https://www.genome.jp/entry/3.1.3.2" TargetMode="External"/><Relationship Id="rId230" Type="http://schemas.openxmlformats.org/officeDocument/2006/relationships/hyperlink" Target="https://www.genome.jp/entry/R04294" TargetMode="External"/><Relationship Id="rId1677" Type="http://schemas.openxmlformats.org/officeDocument/2006/relationships/hyperlink" Target="https://www.genome.jp/entry/1.1.1.1" TargetMode="External"/><Relationship Id="rId1884" Type="http://schemas.openxmlformats.org/officeDocument/2006/relationships/hyperlink" Target="https://www.genome.jp/entry/2.8.1.8" TargetMode="External"/><Relationship Id="rId907" Type="http://schemas.openxmlformats.org/officeDocument/2006/relationships/hyperlink" Target="https://www.genome.jp/entry/2.3.1.35" TargetMode="External"/><Relationship Id="rId1537" Type="http://schemas.openxmlformats.org/officeDocument/2006/relationships/hyperlink" Target="https://www.genome.jp/entry/R00694" TargetMode="External"/><Relationship Id="rId1744" Type="http://schemas.openxmlformats.org/officeDocument/2006/relationships/hyperlink" Target="https://www.genome.jp/entry/2.5.1.47" TargetMode="External"/><Relationship Id="rId1951" Type="http://schemas.openxmlformats.org/officeDocument/2006/relationships/hyperlink" Target="https://www.genome.jp/entry/1.8.1.15" TargetMode="External"/><Relationship Id="rId36" Type="http://schemas.openxmlformats.org/officeDocument/2006/relationships/hyperlink" Target="https://www.genome.jp/entry/R01737" TargetMode="External"/><Relationship Id="rId1604" Type="http://schemas.openxmlformats.org/officeDocument/2006/relationships/hyperlink" Target="https://www.genome.jp/entry/R06177" TargetMode="External"/><Relationship Id="rId1811" Type="http://schemas.openxmlformats.org/officeDocument/2006/relationships/hyperlink" Target="https://www.genome.jp/entry/3.1.3.1" TargetMode="External"/><Relationship Id="rId697" Type="http://schemas.openxmlformats.org/officeDocument/2006/relationships/hyperlink" Target="https://www.genome.jp/entry/R11896" TargetMode="External"/><Relationship Id="rId2378" Type="http://schemas.openxmlformats.org/officeDocument/2006/relationships/hyperlink" Target="https://www.genome.jp/entry/3.2.1.18" TargetMode="External"/><Relationship Id="rId1187" Type="http://schemas.openxmlformats.org/officeDocument/2006/relationships/hyperlink" Target="https://www.genome.jp/entry/R04534" TargetMode="External"/><Relationship Id="rId557" Type="http://schemas.openxmlformats.org/officeDocument/2006/relationships/hyperlink" Target="https://www.genome.jp/entry/4.2.1.19" TargetMode="External"/><Relationship Id="rId764" Type="http://schemas.openxmlformats.org/officeDocument/2006/relationships/hyperlink" Target="https://www.genome.jp/entry/6.3.5.5" TargetMode="External"/><Relationship Id="rId971" Type="http://schemas.openxmlformats.org/officeDocument/2006/relationships/hyperlink" Target="https://www.genome.jp/entry/R00006" TargetMode="External"/><Relationship Id="rId1394" Type="http://schemas.openxmlformats.org/officeDocument/2006/relationships/hyperlink" Target="https://www.genome.jp/entry/R00442" TargetMode="External"/><Relationship Id="rId2238" Type="http://schemas.openxmlformats.org/officeDocument/2006/relationships/hyperlink" Target="https://www.genome.jp/entry/1.11.1.6" TargetMode="External"/><Relationship Id="rId2445" Type="http://schemas.openxmlformats.org/officeDocument/2006/relationships/hyperlink" Target="https://www.genome.jp/entry/4.2.1.80" TargetMode="External"/><Relationship Id="rId417" Type="http://schemas.openxmlformats.org/officeDocument/2006/relationships/hyperlink" Target="https://www.genome.jp/entry/R09366" TargetMode="External"/><Relationship Id="rId624" Type="http://schemas.openxmlformats.org/officeDocument/2006/relationships/hyperlink" Target="https://www.genome.jp/entry/2.1.1.192" TargetMode="External"/><Relationship Id="rId831" Type="http://schemas.openxmlformats.org/officeDocument/2006/relationships/hyperlink" Target="https://www.genome.jp/entry/2.5.1.141" TargetMode="External"/><Relationship Id="rId1047" Type="http://schemas.openxmlformats.org/officeDocument/2006/relationships/hyperlink" Target="https://www.genome.jp/entry/R00948" TargetMode="External"/><Relationship Id="rId1254" Type="http://schemas.openxmlformats.org/officeDocument/2006/relationships/hyperlink" Target="https://www.genome.jp/entry/R00939" TargetMode="External"/><Relationship Id="rId1461" Type="http://schemas.openxmlformats.org/officeDocument/2006/relationships/hyperlink" Target="https://www.genome.jp/entry/1.8.1.4" TargetMode="External"/><Relationship Id="rId2305" Type="http://schemas.openxmlformats.org/officeDocument/2006/relationships/hyperlink" Target="https://www.genome.jp/entry/1.1.1.35" TargetMode="External"/><Relationship Id="rId1114" Type="http://schemas.openxmlformats.org/officeDocument/2006/relationships/hyperlink" Target="https://www.genome.jp/entry/R00416" TargetMode="External"/><Relationship Id="rId1321" Type="http://schemas.openxmlformats.org/officeDocument/2006/relationships/hyperlink" Target="https://www.genome.jp/entry/R00897" TargetMode="External"/><Relationship Id="rId2095" Type="http://schemas.openxmlformats.org/officeDocument/2006/relationships/hyperlink" Target="https://www.genome.jp/entry/2.3.1.85" TargetMode="External"/><Relationship Id="rId274" Type="http://schemas.openxmlformats.org/officeDocument/2006/relationships/hyperlink" Target="https://www.genome.jp/entry/R04964" TargetMode="External"/><Relationship Id="rId481" Type="http://schemas.openxmlformats.org/officeDocument/2006/relationships/hyperlink" Target="https://www.genome.jp/entry/7.1.1.8" TargetMode="External"/><Relationship Id="rId2162" Type="http://schemas.openxmlformats.org/officeDocument/2006/relationships/hyperlink" Target="https://www.genome.jp/entry/4.2.1.3" TargetMode="External"/><Relationship Id="rId134" Type="http://schemas.openxmlformats.org/officeDocument/2006/relationships/hyperlink" Target="https://www.genome.jp/entry/R02087" TargetMode="External"/><Relationship Id="rId341" Type="http://schemas.openxmlformats.org/officeDocument/2006/relationships/hyperlink" Target="https://www.genome.jp/entry/R05299" TargetMode="External"/><Relationship Id="rId2022" Type="http://schemas.openxmlformats.org/officeDocument/2006/relationships/hyperlink" Target="https://www.genome.jp/entry/2.7.7.7" TargetMode="External"/><Relationship Id="rId201" Type="http://schemas.openxmlformats.org/officeDocument/2006/relationships/hyperlink" Target="https://www.genome.jp/entry/R01492" TargetMode="External"/><Relationship Id="rId1788" Type="http://schemas.openxmlformats.org/officeDocument/2006/relationships/hyperlink" Target="https://www.genome.jp/entry/2.3.1.85" TargetMode="External"/><Relationship Id="rId1995" Type="http://schemas.openxmlformats.org/officeDocument/2006/relationships/hyperlink" Target="https://www.genome.jp/entry/2.7.7.6" TargetMode="External"/><Relationship Id="rId1648" Type="http://schemas.openxmlformats.org/officeDocument/2006/relationships/hyperlink" Target="https://www.genome.jp/entry/2.7.7.4" TargetMode="External"/><Relationship Id="rId1508" Type="http://schemas.openxmlformats.org/officeDocument/2006/relationships/hyperlink" Target="https://www.genome.jp/entry/2.7.13.3" TargetMode="External"/><Relationship Id="rId1855" Type="http://schemas.openxmlformats.org/officeDocument/2006/relationships/hyperlink" Target="https://www.genome.jp/entry/2.7.4.6" TargetMode="External"/><Relationship Id="rId1715" Type="http://schemas.openxmlformats.org/officeDocument/2006/relationships/hyperlink" Target="https://www.genome.jp/entry/2.4.2.8" TargetMode="External"/><Relationship Id="rId1922" Type="http://schemas.openxmlformats.org/officeDocument/2006/relationships/hyperlink" Target="https://www.genome.jp/entry/4.3.1.19" TargetMode="External"/><Relationship Id="rId668" Type="http://schemas.openxmlformats.org/officeDocument/2006/relationships/hyperlink" Target="https://www.genome.jp/entry/2.7.8.5" TargetMode="External"/><Relationship Id="rId875" Type="http://schemas.openxmlformats.org/officeDocument/2006/relationships/hyperlink" Target="https://www.genome.jp/entry/2.7.1.49" TargetMode="External"/><Relationship Id="rId1298" Type="http://schemas.openxmlformats.org/officeDocument/2006/relationships/hyperlink" Target="https://www.genome.jp/entry/R01325" TargetMode="External"/><Relationship Id="rId2349" Type="http://schemas.openxmlformats.org/officeDocument/2006/relationships/hyperlink" Target="https://www.genome.jp/entry/1.3.1.1" TargetMode="External"/><Relationship Id="rId528" Type="http://schemas.openxmlformats.org/officeDocument/2006/relationships/hyperlink" Target="https://www.genome.jp/entry/2.7.7.7" TargetMode="External"/><Relationship Id="rId735" Type="http://schemas.openxmlformats.org/officeDocument/2006/relationships/hyperlink" Target="https://www.genome.jp/entry/6.1.1.12" TargetMode="External"/><Relationship Id="rId942" Type="http://schemas.openxmlformats.org/officeDocument/2006/relationships/hyperlink" Target="https://www.genome.jp/entry/R03968" TargetMode="External"/><Relationship Id="rId1158" Type="http://schemas.openxmlformats.org/officeDocument/2006/relationships/hyperlink" Target="https://www.genome.jp/entry/3.6.4.12" TargetMode="External"/><Relationship Id="rId1365" Type="http://schemas.openxmlformats.org/officeDocument/2006/relationships/hyperlink" Target="https://www.genome.jp/entry/5.1.1.1" TargetMode="External"/><Relationship Id="rId1572" Type="http://schemas.openxmlformats.org/officeDocument/2006/relationships/hyperlink" Target="https://www.genome.jp/entry/R01639" TargetMode="External"/><Relationship Id="rId2209" Type="http://schemas.openxmlformats.org/officeDocument/2006/relationships/hyperlink" Target="https://www.genome.jp/entry/1.5.1.2" TargetMode="External"/><Relationship Id="rId2416" Type="http://schemas.openxmlformats.org/officeDocument/2006/relationships/hyperlink" Target="https://www.genome.jp/entry/3.6.1.22" TargetMode="External"/><Relationship Id="rId1018" Type="http://schemas.openxmlformats.org/officeDocument/2006/relationships/hyperlink" Target="https://www.genome.jp/entry/2.7.7.77" TargetMode="External"/><Relationship Id="rId1225" Type="http://schemas.openxmlformats.org/officeDocument/2006/relationships/hyperlink" Target="https://www.genome.jp/entry/R00256" TargetMode="External"/><Relationship Id="rId1432" Type="http://schemas.openxmlformats.org/officeDocument/2006/relationships/hyperlink" Target="https://www.genome.jp/entry/R03165" TargetMode="External"/><Relationship Id="rId71" Type="http://schemas.openxmlformats.org/officeDocument/2006/relationships/hyperlink" Target="https://www.genome.jp/entry/R02021" TargetMode="External"/><Relationship Id="rId802" Type="http://schemas.openxmlformats.org/officeDocument/2006/relationships/hyperlink" Target="https://www.genome.jp/entry/2.5.1.9" TargetMode="External"/><Relationship Id="rId178" Type="http://schemas.openxmlformats.org/officeDocument/2006/relationships/hyperlink" Target="https://www.genome.jp/entry/2.4.2.14" TargetMode="External"/><Relationship Id="rId385" Type="http://schemas.openxmlformats.org/officeDocument/2006/relationships/hyperlink" Target="https://www.genome.jp/entry/R00570" TargetMode="External"/><Relationship Id="rId592" Type="http://schemas.openxmlformats.org/officeDocument/2006/relationships/hyperlink" Target="https://www.genome.jp/entry/3.2.2.23" TargetMode="External"/><Relationship Id="rId2066" Type="http://schemas.openxmlformats.org/officeDocument/2006/relationships/hyperlink" Target="https://www.genome.jp/entry/2.1.2.1" TargetMode="External"/><Relationship Id="rId2273" Type="http://schemas.openxmlformats.org/officeDocument/2006/relationships/hyperlink" Target="https://www.genome.jp/entry/R00896" TargetMode="External"/><Relationship Id="rId245" Type="http://schemas.openxmlformats.org/officeDocument/2006/relationships/hyperlink" Target="https://www.genome.jp/entry/R08243" TargetMode="External"/><Relationship Id="rId452" Type="http://schemas.openxmlformats.org/officeDocument/2006/relationships/hyperlink" Target="https://www.genome.jp/entry/R12423" TargetMode="External"/><Relationship Id="rId1082" Type="http://schemas.openxmlformats.org/officeDocument/2006/relationships/hyperlink" Target="https://www.genome.jp/entry/R01845" TargetMode="External"/><Relationship Id="rId2133" Type="http://schemas.openxmlformats.org/officeDocument/2006/relationships/hyperlink" Target="https://www.genome.jp/entry/1.5.1.3" TargetMode="External"/><Relationship Id="rId2340" Type="http://schemas.openxmlformats.org/officeDocument/2006/relationships/hyperlink" Target="https://www.genome.jp/entry/1.14.13.149" TargetMode="External"/><Relationship Id="rId105" Type="http://schemas.openxmlformats.org/officeDocument/2006/relationships/hyperlink" Target="https://www.genome.jp/entry/R09597" TargetMode="External"/><Relationship Id="rId312" Type="http://schemas.openxmlformats.org/officeDocument/2006/relationships/hyperlink" Target="https://www.genome.jp/entry/R09030" TargetMode="External"/><Relationship Id="rId2200" Type="http://schemas.openxmlformats.org/officeDocument/2006/relationships/hyperlink" Target="https://www.genome.jp/entry/2.7.7.6" TargetMode="External"/><Relationship Id="rId1899" Type="http://schemas.openxmlformats.org/officeDocument/2006/relationships/hyperlink" Target="https://www.genome.jp/entry/2.4.1.346" TargetMode="External"/><Relationship Id="rId1759" Type="http://schemas.openxmlformats.org/officeDocument/2006/relationships/hyperlink" Target="https://www.genome.jp/entry/1.17.4.1" TargetMode="External"/><Relationship Id="rId1966" Type="http://schemas.openxmlformats.org/officeDocument/2006/relationships/hyperlink" Target="https://www.genome.jp/entry/2.7.1.56" TargetMode="External"/><Relationship Id="rId1619" Type="http://schemas.openxmlformats.org/officeDocument/2006/relationships/hyperlink" Target="https://www.genome.jp/entry/R02722" TargetMode="External"/><Relationship Id="rId1826" Type="http://schemas.openxmlformats.org/officeDocument/2006/relationships/hyperlink" Target="https://www.genome.jp/entry/1.14.12.10" TargetMode="External"/><Relationship Id="rId779" Type="http://schemas.openxmlformats.org/officeDocument/2006/relationships/hyperlink" Target="https://www.genome.jp/entry/R00435" TargetMode="External"/><Relationship Id="rId986" Type="http://schemas.openxmlformats.org/officeDocument/2006/relationships/hyperlink" Target="https://www.genome.jp/entry/2.5.1.16" TargetMode="External"/><Relationship Id="rId639" Type="http://schemas.openxmlformats.org/officeDocument/2006/relationships/hyperlink" Target="https://www.genome.jp/entry/R01257" TargetMode="External"/><Relationship Id="rId1269" Type="http://schemas.openxmlformats.org/officeDocument/2006/relationships/hyperlink" Target="https://www.genome.jp/entry/5.4.99.18" TargetMode="External"/><Relationship Id="rId1476" Type="http://schemas.openxmlformats.org/officeDocument/2006/relationships/hyperlink" Target="https://www.genome.jp/entry/R07297" TargetMode="External"/><Relationship Id="rId846" Type="http://schemas.openxmlformats.org/officeDocument/2006/relationships/hyperlink" Target="https://www.genome.jp/entry/R01868" TargetMode="External"/><Relationship Id="rId1129" Type="http://schemas.openxmlformats.org/officeDocument/2006/relationships/hyperlink" Target="https://www.genome.jp/entry/R01909" TargetMode="External"/><Relationship Id="rId1683" Type="http://schemas.openxmlformats.org/officeDocument/2006/relationships/hyperlink" Target="https://www.genome.jp/entry/1.1.1.1" TargetMode="External"/><Relationship Id="rId1890" Type="http://schemas.openxmlformats.org/officeDocument/2006/relationships/hyperlink" Target="https://www.genome.jp/entry/2.6.1.42" TargetMode="External"/><Relationship Id="rId706" Type="http://schemas.openxmlformats.org/officeDocument/2006/relationships/hyperlink" Target="https://www.genome.jp/entry/R07607" TargetMode="External"/><Relationship Id="rId913" Type="http://schemas.openxmlformats.org/officeDocument/2006/relationships/hyperlink" Target="https://www.genome.jp/entry/6.1.1.20" TargetMode="External"/><Relationship Id="rId1336" Type="http://schemas.openxmlformats.org/officeDocument/2006/relationships/hyperlink" Target="https://www.genome.jp/entry/R00379" TargetMode="External"/><Relationship Id="rId1543" Type="http://schemas.openxmlformats.org/officeDocument/2006/relationships/hyperlink" Target="https://www.genome.jp/entry/1.6.5.5" TargetMode="External"/><Relationship Id="rId1750" Type="http://schemas.openxmlformats.org/officeDocument/2006/relationships/hyperlink" Target="https://www.genome.jp/entry/2.5.1.17" TargetMode="External"/><Relationship Id="rId42" Type="http://schemas.openxmlformats.org/officeDocument/2006/relationships/hyperlink" Target="https://www.genome.jp/entry/5.5.1.4" TargetMode="External"/><Relationship Id="rId1403" Type="http://schemas.openxmlformats.org/officeDocument/2006/relationships/hyperlink" Target="https://www.genome.jp/entry/R09736" TargetMode="External"/><Relationship Id="rId1610" Type="http://schemas.openxmlformats.org/officeDocument/2006/relationships/hyperlink" Target="https://www.genome.jp/entry/3.1.26.5" TargetMode="External"/><Relationship Id="rId289" Type="http://schemas.openxmlformats.org/officeDocument/2006/relationships/hyperlink" Target="https://www.genome.jp/entry/R06134" TargetMode="External"/><Relationship Id="rId496" Type="http://schemas.openxmlformats.org/officeDocument/2006/relationships/hyperlink" Target="https://www.genome.jp/entry/R01224" TargetMode="External"/><Relationship Id="rId2177" Type="http://schemas.openxmlformats.org/officeDocument/2006/relationships/hyperlink" Target="https://www.genome.jp/entry/2.7.7.7" TargetMode="External"/><Relationship Id="rId2384" Type="http://schemas.openxmlformats.org/officeDocument/2006/relationships/hyperlink" Target="https://www.genome.jp/entry/R04634" TargetMode="External"/><Relationship Id="rId149" Type="http://schemas.openxmlformats.org/officeDocument/2006/relationships/hyperlink" Target="https://www.genome.jp/entry/R02737" TargetMode="External"/><Relationship Id="rId356" Type="http://schemas.openxmlformats.org/officeDocument/2006/relationships/hyperlink" Target="https://www.genome.jp/entry/4.1.1.44" TargetMode="External"/><Relationship Id="rId563" Type="http://schemas.openxmlformats.org/officeDocument/2006/relationships/hyperlink" Target="https://www.genome.jp/entry/5.3.1.16" TargetMode="External"/><Relationship Id="rId770" Type="http://schemas.openxmlformats.org/officeDocument/2006/relationships/hyperlink" Target="https://www.genome.jp/entry/R07641" TargetMode="External"/><Relationship Id="rId1193" Type="http://schemas.openxmlformats.org/officeDocument/2006/relationships/hyperlink" Target="https://www.genome.jp/entry/R04566" TargetMode="External"/><Relationship Id="rId2037" Type="http://schemas.openxmlformats.org/officeDocument/2006/relationships/hyperlink" Target="https://www.genome.jp/entry/1.1.1.86" TargetMode="External"/><Relationship Id="rId2244" Type="http://schemas.openxmlformats.org/officeDocument/2006/relationships/hyperlink" Target="https://www.genome.jp/entry/2.6.1.9" TargetMode="External"/><Relationship Id="rId2451" Type="http://schemas.openxmlformats.org/officeDocument/2006/relationships/hyperlink" Target="https://www.genome.jp/entry/5.1.3.14" TargetMode="External"/><Relationship Id="rId216" Type="http://schemas.openxmlformats.org/officeDocument/2006/relationships/hyperlink" Target="https://www.genome.jp/entry/R02018" TargetMode="External"/><Relationship Id="rId423" Type="http://schemas.openxmlformats.org/officeDocument/2006/relationships/hyperlink" Target="https://www.genome.jp/entry/2.4.1.25" TargetMode="External"/><Relationship Id="rId1053" Type="http://schemas.openxmlformats.org/officeDocument/2006/relationships/hyperlink" Target="https://www.genome.jp/entry/2.5.1.15" TargetMode="External"/><Relationship Id="rId1260" Type="http://schemas.openxmlformats.org/officeDocument/2006/relationships/hyperlink" Target="https://www.genome.jp/entry/R04543" TargetMode="External"/><Relationship Id="rId2104" Type="http://schemas.openxmlformats.org/officeDocument/2006/relationships/hyperlink" Target="https://www.genome.jp/entry/2.3.1.85" TargetMode="External"/><Relationship Id="rId630" Type="http://schemas.openxmlformats.org/officeDocument/2006/relationships/hyperlink" Target="https://www.genome.jp/entry/3.4.11.18" TargetMode="External"/><Relationship Id="rId2311" Type="http://schemas.openxmlformats.org/officeDocument/2006/relationships/hyperlink" Target="https://www.genome.jp/entry/R04737" TargetMode="External"/><Relationship Id="rId1120" Type="http://schemas.openxmlformats.org/officeDocument/2006/relationships/hyperlink" Target="https://www.genome.jp/entry/R01061" TargetMode="External"/><Relationship Id="rId1937" Type="http://schemas.openxmlformats.org/officeDocument/2006/relationships/hyperlink" Target="https://www.genome.jp/entry/2.7.1.40" TargetMode="External"/><Relationship Id="rId280" Type="http://schemas.openxmlformats.org/officeDocument/2006/relationships/hyperlink" Target="https://www.genome.jp/entry/R01625" TargetMode="External"/><Relationship Id="rId140" Type="http://schemas.openxmlformats.org/officeDocument/2006/relationships/hyperlink" Target="https://www.genome.jp/entry/R00811" TargetMode="External"/><Relationship Id="rId6" Type="http://schemas.openxmlformats.org/officeDocument/2006/relationships/hyperlink" Target="https://www.genome.jp/entry/2.7.1.49" TargetMode="External"/><Relationship Id="rId957" Type="http://schemas.openxmlformats.org/officeDocument/2006/relationships/hyperlink" Target="https://www.genome.jp/entry/R04426" TargetMode="External"/><Relationship Id="rId1587" Type="http://schemas.openxmlformats.org/officeDocument/2006/relationships/hyperlink" Target="https://www.genome.jp/entry/R13420" TargetMode="External"/><Relationship Id="rId1794" Type="http://schemas.openxmlformats.org/officeDocument/2006/relationships/hyperlink" Target="https://www.genome.jp/entry/2.3.1.85" TargetMode="External"/><Relationship Id="rId86" Type="http://schemas.openxmlformats.org/officeDocument/2006/relationships/hyperlink" Target="https://www.genome.jp/entry/2.7.11.1" TargetMode="External"/><Relationship Id="rId817" Type="http://schemas.openxmlformats.org/officeDocument/2006/relationships/hyperlink" Target="https://www.genome.jp/entry/R02035" TargetMode="External"/><Relationship Id="rId1447" Type="http://schemas.openxmlformats.org/officeDocument/2006/relationships/hyperlink" Target="https://www.genome.jp/entry/5.4.2.11" TargetMode="External"/><Relationship Id="rId1654" Type="http://schemas.openxmlformats.org/officeDocument/2006/relationships/hyperlink" Target="https://www.genome.jp/entry/R05233" TargetMode="External"/><Relationship Id="rId1861" Type="http://schemas.openxmlformats.org/officeDocument/2006/relationships/hyperlink" Target="https://www.genome.jp/entry/2.7.4.6" TargetMode="External"/><Relationship Id="rId1307" Type="http://schemas.openxmlformats.org/officeDocument/2006/relationships/hyperlink" Target="https://www.genome.jp/entry/R03664" TargetMode="External"/><Relationship Id="rId1514" Type="http://schemas.openxmlformats.org/officeDocument/2006/relationships/hyperlink" Target="https://www.genome.jp/entry/1.2.1.11" TargetMode="External"/><Relationship Id="rId1721" Type="http://schemas.openxmlformats.org/officeDocument/2006/relationships/hyperlink" Target="https://www.genome.jp/entry/3.5.4.16" TargetMode="External"/><Relationship Id="rId13" Type="http://schemas.openxmlformats.org/officeDocument/2006/relationships/hyperlink" Target="https://www.genome.jp/entry/R01183" TargetMode="External"/><Relationship Id="rId2288" Type="http://schemas.openxmlformats.org/officeDocument/2006/relationships/hyperlink" Target="https://www.genome.jp/entry/1.1.1.31" TargetMode="External"/><Relationship Id="rId467" Type="http://schemas.openxmlformats.org/officeDocument/2006/relationships/hyperlink" Target="https://www.genome.jp/entry/2.7.8.26" TargetMode="External"/><Relationship Id="rId1097" Type="http://schemas.openxmlformats.org/officeDocument/2006/relationships/hyperlink" Target="https://www.genome.jp/entry/R04391" TargetMode="External"/><Relationship Id="rId2148" Type="http://schemas.openxmlformats.org/officeDocument/2006/relationships/hyperlink" Target="https://www.genome.jp/entry/1.1.1.100" TargetMode="External"/><Relationship Id="rId674" Type="http://schemas.openxmlformats.org/officeDocument/2006/relationships/hyperlink" Target="https://www.genome.jp/entry/2.5.1.75" TargetMode="External"/><Relationship Id="rId881" Type="http://schemas.openxmlformats.org/officeDocument/2006/relationships/hyperlink" Target="https://www.genome.jp/entry/7.3.2.2" TargetMode="External"/><Relationship Id="rId2355" Type="http://schemas.openxmlformats.org/officeDocument/2006/relationships/hyperlink" Target="https://www.genome.jp/entry/R01264" TargetMode="External"/><Relationship Id="rId327" Type="http://schemas.openxmlformats.org/officeDocument/2006/relationships/hyperlink" Target="https://www.genome.jp/entry/R08109" TargetMode="External"/><Relationship Id="rId534" Type="http://schemas.openxmlformats.org/officeDocument/2006/relationships/hyperlink" Target="https://www.genome.jp/entry/R11029" TargetMode="External"/><Relationship Id="rId741" Type="http://schemas.openxmlformats.org/officeDocument/2006/relationships/hyperlink" Target="https://www.genome.jp/entry/R02413" TargetMode="External"/><Relationship Id="rId1164" Type="http://schemas.openxmlformats.org/officeDocument/2006/relationships/hyperlink" Target="https://www.genome.jp/entry/R02739" TargetMode="External"/><Relationship Id="rId1371" Type="http://schemas.openxmlformats.org/officeDocument/2006/relationships/hyperlink" Target="https://www.genome.jp/entry/2.7.7.6" TargetMode="External"/><Relationship Id="rId2008" Type="http://schemas.openxmlformats.org/officeDocument/2006/relationships/hyperlink" Target="https://www.genome.jp/entry/1.17.99.9" TargetMode="External"/><Relationship Id="rId2215" Type="http://schemas.openxmlformats.org/officeDocument/2006/relationships/hyperlink" Target="https://www.genome.jp/entry/1.3.1.98" TargetMode="External"/><Relationship Id="rId2422" Type="http://schemas.openxmlformats.org/officeDocument/2006/relationships/hyperlink" Target="https://www.genome.jp/entry/4.1.1.112" TargetMode="External"/><Relationship Id="rId601" Type="http://schemas.openxmlformats.org/officeDocument/2006/relationships/hyperlink" Target="https://www.genome.jp/entry/2.1.1.228" TargetMode="External"/><Relationship Id="rId1024" Type="http://schemas.openxmlformats.org/officeDocument/2006/relationships/hyperlink" Target="https://www.genome.jp/entry/R03024" TargetMode="External"/><Relationship Id="rId1231" Type="http://schemas.openxmlformats.org/officeDocument/2006/relationships/hyperlink" Target="https://www.genome.jp/entry/5.6.2.4" TargetMode="External"/><Relationship Id="rId184" Type="http://schemas.openxmlformats.org/officeDocument/2006/relationships/hyperlink" Target="https://www.genome.jp/entry/2.3.1.189" TargetMode="External"/><Relationship Id="rId391" Type="http://schemas.openxmlformats.org/officeDocument/2006/relationships/hyperlink" Target="https://www.genome.jp/entry/R02331" TargetMode="External"/><Relationship Id="rId1908" Type="http://schemas.openxmlformats.org/officeDocument/2006/relationships/hyperlink" Target="https://www.genome.jp/entry/2.4.1.227" TargetMode="External"/><Relationship Id="rId2072" Type="http://schemas.openxmlformats.org/officeDocument/2006/relationships/hyperlink" Target="https://www.genome.jp/entry/2.3.2.2" TargetMode="External"/><Relationship Id="rId251" Type="http://schemas.openxmlformats.org/officeDocument/2006/relationships/hyperlink" Target="https://www.genome.jp/entry/R04355" TargetMode="External"/><Relationship Id="rId111" Type="http://schemas.openxmlformats.org/officeDocument/2006/relationships/hyperlink" Target="https://www.genome.jp/entry/R03067/R03066" TargetMode="External"/><Relationship Id="rId1698" Type="http://schemas.openxmlformats.org/officeDocument/2006/relationships/hyperlink" Target="https://www.genome.jp/entry/R03632" TargetMode="External"/><Relationship Id="rId928" Type="http://schemas.openxmlformats.org/officeDocument/2006/relationships/hyperlink" Target="https://www.genome.jp/entry/R00378" TargetMode="External"/><Relationship Id="rId1558" Type="http://schemas.openxmlformats.org/officeDocument/2006/relationships/hyperlink" Target="https://www.genome.jp/entry/2.7.1.92" TargetMode="External"/><Relationship Id="rId1765" Type="http://schemas.openxmlformats.org/officeDocument/2006/relationships/hyperlink" Target="https://www.genome.jp/entry/1.17.4.1" TargetMode="External"/><Relationship Id="rId57" Type="http://schemas.openxmlformats.org/officeDocument/2006/relationships/hyperlink" Target="https://www.genome.jp/entry/2.7.1.30" TargetMode="External"/><Relationship Id="rId1418" Type="http://schemas.openxmlformats.org/officeDocument/2006/relationships/hyperlink" Target="https://www.genome.jp/entry/R02272" TargetMode="External"/><Relationship Id="rId1972" Type="http://schemas.openxmlformats.org/officeDocument/2006/relationships/hyperlink" Target="https://www.genome.jp/entry/3.6.1.23" TargetMode="External"/><Relationship Id="rId1625" Type="http://schemas.openxmlformats.org/officeDocument/2006/relationships/hyperlink" Target="https://www.genome.jp/entry/1.1.1.40" TargetMode="External"/><Relationship Id="rId1832" Type="http://schemas.openxmlformats.org/officeDocument/2006/relationships/hyperlink" Target="https://www.genome.jp/entry/1.14.12.10" TargetMode="External"/><Relationship Id="rId2399" Type="http://schemas.openxmlformats.org/officeDocument/2006/relationships/hyperlink" Target="https://www.genome.jp/entry/R06134" TargetMode="External"/><Relationship Id="rId578" Type="http://schemas.openxmlformats.org/officeDocument/2006/relationships/hyperlink" Target="https://www.genome.jp/entry/R00659" TargetMode="External"/><Relationship Id="rId785" Type="http://schemas.openxmlformats.org/officeDocument/2006/relationships/hyperlink" Target="https://www.genome.jp/entry/R03269" TargetMode="External"/><Relationship Id="rId992" Type="http://schemas.openxmlformats.org/officeDocument/2006/relationships/hyperlink" Target="https://www.genome.jp/entry/2.4.1.18" TargetMode="External"/><Relationship Id="rId2259" Type="http://schemas.openxmlformats.org/officeDocument/2006/relationships/hyperlink" Target="https://www.genome.jp/entry/3.5.1.5" TargetMode="External"/><Relationship Id="rId438" Type="http://schemas.openxmlformats.org/officeDocument/2006/relationships/hyperlink" Target="https://www.genome.jp/entry/R00138" TargetMode="External"/><Relationship Id="rId645" Type="http://schemas.openxmlformats.org/officeDocument/2006/relationships/hyperlink" Target="https://www.genome.jp/entry/R03950" TargetMode="External"/><Relationship Id="rId852" Type="http://schemas.openxmlformats.org/officeDocument/2006/relationships/hyperlink" Target="https://www.genome.jp/entry/R10927" TargetMode="External"/><Relationship Id="rId1068" Type="http://schemas.openxmlformats.org/officeDocument/2006/relationships/hyperlink" Target="https://www.genome.jp/entry/2.5.1.72" TargetMode="External"/><Relationship Id="rId1275" Type="http://schemas.openxmlformats.org/officeDocument/2006/relationships/hyperlink" Target="https://www.genome.jp/entry/R01074" TargetMode="External"/><Relationship Id="rId1482" Type="http://schemas.openxmlformats.org/officeDocument/2006/relationships/hyperlink" Target="https://www.genome.jp/entry/R02323" TargetMode="External"/><Relationship Id="rId2119" Type="http://schemas.openxmlformats.org/officeDocument/2006/relationships/hyperlink" Target="https://www.genome.jp/entry/2.3.1.85" TargetMode="External"/><Relationship Id="rId2326" Type="http://schemas.openxmlformats.org/officeDocument/2006/relationships/hyperlink" Target="https://www.genome.jp/entry/R01521" TargetMode="External"/><Relationship Id="rId505" Type="http://schemas.openxmlformats.org/officeDocument/2006/relationships/hyperlink" Target="https://www.genome.jp/entry/2.7.8.13" TargetMode="External"/><Relationship Id="rId712" Type="http://schemas.openxmlformats.org/officeDocument/2006/relationships/hyperlink" Target="https://www.genome.jp/entry/R00164" TargetMode="External"/><Relationship Id="rId1135" Type="http://schemas.openxmlformats.org/officeDocument/2006/relationships/hyperlink" Target="https://www.genome.jp/entry/1.1.1.28" TargetMode="External"/><Relationship Id="rId1342" Type="http://schemas.openxmlformats.org/officeDocument/2006/relationships/hyperlink" Target="https://www.genome.jp/entry/7.4.2.11" TargetMode="External"/><Relationship Id="rId1202" Type="http://schemas.openxmlformats.org/officeDocument/2006/relationships/hyperlink" Target="https://www.genome.jp/entry/R04959" TargetMode="External"/><Relationship Id="rId295" Type="http://schemas.openxmlformats.org/officeDocument/2006/relationships/hyperlink" Target="https://www.genome.jp/entry/R03024" TargetMode="External"/><Relationship Id="rId2183" Type="http://schemas.openxmlformats.org/officeDocument/2006/relationships/hyperlink" Target="https://www.genome.jp/entry/1.1.1.205" TargetMode="External"/><Relationship Id="rId2390" Type="http://schemas.openxmlformats.org/officeDocument/2006/relationships/hyperlink" Target="https://www.genome.jp/entry/R059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999A-2595-42AD-BFC3-42C23AEFC818}">
  <dimension ref="A1:C27"/>
  <sheetViews>
    <sheetView zoomScale="111" workbookViewId="0">
      <selection activeCell="B1" sqref="B1"/>
    </sheetView>
  </sheetViews>
  <sheetFormatPr defaultRowHeight="14.5"/>
  <cols>
    <col min="1" max="1" width="24.36328125" customWidth="1"/>
    <col min="2" max="2" width="17.36328125" customWidth="1"/>
    <col min="3" max="3" width="17.6328125" customWidth="1"/>
  </cols>
  <sheetData>
    <row r="1" spans="1:3" ht="15" thickBot="1">
      <c r="A1" s="1" t="s">
        <v>8415</v>
      </c>
      <c r="B1" s="39" t="s">
        <v>17636</v>
      </c>
    </row>
    <row r="2" spans="1:3" ht="15" thickBot="1">
      <c r="A2" s="2" t="s">
        <v>8416</v>
      </c>
      <c r="B2" s="1" t="s">
        <v>10464</v>
      </c>
    </row>
    <row r="3" spans="1:3" ht="15.65" customHeight="1">
      <c r="A3" s="2" t="s">
        <v>8417</v>
      </c>
      <c r="B3" s="40" t="s">
        <v>10465</v>
      </c>
      <c r="C3" s="3"/>
    </row>
    <row r="4" spans="1:3" ht="15" thickBot="1">
      <c r="A4" s="1" t="s">
        <v>8418</v>
      </c>
      <c r="B4" s="1" t="s">
        <v>10466</v>
      </c>
    </row>
    <row r="5" spans="1:3" ht="15" thickBot="1">
      <c r="A5" s="2" t="s">
        <v>8419</v>
      </c>
      <c r="B5" s="1" t="s">
        <v>10467</v>
      </c>
    </row>
    <row r="6" spans="1:3">
      <c r="A6" s="4" t="s">
        <v>8420</v>
      </c>
      <c r="B6" s="5" t="s">
        <v>13</v>
      </c>
    </row>
    <row r="7" spans="1:3">
      <c r="A7" s="6"/>
      <c r="B7" s="7" t="s">
        <v>8421</v>
      </c>
      <c r="C7" s="7" t="s">
        <v>8422</v>
      </c>
    </row>
    <row r="8" spans="1:3">
      <c r="A8" s="6" t="s">
        <v>8423</v>
      </c>
      <c r="B8" s="7" t="s">
        <v>10468</v>
      </c>
      <c r="C8" s="7" t="s">
        <v>10468</v>
      </c>
    </row>
    <row r="9" spans="1:3">
      <c r="A9" s="6" t="s">
        <v>8424</v>
      </c>
      <c r="B9" s="7" t="s">
        <v>10468</v>
      </c>
      <c r="C9" s="7" t="s">
        <v>10468</v>
      </c>
    </row>
    <row r="10" spans="1:3">
      <c r="A10" s="6" t="s">
        <v>8425</v>
      </c>
      <c r="B10" s="7">
        <v>1</v>
      </c>
      <c r="C10" s="7">
        <v>1</v>
      </c>
    </row>
    <row r="11" spans="1:3">
      <c r="A11" s="6" t="s">
        <v>8426</v>
      </c>
      <c r="B11" s="7">
        <v>1</v>
      </c>
      <c r="C11" s="7">
        <v>1</v>
      </c>
    </row>
    <row r="12" spans="1:3">
      <c r="A12" s="6" t="s">
        <v>8427</v>
      </c>
      <c r="B12" s="7" t="s">
        <v>10468</v>
      </c>
      <c r="C12" s="7" t="s">
        <v>10468</v>
      </c>
    </row>
    <row r="13" spans="1:3">
      <c r="A13" s="6" t="s">
        <v>8428</v>
      </c>
      <c r="B13" s="7">
        <v>1</v>
      </c>
      <c r="C13" s="7">
        <v>1</v>
      </c>
    </row>
    <row r="14" spans="1:3">
      <c r="A14" s="6" t="s">
        <v>8429</v>
      </c>
      <c r="B14" s="7">
        <v>1</v>
      </c>
      <c r="C14" s="7">
        <v>1</v>
      </c>
    </row>
    <row r="15" spans="1:3">
      <c r="A15" s="6" t="s">
        <v>8430</v>
      </c>
      <c r="B15" s="7" t="s">
        <v>10468</v>
      </c>
      <c r="C15" s="7" t="s">
        <v>10468</v>
      </c>
    </row>
    <row r="16" spans="1:3">
      <c r="A16" s="6" t="s">
        <v>8431</v>
      </c>
      <c r="B16" s="7">
        <v>1</v>
      </c>
      <c r="C16" s="7">
        <v>1</v>
      </c>
    </row>
    <row r="17" spans="1:3">
      <c r="A17" s="6" t="s">
        <v>8432</v>
      </c>
      <c r="B17" s="7">
        <v>54</v>
      </c>
      <c r="C17" s="7">
        <v>54</v>
      </c>
    </row>
    <row r="18" spans="1:3">
      <c r="A18" s="6" t="s">
        <v>8433</v>
      </c>
      <c r="B18" s="8" t="s">
        <v>8434</v>
      </c>
      <c r="C18" s="8" t="s">
        <v>8434</v>
      </c>
    </row>
    <row r="19" spans="1:3">
      <c r="A19" s="6" t="s">
        <v>8435</v>
      </c>
      <c r="B19" s="9">
        <v>3079</v>
      </c>
      <c r="C19" s="9">
        <v>3099</v>
      </c>
    </row>
    <row r="20" spans="1:3">
      <c r="A20" s="6" t="s">
        <v>8436</v>
      </c>
      <c r="B20" s="9">
        <v>2948</v>
      </c>
      <c r="C20" s="9">
        <v>3099</v>
      </c>
    </row>
    <row r="21" spans="1:3">
      <c r="B21" s="7"/>
      <c r="C21" s="7"/>
    </row>
    <row r="22" spans="1:3">
      <c r="A22" s="6" t="s">
        <v>8437</v>
      </c>
      <c r="B22" s="7" t="s">
        <v>10469</v>
      </c>
      <c r="C22" s="7" t="s">
        <v>13</v>
      </c>
    </row>
    <row r="23" spans="1:3">
      <c r="B23" s="7"/>
      <c r="C23" s="7"/>
    </row>
    <row r="24" spans="1:3">
      <c r="B24" s="7"/>
      <c r="C24" s="7"/>
    </row>
    <row r="25" spans="1:3">
      <c r="A25" t="s">
        <v>8438</v>
      </c>
      <c r="B25" s="7"/>
      <c r="C25" s="7"/>
    </row>
    <row r="26" spans="1:3">
      <c r="A26" t="s">
        <v>8439</v>
      </c>
      <c r="B26" s="10">
        <v>0.98499999999999999</v>
      </c>
      <c r="C26" s="7"/>
    </row>
    <row r="27" spans="1:3">
      <c r="A27" t="s">
        <v>8440</v>
      </c>
      <c r="B27" s="10">
        <v>2.0000000000000001E-4</v>
      </c>
      <c r="C27" s="7"/>
    </row>
  </sheetData>
  <hyperlinks>
    <hyperlink ref="B6" r:id="rId1" display="https://www.ncbi.nlm.nih.gov/nuccore/NC_006814.3/" xr:uid="{28C5B8CF-3FFB-4213-A7F6-9B939A03FB68}"/>
    <hyperlink ref="B1" r:id="rId2" xr:uid="{C108070D-9263-480F-A290-126B9595CF7C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0034-3CE5-4A10-9E85-6219085A85B6}">
  <dimension ref="A1:M3080"/>
  <sheetViews>
    <sheetView workbookViewId="0">
      <selection activeCell="R7" sqref="R7"/>
    </sheetView>
  </sheetViews>
  <sheetFormatPr defaultRowHeight="14.5"/>
  <cols>
    <col min="11" max="11" width="15.453125" bestFit="1" customWidth="1"/>
    <col min="12" max="12" width="12" bestFit="1" customWidth="1"/>
    <col min="13" max="13" width="12.3632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>
        <v>1575</v>
      </c>
      <c r="E2" t="s">
        <v>14</v>
      </c>
      <c r="F2" t="s">
        <v>15</v>
      </c>
      <c r="G2" t="s">
        <v>16</v>
      </c>
      <c r="H2">
        <v>1021144</v>
      </c>
      <c r="I2" t="s">
        <v>17</v>
      </c>
      <c r="K2" t="s">
        <v>18</v>
      </c>
      <c r="L2">
        <v>524</v>
      </c>
      <c r="M2" t="s">
        <v>19</v>
      </c>
    </row>
    <row r="3" spans="1:13">
      <c r="A3" t="s">
        <v>13</v>
      </c>
      <c r="B3">
        <v>2292</v>
      </c>
      <c r="C3">
        <v>3476</v>
      </c>
      <c r="E3" t="s">
        <v>14</v>
      </c>
      <c r="F3" t="s">
        <v>20</v>
      </c>
      <c r="G3" t="s">
        <v>21</v>
      </c>
      <c r="H3">
        <v>1021260</v>
      </c>
      <c r="I3" t="s">
        <v>17</v>
      </c>
      <c r="K3" t="s">
        <v>22</v>
      </c>
      <c r="L3">
        <v>394</v>
      </c>
      <c r="M3" t="s">
        <v>23</v>
      </c>
    </row>
    <row r="4" spans="1:13">
      <c r="A4" t="s">
        <v>13</v>
      </c>
      <c r="B4">
        <v>3585</v>
      </c>
      <c r="C4">
        <v>4769</v>
      </c>
      <c r="E4" t="s">
        <v>14</v>
      </c>
      <c r="F4" t="s">
        <v>24</v>
      </c>
      <c r="G4" t="s">
        <v>25</v>
      </c>
      <c r="H4">
        <v>1021348</v>
      </c>
      <c r="I4" t="s">
        <v>17</v>
      </c>
      <c r="K4" t="s">
        <v>26</v>
      </c>
      <c r="L4">
        <v>394</v>
      </c>
      <c r="M4" t="s">
        <v>27</v>
      </c>
    </row>
    <row r="5" spans="1:13">
      <c r="A5" t="s">
        <v>13</v>
      </c>
      <c r="B5">
        <v>4766</v>
      </c>
      <c r="C5">
        <v>5302</v>
      </c>
      <c r="E5" t="s">
        <v>14</v>
      </c>
      <c r="F5" t="s">
        <v>28</v>
      </c>
      <c r="H5">
        <v>1021292</v>
      </c>
      <c r="I5" t="s">
        <v>17</v>
      </c>
      <c r="K5" t="s">
        <v>29</v>
      </c>
      <c r="L5">
        <v>178</v>
      </c>
      <c r="M5" t="s">
        <v>30</v>
      </c>
    </row>
    <row r="6" spans="1:13">
      <c r="A6" t="s">
        <v>13</v>
      </c>
      <c r="B6">
        <v>5435</v>
      </c>
      <c r="C6">
        <v>7489</v>
      </c>
      <c r="E6" t="s">
        <v>14</v>
      </c>
      <c r="F6" t="s">
        <v>31</v>
      </c>
      <c r="G6" t="s">
        <v>32</v>
      </c>
      <c r="H6">
        <v>1021435</v>
      </c>
      <c r="I6" t="s">
        <v>17</v>
      </c>
      <c r="K6" t="s">
        <v>33</v>
      </c>
      <c r="L6">
        <v>684</v>
      </c>
      <c r="M6" t="s">
        <v>34</v>
      </c>
    </row>
    <row r="7" spans="1:13">
      <c r="A7" t="s">
        <v>13</v>
      </c>
      <c r="B7">
        <v>7830</v>
      </c>
      <c r="C7">
        <v>8798</v>
      </c>
      <c r="E7" t="s">
        <v>14</v>
      </c>
      <c r="F7" t="s">
        <v>35</v>
      </c>
      <c r="H7">
        <v>1020610</v>
      </c>
      <c r="I7" t="s">
        <v>17</v>
      </c>
      <c r="K7" t="s">
        <v>36</v>
      </c>
      <c r="L7">
        <v>322</v>
      </c>
      <c r="M7" t="s">
        <v>37</v>
      </c>
    </row>
    <row r="8" spans="1:13">
      <c r="A8" t="s">
        <v>13</v>
      </c>
      <c r="B8">
        <v>8795</v>
      </c>
      <c r="C8">
        <v>9376</v>
      </c>
      <c r="E8" t="s">
        <v>38</v>
      </c>
      <c r="F8" t="s">
        <v>39</v>
      </c>
      <c r="H8">
        <v>1021393</v>
      </c>
      <c r="I8" t="s">
        <v>17</v>
      </c>
      <c r="K8" t="s">
        <v>40</v>
      </c>
      <c r="L8">
        <v>193</v>
      </c>
      <c r="M8" t="s">
        <v>41</v>
      </c>
    </row>
    <row r="9" spans="1:13">
      <c r="A9" t="s">
        <v>13</v>
      </c>
      <c r="B9">
        <v>9471</v>
      </c>
      <c r="C9">
        <v>9914</v>
      </c>
      <c r="E9" t="s">
        <v>38</v>
      </c>
      <c r="F9" t="s">
        <v>42</v>
      </c>
      <c r="H9">
        <v>1021462</v>
      </c>
      <c r="I9" t="s">
        <v>17</v>
      </c>
      <c r="K9" t="s">
        <v>43</v>
      </c>
      <c r="L9">
        <v>147</v>
      </c>
      <c r="M9" t="s">
        <v>44</v>
      </c>
    </row>
    <row r="10" spans="1:13">
      <c r="A10" t="s">
        <v>13</v>
      </c>
      <c r="B10">
        <v>10104</v>
      </c>
      <c r="C10">
        <v>11177</v>
      </c>
      <c r="E10" t="s">
        <v>38</v>
      </c>
      <c r="F10" t="s">
        <v>45</v>
      </c>
      <c r="G10" t="s">
        <v>46</v>
      </c>
      <c r="H10">
        <v>1021077</v>
      </c>
      <c r="I10" t="s">
        <v>17</v>
      </c>
      <c r="K10" t="s">
        <v>47</v>
      </c>
      <c r="L10">
        <v>357</v>
      </c>
      <c r="M10" t="s">
        <v>48</v>
      </c>
    </row>
    <row r="11" spans="1:13">
      <c r="A11" t="s">
        <v>13</v>
      </c>
      <c r="B11">
        <v>11260</v>
      </c>
      <c r="C11">
        <v>11523</v>
      </c>
      <c r="E11" t="s">
        <v>38</v>
      </c>
      <c r="F11" t="s">
        <v>49</v>
      </c>
      <c r="H11">
        <v>1021222</v>
      </c>
      <c r="I11" t="s">
        <v>17</v>
      </c>
      <c r="K11" t="s">
        <v>50</v>
      </c>
      <c r="L11">
        <v>87</v>
      </c>
      <c r="M11" t="s">
        <v>51</v>
      </c>
    </row>
    <row r="12" spans="1:13">
      <c r="A12" t="s">
        <v>13</v>
      </c>
      <c r="B12">
        <v>11520</v>
      </c>
      <c r="C12">
        <v>11729</v>
      </c>
      <c r="E12" t="s">
        <v>38</v>
      </c>
      <c r="F12" t="s">
        <v>49</v>
      </c>
      <c r="H12">
        <v>1021465</v>
      </c>
      <c r="I12" t="s">
        <v>17</v>
      </c>
      <c r="K12" t="s">
        <v>52</v>
      </c>
      <c r="L12">
        <v>69</v>
      </c>
      <c r="M12" t="s">
        <v>53</v>
      </c>
    </row>
    <row r="13" spans="1:13">
      <c r="A13" t="s">
        <v>13</v>
      </c>
      <c r="B13">
        <v>11891</v>
      </c>
      <c r="C13">
        <v>14401</v>
      </c>
      <c r="E13" t="s">
        <v>14</v>
      </c>
      <c r="F13" t="s">
        <v>54</v>
      </c>
      <c r="G13" t="s">
        <v>55</v>
      </c>
      <c r="H13">
        <v>1021254</v>
      </c>
      <c r="I13" t="s">
        <v>17</v>
      </c>
      <c r="K13" t="s">
        <v>56</v>
      </c>
      <c r="L13">
        <v>836</v>
      </c>
      <c r="M13" t="s">
        <v>57</v>
      </c>
    </row>
    <row r="14" spans="1:13">
      <c r="A14" t="s">
        <v>13</v>
      </c>
      <c r="B14">
        <v>14405</v>
      </c>
      <c r="C14">
        <v>14749</v>
      </c>
      <c r="E14" t="s">
        <v>14</v>
      </c>
      <c r="F14" t="s">
        <v>58</v>
      </c>
      <c r="H14">
        <v>1021069</v>
      </c>
      <c r="I14" t="s">
        <v>17</v>
      </c>
      <c r="K14" t="s">
        <v>59</v>
      </c>
      <c r="L14">
        <v>114</v>
      </c>
      <c r="M14" t="s">
        <v>60</v>
      </c>
    </row>
    <row r="15" spans="1:13">
      <c r="A15" t="s">
        <v>13</v>
      </c>
      <c r="B15">
        <v>14851</v>
      </c>
      <c r="C15">
        <v>14927</v>
      </c>
      <c r="E15" t="s">
        <v>14</v>
      </c>
      <c r="F15" t="s">
        <v>61</v>
      </c>
      <c r="H15">
        <v>2745312</v>
      </c>
      <c r="I15" t="s">
        <v>62</v>
      </c>
      <c r="M15" t="s">
        <v>63</v>
      </c>
    </row>
    <row r="16" spans="1:13">
      <c r="A16" t="s">
        <v>13</v>
      </c>
      <c r="B16">
        <v>14939</v>
      </c>
      <c r="C16">
        <v>15011</v>
      </c>
      <c r="E16" t="s">
        <v>14</v>
      </c>
      <c r="F16" t="s">
        <v>64</v>
      </c>
      <c r="H16">
        <v>2745324</v>
      </c>
      <c r="I16" t="s">
        <v>62</v>
      </c>
      <c r="M16" t="s">
        <v>65</v>
      </c>
    </row>
    <row r="17" spans="1:13">
      <c r="A17" t="s">
        <v>13</v>
      </c>
      <c r="B17">
        <v>15206</v>
      </c>
      <c r="C17">
        <v>16243</v>
      </c>
      <c r="E17" t="s">
        <v>38</v>
      </c>
      <c r="F17" t="s">
        <v>66</v>
      </c>
      <c r="H17">
        <v>1021288</v>
      </c>
      <c r="I17" t="s">
        <v>17</v>
      </c>
      <c r="K17" t="s">
        <v>67</v>
      </c>
      <c r="L17">
        <v>345</v>
      </c>
      <c r="M17" t="s">
        <v>68</v>
      </c>
    </row>
    <row r="18" spans="1:13">
      <c r="A18" t="s">
        <v>13</v>
      </c>
      <c r="B18">
        <v>16314</v>
      </c>
      <c r="C18">
        <v>17210</v>
      </c>
      <c r="E18" t="s">
        <v>14</v>
      </c>
      <c r="F18" t="s">
        <v>69</v>
      </c>
      <c r="H18">
        <v>1021314</v>
      </c>
      <c r="I18" t="s">
        <v>17</v>
      </c>
      <c r="K18" t="s">
        <v>70</v>
      </c>
      <c r="L18">
        <v>298</v>
      </c>
      <c r="M18" t="s">
        <v>71</v>
      </c>
    </row>
    <row r="19" spans="1:13">
      <c r="A19" t="s">
        <v>13</v>
      </c>
      <c r="B19">
        <v>17260</v>
      </c>
      <c r="C19">
        <v>17673</v>
      </c>
      <c r="E19" t="s">
        <v>14</v>
      </c>
      <c r="F19" t="s">
        <v>72</v>
      </c>
      <c r="H19">
        <v>1021428</v>
      </c>
      <c r="I19" t="s">
        <v>17</v>
      </c>
      <c r="K19" t="s">
        <v>73</v>
      </c>
      <c r="L19">
        <v>137</v>
      </c>
      <c r="M19" t="s">
        <v>74</v>
      </c>
    </row>
    <row r="20" spans="1:13">
      <c r="A20" t="s">
        <v>13</v>
      </c>
      <c r="B20">
        <v>17857</v>
      </c>
      <c r="C20">
        <v>18729</v>
      </c>
      <c r="E20" t="s">
        <v>38</v>
      </c>
      <c r="F20" t="s">
        <v>75</v>
      </c>
      <c r="H20">
        <v>1021342</v>
      </c>
      <c r="I20" t="s">
        <v>17</v>
      </c>
      <c r="K20" t="s">
        <v>76</v>
      </c>
      <c r="L20">
        <v>290</v>
      </c>
      <c r="M20" t="s">
        <v>77</v>
      </c>
    </row>
    <row r="21" spans="1:13">
      <c r="A21" t="s">
        <v>13</v>
      </c>
      <c r="B21">
        <v>18733</v>
      </c>
      <c r="C21">
        <v>19479</v>
      </c>
      <c r="E21" t="s">
        <v>38</v>
      </c>
      <c r="F21" t="s">
        <v>78</v>
      </c>
      <c r="H21">
        <v>1021463</v>
      </c>
      <c r="I21" t="s">
        <v>17</v>
      </c>
      <c r="K21" t="s">
        <v>79</v>
      </c>
      <c r="L21">
        <v>248</v>
      </c>
      <c r="M21" t="s">
        <v>80</v>
      </c>
    </row>
    <row r="22" spans="1:13">
      <c r="A22" t="s">
        <v>13</v>
      </c>
      <c r="B22">
        <v>19705</v>
      </c>
      <c r="C22">
        <v>20076</v>
      </c>
      <c r="E22" t="s">
        <v>14</v>
      </c>
      <c r="F22" t="s">
        <v>81</v>
      </c>
      <c r="H22">
        <v>1021219</v>
      </c>
      <c r="I22" t="s">
        <v>17</v>
      </c>
      <c r="K22" t="s">
        <v>82</v>
      </c>
      <c r="L22">
        <v>123</v>
      </c>
      <c r="M22" t="s">
        <v>83</v>
      </c>
    </row>
    <row r="23" spans="1:13">
      <c r="A23" t="s">
        <v>13</v>
      </c>
      <c r="B23">
        <v>20073</v>
      </c>
      <c r="C23">
        <v>21068</v>
      </c>
      <c r="E23" t="s">
        <v>14</v>
      </c>
      <c r="F23" t="s">
        <v>84</v>
      </c>
      <c r="H23">
        <v>1021456</v>
      </c>
      <c r="I23" t="s">
        <v>17</v>
      </c>
      <c r="K23" t="s">
        <v>85</v>
      </c>
      <c r="L23">
        <v>331</v>
      </c>
      <c r="M23" t="s">
        <v>86</v>
      </c>
    </row>
    <row r="24" spans="1:13">
      <c r="A24" t="s">
        <v>13</v>
      </c>
      <c r="B24">
        <v>21071</v>
      </c>
      <c r="C24">
        <v>21241</v>
      </c>
      <c r="E24" t="s">
        <v>38</v>
      </c>
      <c r="F24" t="s">
        <v>49</v>
      </c>
      <c r="H24">
        <v>44144916</v>
      </c>
      <c r="I24" t="s">
        <v>17</v>
      </c>
      <c r="K24" t="s">
        <v>87</v>
      </c>
      <c r="L24">
        <v>56</v>
      </c>
      <c r="M24" t="s">
        <v>88</v>
      </c>
    </row>
    <row r="25" spans="1:13">
      <c r="A25" t="s">
        <v>13</v>
      </c>
      <c r="B25">
        <v>21564</v>
      </c>
      <c r="C25">
        <v>22127</v>
      </c>
      <c r="E25" t="s">
        <v>14</v>
      </c>
      <c r="F25" t="s">
        <v>89</v>
      </c>
      <c r="H25">
        <v>44144917</v>
      </c>
      <c r="I25" t="s">
        <v>17</v>
      </c>
      <c r="K25" t="s">
        <v>90</v>
      </c>
      <c r="L25">
        <v>187</v>
      </c>
      <c r="M25" t="s">
        <v>91</v>
      </c>
    </row>
    <row r="26" spans="1:13">
      <c r="A26" t="s">
        <v>13</v>
      </c>
      <c r="B26">
        <v>22164</v>
      </c>
      <c r="C26">
        <v>23402</v>
      </c>
      <c r="E26" t="s">
        <v>14</v>
      </c>
      <c r="F26" t="s">
        <v>92</v>
      </c>
      <c r="H26">
        <v>18194954</v>
      </c>
      <c r="I26" t="s">
        <v>17</v>
      </c>
      <c r="K26" t="s">
        <v>93</v>
      </c>
      <c r="L26">
        <v>412</v>
      </c>
      <c r="M26" t="s">
        <v>94</v>
      </c>
    </row>
    <row r="27" spans="1:13">
      <c r="A27" t="s">
        <v>13</v>
      </c>
      <c r="B27">
        <v>23500</v>
      </c>
      <c r="C27">
        <v>23572</v>
      </c>
      <c r="E27" t="s">
        <v>14</v>
      </c>
      <c r="F27" t="s">
        <v>64</v>
      </c>
      <c r="H27">
        <v>2745359</v>
      </c>
      <c r="I27" t="s">
        <v>62</v>
      </c>
      <c r="M27" t="s">
        <v>95</v>
      </c>
    </row>
    <row r="28" spans="1:13">
      <c r="A28" t="s">
        <v>13</v>
      </c>
      <c r="B28">
        <v>23612</v>
      </c>
      <c r="C28">
        <v>23779</v>
      </c>
      <c r="E28" t="s">
        <v>38</v>
      </c>
      <c r="F28" t="s">
        <v>49</v>
      </c>
      <c r="H28">
        <v>44144918</v>
      </c>
      <c r="I28" t="s">
        <v>17</v>
      </c>
      <c r="K28" t="s">
        <v>96</v>
      </c>
      <c r="L28">
        <v>55</v>
      </c>
      <c r="M28" t="s">
        <v>97</v>
      </c>
    </row>
    <row r="29" spans="1:13">
      <c r="A29" t="s">
        <v>13</v>
      </c>
      <c r="B29">
        <v>23903</v>
      </c>
      <c r="C29">
        <v>23979</v>
      </c>
      <c r="E29" t="s">
        <v>14</v>
      </c>
      <c r="F29" t="s">
        <v>61</v>
      </c>
      <c r="H29">
        <v>2745369</v>
      </c>
      <c r="I29" t="s">
        <v>62</v>
      </c>
      <c r="M29" t="s">
        <v>98</v>
      </c>
    </row>
    <row r="30" spans="1:13">
      <c r="A30" t="s">
        <v>13</v>
      </c>
      <c r="B30">
        <v>23991</v>
      </c>
      <c r="C30">
        <v>24063</v>
      </c>
      <c r="E30" t="s">
        <v>14</v>
      </c>
      <c r="F30" t="s">
        <v>64</v>
      </c>
      <c r="H30">
        <v>2745304</v>
      </c>
      <c r="I30" t="s">
        <v>62</v>
      </c>
      <c r="M30" t="s">
        <v>99</v>
      </c>
    </row>
    <row r="31" spans="1:13">
      <c r="A31" t="s">
        <v>13</v>
      </c>
      <c r="B31">
        <v>24295</v>
      </c>
      <c r="C31">
        <v>24732</v>
      </c>
      <c r="E31" t="s">
        <v>14</v>
      </c>
      <c r="F31" t="s">
        <v>100</v>
      </c>
      <c r="H31">
        <v>1020548</v>
      </c>
      <c r="I31" t="s">
        <v>17</v>
      </c>
      <c r="K31" t="s">
        <v>101</v>
      </c>
      <c r="L31">
        <v>145</v>
      </c>
      <c r="M31" t="s">
        <v>102</v>
      </c>
    </row>
    <row r="32" spans="1:13">
      <c r="A32" t="s">
        <v>13</v>
      </c>
      <c r="B32">
        <v>24882</v>
      </c>
      <c r="C32">
        <v>26573</v>
      </c>
      <c r="E32" t="s">
        <v>38</v>
      </c>
      <c r="F32" t="s">
        <v>103</v>
      </c>
      <c r="H32">
        <v>1021248</v>
      </c>
      <c r="I32" t="s">
        <v>17</v>
      </c>
      <c r="K32" t="s">
        <v>104</v>
      </c>
      <c r="L32">
        <v>563</v>
      </c>
      <c r="M32" t="s">
        <v>105</v>
      </c>
    </row>
    <row r="33" spans="1:13">
      <c r="A33" t="s">
        <v>13</v>
      </c>
      <c r="B33">
        <v>26819</v>
      </c>
      <c r="C33">
        <v>28099</v>
      </c>
      <c r="E33" t="s">
        <v>38</v>
      </c>
      <c r="F33" t="s">
        <v>106</v>
      </c>
      <c r="G33" t="s">
        <v>107</v>
      </c>
      <c r="H33">
        <v>1021103</v>
      </c>
      <c r="I33" t="s">
        <v>17</v>
      </c>
      <c r="K33" t="s">
        <v>108</v>
      </c>
      <c r="L33">
        <v>426</v>
      </c>
      <c r="M33" t="s">
        <v>109</v>
      </c>
    </row>
    <row r="34" spans="1:13">
      <c r="A34" t="s">
        <v>13</v>
      </c>
      <c r="B34">
        <v>28161</v>
      </c>
      <c r="C34">
        <v>29117</v>
      </c>
      <c r="E34" t="s">
        <v>38</v>
      </c>
      <c r="F34" t="s">
        <v>110</v>
      </c>
      <c r="H34">
        <v>1021215</v>
      </c>
      <c r="I34" t="s">
        <v>17</v>
      </c>
      <c r="K34" t="s">
        <v>111</v>
      </c>
      <c r="L34">
        <v>318</v>
      </c>
      <c r="M34" t="s">
        <v>112</v>
      </c>
    </row>
    <row r="35" spans="1:13">
      <c r="A35" t="s">
        <v>13</v>
      </c>
      <c r="B35">
        <v>29114</v>
      </c>
      <c r="C35">
        <v>29965</v>
      </c>
      <c r="E35" t="s">
        <v>38</v>
      </c>
      <c r="F35" t="s">
        <v>113</v>
      </c>
      <c r="G35" t="s">
        <v>114</v>
      </c>
      <c r="H35">
        <v>1021223</v>
      </c>
      <c r="I35" t="s">
        <v>17</v>
      </c>
      <c r="K35" t="s">
        <v>115</v>
      </c>
      <c r="L35">
        <v>283</v>
      </c>
      <c r="M35" t="s">
        <v>116</v>
      </c>
    </row>
    <row r="36" spans="1:13">
      <c r="A36" t="s">
        <v>13</v>
      </c>
      <c r="B36">
        <v>29995</v>
      </c>
      <c r="C36">
        <v>30654</v>
      </c>
      <c r="E36" t="s">
        <v>14</v>
      </c>
      <c r="F36" t="s">
        <v>117</v>
      </c>
      <c r="G36" t="s">
        <v>118</v>
      </c>
      <c r="H36">
        <v>1019581</v>
      </c>
      <c r="I36" t="s">
        <v>17</v>
      </c>
      <c r="K36" t="s">
        <v>119</v>
      </c>
      <c r="L36">
        <v>219</v>
      </c>
      <c r="M36" t="s">
        <v>120</v>
      </c>
    </row>
    <row r="37" spans="1:13">
      <c r="A37" t="s">
        <v>13</v>
      </c>
      <c r="B37">
        <v>30697</v>
      </c>
      <c r="C37">
        <v>31680</v>
      </c>
      <c r="E37" t="s">
        <v>14</v>
      </c>
      <c r="F37" t="s">
        <v>121</v>
      </c>
      <c r="H37">
        <v>1021320</v>
      </c>
      <c r="I37" t="s">
        <v>17</v>
      </c>
      <c r="K37" t="s">
        <v>122</v>
      </c>
      <c r="L37">
        <v>327</v>
      </c>
      <c r="M37" t="s">
        <v>123</v>
      </c>
    </row>
    <row r="38" spans="1:13">
      <c r="A38" t="s">
        <v>13</v>
      </c>
      <c r="B38">
        <v>31677</v>
      </c>
      <c r="C38">
        <v>32702</v>
      </c>
      <c r="E38" t="s">
        <v>14</v>
      </c>
      <c r="F38" t="s">
        <v>124</v>
      </c>
      <c r="H38">
        <v>1021461</v>
      </c>
      <c r="I38" t="s">
        <v>17</v>
      </c>
      <c r="K38" t="s">
        <v>125</v>
      </c>
      <c r="L38">
        <v>341</v>
      </c>
      <c r="M38" t="s">
        <v>126</v>
      </c>
    </row>
    <row r="39" spans="1:13">
      <c r="A39" t="s">
        <v>13</v>
      </c>
      <c r="B39">
        <v>32699</v>
      </c>
      <c r="C39">
        <v>33460</v>
      </c>
      <c r="E39" t="s">
        <v>14</v>
      </c>
      <c r="F39" t="s">
        <v>127</v>
      </c>
      <c r="H39">
        <v>1021134</v>
      </c>
      <c r="I39" t="s">
        <v>17</v>
      </c>
      <c r="K39" t="s">
        <v>128</v>
      </c>
      <c r="L39">
        <v>253</v>
      </c>
      <c r="M39" t="s">
        <v>129</v>
      </c>
    </row>
    <row r="40" spans="1:13">
      <c r="A40" t="s">
        <v>13</v>
      </c>
      <c r="B40">
        <v>33462</v>
      </c>
      <c r="C40">
        <v>34274</v>
      </c>
      <c r="E40" t="s">
        <v>38</v>
      </c>
      <c r="F40" t="s">
        <v>49</v>
      </c>
      <c r="H40">
        <v>1021111</v>
      </c>
      <c r="I40" t="s">
        <v>17</v>
      </c>
      <c r="K40" t="s">
        <v>130</v>
      </c>
      <c r="L40">
        <v>270</v>
      </c>
      <c r="M40" t="s">
        <v>131</v>
      </c>
    </row>
    <row r="41" spans="1:13">
      <c r="A41" t="s">
        <v>13</v>
      </c>
      <c r="B41">
        <v>34366</v>
      </c>
      <c r="C41">
        <v>34902</v>
      </c>
      <c r="E41" t="s">
        <v>14</v>
      </c>
      <c r="F41" t="s">
        <v>132</v>
      </c>
      <c r="H41">
        <v>1021464</v>
      </c>
      <c r="I41" t="s">
        <v>17</v>
      </c>
      <c r="K41" t="s">
        <v>133</v>
      </c>
      <c r="L41">
        <v>178</v>
      </c>
      <c r="M41" t="s">
        <v>134</v>
      </c>
    </row>
    <row r="42" spans="1:13">
      <c r="A42" t="s">
        <v>13</v>
      </c>
      <c r="B42">
        <v>35012</v>
      </c>
      <c r="C42">
        <v>35671</v>
      </c>
      <c r="E42" t="s">
        <v>14</v>
      </c>
      <c r="F42" t="s">
        <v>135</v>
      </c>
      <c r="H42">
        <v>1021221</v>
      </c>
      <c r="I42" t="s">
        <v>17</v>
      </c>
      <c r="K42" t="s">
        <v>136</v>
      </c>
      <c r="L42">
        <v>219</v>
      </c>
      <c r="M42" t="s">
        <v>137</v>
      </c>
    </row>
    <row r="43" spans="1:13">
      <c r="A43" t="s">
        <v>13</v>
      </c>
      <c r="B43">
        <v>36244</v>
      </c>
      <c r="C43">
        <v>37014</v>
      </c>
      <c r="E43" t="s">
        <v>38</v>
      </c>
      <c r="F43" t="s">
        <v>138</v>
      </c>
      <c r="H43">
        <v>1021217</v>
      </c>
      <c r="I43" t="s">
        <v>17</v>
      </c>
      <c r="K43" t="s">
        <v>139</v>
      </c>
      <c r="L43">
        <v>256</v>
      </c>
      <c r="M43" t="s">
        <v>140</v>
      </c>
    </row>
    <row r="44" spans="1:13">
      <c r="A44" t="s">
        <v>13</v>
      </c>
      <c r="B44">
        <v>37051</v>
      </c>
      <c r="C44">
        <v>37242</v>
      </c>
      <c r="E44" t="s">
        <v>38</v>
      </c>
      <c r="F44" t="s">
        <v>141</v>
      </c>
      <c r="H44">
        <v>92792282</v>
      </c>
      <c r="I44" t="s">
        <v>142</v>
      </c>
      <c r="M44" t="s">
        <v>143</v>
      </c>
    </row>
    <row r="45" spans="1:13">
      <c r="A45" t="s">
        <v>13</v>
      </c>
      <c r="B45">
        <v>37245</v>
      </c>
      <c r="C45">
        <v>38201</v>
      </c>
      <c r="E45" t="s">
        <v>14</v>
      </c>
      <c r="F45" t="s">
        <v>144</v>
      </c>
      <c r="H45">
        <v>1021384</v>
      </c>
      <c r="I45" t="s">
        <v>17</v>
      </c>
      <c r="K45" t="s">
        <v>145</v>
      </c>
      <c r="L45">
        <v>318</v>
      </c>
      <c r="M45" t="s">
        <v>146</v>
      </c>
    </row>
    <row r="46" spans="1:13">
      <c r="A46" t="s">
        <v>13</v>
      </c>
      <c r="B46">
        <v>38202</v>
      </c>
      <c r="C46">
        <v>38981</v>
      </c>
      <c r="E46" t="s">
        <v>14</v>
      </c>
      <c r="F46" t="s">
        <v>147</v>
      </c>
      <c r="H46">
        <v>1021431</v>
      </c>
      <c r="I46" t="s">
        <v>17</v>
      </c>
      <c r="K46" t="s">
        <v>148</v>
      </c>
      <c r="L46">
        <v>259</v>
      </c>
      <c r="M46" t="s">
        <v>149</v>
      </c>
    </row>
    <row r="47" spans="1:13">
      <c r="A47" t="s">
        <v>13</v>
      </c>
      <c r="B47">
        <v>38978</v>
      </c>
      <c r="C47">
        <v>39802</v>
      </c>
      <c r="E47" t="s">
        <v>14</v>
      </c>
      <c r="F47" t="s">
        <v>150</v>
      </c>
      <c r="H47">
        <v>1021445</v>
      </c>
      <c r="I47" t="s">
        <v>17</v>
      </c>
      <c r="K47" t="s">
        <v>151</v>
      </c>
      <c r="L47">
        <v>274</v>
      </c>
      <c r="M47" t="s">
        <v>152</v>
      </c>
    </row>
    <row r="48" spans="1:13">
      <c r="A48" t="s">
        <v>13</v>
      </c>
      <c r="B48">
        <v>40186</v>
      </c>
      <c r="C48">
        <v>40458</v>
      </c>
      <c r="E48" t="s">
        <v>38</v>
      </c>
      <c r="F48" t="s">
        <v>153</v>
      </c>
      <c r="G48" t="s">
        <v>154</v>
      </c>
      <c r="H48">
        <v>1021328</v>
      </c>
      <c r="I48" t="s">
        <v>17</v>
      </c>
      <c r="K48" t="s">
        <v>155</v>
      </c>
      <c r="L48">
        <v>90</v>
      </c>
      <c r="M48" t="s">
        <v>156</v>
      </c>
    </row>
    <row r="49" spans="1:13">
      <c r="A49" t="s">
        <v>13</v>
      </c>
      <c r="B49">
        <v>40573</v>
      </c>
      <c r="C49">
        <v>42513</v>
      </c>
      <c r="E49" t="s">
        <v>38</v>
      </c>
      <c r="F49" t="s">
        <v>157</v>
      </c>
      <c r="G49" t="s">
        <v>158</v>
      </c>
      <c r="H49">
        <v>1021362</v>
      </c>
      <c r="I49" t="s">
        <v>17</v>
      </c>
      <c r="K49" t="s">
        <v>159</v>
      </c>
      <c r="L49">
        <v>646</v>
      </c>
      <c r="M49" t="s">
        <v>160</v>
      </c>
    </row>
    <row r="50" spans="1:13">
      <c r="A50" t="s">
        <v>13</v>
      </c>
      <c r="B50">
        <v>42510</v>
      </c>
      <c r="C50">
        <v>43919</v>
      </c>
      <c r="E50" t="s">
        <v>38</v>
      </c>
      <c r="F50" t="s">
        <v>161</v>
      </c>
      <c r="H50">
        <v>1021413</v>
      </c>
      <c r="I50" t="s">
        <v>17</v>
      </c>
      <c r="K50" t="s">
        <v>162</v>
      </c>
      <c r="L50">
        <v>469</v>
      </c>
      <c r="M50" t="s">
        <v>163</v>
      </c>
    </row>
    <row r="51" spans="1:13">
      <c r="A51" t="s">
        <v>13</v>
      </c>
      <c r="B51">
        <v>43923</v>
      </c>
      <c r="C51">
        <v>45347</v>
      </c>
      <c r="E51" t="s">
        <v>38</v>
      </c>
      <c r="F51" t="s">
        <v>164</v>
      </c>
      <c r="H51">
        <v>1021285</v>
      </c>
      <c r="I51" t="s">
        <v>17</v>
      </c>
      <c r="K51" t="s">
        <v>165</v>
      </c>
      <c r="L51">
        <v>474</v>
      </c>
      <c r="M51" t="s">
        <v>166</v>
      </c>
    </row>
    <row r="52" spans="1:13">
      <c r="A52" t="s">
        <v>13</v>
      </c>
      <c r="B52">
        <v>45344</v>
      </c>
      <c r="C52">
        <v>46669</v>
      </c>
      <c r="E52" t="s">
        <v>38</v>
      </c>
      <c r="F52" t="s">
        <v>167</v>
      </c>
      <c r="H52">
        <v>1021312</v>
      </c>
      <c r="I52" t="s">
        <v>17</v>
      </c>
      <c r="K52" t="s">
        <v>168</v>
      </c>
      <c r="L52">
        <v>441</v>
      </c>
      <c r="M52" t="s">
        <v>169</v>
      </c>
    </row>
    <row r="53" spans="1:13">
      <c r="A53" t="s">
        <v>13</v>
      </c>
      <c r="B53">
        <v>46666</v>
      </c>
      <c r="C53">
        <v>48021</v>
      </c>
      <c r="E53" t="s">
        <v>38</v>
      </c>
      <c r="F53" t="s">
        <v>170</v>
      </c>
      <c r="H53">
        <v>1021399</v>
      </c>
      <c r="I53" t="s">
        <v>17</v>
      </c>
      <c r="K53" t="s">
        <v>171</v>
      </c>
      <c r="L53">
        <v>451</v>
      </c>
      <c r="M53" t="s">
        <v>172</v>
      </c>
    </row>
    <row r="54" spans="1:13">
      <c r="A54" t="s">
        <v>13</v>
      </c>
      <c r="B54">
        <v>48021</v>
      </c>
      <c r="C54">
        <v>48485</v>
      </c>
      <c r="E54" t="s">
        <v>38</v>
      </c>
      <c r="F54" t="s">
        <v>173</v>
      </c>
      <c r="H54">
        <v>1021210</v>
      </c>
      <c r="I54" t="s">
        <v>17</v>
      </c>
      <c r="K54" t="s">
        <v>174</v>
      </c>
      <c r="L54">
        <v>154</v>
      </c>
      <c r="M54" t="s">
        <v>175</v>
      </c>
    </row>
    <row r="55" spans="1:13">
      <c r="A55" t="s">
        <v>13</v>
      </c>
      <c r="B55">
        <v>48502</v>
      </c>
      <c r="C55">
        <v>49398</v>
      </c>
      <c r="E55" t="s">
        <v>38</v>
      </c>
      <c r="F55" t="s">
        <v>176</v>
      </c>
      <c r="H55">
        <v>1021272</v>
      </c>
      <c r="I55" t="s">
        <v>17</v>
      </c>
      <c r="K55" t="s">
        <v>177</v>
      </c>
      <c r="L55">
        <v>298</v>
      </c>
      <c r="M55" t="s">
        <v>178</v>
      </c>
    </row>
    <row r="56" spans="1:13">
      <c r="A56" t="s">
        <v>13</v>
      </c>
      <c r="B56">
        <v>49705</v>
      </c>
      <c r="C56">
        <v>49791</v>
      </c>
      <c r="E56" t="s">
        <v>14</v>
      </c>
      <c r="F56" t="s">
        <v>179</v>
      </c>
      <c r="H56">
        <v>2745355</v>
      </c>
      <c r="I56" t="s">
        <v>62</v>
      </c>
      <c r="M56" t="s">
        <v>180</v>
      </c>
    </row>
    <row r="57" spans="1:13">
      <c r="A57" t="s">
        <v>13</v>
      </c>
      <c r="B57">
        <v>49894</v>
      </c>
      <c r="C57">
        <v>50616</v>
      </c>
      <c r="E57" t="s">
        <v>38</v>
      </c>
      <c r="F57" t="s">
        <v>49</v>
      </c>
      <c r="H57">
        <v>92792283</v>
      </c>
      <c r="I57" t="s">
        <v>17</v>
      </c>
      <c r="K57" t="s">
        <v>181</v>
      </c>
      <c r="L57">
        <v>240</v>
      </c>
      <c r="M57" t="s">
        <v>182</v>
      </c>
    </row>
    <row r="58" spans="1:13">
      <c r="A58" t="s">
        <v>13</v>
      </c>
      <c r="B58">
        <v>50963</v>
      </c>
      <c r="C58">
        <v>51436</v>
      </c>
      <c r="E58" t="s">
        <v>38</v>
      </c>
      <c r="F58" t="s">
        <v>49</v>
      </c>
      <c r="H58">
        <v>1021082</v>
      </c>
      <c r="I58" t="s">
        <v>17</v>
      </c>
      <c r="K58" t="s">
        <v>183</v>
      </c>
      <c r="L58">
        <v>157</v>
      </c>
      <c r="M58" t="s">
        <v>184</v>
      </c>
    </row>
    <row r="59" spans="1:13">
      <c r="A59" t="s">
        <v>13</v>
      </c>
      <c r="B59">
        <v>51623</v>
      </c>
      <c r="C59">
        <v>53095</v>
      </c>
      <c r="E59" t="s">
        <v>38</v>
      </c>
      <c r="F59" t="s">
        <v>185</v>
      </c>
      <c r="H59">
        <v>1021298</v>
      </c>
      <c r="I59" t="s">
        <v>17</v>
      </c>
      <c r="K59" t="s">
        <v>186</v>
      </c>
      <c r="L59">
        <v>490</v>
      </c>
      <c r="M59" t="s">
        <v>187</v>
      </c>
    </row>
    <row r="60" spans="1:13">
      <c r="A60" t="s">
        <v>13</v>
      </c>
      <c r="B60">
        <v>53094</v>
      </c>
      <c r="C60">
        <v>54011</v>
      </c>
      <c r="E60" t="s">
        <v>14</v>
      </c>
      <c r="F60" t="s">
        <v>188</v>
      </c>
      <c r="H60">
        <v>1021115</v>
      </c>
      <c r="I60" t="s">
        <v>17</v>
      </c>
      <c r="K60" t="s">
        <v>189</v>
      </c>
      <c r="L60">
        <v>305</v>
      </c>
      <c r="M60" t="s">
        <v>190</v>
      </c>
    </row>
    <row r="61" spans="1:13">
      <c r="A61" t="s">
        <v>13</v>
      </c>
      <c r="B61">
        <v>54179</v>
      </c>
      <c r="C61">
        <v>55549</v>
      </c>
      <c r="E61" t="s">
        <v>14</v>
      </c>
      <c r="F61" t="s">
        <v>191</v>
      </c>
      <c r="H61">
        <v>1021202</v>
      </c>
      <c r="I61" t="s">
        <v>17</v>
      </c>
      <c r="K61" t="s">
        <v>192</v>
      </c>
      <c r="L61">
        <v>456</v>
      </c>
      <c r="M61" t="s">
        <v>193</v>
      </c>
    </row>
    <row r="62" spans="1:13">
      <c r="A62" t="s">
        <v>13</v>
      </c>
      <c r="B62">
        <v>55626</v>
      </c>
      <c r="C62">
        <v>56372</v>
      </c>
      <c r="E62" t="s">
        <v>38</v>
      </c>
      <c r="F62" t="s">
        <v>194</v>
      </c>
      <c r="H62">
        <v>1021241</v>
      </c>
      <c r="I62" t="s">
        <v>17</v>
      </c>
      <c r="K62" t="s">
        <v>195</v>
      </c>
      <c r="L62">
        <v>248</v>
      </c>
      <c r="M62" t="s">
        <v>196</v>
      </c>
    </row>
    <row r="63" spans="1:13">
      <c r="A63" t="s">
        <v>13</v>
      </c>
      <c r="B63">
        <v>56383</v>
      </c>
      <c r="C63">
        <v>56676</v>
      </c>
      <c r="E63" t="s">
        <v>38</v>
      </c>
      <c r="F63" t="s">
        <v>197</v>
      </c>
      <c r="H63">
        <v>1021212</v>
      </c>
      <c r="I63" t="s">
        <v>17</v>
      </c>
      <c r="K63" t="s">
        <v>198</v>
      </c>
      <c r="L63">
        <v>97</v>
      </c>
      <c r="M63" t="s">
        <v>199</v>
      </c>
    </row>
    <row r="64" spans="1:13">
      <c r="A64" t="s">
        <v>13</v>
      </c>
      <c r="B64">
        <v>56677</v>
      </c>
      <c r="C64">
        <v>57270</v>
      </c>
      <c r="E64" t="s">
        <v>38</v>
      </c>
      <c r="F64" t="s">
        <v>197</v>
      </c>
      <c r="H64">
        <v>1021231</v>
      </c>
      <c r="I64" t="s">
        <v>17</v>
      </c>
      <c r="K64" t="s">
        <v>200</v>
      </c>
      <c r="L64">
        <v>197</v>
      </c>
      <c r="M64" t="s">
        <v>201</v>
      </c>
    </row>
    <row r="65" spans="1:13">
      <c r="A65" t="s">
        <v>13</v>
      </c>
      <c r="B65">
        <v>57397</v>
      </c>
      <c r="C65">
        <v>57654</v>
      </c>
      <c r="E65" t="s">
        <v>14</v>
      </c>
      <c r="F65" t="s">
        <v>202</v>
      </c>
      <c r="H65">
        <v>1021091</v>
      </c>
      <c r="I65" t="s">
        <v>17</v>
      </c>
      <c r="K65" t="s">
        <v>203</v>
      </c>
      <c r="L65">
        <v>85</v>
      </c>
      <c r="M65" t="s">
        <v>204</v>
      </c>
    </row>
    <row r="66" spans="1:13">
      <c r="A66" t="s">
        <v>13</v>
      </c>
      <c r="B66">
        <v>58087</v>
      </c>
      <c r="C66">
        <v>58944</v>
      </c>
      <c r="E66" t="s">
        <v>14</v>
      </c>
      <c r="F66" t="s">
        <v>49</v>
      </c>
      <c r="H66">
        <v>1021143</v>
      </c>
      <c r="I66" t="s">
        <v>17</v>
      </c>
      <c r="K66" t="s">
        <v>205</v>
      </c>
      <c r="L66">
        <v>285</v>
      </c>
      <c r="M66" t="s">
        <v>206</v>
      </c>
    </row>
    <row r="67" spans="1:13">
      <c r="A67" t="s">
        <v>13</v>
      </c>
      <c r="B67">
        <v>59091</v>
      </c>
      <c r="C67">
        <v>59933</v>
      </c>
      <c r="E67" t="s">
        <v>14</v>
      </c>
      <c r="F67" t="s">
        <v>207</v>
      </c>
      <c r="H67">
        <v>1021183</v>
      </c>
      <c r="I67" t="s">
        <v>17</v>
      </c>
      <c r="K67" t="s">
        <v>208</v>
      </c>
      <c r="L67">
        <v>280</v>
      </c>
      <c r="M67" t="s">
        <v>209</v>
      </c>
    </row>
    <row r="68" spans="1:13">
      <c r="A68" t="s">
        <v>13</v>
      </c>
      <c r="B68">
        <v>59952</v>
      </c>
      <c r="C68">
        <v>60665</v>
      </c>
      <c r="E68" t="s">
        <v>14</v>
      </c>
      <c r="F68" t="s">
        <v>210</v>
      </c>
      <c r="H68">
        <v>1021070</v>
      </c>
      <c r="I68" t="s">
        <v>17</v>
      </c>
      <c r="K68" t="s">
        <v>211</v>
      </c>
      <c r="L68">
        <v>237</v>
      </c>
      <c r="M68" t="s">
        <v>212</v>
      </c>
    </row>
    <row r="69" spans="1:13">
      <c r="A69" t="s">
        <v>13</v>
      </c>
      <c r="B69">
        <v>60699</v>
      </c>
      <c r="C69">
        <v>62324</v>
      </c>
      <c r="E69" t="s">
        <v>14</v>
      </c>
      <c r="F69" t="s">
        <v>213</v>
      </c>
      <c r="H69">
        <v>1021058</v>
      </c>
      <c r="I69" t="s">
        <v>17</v>
      </c>
      <c r="K69" t="s">
        <v>214</v>
      </c>
      <c r="L69">
        <v>541</v>
      </c>
      <c r="M69" t="s">
        <v>215</v>
      </c>
    </row>
    <row r="70" spans="1:13">
      <c r="A70" t="s">
        <v>13</v>
      </c>
      <c r="B70">
        <v>62387</v>
      </c>
      <c r="C70">
        <v>63508</v>
      </c>
      <c r="E70" t="s">
        <v>38</v>
      </c>
      <c r="F70" t="s">
        <v>216</v>
      </c>
      <c r="H70">
        <v>1021155</v>
      </c>
      <c r="I70" t="s">
        <v>17</v>
      </c>
      <c r="K70" t="s">
        <v>217</v>
      </c>
      <c r="L70">
        <v>373</v>
      </c>
      <c r="M70" t="s">
        <v>218</v>
      </c>
    </row>
    <row r="71" spans="1:13">
      <c r="A71" t="s">
        <v>13</v>
      </c>
      <c r="B71">
        <v>63591</v>
      </c>
      <c r="C71">
        <v>64040</v>
      </c>
      <c r="E71" t="s">
        <v>38</v>
      </c>
      <c r="F71" t="s">
        <v>219</v>
      </c>
      <c r="H71">
        <v>1021236</v>
      </c>
      <c r="I71" t="s">
        <v>17</v>
      </c>
      <c r="K71" t="s">
        <v>220</v>
      </c>
      <c r="L71">
        <v>149</v>
      </c>
      <c r="M71" t="s">
        <v>221</v>
      </c>
    </row>
    <row r="72" spans="1:13">
      <c r="A72" t="s">
        <v>13</v>
      </c>
      <c r="B72">
        <v>64190</v>
      </c>
      <c r="C72">
        <v>65461</v>
      </c>
      <c r="E72" t="s">
        <v>14</v>
      </c>
      <c r="F72" t="s">
        <v>222</v>
      </c>
      <c r="H72">
        <v>1021108</v>
      </c>
      <c r="I72" t="s">
        <v>17</v>
      </c>
      <c r="K72" t="s">
        <v>223</v>
      </c>
      <c r="L72">
        <v>423</v>
      </c>
      <c r="M72" t="s">
        <v>224</v>
      </c>
    </row>
    <row r="73" spans="1:13">
      <c r="A73" t="s">
        <v>13</v>
      </c>
      <c r="B73">
        <v>65505</v>
      </c>
      <c r="C73">
        <v>66197</v>
      </c>
      <c r="E73" t="s">
        <v>38</v>
      </c>
      <c r="F73" t="s">
        <v>225</v>
      </c>
      <c r="G73" t="s">
        <v>226</v>
      </c>
      <c r="H73">
        <v>1021156</v>
      </c>
      <c r="I73" t="s">
        <v>17</v>
      </c>
      <c r="K73" t="s">
        <v>227</v>
      </c>
      <c r="L73">
        <v>230</v>
      </c>
      <c r="M73" t="s">
        <v>228</v>
      </c>
    </row>
    <row r="74" spans="1:13">
      <c r="A74" t="s">
        <v>13</v>
      </c>
      <c r="B74">
        <v>66599</v>
      </c>
      <c r="C74">
        <v>67975</v>
      </c>
      <c r="E74" t="s">
        <v>14</v>
      </c>
      <c r="F74" t="s">
        <v>229</v>
      </c>
      <c r="H74">
        <v>1021123</v>
      </c>
      <c r="I74" t="s">
        <v>17</v>
      </c>
      <c r="K74" t="s">
        <v>230</v>
      </c>
      <c r="L74">
        <v>458</v>
      </c>
      <c r="M74" t="s">
        <v>231</v>
      </c>
    </row>
    <row r="75" spans="1:13">
      <c r="A75" t="s">
        <v>13</v>
      </c>
      <c r="B75">
        <v>68248</v>
      </c>
      <c r="C75">
        <v>68634</v>
      </c>
      <c r="E75" t="s">
        <v>38</v>
      </c>
      <c r="F75" t="s">
        <v>49</v>
      </c>
      <c r="H75">
        <v>1021145</v>
      </c>
      <c r="I75" t="s">
        <v>17</v>
      </c>
      <c r="K75" t="s">
        <v>232</v>
      </c>
      <c r="L75">
        <v>128</v>
      </c>
      <c r="M75" t="s">
        <v>233</v>
      </c>
    </row>
    <row r="76" spans="1:13">
      <c r="A76" t="s">
        <v>13</v>
      </c>
      <c r="B76">
        <v>68717</v>
      </c>
      <c r="C76">
        <v>70297</v>
      </c>
      <c r="E76" t="s">
        <v>38</v>
      </c>
      <c r="F76" t="s">
        <v>234</v>
      </c>
      <c r="H76">
        <v>1021116</v>
      </c>
      <c r="I76" t="s">
        <v>17</v>
      </c>
      <c r="K76" t="s">
        <v>235</v>
      </c>
      <c r="L76">
        <v>526</v>
      </c>
      <c r="M76" t="s">
        <v>236</v>
      </c>
    </row>
    <row r="77" spans="1:13">
      <c r="A77" t="s">
        <v>13</v>
      </c>
      <c r="B77">
        <v>70506</v>
      </c>
      <c r="C77">
        <v>72161</v>
      </c>
      <c r="E77" t="s">
        <v>14</v>
      </c>
      <c r="F77" t="s">
        <v>237</v>
      </c>
      <c r="H77">
        <v>1021092</v>
      </c>
      <c r="I77" t="s">
        <v>17</v>
      </c>
      <c r="K77" t="s">
        <v>238</v>
      </c>
      <c r="L77">
        <v>551</v>
      </c>
      <c r="M77" t="s">
        <v>239</v>
      </c>
    </row>
    <row r="78" spans="1:13">
      <c r="A78" t="s">
        <v>13</v>
      </c>
      <c r="B78">
        <v>72161</v>
      </c>
      <c r="C78">
        <v>72817</v>
      </c>
      <c r="E78" t="s">
        <v>14</v>
      </c>
      <c r="F78" t="s">
        <v>240</v>
      </c>
      <c r="H78">
        <v>1021127</v>
      </c>
      <c r="I78" t="s">
        <v>17</v>
      </c>
      <c r="K78" t="s">
        <v>241</v>
      </c>
      <c r="L78">
        <v>218</v>
      </c>
      <c r="M78" t="s">
        <v>242</v>
      </c>
    </row>
    <row r="79" spans="1:13">
      <c r="A79" t="s">
        <v>13</v>
      </c>
      <c r="B79">
        <v>72814</v>
      </c>
      <c r="C79">
        <v>73728</v>
      </c>
      <c r="E79" t="s">
        <v>38</v>
      </c>
      <c r="F79" t="s">
        <v>243</v>
      </c>
      <c r="H79">
        <v>1021075</v>
      </c>
      <c r="I79" t="s">
        <v>17</v>
      </c>
      <c r="K79" t="s">
        <v>244</v>
      </c>
      <c r="L79">
        <v>304</v>
      </c>
      <c r="M79" t="s">
        <v>245</v>
      </c>
    </row>
    <row r="80" spans="1:13">
      <c r="A80" t="s">
        <v>13</v>
      </c>
      <c r="B80">
        <v>73844</v>
      </c>
      <c r="C80">
        <v>74275</v>
      </c>
      <c r="E80" t="s">
        <v>14</v>
      </c>
      <c r="F80" t="s">
        <v>49</v>
      </c>
      <c r="H80">
        <v>1021119</v>
      </c>
      <c r="I80" t="s">
        <v>17</v>
      </c>
      <c r="K80" t="s">
        <v>246</v>
      </c>
      <c r="L80">
        <v>143</v>
      </c>
      <c r="M80" t="s">
        <v>247</v>
      </c>
    </row>
    <row r="81" spans="1:13">
      <c r="A81" t="s">
        <v>13</v>
      </c>
      <c r="B81">
        <v>74490</v>
      </c>
      <c r="C81">
        <v>75494</v>
      </c>
      <c r="E81" t="s">
        <v>14</v>
      </c>
      <c r="F81" t="s">
        <v>248</v>
      </c>
      <c r="G81" t="s">
        <v>249</v>
      </c>
      <c r="H81">
        <v>1021113</v>
      </c>
      <c r="I81" t="s">
        <v>17</v>
      </c>
      <c r="K81" t="s">
        <v>250</v>
      </c>
      <c r="L81">
        <v>334</v>
      </c>
      <c r="M81" t="s">
        <v>251</v>
      </c>
    </row>
    <row r="82" spans="1:13">
      <c r="A82" t="s">
        <v>13</v>
      </c>
      <c r="B82">
        <v>75506</v>
      </c>
      <c r="C82">
        <v>75745</v>
      </c>
      <c r="E82" t="s">
        <v>14</v>
      </c>
      <c r="F82" t="s">
        <v>49</v>
      </c>
      <c r="H82">
        <v>1021028</v>
      </c>
      <c r="I82" t="s">
        <v>17</v>
      </c>
      <c r="K82" t="s">
        <v>252</v>
      </c>
      <c r="L82">
        <v>79</v>
      </c>
      <c r="M82" t="s">
        <v>253</v>
      </c>
    </row>
    <row r="83" spans="1:13">
      <c r="A83" t="s">
        <v>13</v>
      </c>
      <c r="B83">
        <v>75745</v>
      </c>
      <c r="C83">
        <v>76038</v>
      </c>
      <c r="E83" t="s">
        <v>14</v>
      </c>
      <c r="F83" t="s">
        <v>254</v>
      </c>
      <c r="H83">
        <v>1020584</v>
      </c>
      <c r="I83" t="s">
        <v>17</v>
      </c>
      <c r="K83" t="s">
        <v>255</v>
      </c>
      <c r="L83">
        <v>97</v>
      </c>
      <c r="M83" t="s">
        <v>256</v>
      </c>
    </row>
    <row r="84" spans="1:13">
      <c r="A84" t="s">
        <v>13</v>
      </c>
      <c r="B84">
        <v>76641</v>
      </c>
      <c r="C84">
        <v>78164</v>
      </c>
      <c r="E84" t="s">
        <v>14</v>
      </c>
      <c r="F84" t="s">
        <v>257</v>
      </c>
      <c r="H84">
        <v>2745371</v>
      </c>
      <c r="I84" t="s">
        <v>258</v>
      </c>
      <c r="M84" t="s">
        <v>259</v>
      </c>
    </row>
    <row r="85" spans="1:13">
      <c r="A85" t="s">
        <v>13</v>
      </c>
      <c r="B85">
        <v>78554</v>
      </c>
      <c r="C85">
        <v>81641</v>
      </c>
      <c r="E85" t="s">
        <v>14</v>
      </c>
      <c r="F85" t="s">
        <v>260</v>
      </c>
      <c r="H85">
        <v>2745341</v>
      </c>
      <c r="I85" t="s">
        <v>258</v>
      </c>
      <c r="M85" t="s">
        <v>261</v>
      </c>
    </row>
    <row r="86" spans="1:13">
      <c r="A86" t="s">
        <v>13</v>
      </c>
      <c r="B86">
        <v>81757</v>
      </c>
      <c r="C86">
        <v>81873</v>
      </c>
      <c r="E86" t="s">
        <v>14</v>
      </c>
      <c r="F86" t="s">
        <v>262</v>
      </c>
      <c r="G86" t="s">
        <v>263</v>
      </c>
      <c r="H86">
        <v>2745302</v>
      </c>
      <c r="I86" t="s">
        <v>258</v>
      </c>
      <c r="M86" t="s">
        <v>264</v>
      </c>
    </row>
    <row r="87" spans="1:13">
      <c r="A87" t="s">
        <v>13</v>
      </c>
      <c r="B87">
        <v>82117</v>
      </c>
      <c r="C87">
        <v>83568</v>
      </c>
      <c r="E87" t="s">
        <v>38</v>
      </c>
      <c r="F87" t="s">
        <v>265</v>
      </c>
      <c r="H87">
        <v>1021161</v>
      </c>
      <c r="I87" t="s">
        <v>17</v>
      </c>
      <c r="K87" t="s">
        <v>266</v>
      </c>
      <c r="L87">
        <v>483</v>
      </c>
      <c r="M87" t="s">
        <v>267</v>
      </c>
    </row>
    <row r="88" spans="1:13">
      <c r="A88" t="s">
        <v>13</v>
      </c>
      <c r="B88">
        <v>83688</v>
      </c>
      <c r="C88">
        <v>84935</v>
      </c>
      <c r="E88" t="s">
        <v>38</v>
      </c>
      <c r="F88" t="s">
        <v>268</v>
      </c>
      <c r="H88">
        <v>1021126</v>
      </c>
      <c r="I88" t="s">
        <v>17</v>
      </c>
      <c r="K88" t="s">
        <v>269</v>
      </c>
      <c r="L88">
        <v>415</v>
      </c>
      <c r="M88" t="s">
        <v>270</v>
      </c>
    </row>
    <row r="89" spans="1:13">
      <c r="A89" t="s">
        <v>13</v>
      </c>
      <c r="B89">
        <v>85095</v>
      </c>
      <c r="C89">
        <v>85319</v>
      </c>
      <c r="E89" t="s">
        <v>38</v>
      </c>
      <c r="F89" t="s">
        <v>49</v>
      </c>
      <c r="H89">
        <v>1021044</v>
      </c>
      <c r="I89" t="s">
        <v>17</v>
      </c>
      <c r="K89" t="s">
        <v>271</v>
      </c>
      <c r="L89">
        <v>74</v>
      </c>
      <c r="M89" t="s">
        <v>272</v>
      </c>
    </row>
    <row r="90" spans="1:13">
      <c r="A90" t="s">
        <v>13</v>
      </c>
      <c r="B90">
        <v>85660</v>
      </c>
      <c r="C90">
        <v>86220</v>
      </c>
      <c r="E90" t="s">
        <v>38</v>
      </c>
      <c r="F90" t="s">
        <v>49</v>
      </c>
      <c r="H90">
        <v>1020832</v>
      </c>
      <c r="I90" t="s">
        <v>17</v>
      </c>
      <c r="K90" t="s">
        <v>273</v>
      </c>
      <c r="L90">
        <v>186</v>
      </c>
      <c r="M90" t="s">
        <v>274</v>
      </c>
    </row>
    <row r="91" spans="1:13">
      <c r="A91" t="s">
        <v>13</v>
      </c>
      <c r="B91">
        <v>86399</v>
      </c>
      <c r="C91">
        <v>87244</v>
      </c>
      <c r="E91" t="s">
        <v>14</v>
      </c>
      <c r="F91" t="s">
        <v>275</v>
      </c>
      <c r="H91">
        <v>1021150</v>
      </c>
      <c r="I91" t="s">
        <v>17</v>
      </c>
      <c r="K91" t="s">
        <v>276</v>
      </c>
      <c r="L91">
        <v>281</v>
      </c>
      <c r="M91" t="s">
        <v>277</v>
      </c>
    </row>
    <row r="92" spans="1:13">
      <c r="A92" t="s">
        <v>13</v>
      </c>
      <c r="B92">
        <v>87558</v>
      </c>
      <c r="C92">
        <v>88532</v>
      </c>
      <c r="E92" t="s">
        <v>38</v>
      </c>
      <c r="F92" t="s">
        <v>278</v>
      </c>
      <c r="H92">
        <v>1020596</v>
      </c>
      <c r="I92" t="s">
        <v>17</v>
      </c>
      <c r="K92" t="s">
        <v>279</v>
      </c>
      <c r="L92">
        <v>324</v>
      </c>
      <c r="M92" t="s">
        <v>280</v>
      </c>
    </row>
    <row r="93" spans="1:13">
      <c r="A93" t="s">
        <v>13</v>
      </c>
      <c r="B93">
        <v>88542</v>
      </c>
      <c r="C93">
        <v>89444</v>
      </c>
      <c r="E93" t="s">
        <v>38</v>
      </c>
      <c r="F93" t="s">
        <v>278</v>
      </c>
      <c r="H93">
        <v>1021142</v>
      </c>
      <c r="I93" t="s">
        <v>17</v>
      </c>
      <c r="K93" t="s">
        <v>281</v>
      </c>
      <c r="L93">
        <v>300</v>
      </c>
      <c r="M93" t="s">
        <v>282</v>
      </c>
    </row>
    <row r="94" spans="1:13">
      <c r="A94" t="s">
        <v>13</v>
      </c>
      <c r="B94">
        <v>89615</v>
      </c>
      <c r="C94">
        <v>90448</v>
      </c>
      <c r="E94" t="s">
        <v>14</v>
      </c>
      <c r="F94" t="s">
        <v>49</v>
      </c>
      <c r="H94">
        <v>1021102</v>
      </c>
      <c r="I94" t="s">
        <v>17</v>
      </c>
      <c r="K94" t="s">
        <v>283</v>
      </c>
      <c r="L94">
        <v>277</v>
      </c>
      <c r="M94" t="s">
        <v>284</v>
      </c>
    </row>
    <row r="95" spans="1:13">
      <c r="A95" t="s">
        <v>13</v>
      </c>
      <c r="B95">
        <v>90458</v>
      </c>
      <c r="C95">
        <v>90973</v>
      </c>
      <c r="E95" t="s">
        <v>38</v>
      </c>
      <c r="F95" t="s">
        <v>285</v>
      </c>
      <c r="H95">
        <v>1021047</v>
      </c>
      <c r="I95" t="s">
        <v>17</v>
      </c>
      <c r="K95" t="s">
        <v>286</v>
      </c>
      <c r="L95">
        <v>171</v>
      </c>
      <c r="M95" t="s">
        <v>287</v>
      </c>
    </row>
    <row r="96" spans="1:13">
      <c r="A96" t="s">
        <v>13</v>
      </c>
      <c r="B96">
        <v>91174</v>
      </c>
      <c r="C96">
        <v>91476</v>
      </c>
      <c r="E96" t="s">
        <v>14</v>
      </c>
      <c r="F96" t="s">
        <v>288</v>
      </c>
      <c r="H96">
        <v>1021068</v>
      </c>
      <c r="I96" t="s">
        <v>17</v>
      </c>
      <c r="K96" t="s">
        <v>289</v>
      </c>
      <c r="L96">
        <v>100</v>
      </c>
      <c r="M96" t="s">
        <v>290</v>
      </c>
    </row>
    <row r="97" spans="1:13">
      <c r="A97" t="s">
        <v>13</v>
      </c>
      <c r="B97">
        <v>91503</v>
      </c>
      <c r="C97">
        <v>91991</v>
      </c>
      <c r="E97" t="s">
        <v>14</v>
      </c>
      <c r="F97" t="s">
        <v>291</v>
      </c>
      <c r="H97">
        <v>1021141</v>
      </c>
      <c r="I97" t="s">
        <v>17</v>
      </c>
      <c r="K97" t="s">
        <v>292</v>
      </c>
      <c r="L97">
        <v>162</v>
      </c>
      <c r="M97" t="s">
        <v>293</v>
      </c>
    </row>
    <row r="98" spans="1:13">
      <c r="A98" t="s">
        <v>13</v>
      </c>
      <c r="B98">
        <v>91992</v>
      </c>
      <c r="C98">
        <v>93704</v>
      </c>
      <c r="E98" t="s">
        <v>14</v>
      </c>
      <c r="F98" t="s">
        <v>294</v>
      </c>
      <c r="G98" t="s">
        <v>295</v>
      </c>
      <c r="H98">
        <v>1021080</v>
      </c>
      <c r="I98" t="s">
        <v>17</v>
      </c>
      <c r="K98" t="s">
        <v>296</v>
      </c>
      <c r="L98">
        <v>570</v>
      </c>
      <c r="M98" t="s">
        <v>297</v>
      </c>
    </row>
    <row r="99" spans="1:13">
      <c r="A99" t="s">
        <v>13</v>
      </c>
      <c r="B99">
        <v>93729</v>
      </c>
      <c r="C99">
        <v>94202</v>
      </c>
      <c r="E99" t="s">
        <v>14</v>
      </c>
      <c r="F99" t="s">
        <v>298</v>
      </c>
      <c r="G99" t="s">
        <v>299</v>
      </c>
      <c r="H99">
        <v>1021224</v>
      </c>
      <c r="I99" t="s">
        <v>17</v>
      </c>
      <c r="K99" t="s">
        <v>300</v>
      </c>
      <c r="L99">
        <v>157</v>
      </c>
      <c r="M99" t="s">
        <v>301</v>
      </c>
    </row>
    <row r="100" spans="1:13">
      <c r="A100" t="s">
        <v>13</v>
      </c>
      <c r="B100">
        <v>94202</v>
      </c>
      <c r="C100">
        <v>94882</v>
      </c>
      <c r="E100" t="s">
        <v>14</v>
      </c>
      <c r="F100" t="s">
        <v>302</v>
      </c>
      <c r="H100">
        <v>1021133</v>
      </c>
      <c r="I100" t="s">
        <v>17</v>
      </c>
      <c r="K100" t="s">
        <v>303</v>
      </c>
      <c r="L100">
        <v>226</v>
      </c>
      <c r="M100" t="s">
        <v>304</v>
      </c>
    </row>
    <row r="101" spans="1:13">
      <c r="A101" t="s">
        <v>13</v>
      </c>
      <c r="B101">
        <v>94899</v>
      </c>
      <c r="C101">
        <v>95516</v>
      </c>
      <c r="E101" t="s">
        <v>14</v>
      </c>
      <c r="F101" t="s">
        <v>305</v>
      </c>
      <c r="G101" t="s">
        <v>306</v>
      </c>
      <c r="H101">
        <v>1021088</v>
      </c>
      <c r="I101" t="s">
        <v>17</v>
      </c>
      <c r="K101" t="s">
        <v>307</v>
      </c>
      <c r="L101">
        <v>205</v>
      </c>
      <c r="M101" t="s">
        <v>308</v>
      </c>
    </row>
    <row r="102" spans="1:13">
      <c r="A102" t="s">
        <v>13</v>
      </c>
      <c r="B102">
        <v>95517</v>
      </c>
      <c r="C102">
        <v>96368</v>
      </c>
      <c r="E102" t="s">
        <v>14</v>
      </c>
      <c r="F102" t="s">
        <v>309</v>
      </c>
      <c r="H102">
        <v>1021081</v>
      </c>
      <c r="I102" t="s">
        <v>17</v>
      </c>
      <c r="K102" t="s">
        <v>310</v>
      </c>
      <c r="L102">
        <v>283</v>
      </c>
      <c r="M102" t="s">
        <v>311</v>
      </c>
    </row>
    <row r="103" spans="1:13">
      <c r="A103" t="s">
        <v>13</v>
      </c>
      <c r="B103">
        <v>96365</v>
      </c>
      <c r="C103">
        <v>97117</v>
      </c>
      <c r="E103" t="s">
        <v>38</v>
      </c>
      <c r="F103" t="s">
        <v>35</v>
      </c>
      <c r="H103">
        <v>1021174</v>
      </c>
      <c r="I103" t="s">
        <v>17</v>
      </c>
      <c r="K103" t="s">
        <v>312</v>
      </c>
      <c r="L103">
        <v>250</v>
      </c>
      <c r="M103" t="s">
        <v>313</v>
      </c>
    </row>
    <row r="104" spans="1:13">
      <c r="A104" t="s">
        <v>13</v>
      </c>
      <c r="B104">
        <v>97316</v>
      </c>
      <c r="C104">
        <v>98470</v>
      </c>
      <c r="E104" t="s">
        <v>38</v>
      </c>
      <c r="F104" t="s">
        <v>265</v>
      </c>
      <c r="H104">
        <v>1021169</v>
      </c>
      <c r="I104" t="s">
        <v>17</v>
      </c>
      <c r="K104" t="s">
        <v>314</v>
      </c>
      <c r="L104">
        <v>384</v>
      </c>
      <c r="M104" t="s">
        <v>315</v>
      </c>
    </row>
    <row r="105" spans="1:13">
      <c r="A105" t="s">
        <v>13</v>
      </c>
      <c r="B105">
        <v>98805</v>
      </c>
      <c r="C105">
        <v>101582</v>
      </c>
      <c r="E105" t="s">
        <v>38</v>
      </c>
      <c r="F105" t="s">
        <v>49</v>
      </c>
      <c r="H105">
        <v>1021173</v>
      </c>
      <c r="I105" t="s">
        <v>17</v>
      </c>
      <c r="K105" t="s">
        <v>316</v>
      </c>
      <c r="L105">
        <v>925</v>
      </c>
      <c r="M105" t="s">
        <v>317</v>
      </c>
    </row>
    <row r="106" spans="1:13">
      <c r="A106" t="s">
        <v>13</v>
      </c>
      <c r="B106">
        <v>101609</v>
      </c>
      <c r="C106">
        <v>103435</v>
      </c>
      <c r="E106" t="s">
        <v>38</v>
      </c>
      <c r="F106" t="s">
        <v>318</v>
      </c>
      <c r="H106">
        <v>1021181</v>
      </c>
      <c r="I106" t="s">
        <v>17</v>
      </c>
      <c r="K106" t="s">
        <v>319</v>
      </c>
      <c r="L106">
        <v>608</v>
      </c>
      <c r="M106" t="s">
        <v>320</v>
      </c>
    </row>
    <row r="107" spans="1:13">
      <c r="A107" t="s">
        <v>13</v>
      </c>
      <c r="B107">
        <v>103503</v>
      </c>
      <c r="C107">
        <v>104912</v>
      </c>
      <c r="E107" t="s">
        <v>14</v>
      </c>
      <c r="F107" t="s">
        <v>321</v>
      </c>
      <c r="G107" t="s">
        <v>322</v>
      </c>
      <c r="H107">
        <v>1021171</v>
      </c>
      <c r="I107" t="s">
        <v>17</v>
      </c>
      <c r="K107" t="s">
        <v>323</v>
      </c>
      <c r="L107">
        <v>469</v>
      </c>
      <c r="M107" t="s">
        <v>324</v>
      </c>
    </row>
    <row r="108" spans="1:13">
      <c r="A108" t="s">
        <v>13</v>
      </c>
      <c r="B108">
        <v>105170</v>
      </c>
      <c r="C108">
        <v>105892</v>
      </c>
      <c r="E108" t="s">
        <v>38</v>
      </c>
      <c r="F108" t="s">
        <v>49</v>
      </c>
      <c r="H108">
        <v>1021179</v>
      </c>
      <c r="I108" t="s">
        <v>17</v>
      </c>
      <c r="K108" t="s">
        <v>325</v>
      </c>
      <c r="L108">
        <v>240</v>
      </c>
      <c r="M108" t="s">
        <v>326</v>
      </c>
    </row>
    <row r="109" spans="1:13">
      <c r="A109" t="s">
        <v>13</v>
      </c>
      <c r="B109">
        <v>105838</v>
      </c>
      <c r="C109">
        <v>106392</v>
      </c>
      <c r="E109" t="s">
        <v>38</v>
      </c>
      <c r="F109" t="s">
        <v>327</v>
      </c>
      <c r="H109">
        <v>1021205</v>
      </c>
      <c r="I109" t="s">
        <v>17</v>
      </c>
      <c r="K109" t="s">
        <v>328</v>
      </c>
      <c r="L109">
        <v>184</v>
      </c>
      <c r="M109" t="s">
        <v>329</v>
      </c>
    </row>
    <row r="110" spans="1:13">
      <c r="A110" t="s">
        <v>13</v>
      </c>
      <c r="B110">
        <v>106627</v>
      </c>
      <c r="C110">
        <v>107178</v>
      </c>
      <c r="E110" t="s">
        <v>38</v>
      </c>
      <c r="F110" t="s">
        <v>330</v>
      </c>
      <c r="H110">
        <v>1021175</v>
      </c>
      <c r="I110" t="s">
        <v>17</v>
      </c>
      <c r="K110" t="s">
        <v>331</v>
      </c>
      <c r="L110">
        <v>183</v>
      </c>
      <c r="M110" t="s">
        <v>332</v>
      </c>
    </row>
    <row r="111" spans="1:13">
      <c r="A111" t="s">
        <v>13</v>
      </c>
      <c r="B111">
        <v>107444</v>
      </c>
      <c r="C111">
        <v>110893</v>
      </c>
      <c r="E111" t="s">
        <v>14</v>
      </c>
      <c r="F111" t="s">
        <v>333</v>
      </c>
      <c r="H111">
        <v>1021168</v>
      </c>
      <c r="I111" t="s">
        <v>17</v>
      </c>
      <c r="K111" t="s">
        <v>334</v>
      </c>
      <c r="L111">
        <v>1149</v>
      </c>
      <c r="M111" t="s">
        <v>335</v>
      </c>
    </row>
    <row r="112" spans="1:13">
      <c r="A112" t="s">
        <v>13</v>
      </c>
      <c r="B112">
        <v>111374</v>
      </c>
      <c r="C112">
        <v>112321</v>
      </c>
      <c r="E112" t="s">
        <v>14</v>
      </c>
      <c r="F112" t="s">
        <v>336</v>
      </c>
      <c r="H112">
        <v>1021187</v>
      </c>
      <c r="I112" t="s">
        <v>17</v>
      </c>
      <c r="K112" t="s">
        <v>337</v>
      </c>
      <c r="L112">
        <v>315</v>
      </c>
      <c r="M112" t="s">
        <v>338</v>
      </c>
    </row>
    <row r="113" spans="1:13">
      <c r="A113" t="s">
        <v>13</v>
      </c>
      <c r="B113">
        <v>112470</v>
      </c>
      <c r="C113">
        <v>114086</v>
      </c>
      <c r="E113" t="s">
        <v>14</v>
      </c>
      <c r="F113" t="s">
        <v>339</v>
      </c>
      <c r="H113">
        <v>1021184</v>
      </c>
      <c r="I113" t="s">
        <v>17</v>
      </c>
      <c r="K113" t="s">
        <v>340</v>
      </c>
      <c r="L113">
        <v>538</v>
      </c>
      <c r="M113" t="s">
        <v>341</v>
      </c>
    </row>
    <row r="114" spans="1:13">
      <c r="A114" t="s">
        <v>13</v>
      </c>
      <c r="B114">
        <v>114093</v>
      </c>
      <c r="C114">
        <v>115481</v>
      </c>
      <c r="E114" t="s">
        <v>14</v>
      </c>
      <c r="F114" t="s">
        <v>342</v>
      </c>
      <c r="H114">
        <v>1021185</v>
      </c>
      <c r="I114" t="s">
        <v>17</v>
      </c>
      <c r="K114" t="s">
        <v>343</v>
      </c>
      <c r="L114">
        <v>462</v>
      </c>
      <c r="M114" t="s">
        <v>344</v>
      </c>
    </row>
    <row r="115" spans="1:13">
      <c r="A115" t="s">
        <v>13</v>
      </c>
      <c r="B115">
        <v>115578</v>
      </c>
      <c r="C115">
        <v>115946</v>
      </c>
      <c r="E115" t="s">
        <v>14</v>
      </c>
      <c r="F115" t="s">
        <v>345</v>
      </c>
      <c r="H115">
        <v>1021182</v>
      </c>
      <c r="I115" t="s">
        <v>17</v>
      </c>
      <c r="K115" t="s">
        <v>346</v>
      </c>
      <c r="L115">
        <v>122</v>
      </c>
      <c r="M115" t="s">
        <v>347</v>
      </c>
    </row>
    <row r="116" spans="1:13">
      <c r="A116" t="s">
        <v>13</v>
      </c>
      <c r="B116">
        <v>115949</v>
      </c>
      <c r="C116">
        <v>116266</v>
      </c>
      <c r="E116" t="s">
        <v>14</v>
      </c>
      <c r="F116" t="s">
        <v>348</v>
      </c>
      <c r="H116">
        <v>1021193</v>
      </c>
      <c r="I116" t="s">
        <v>17</v>
      </c>
      <c r="K116" t="s">
        <v>349</v>
      </c>
      <c r="L116">
        <v>105</v>
      </c>
      <c r="M116" t="s">
        <v>350</v>
      </c>
    </row>
    <row r="117" spans="1:13">
      <c r="A117" t="s">
        <v>13</v>
      </c>
      <c r="B117">
        <v>116545</v>
      </c>
      <c r="C117">
        <v>118557</v>
      </c>
      <c r="E117" t="s">
        <v>38</v>
      </c>
      <c r="F117" t="s">
        <v>103</v>
      </c>
      <c r="H117">
        <v>1021188</v>
      </c>
      <c r="I117" t="s">
        <v>17</v>
      </c>
      <c r="K117" t="s">
        <v>351</v>
      </c>
      <c r="L117">
        <v>670</v>
      </c>
      <c r="M117" t="s">
        <v>352</v>
      </c>
    </row>
    <row r="118" spans="1:13">
      <c r="A118" t="s">
        <v>13</v>
      </c>
      <c r="B118">
        <v>118807</v>
      </c>
      <c r="C118">
        <v>119589</v>
      </c>
      <c r="E118" t="s">
        <v>38</v>
      </c>
      <c r="F118" t="s">
        <v>353</v>
      </c>
      <c r="H118">
        <v>1021200</v>
      </c>
      <c r="I118" t="s">
        <v>17</v>
      </c>
      <c r="K118" t="s">
        <v>354</v>
      </c>
      <c r="L118">
        <v>260</v>
      </c>
      <c r="M118" t="s">
        <v>355</v>
      </c>
    </row>
    <row r="119" spans="1:13">
      <c r="A119" t="s">
        <v>13</v>
      </c>
      <c r="B119">
        <v>120021</v>
      </c>
      <c r="C119">
        <v>120413</v>
      </c>
      <c r="E119" t="s">
        <v>14</v>
      </c>
      <c r="F119" t="s">
        <v>356</v>
      </c>
      <c r="H119">
        <v>1021191</v>
      </c>
      <c r="I119" t="s">
        <v>17</v>
      </c>
      <c r="K119" t="s">
        <v>357</v>
      </c>
      <c r="L119">
        <v>130</v>
      </c>
      <c r="M119" t="s">
        <v>358</v>
      </c>
    </row>
    <row r="120" spans="1:13">
      <c r="A120" t="s">
        <v>13</v>
      </c>
      <c r="B120">
        <v>120410</v>
      </c>
      <c r="C120">
        <v>120922</v>
      </c>
      <c r="E120" t="s">
        <v>38</v>
      </c>
      <c r="F120" t="s">
        <v>359</v>
      </c>
      <c r="H120">
        <v>1021197</v>
      </c>
      <c r="I120" t="s">
        <v>17</v>
      </c>
      <c r="K120" t="s">
        <v>360</v>
      </c>
      <c r="L120">
        <v>170</v>
      </c>
      <c r="M120" t="s">
        <v>361</v>
      </c>
    </row>
    <row r="121" spans="1:13">
      <c r="A121" t="s">
        <v>13</v>
      </c>
      <c r="B121">
        <v>120948</v>
      </c>
      <c r="C121">
        <v>122459</v>
      </c>
      <c r="E121" t="s">
        <v>38</v>
      </c>
      <c r="F121" t="s">
        <v>362</v>
      </c>
      <c r="H121">
        <v>1021025</v>
      </c>
      <c r="I121" t="s">
        <v>17</v>
      </c>
      <c r="K121" t="s">
        <v>363</v>
      </c>
      <c r="L121">
        <v>503</v>
      </c>
      <c r="M121" t="s">
        <v>364</v>
      </c>
    </row>
    <row r="122" spans="1:13">
      <c r="A122" t="s">
        <v>13</v>
      </c>
      <c r="B122">
        <v>122504</v>
      </c>
      <c r="C122">
        <v>123841</v>
      </c>
      <c r="E122" t="s">
        <v>38</v>
      </c>
      <c r="F122" t="s">
        <v>365</v>
      </c>
      <c r="H122">
        <v>1021201</v>
      </c>
      <c r="I122" t="s">
        <v>17</v>
      </c>
      <c r="K122" t="s">
        <v>366</v>
      </c>
      <c r="L122">
        <v>445</v>
      </c>
      <c r="M122" t="s">
        <v>367</v>
      </c>
    </row>
    <row r="123" spans="1:13">
      <c r="A123" t="s">
        <v>13</v>
      </c>
      <c r="B123">
        <v>124121</v>
      </c>
      <c r="C123">
        <v>124969</v>
      </c>
      <c r="E123" t="s">
        <v>14</v>
      </c>
      <c r="F123" t="s">
        <v>353</v>
      </c>
      <c r="H123">
        <v>1021198</v>
      </c>
      <c r="I123" t="s">
        <v>17</v>
      </c>
      <c r="K123" t="s">
        <v>368</v>
      </c>
      <c r="L123">
        <v>282</v>
      </c>
      <c r="M123" t="s">
        <v>369</v>
      </c>
    </row>
    <row r="124" spans="1:13">
      <c r="A124" t="s">
        <v>13</v>
      </c>
      <c r="B124">
        <v>124971</v>
      </c>
      <c r="C124">
        <v>126353</v>
      </c>
      <c r="E124" t="s">
        <v>14</v>
      </c>
      <c r="F124" t="s">
        <v>370</v>
      </c>
      <c r="G124" t="s">
        <v>371</v>
      </c>
      <c r="H124">
        <v>1020908</v>
      </c>
      <c r="I124" t="s">
        <v>17</v>
      </c>
      <c r="K124" t="s">
        <v>372</v>
      </c>
      <c r="L124">
        <v>460</v>
      </c>
      <c r="M124" t="s">
        <v>373</v>
      </c>
    </row>
    <row r="125" spans="1:13">
      <c r="A125" t="s">
        <v>13</v>
      </c>
      <c r="B125">
        <v>126350</v>
      </c>
      <c r="C125">
        <v>127189</v>
      </c>
      <c r="E125" t="s">
        <v>38</v>
      </c>
      <c r="F125" t="s">
        <v>374</v>
      </c>
      <c r="G125" t="s">
        <v>375</v>
      </c>
      <c r="H125">
        <v>1021074</v>
      </c>
      <c r="I125" t="s">
        <v>17</v>
      </c>
      <c r="K125" t="s">
        <v>376</v>
      </c>
      <c r="L125">
        <v>279</v>
      </c>
      <c r="M125" t="s">
        <v>377</v>
      </c>
    </row>
    <row r="126" spans="1:13">
      <c r="A126" t="s">
        <v>13</v>
      </c>
      <c r="B126">
        <v>127189</v>
      </c>
      <c r="C126">
        <v>127998</v>
      </c>
      <c r="E126" t="s">
        <v>38</v>
      </c>
      <c r="F126" t="s">
        <v>378</v>
      </c>
      <c r="G126" t="s">
        <v>379</v>
      </c>
      <c r="H126">
        <v>1021087</v>
      </c>
      <c r="I126" t="s">
        <v>17</v>
      </c>
      <c r="K126" t="s">
        <v>380</v>
      </c>
      <c r="L126">
        <v>269</v>
      </c>
      <c r="M126" t="s">
        <v>381</v>
      </c>
    </row>
    <row r="127" spans="1:13">
      <c r="A127" t="s">
        <v>13</v>
      </c>
      <c r="B127">
        <v>128096</v>
      </c>
      <c r="C127">
        <v>129049</v>
      </c>
      <c r="E127" t="s">
        <v>38</v>
      </c>
      <c r="F127" t="s">
        <v>382</v>
      </c>
      <c r="H127">
        <v>44144920</v>
      </c>
      <c r="I127" t="s">
        <v>17</v>
      </c>
      <c r="K127" t="s">
        <v>383</v>
      </c>
      <c r="L127">
        <v>317</v>
      </c>
      <c r="M127" t="s">
        <v>384</v>
      </c>
    </row>
    <row r="128" spans="1:13">
      <c r="A128" t="s">
        <v>13</v>
      </c>
      <c r="B128">
        <v>129486</v>
      </c>
      <c r="C128">
        <v>130055</v>
      </c>
      <c r="E128" t="s">
        <v>38</v>
      </c>
      <c r="F128" t="s">
        <v>385</v>
      </c>
      <c r="H128">
        <v>1021056</v>
      </c>
      <c r="I128" t="s">
        <v>17</v>
      </c>
      <c r="K128" t="s">
        <v>386</v>
      </c>
      <c r="L128">
        <v>189</v>
      </c>
      <c r="M128" t="s">
        <v>387</v>
      </c>
    </row>
    <row r="129" spans="1:13">
      <c r="A129" t="s">
        <v>13</v>
      </c>
      <c r="B129">
        <v>130145</v>
      </c>
      <c r="C129">
        <v>130801</v>
      </c>
      <c r="E129" t="s">
        <v>14</v>
      </c>
      <c r="F129" t="s">
        <v>388</v>
      </c>
      <c r="H129">
        <v>1021046</v>
      </c>
      <c r="I129" t="s">
        <v>17</v>
      </c>
      <c r="K129" t="s">
        <v>389</v>
      </c>
      <c r="L129">
        <v>218</v>
      </c>
      <c r="M129" t="s">
        <v>390</v>
      </c>
    </row>
    <row r="130" spans="1:13">
      <c r="A130" t="s">
        <v>13</v>
      </c>
      <c r="B130">
        <v>130812</v>
      </c>
      <c r="C130">
        <v>131711</v>
      </c>
      <c r="E130" t="s">
        <v>38</v>
      </c>
      <c r="F130" t="s">
        <v>391</v>
      </c>
      <c r="H130">
        <v>1021050</v>
      </c>
      <c r="I130" t="s">
        <v>17</v>
      </c>
      <c r="K130" t="s">
        <v>392</v>
      </c>
      <c r="L130">
        <v>299</v>
      </c>
      <c r="M130" t="s">
        <v>393</v>
      </c>
    </row>
    <row r="131" spans="1:13">
      <c r="A131" t="s">
        <v>13</v>
      </c>
      <c r="B131">
        <v>131822</v>
      </c>
      <c r="C131">
        <v>132427</v>
      </c>
      <c r="E131" t="s">
        <v>14</v>
      </c>
      <c r="F131" t="s">
        <v>394</v>
      </c>
      <c r="H131">
        <v>1021067</v>
      </c>
      <c r="I131" t="s">
        <v>17</v>
      </c>
      <c r="K131" t="s">
        <v>395</v>
      </c>
      <c r="L131">
        <v>201</v>
      </c>
      <c r="M131" t="s">
        <v>396</v>
      </c>
    </row>
    <row r="132" spans="1:13">
      <c r="A132" t="s">
        <v>13</v>
      </c>
      <c r="B132">
        <v>132424</v>
      </c>
      <c r="C132">
        <v>132984</v>
      </c>
      <c r="E132" t="s">
        <v>14</v>
      </c>
      <c r="F132" t="s">
        <v>397</v>
      </c>
      <c r="H132">
        <v>1021192</v>
      </c>
      <c r="I132" t="s">
        <v>17</v>
      </c>
      <c r="K132" t="s">
        <v>398</v>
      </c>
      <c r="L132">
        <v>186</v>
      </c>
      <c r="M132" t="s">
        <v>399</v>
      </c>
    </row>
    <row r="133" spans="1:13">
      <c r="A133" t="s">
        <v>13</v>
      </c>
      <c r="B133">
        <v>132968</v>
      </c>
      <c r="C133">
        <v>134113</v>
      </c>
      <c r="E133" t="s">
        <v>38</v>
      </c>
      <c r="F133" t="s">
        <v>400</v>
      </c>
      <c r="H133">
        <v>1021152</v>
      </c>
      <c r="I133" t="s">
        <v>17</v>
      </c>
      <c r="K133" t="s">
        <v>401</v>
      </c>
      <c r="L133">
        <v>381</v>
      </c>
      <c r="M133" t="s">
        <v>402</v>
      </c>
    </row>
    <row r="134" spans="1:13">
      <c r="A134" t="s">
        <v>13</v>
      </c>
      <c r="B134">
        <v>134204</v>
      </c>
      <c r="C134">
        <v>135478</v>
      </c>
      <c r="E134" t="s">
        <v>38</v>
      </c>
      <c r="F134" t="s">
        <v>265</v>
      </c>
      <c r="H134">
        <v>1021053</v>
      </c>
      <c r="I134" t="s">
        <v>17</v>
      </c>
      <c r="K134" t="s">
        <v>403</v>
      </c>
      <c r="L134">
        <v>424</v>
      </c>
      <c r="M134" t="s">
        <v>404</v>
      </c>
    </row>
    <row r="135" spans="1:13">
      <c r="A135" t="s">
        <v>13</v>
      </c>
      <c r="B135">
        <v>135515</v>
      </c>
      <c r="C135">
        <v>136201</v>
      </c>
      <c r="E135" t="s">
        <v>38</v>
      </c>
      <c r="F135" t="s">
        <v>49</v>
      </c>
      <c r="H135">
        <v>1021052</v>
      </c>
      <c r="I135" t="s">
        <v>17</v>
      </c>
      <c r="K135" t="s">
        <v>405</v>
      </c>
      <c r="L135">
        <v>228</v>
      </c>
      <c r="M135" t="s">
        <v>406</v>
      </c>
    </row>
    <row r="136" spans="1:13">
      <c r="A136" t="s">
        <v>13</v>
      </c>
      <c r="B136">
        <v>136119</v>
      </c>
      <c r="C136">
        <v>136541</v>
      </c>
      <c r="E136" t="s">
        <v>38</v>
      </c>
      <c r="F136" t="s">
        <v>49</v>
      </c>
      <c r="H136">
        <v>1021062</v>
      </c>
      <c r="I136" t="s">
        <v>17</v>
      </c>
      <c r="K136" t="s">
        <v>407</v>
      </c>
      <c r="L136">
        <v>140</v>
      </c>
      <c r="M136" t="s">
        <v>408</v>
      </c>
    </row>
    <row r="137" spans="1:13">
      <c r="A137" t="s">
        <v>13</v>
      </c>
      <c r="B137">
        <v>136804</v>
      </c>
      <c r="C137">
        <v>138747</v>
      </c>
      <c r="E137" t="s">
        <v>14</v>
      </c>
      <c r="F137" t="s">
        <v>409</v>
      </c>
      <c r="H137">
        <v>1021151</v>
      </c>
      <c r="I137" t="s">
        <v>17</v>
      </c>
      <c r="K137" t="s">
        <v>410</v>
      </c>
      <c r="L137">
        <v>647</v>
      </c>
      <c r="M137" t="s">
        <v>411</v>
      </c>
    </row>
    <row r="138" spans="1:13">
      <c r="A138" t="s">
        <v>13</v>
      </c>
      <c r="B138">
        <v>138791</v>
      </c>
      <c r="C138">
        <v>140332</v>
      </c>
      <c r="E138" t="s">
        <v>14</v>
      </c>
      <c r="F138" t="s">
        <v>49</v>
      </c>
      <c r="H138">
        <v>1021147</v>
      </c>
      <c r="I138" t="s">
        <v>17</v>
      </c>
      <c r="K138" t="s">
        <v>412</v>
      </c>
      <c r="L138">
        <v>513</v>
      </c>
      <c r="M138" t="s">
        <v>413</v>
      </c>
    </row>
    <row r="139" spans="1:13">
      <c r="A139" t="s">
        <v>13</v>
      </c>
      <c r="B139">
        <v>140329</v>
      </c>
      <c r="C139">
        <v>141792</v>
      </c>
      <c r="E139" t="s">
        <v>14</v>
      </c>
      <c r="F139" t="s">
        <v>414</v>
      </c>
      <c r="H139">
        <v>1021121</v>
      </c>
      <c r="I139" t="s">
        <v>17</v>
      </c>
      <c r="K139" t="s">
        <v>415</v>
      </c>
      <c r="L139">
        <v>487</v>
      </c>
      <c r="M139" t="s">
        <v>416</v>
      </c>
    </row>
    <row r="140" spans="1:13">
      <c r="A140" t="s">
        <v>13</v>
      </c>
      <c r="B140">
        <v>141796</v>
      </c>
      <c r="C140">
        <v>143529</v>
      </c>
      <c r="E140" t="s">
        <v>14</v>
      </c>
      <c r="F140" t="s">
        <v>417</v>
      </c>
      <c r="H140">
        <v>1021229</v>
      </c>
      <c r="I140" t="s">
        <v>17</v>
      </c>
      <c r="K140" t="s">
        <v>418</v>
      </c>
      <c r="L140">
        <v>577</v>
      </c>
      <c r="M140" t="s">
        <v>419</v>
      </c>
    </row>
    <row r="141" spans="1:13">
      <c r="A141" t="s">
        <v>13</v>
      </c>
      <c r="B141">
        <v>143575</v>
      </c>
      <c r="C141">
        <v>144642</v>
      </c>
      <c r="E141" t="s">
        <v>14</v>
      </c>
      <c r="F141" t="s">
        <v>420</v>
      </c>
      <c r="H141">
        <v>1021148</v>
      </c>
      <c r="I141" t="s">
        <v>17</v>
      </c>
      <c r="K141" t="s">
        <v>421</v>
      </c>
      <c r="L141">
        <v>355</v>
      </c>
      <c r="M141" t="s">
        <v>422</v>
      </c>
    </row>
    <row r="142" spans="1:13">
      <c r="A142" t="s">
        <v>13</v>
      </c>
      <c r="B142">
        <v>144725</v>
      </c>
      <c r="C142">
        <v>145483</v>
      </c>
      <c r="E142" t="s">
        <v>14</v>
      </c>
      <c r="F142" t="s">
        <v>194</v>
      </c>
      <c r="H142">
        <v>1021054</v>
      </c>
      <c r="I142" t="s">
        <v>17</v>
      </c>
      <c r="K142" t="s">
        <v>423</v>
      </c>
      <c r="L142">
        <v>252</v>
      </c>
      <c r="M142" t="s">
        <v>424</v>
      </c>
    </row>
    <row r="143" spans="1:13">
      <c r="A143" t="s">
        <v>13</v>
      </c>
      <c r="B143">
        <v>145515</v>
      </c>
      <c r="C143">
        <v>146396</v>
      </c>
      <c r="E143" t="s">
        <v>38</v>
      </c>
      <c r="F143" t="s">
        <v>425</v>
      </c>
      <c r="H143">
        <v>1021146</v>
      </c>
      <c r="I143" t="s">
        <v>17</v>
      </c>
      <c r="K143" t="s">
        <v>426</v>
      </c>
      <c r="L143">
        <v>293</v>
      </c>
      <c r="M143" t="s">
        <v>427</v>
      </c>
    </row>
    <row r="144" spans="1:13">
      <c r="A144" t="s">
        <v>13</v>
      </c>
      <c r="B144">
        <v>146522</v>
      </c>
      <c r="C144">
        <v>147241</v>
      </c>
      <c r="E144" t="s">
        <v>14</v>
      </c>
      <c r="F144" t="s">
        <v>428</v>
      </c>
      <c r="H144">
        <v>1021206</v>
      </c>
      <c r="I144" t="s">
        <v>17</v>
      </c>
      <c r="K144" t="s">
        <v>429</v>
      </c>
      <c r="L144">
        <v>239</v>
      </c>
      <c r="M144" t="s">
        <v>430</v>
      </c>
    </row>
    <row r="145" spans="1:13">
      <c r="A145" t="s">
        <v>13</v>
      </c>
      <c r="B145">
        <v>147238</v>
      </c>
      <c r="C145">
        <v>147573</v>
      </c>
      <c r="E145" t="s">
        <v>14</v>
      </c>
      <c r="F145" t="s">
        <v>431</v>
      </c>
      <c r="H145">
        <v>1021106</v>
      </c>
      <c r="I145" t="s">
        <v>17</v>
      </c>
      <c r="K145" t="s">
        <v>432</v>
      </c>
      <c r="L145">
        <v>111</v>
      </c>
      <c r="M145" t="s">
        <v>433</v>
      </c>
    </row>
    <row r="146" spans="1:13">
      <c r="A146" t="s">
        <v>13</v>
      </c>
      <c r="B146">
        <v>147570</v>
      </c>
      <c r="C146">
        <v>147980</v>
      </c>
      <c r="E146" t="s">
        <v>38</v>
      </c>
      <c r="F146" t="s">
        <v>434</v>
      </c>
      <c r="G146" t="s">
        <v>435</v>
      </c>
      <c r="H146">
        <v>1021120</v>
      </c>
      <c r="I146" t="s">
        <v>17</v>
      </c>
      <c r="K146" t="s">
        <v>436</v>
      </c>
      <c r="L146">
        <v>136</v>
      </c>
      <c r="M146" t="s">
        <v>437</v>
      </c>
    </row>
    <row r="147" spans="1:13">
      <c r="A147" t="s">
        <v>13</v>
      </c>
      <c r="B147">
        <v>148122</v>
      </c>
      <c r="C147">
        <v>149783</v>
      </c>
      <c r="E147" t="s">
        <v>14</v>
      </c>
      <c r="F147" t="s">
        <v>438</v>
      </c>
      <c r="H147">
        <v>1021079</v>
      </c>
      <c r="I147" t="s">
        <v>17</v>
      </c>
      <c r="K147" t="s">
        <v>439</v>
      </c>
      <c r="L147">
        <v>553</v>
      </c>
      <c r="M147" t="s">
        <v>440</v>
      </c>
    </row>
    <row r="148" spans="1:13">
      <c r="A148" t="s">
        <v>13</v>
      </c>
      <c r="B148">
        <v>149791</v>
      </c>
      <c r="C148">
        <v>150930</v>
      </c>
      <c r="E148" t="s">
        <v>38</v>
      </c>
      <c r="F148" t="s">
        <v>441</v>
      </c>
      <c r="H148">
        <v>1021207</v>
      </c>
      <c r="I148" t="s">
        <v>17</v>
      </c>
      <c r="K148" t="s">
        <v>442</v>
      </c>
      <c r="L148">
        <v>379</v>
      </c>
      <c r="M148" t="s">
        <v>443</v>
      </c>
    </row>
    <row r="149" spans="1:13">
      <c r="A149" t="s">
        <v>13</v>
      </c>
      <c r="B149">
        <v>150963</v>
      </c>
      <c r="C149">
        <v>151454</v>
      </c>
      <c r="E149" t="s">
        <v>38</v>
      </c>
      <c r="F149" t="s">
        <v>49</v>
      </c>
      <c r="H149">
        <v>1021135</v>
      </c>
      <c r="I149" t="s">
        <v>17</v>
      </c>
      <c r="K149" t="s">
        <v>444</v>
      </c>
      <c r="L149">
        <v>163</v>
      </c>
      <c r="M149" t="s">
        <v>445</v>
      </c>
    </row>
    <row r="150" spans="1:13">
      <c r="A150" t="s">
        <v>13</v>
      </c>
      <c r="B150">
        <v>151590</v>
      </c>
      <c r="C150">
        <v>152372</v>
      </c>
      <c r="E150" t="s">
        <v>14</v>
      </c>
      <c r="F150" t="s">
        <v>446</v>
      </c>
      <c r="H150">
        <v>1021232</v>
      </c>
      <c r="I150" t="s">
        <v>17</v>
      </c>
      <c r="K150" t="s">
        <v>447</v>
      </c>
      <c r="L150">
        <v>260</v>
      </c>
      <c r="M150" t="s">
        <v>448</v>
      </c>
    </row>
    <row r="151" spans="1:13">
      <c r="A151" t="s">
        <v>13</v>
      </c>
      <c r="B151">
        <v>152440</v>
      </c>
      <c r="C151">
        <v>152817</v>
      </c>
      <c r="E151" t="s">
        <v>14</v>
      </c>
      <c r="F151" t="s">
        <v>49</v>
      </c>
      <c r="H151">
        <v>1021071</v>
      </c>
      <c r="I151" t="s">
        <v>17</v>
      </c>
      <c r="K151" t="s">
        <v>449</v>
      </c>
      <c r="L151">
        <v>125</v>
      </c>
      <c r="M151" t="s">
        <v>450</v>
      </c>
    </row>
    <row r="152" spans="1:13">
      <c r="A152" t="s">
        <v>13</v>
      </c>
      <c r="B152">
        <v>153223</v>
      </c>
      <c r="C152">
        <v>155613</v>
      </c>
      <c r="E152" t="s">
        <v>38</v>
      </c>
      <c r="F152" t="s">
        <v>451</v>
      </c>
      <c r="H152">
        <v>1021167</v>
      </c>
      <c r="I152" t="s">
        <v>17</v>
      </c>
      <c r="K152" t="s">
        <v>452</v>
      </c>
      <c r="L152">
        <v>796</v>
      </c>
      <c r="M152" t="s">
        <v>453</v>
      </c>
    </row>
    <row r="153" spans="1:13">
      <c r="A153" t="s">
        <v>13</v>
      </c>
      <c r="B153">
        <v>156144</v>
      </c>
      <c r="C153">
        <v>156821</v>
      </c>
      <c r="E153" t="s">
        <v>38</v>
      </c>
      <c r="F153" t="s">
        <v>454</v>
      </c>
      <c r="H153">
        <v>1021163</v>
      </c>
      <c r="I153" t="s">
        <v>17</v>
      </c>
      <c r="K153" t="s">
        <v>455</v>
      </c>
      <c r="L153">
        <v>225</v>
      </c>
      <c r="M153" t="s">
        <v>456</v>
      </c>
    </row>
    <row r="154" spans="1:13">
      <c r="A154" t="s">
        <v>13</v>
      </c>
      <c r="B154">
        <v>156848</v>
      </c>
      <c r="C154">
        <v>157540</v>
      </c>
      <c r="E154" t="s">
        <v>14</v>
      </c>
      <c r="F154" t="s">
        <v>457</v>
      </c>
      <c r="H154">
        <v>1021129</v>
      </c>
      <c r="I154" t="s">
        <v>17</v>
      </c>
      <c r="K154" t="s">
        <v>458</v>
      </c>
      <c r="L154">
        <v>230</v>
      </c>
      <c r="M154" t="s">
        <v>459</v>
      </c>
    </row>
    <row r="155" spans="1:13">
      <c r="A155" t="s">
        <v>13</v>
      </c>
      <c r="B155">
        <v>157614</v>
      </c>
      <c r="C155">
        <v>158141</v>
      </c>
      <c r="E155" t="s">
        <v>14</v>
      </c>
      <c r="F155" t="s">
        <v>460</v>
      </c>
      <c r="H155">
        <v>1021137</v>
      </c>
      <c r="I155" t="s">
        <v>17</v>
      </c>
      <c r="K155" t="s">
        <v>461</v>
      </c>
      <c r="L155">
        <v>175</v>
      </c>
      <c r="M155" t="s">
        <v>462</v>
      </c>
    </row>
    <row r="156" spans="1:13">
      <c r="A156" t="s">
        <v>13</v>
      </c>
      <c r="B156">
        <v>158154</v>
      </c>
      <c r="C156">
        <v>158834</v>
      </c>
      <c r="E156" t="s">
        <v>14</v>
      </c>
      <c r="F156" t="s">
        <v>463</v>
      </c>
      <c r="H156">
        <v>1021139</v>
      </c>
      <c r="I156" t="s">
        <v>17</v>
      </c>
      <c r="K156" t="s">
        <v>464</v>
      </c>
      <c r="L156">
        <v>226</v>
      </c>
      <c r="M156" t="s">
        <v>465</v>
      </c>
    </row>
    <row r="157" spans="1:13">
      <c r="A157" t="s">
        <v>13</v>
      </c>
      <c r="B157">
        <v>158869</v>
      </c>
      <c r="C157">
        <v>159162</v>
      </c>
      <c r="E157" t="s">
        <v>14</v>
      </c>
      <c r="F157" t="s">
        <v>466</v>
      </c>
      <c r="H157">
        <v>1021105</v>
      </c>
      <c r="I157" t="s">
        <v>17</v>
      </c>
      <c r="K157" t="s">
        <v>467</v>
      </c>
      <c r="L157">
        <v>97</v>
      </c>
      <c r="M157" t="s">
        <v>468</v>
      </c>
    </row>
    <row r="158" spans="1:13">
      <c r="A158" t="s">
        <v>13</v>
      </c>
      <c r="B158">
        <v>159162</v>
      </c>
      <c r="C158">
        <v>160016</v>
      </c>
      <c r="E158" t="s">
        <v>14</v>
      </c>
      <c r="F158" t="s">
        <v>356</v>
      </c>
      <c r="H158">
        <v>1021109</v>
      </c>
      <c r="I158" t="s">
        <v>17</v>
      </c>
      <c r="K158" t="s">
        <v>469</v>
      </c>
      <c r="L158">
        <v>284</v>
      </c>
      <c r="M158" t="s">
        <v>470</v>
      </c>
    </row>
    <row r="159" spans="1:13">
      <c r="A159" t="s">
        <v>13</v>
      </c>
      <c r="B159">
        <v>160029</v>
      </c>
      <c r="C159">
        <v>160373</v>
      </c>
      <c r="E159" t="s">
        <v>14</v>
      </c>
      <c r="F159" t="s">
        <v>471</v>
      </c>
      <c r="H159">
        <v>1021128</v>
      </c>
      <c r="I159" t="s">
        <v>17</v>
      </c>
      <c r="K159" t="s">
        <v>472</v>
      </c>
      <c r="L159">
        <v>114</v>
      </c>
      <c r="M159" t="s">
        <v>473</v>
      </c>
    </row>
    <row r="160" spans="1:13">
      <c r="A160" t="s">
        <v>13</v>
      </c>
      <c r="B160">
        <v>160470</v>
      </c>
      <c r="C160">
        <v>161363</v>
      </c>
      <c r="E160" t="s">
        <v>14</v>
      </c>
      <c r="F160" t="s">
        <v>49</v>
      </c>
      <c r="H160">
        <v>1021097</v>
      </c>
      <c r="I160" t="s">
        <v>17</v>
      </c>
      <c r="K160" t="s">
        <v>474</v>
      </c>
      <c r="L160">
        <v>297</v>
      </c>
      <c r="M160" t="s">
        <v>475</v>
      </c>
    </row>
    <row r="161" spans="1:13">
      <c r="A161" t="s">
        <v>13</v>
      </c>
      <c r="B161">
        <v>161360</v>
      </c>
      <c r="C161">
        <v>162268</v>
      </c>
      <c r="E161" t="s">
        <v>38</v>
      </c>
      <c r="F161" t="s">
        <v>391</v>
      </c>
      <c r="H161">
        <v>1020640</v>
      </c>
      <c r="I161" t="s">
        <v>17</v>
      </c>
      <c r="K161" t="s">
        <v>476</v>
      </c>
      <c r="L161">
        <v>302</v>
      </c>
      <c r="M161" t="s">
        <v>477</v>
      </c>
    </row>
    <row r="162" spans="1:13">
      <c r="A162" t="s">
        <v>13</v>
      </c>
      <c r="B162">
        <v>162439</v>
      </c>
      <c r="C162">
        <v>162870</v>
      </c>
      <c r="E162" t="s">
        <v>14</v>
      </c>
      <c r="F162" t="s">
        <v>478</v>
      </c>
      <c r="H162">
        <v>1021098</v>
      </c>
      <c r="I162" t="s">
        <v>17</v>
      </c>
      <c r="K162" t="s">
        <v>479</v>
      </c>
      <c r="L162">
        <v>143</v>
      </c>
      <c r="M162" t="s">
        <v>480</v>
      </c>
    </row>
    <row r="163" spans="1:13">
      <c r="A163" t="s">
        <v>13</v>
      </c>
      <c r="B163">
        <v>162983</v>
      </c>
      <c r="C163">
        <v>163606</v>
      </c>
      <c r="E163" t="s">
        <v>14</v>
      </c>
      <c r="F163" t="s">
        <v>481</v>
      </c>
      <c r="H163">
        <v>1021164</v>
      </c>
      <c r="I163" t="s">
        <v>17</v>
      </c>
      <c r="K163" t="s">
        <v>482</v>
      </c>
      <c r="L163">
        <v>207</v>
      </c>
      <c r="M163" t="s">
        <v>483</v>
      </c>
    </row>
    <row r="164" spans="1:13">
      <c r="A164" t="s">
        <v>13</v>
      </c>
      <c r="B164">
        <v>163686</v>
      </c>
      <c r="C164">
        <v>165614</v>
      </c>
      <c r="E164" t="s">
        <v>38</v>
      </c>
      <c r="F164" t="s">
        <v>484</v>
      </c>
      <c r="H164">
        <v>1021233</v>
      </c>
      <c r="I164" t="s">
        <v>17</v>
      </c>
      <c r="K164" t="s">
        <v>485</v>
      </c>
      <c r="L164">
        <v>642</v>
      </c>
      <c r="M164" t="s">
        <v>486</v>
      </c>
    </row>
    <row r="165" spans="1:13">
      <c r="A165" t="s">
        <v>13</v>
      </c>
      <c r="B165">
        <v>165717</v>
      </c>
      <c r="C165">
        <v>166460</v>
      </c>
      <c r="E165" t="s">
        <v>14</v>
      </c>
      <c r="F165" t="s">
        <v>49</v>
      </c>
      <c r="H165">
        <v>1021045</v>
      </c>
      <c r="I165" t="s">
        <v>17</v>
      </c>
      <c r="K165" t="s">
        <v>487</v>
      </c>
      <c r="L165">
        <v>247</v>
      </c>
      <c r="M165" t="s">
        <v>488</v>
      </c>
    </row>
    <row r="166" spans="1:13">
      <c r="A166" t="s">
        <v>13</v>
      </c>
      <c r="B166">
        <v>166457</v>
      </c>
      <c r="C166">
        <v>167422</v>
      </c>
      <c r="E166" t="s">
        <v>14</v>
      </c>
      <c r="F166" t="s">
        <v>489</v>
      </c>
      <c r="H166">
        <v>1021177</v>
      </c>
      <c r="I166" t="s">
        <v>17</v>
      </c>
      <c r="K166" t="s">
        <v>490</v>
      </c>
      <c r="L166">
        <v>321</v>
      </c>
      <c r="M166" t="s">
        <v>491</v>
      </c>
    </row>
    <row r="167" spans="1:13">
      <c r="A167" t="s">
        <v>13</v>
      </c>
      <c r="B167">
        <v>167834</v>
      </c>
      <c r="C167">
        <v>168595</v>
      </c>
      <c r="E167" t="s">
        <v>38</v>
      </c>
      <c r="F167" t="s">
        <v>492</v>
      </c>
      <c r="G167" t="s">
        <v>493</v>
      </c>
      <c r="H167">
        <v>1020455</v>
      </c>
      <c r="I167" t="s">
        <v>17</v>
      </c>
      <c r="K167" t="s">
        <v>494</v>
      </c>
      <c r="L167">
        <v>253</v>
      </c>
      <c r="M167" t="s">
        <v>495</v>
      </c>
    </row>
    <row r="168" spans="1:13">
      <c r="A168" t="s">
        <v>13</v>
      </c>
      <c r="B168">
        <v>169038</v>
      </c>
      <c r="C168">
        <v>169994</v>
      </c>
      <c r="E168" t="s">
        <v>14</v>
      </c>
      <c r="F168" t="s">
        <v>496</v>
      </c>
      <c r="G168" t="s">
        <v>497</v>
      </c>
      <c r="H168">
        <v>1021085</v>
      </c>
      <c r="I168" t="s">
        <v>17</v>
      </c>
      <c r="K168" t="s">
        <v>498</v>
      </c>
      <c r="L168">
        <v>318</v>
      </c>
      <c r="M168" t="s">
        <v>499</v>
      </c>
    </row>
    <row r="169" spans="1:13">
      <c r="A169" t="s">
        <v>13</v>
      </c>
      <c r="B169">
        <v>170044</v>
      </c>
      <c r="C169">
        <v>170919</v>
      </c>
      <c r="E169" t="s">
        <v>14</v>
      </c>
      <c r="F169" t="s">
        <v>500</v>
      </c>
      <c r="H169">
        <v>1020995</v>
      </c>
      <c r="I169" t="s">
        <v>17</v>
      </c>
      <c r="K169" t="s">
        <v>501</v>
      </c>
      <c r="L169">
        <v>291</v>
      </c>
      <c r="M169" t="s">
        <v>502</v>
      </c>
    </row>
    <row r="170" spans="1:13">
      <c r="A170" t="s">
        <v>13</v>
      </c>
      <c r="B170">
        <v>170933</v>
      </c>
      <c r="C170">
        <v>172447</v>
      </c>
      <c r="E170" t="s">
        <v>14</v>
      </c>
      <c r="F170" t="s">
        <v>503</v>
      </c>
      <c r="H170">
        <v>1021227</v>
      </c>
      <c r="I170" t="s">
        <v>17</v>
      </c>
      <c r="K170" t="s">
        <v>504</v>
      </c>
      <c r="L170">
        <v>504</v>
      </c>
      <c r="M170" t="s">
        <v>505</v>
      </c>
    </row>
    <row r="171" spans="1:13">
      <c r="A171" t="s">
        <v>13</v>
      </c>
      <c r="B171">
        <v>172468</v>
      </c>
      <c r="C171">
        <v>173358</v>
      </c>
      <c r="E171" t="s">
        <v>14</v>
      </c>
      <c r="F171" t="s">
        <v>506</v>
      </c>
      <c r="G171" t="s">
        <v>507</v>
      </c>
      <c r="H171">
        <v>1021064</v>
      </c>
      <c r="I171" t="s">
        <v>17</v>
      </c>
      <c r="K171" t="s">
        <v>508</v>
      </c>
      <c r="L171">
        <v>296</v>
      </c>
      <c r="M171" t="s">
        <v>509</v>
      </c>
    </row>
    <row r="172" spans="1:13">
      <c r="A172" t="s">
        <v>13</v>
      </c>
      <c r="B172">
        <v>173365</v>
      </c>
      <c r="C172">
        <v>175278</v>
      </c>
      <c r="E172" t="s">
        <v>14</v>
      </c>
      <c r="F172" t="s">
        <v>510</v>
      </c>
      <c r="G172" t="s">
        <v>511</v>
      </c>
      <c r="H172">
        <v>1021162</v>
      </c>
      <c r="I172" t="s">
        <v>17</v>
      </c>
      <c r="K172" t="s">
        <v>512</v>
      </c>
      <c r="L172">
        <v>637</v>
      </c>
      <c r="M172" t="s">
        <v>513</v>
      </c>
    </row>
    <row r="173" spans="1:13">
      <c r="A173" t="s">
        <v>13</v>
      </c>
      <c r="B173">
        <v>175319</v>
      </c>
      <c r="C173">
        <v>176275</v>
      </c>
      <c r="E173" t="s">
        <v>14</v>
      </c>
      <c r="F173" t="s">
        <v>514</v>
      </c>
      <c r="H173">
        <v>1020977</v>
      </c>
      <c r="I173" t="s">
        <v>17</v>
      </c>
      <c r="K173" t="s">
        <v>515</v>
      </c>
      <c r="L173">
        <v>318</v>
      </c>
      <c r="M173" t="s">
        <v>516</v>
      </c>
    </row>
    <row r="174" spans="1:13">
      <c r="A174" t="s">
        <v>13</v>
      </c>
      <c r="B174">
        <v>176308</v>
      </c>
      <c r="C174">
        <v>177321</v>
      </c>
      <c r="E174" t="s">
        <v>14</v>
      </c>
      <c r="F174" t="s">
        <v>517</v>
      </c>
      <c r="H174">
        <v>1021235</v>
      </c>
      <c r="I174" t="s">
        <v>17</v>
      </c>
      <c r="K174" t="s">
        <v>518</v>
      </c>
      <c r="L174">
        <v>337</v>
      </c>
      <c r="M174" t="s">
        <v>519</v>
      </c>
    </row>
    <row r="175" spans="1:13">
      <c r="A175" t="s">
        <v>13</v>
      </c>
      <c r="B175">
        <v>177334</v>
      </c>
      <c r="C175">
        <v>178206</v>
      </c>
      <c r="E175" t="s">
        <v>14</v>
      </c>
      <c r="F175" t="s">
        <v>514</v>
      </c>
      <c r="H175">
        <v>1021230</v>
      </c>
      <c r="I175" t="s">
        <v>17</v>
      </c>
      <c r="K175" t="s">
        <v>520</v>
      </c>
      <c r="L175">
        <v>290</v>
      </c>
      <c r="M175" t="s">
        <v>521</v>
      </c>
    </row>
    <row r="176" spans="1:13">
      <c r="A176" t="s">
        <v>13</v>
      </c>
      <c r="B176">
        <v>178300</v>
      </c>
      <c r="C176">
        <v>179661</v>
      </c>
      <c r="E176" t="s">
        <v>14</v>
      </c>
      <c r="F176" t="s">
        <v>265</v>
      </c>
      <c r="H176">
        <v>1021063</v>
      </c>
      <c r="I176" t="s">
        <v>17</v>
      </c>
      <c r="K176" t="s">
        <v>522</v>
      </c>
      <c r="L176">
        <v>453</v>
      </c>
      <c r="M176" t="s">
        <v>523</v>
      </c>
    </row>
    <row r="177" spans="1:13">
      <c r="A177" t="s">
        <v>13</v>
      </c>
      <c r="B177">
        <v>179689</v>
      </c>
      <c r="C177">
        <v>180714</v>
      </c>
      <c r="E177" t="s">
        <v>14</v>
      </c>
      <c r="F177" t="s">
        <v>524</v>
      </c>
      <c r="H177">
        <v>1021239</v>
      </c>
      <c r="I177" t="s">
        <v>17</v>
      </c>
      <c r="K177" t="s">
        <v>525</v>
      </c>
      <c r="L177">
        <v>341</v>
      </c>
      <c r="M177" t="s">
        <v>526</v>
      </c>
    </row>
    <row r="178" spans="1:13">
      <c r="A178" t="s">
        <v>13</v>
      </c>
      <c r="B178">
        <v>180842</v>
      </c>
      <c r="C178">
        <v>181300</v>
      </c>
      <c r="E178" t="s">
        <v>14</v>
      </c>
      <c r="F178" t="s">
        <v>527</v>
      </c>
      <c r="H178">
        <v>1021237</v>
      </c>
      <c r="I178" t="s">
        <v>17</v>
      </c>
      <c r="K178" t="s">
        <v>528</v>
      </c>
      <c r="L178">
        <v>152</v>
      </c>
      <c r="M178" t="s">
        <v>529</v>
      </c>
    </row>
    <row r="179" spans="1:13">
      <c r="A179" t="s">
        <v>13</v>
      </c>
      <c r="B179">
        <v>181303</v>
      </c>
      <c r="C179">
        <v>181650</v>
      </c>
      <c r="E179" t="s">
        <v>14</v>
      </c>
      <c r="F179" t="s">
        <v>49</v>
      </c>
      <c r="H179">
        <v>44144921</v>
      </c>
      <c r="I179" t="s">
        <v>17</v>
      </c>
      <c r="K179" t="s">
        <v>530</v>
      </c>
      <c r="L179">
        <v>115</v>
      </c>
      <c r="M179" t="s">
        <v>531</v>
      </c>
    </row>
    <row r="180" spans="1:13">
      <c r="A180" t="s">
        <v>13</v>
      </c>
      <c r="B180">
        <v>181684</v>
      </c>
      <c r="C180">
        <v>182679</v>
      </c>
      <c r="E180" t="s">
        <v>38</v>
      </c>
      <c r="F180" t="s">
        <v>532</v>
      </c>
      <c r="H180">
        <v>1021122</v>
      </c>
      <c r="I180" t="s">
        <v>17</v>
      </c>
      <c r="K180" t="s">
        <v>533</v>
      </c>
      <c r="L180">
        <v>331</v>
      </c>
      <c r="M180" t="s">
        <v>534</v>
      </c>
    </row>
    <row r="181" spans="1:13">
      <c r="A181" t="s">
        <v>13</v>
      </c>
      <c r="B181">
        <v>182819</v>
      </c>
      <c r="C181">
        <v>184054</v>
      </c>
      <c r="E181" t="s">
        <v>14</v>
      </c>
      <c r="F181" t="s">
        <v>517</v>
      </c>
      <c r="H181">
        <v>1020460</v>
      </c>
      <c r="I181" t="s">
        <v>17</v>
      </c>
      <c r="K181" t="s">
        <v>535</v>
      </c>
      <c r="L181">
        <v>411</v>
      </c>
      <c r="M181" t="s">
        <v>536</v>
      </c>
    </row>
    <row r="182" spans="1:13">
      <c r="A182" t="s">
        <v>13</v>
      </c>
      <c r="B182">
        <v>184077</v>
      </c>
      <c r="C182">
        <v>185090</v>
      </c>
      <c r="E182" t="s">
        <v>14</v>
      </c>
      <c r="F182" t="s">
        <v>514</v>
      </c>
      <c r="H182">
        <v>1021216</v>
      </c>
      <c r="I182" t="s">
        <v>17</v>
      </c>
      <c r="K182" t="s">
        <v>537</v>
      </c>
      <c r="L182">
        <v>337</v>
      </c>
      <c r="M182" t="s">
        <v>538</v>
      </c>
    </row>
    <row r="183" spans="1:13">
      <c r="A183" t="s">
        <v>13</v>
      </c>
      <c r="B183">
        <v>185214</v>
      </c>
      <c r="C183">
        <v>185645</v>
      </c>
      <c r="E183" t="s">
        <v>14</v>
      </c>
      <c r="F183" t="s">
        <v>49</v>
      </c>
      <c r="H183">
        <v>1021218</v>
      </c>
      <c r="I183" t="s">
        <v>17</v>
      </c>
      <c r="K183" t="s">
        <v>539</v>
      </c>
      <c r="L183">
        <v>143</v>
      </c>
      <c r="M183" t="s">
        <v>540</v>
      </c>
    </row>
    <row r="184" spans="1:13">
      <c r="A184" t="s">
        <v>13</v>
      </c>
      <c r="B184">
        <v>186508</v>
      </c>
      <c r="C184">
        <v>186711</v>
      </c>
      <c r="E184" t="s">
        <v>14</v>
      </c>
      <c r="F184" t="s">
        <v>541</v>
      </c>
      <c r="H184">
        <v>1021209</v>
      </c>
      <c r="I184" t="s">
        <v>17</v>
      </c>
      <c r="K184" t="s">
        <v>542</v>
      </c>
      <c r="L184">
        <v>67</v>
      </c>
      <c r="M184" t="s">
        <v>543</v>
      </c>
    </row>
    <row r="185" spans="1:13">
      <c r="A185" t="s">
        <v>13</v>
      </c>
      <c r="B185">
        <v>187302</v>
      </c>
      <c r="C185">
        <v>187610</v>
      </c>
      <c r="E185" t="s">
        <v>14</v>
      </c>
      <c r="F185" t="s">
        <v>400</v>
      </c>
      <c r="H185">
        <v>1021234</v>
      </c>
      <c r="I185" t="s">
        <v>17</v>
      </c>
      <c r="K185" t="s">
        <v>544</v>
      </c>
      <c r="L185">
        <v>102</v>
      </c>
      <c r="M185" t="s">
        <v>545</v>
      </c>
    </row>
    <row r="186" spans="1:13">
      <c r="A186" t="s">
        <v>13</v>
      </c>
      <c r="B186">
        <v>187687</v>
      </c>
      <c r="C186">
        <v>188103</v>
      </c>
      <c r="E186" t="s">
        <v>14</v>
      </c>
      <c r="F186" t="s">
        <v>546</v>
      </c>
      <c r="H186">
        <v>18194955</v>
      </c>
      <c r="I186" t="s">
        <v>17</v>
      </c>
      <c r="K186" t="s">
        <v>547</v>
      </c>
      <c r="L186">
        <v>138</v>
      </c>
      <c r="M186" t="s">
        <v>548</v>
      </c>
    </row>
    <row r="187" spans="1:13">
      <c r="A187" t="s">
        <v>13</v>
      </c>
      <c r="B187">
        <v>188297</v>
      </c>
      <c r="C187">
        <v>188725</v>
      </c>
      <c r="E187" t="s">
        <v>38</v>
      </c>
      <c r="F187" t="s">
        <v>549</v>
      </c>
      <c r="H187">
        <v>1021243</v>
      </c>
      <c r="I187" t="s">
        <v>17</v>
      </c>
      <c r="K187" t="s">
        <v>550</v>
      </c>
      <c r="L187">
        <v>142</v>
      </c>
      <c r="M187" t="s">
        <v>551</v>
      </c>
    </row>
    <row r="188" spans="1:13">
      <c r="A188" t="s">
        <v>13</v>
      </c>
      <c r="B188">
        <v>188744</v>
      </c>
      <c r="C188">
        <v>189736</v>
      </c>
      <c r="E188" t="s">
        <v>38</v>
      </c>
      <c r="F188" t="s">
        <v>532</v>
      </c>
      <c r="H188">
        <v>1021240</v>
      </c>
      <c r="I188" t="s">
        <v>17</v>
      </c>
      <c r="K188" t="s">
        <v>552</v>
      </c>
      <c r="L188">
        <v>330</v>
      </c>
      <c r="M188" t="s">
        <v>553</v>
      </c>
    </row>
    <row r="189" spans="1:13">
      <c r="A189" t="s">
        <v>13</v>
      </c>
      <c r="B189">
        <v>189920</v>
      </c>
      <c r="C189">
        <v>190324</v>
      </c>
      <c r="E189" t="s">
        <v>14</v>
      </c>
      <c r="F189" t="s">
        <v>49</v>
      </c>
      <c r="H189">
        <v>1021242</v>
      </c>
      <c r="I189" t="s">
        <v>17</v>
      </c>
      <c r="K189" t="s">
        <v>554</v>
      </c>
      <c r="L189">
        <v>134</v>
      </c>
      <c r="M189" t="s">
        <v>555</v>
      </c>
    </row>
    <row r="190" spans="1:13">
      <c r="A190" t="s">
        <v>13</v>
      </c>
      <c r="B190">
        <v>190700</v>
      </c>
      <c r="C190">
        <v>192175</v>
      </c>
      <c r="E190" t="s">
        <v>38</v>
      </c>
      <c r="F190" t="s">
        <v>556</v>
      </c>
      <c r="H190">
        <v>1021246</v>
      </c>
      <c r="I190" t="s">
        <v>17</v>
      </c>
      <c r="K190" t="s">
        <v>557</v>
      </c>
      <c r="L190">
        <v>491</v>
      </c>
      <c r="M190" t="s">
        <v>558</v>
      </c>
    </row>
    <row r="191" spans="1:13">
      <c r="A191" t="s">
        <v>13</v>
      </c>
      <c r="B191">
        <v>193262</v>
      </c>
      <c r="C191">
        <v>194467</v>
      </c>
      <c r="E191" t="s">
        <v>14</v>
      </c>
      <c r="F191" t="s">
        <v>559</v>
      </c>
      <c r="H191">
        <v>1021244</v>
      </c>
      <c r="I191" t="s">
        <v>17</v>
      </c>
      <c r="K191" t="s">
        <v>560</v>
      </c>
      <c r="L191">
        <v>401</v>
      </c>
      <c r="M191" t="s">
        <v>561</v>
      </c>
    </row>
    <row r="192" spans="1:13">
      <c r="A192" t="s">
        <v>13</v>
      </c>
      <c r="B192">
        <v>194601</v>
      </c>
      <c r="C192">
        <v>195038</v>
      </c>
      <c r="E192" t="s">
        <v>38</v>
      </c>
      <c r="F192" t="s">
        <v>562</v>
      </c>
      <c r="H192">
        <v>1021245</v>
      </c>
      <c r="I192" t="s">
        <v>17</v>
      </c>
      <c r="K192" t="s">
        <v>563</v>
      </c>
      <c r="L192">
        <v>145</v>
      </c>
      <c r="M192" t="s">
        <v>564</v>
      </c>
    </row>
    <row r="193" spans="1:13">
      <c r="A193" t="s">
        <v>13</v>
      </c>
      <c r="B193">
        <v>195240</v>
      </c>
      <c r="C193">
        <v>199772</v>
      </c>
      <c r="E193" t="s">
        <v>14</v>
      </c>
      <c r="F193" t="s">
        <v>565</v>
      </c>
      <c r="G193" t="s">
        <v>566</v>
      </c>
      <c r="H193">
        <v>1021250</v>
      </c>
      <c r="I193" t="s">
        <v>17</v>
      </c>
      <c r="K193" t="s">
        <v>567</v>
      </c>
      <c r="L193">
        <v>1510</v>
      </c>
      <c r="M193" t="s">
        <v>568</v>
      </c>
    </row>
    <row r="194" spans="1:13">
      <c r="A194" t="s">
        <v>13</v>
      </c>
      <c r="B194">
        <v>199772</v>
      </c>
      <c r="C194">
        <v>201292</v>
      </c>
      <c r="E194" t="s">
        <v>14</v>
      </c>
      <c r="F194" t="s">
        <v>569</v>
      </c>
      <c r="H194">
        <v>1021247</v>
      </c>
      <c r="I194" t="s">
        <v>17</v>
      </c>
      <c r="K194" t="s">
        <v>570</v>
      </c>
      <c r="L194">
        <v>506</v>
      </c>
      <c r="M194" t="s">
        <v>571</v>
      </c>
    </row>
    <row r="195" spans="1:13">
      <c r="A195" t="s">
        <v>13</v>
      </c>
      <c r="B195">
        <v>201757</v>
      </c>
      <c r="C195">
        <v>203244</v>
      </c>
      <c r="E195" t="s">
        <v>38</v>
      </c>
      <c r="F195" t="s">
        <v>572</v>
      </c>
      <c r="H195">
        <v>1021249</v>
      </c>
      <c r="I195" t="s">
        <v>17</v>
      </c>
      <c r="K195" t="s">
        <v>573</v>
      </c>
      <c r="L195">
        <v>495</v>
      </c>
      <c r="M195" t="s">
        <v>574</v>
      </c>
    </row>
    <row r="196" spans="1:13">
      <c r="A196" t="s">
        <v>13</v>
      </c>
      <c r="B196">
        <v>203538</v>
      </c>
      <c r="C196">
        <v>206978</v>
      </c>
      <c r="E196" t="s">
        <v>38</v>
      </c>
      <c r="F196" t="s">
        <v>575</v>
      </c>
      <c r="H196">
        <v>1021253</v>
      </c>
      <c r="I196" t="s">
        <v>17</v>
      </c>
      <c r="K196" t="s">
        <v>576</v>
      </c>
      <c r="L196">
        <v>1146</v>
      </c>
      <c r="M196" t="s">
        <v>577</v>
      </c>
    </row>
    <row r="197" spans="1:13">
      <c r="A197" t="s">
        <v>13</v>
      </c>
      <c r="B197">
        <v>207004</v>
      </c>
      <c r="C197">
        <v>209037</v>
      </c>
      <c r="E197" t="s">
        <v>38</v>
      </c>
      <c r="F197" t="s">
        <v>578</v>
      </c>
      <c r="H197">
        <v>1021251</v>
      </c>
      <c r="I197" t="s">
        <v>17</v>
      </c>
      <c r="K197" t="s">
        <v>579</v>
      </c>
      <c r="L197">
        <v>677</v>
      </c>
      <c r="M197" t="s">
        <v>580</v>
      </c>
    </row>
    <row r="198" spans="1:13">
      <c r="A198" t="s">
        <v>13</v>
      </c>
      <c r="B198">
        <v>209207</v>
      </c>
      <c r="C198">
        <v>209968</v>
      </c>
      <c r="E198" t="s">
        <v>38</v>
      </c>
      <c r="F198" t="s">
        <v>581</v>
      </c>
      <c r="H198">
        <v>1021252</v>
      </c>
      <c r="I198" t="s">
        <v>17</v>
      </c>
      <c r="K198" t="s">
        <v>582</v>
      </c>
      <c r="L198">
        <v>253</v>
      </c>
      <c r="M198" t="s">
        <v>583</v>
      </c>
    </row>
    <row r="199" spans="1:13">
      <c r="A199" t="s">
        <v>13</v>
      </c>
      <c r="B199">
        <v>209989</v>
      </c>
      <c r="C199">
        <v>211455</v>
      </c>
      <c r="E199" t="s">
        <v>38</v>
      </c>
      <c r="F199" t="s">
        <v>584</v>
      </c>
      <c r="H199">
        <v>1021257</v>
      </c>
      <c r="I199" t="s">
        <v>17</v>
      </c>
      <c r="K199" t="s">
        <v>585</v>
      </c>
      <c r="L199">
        <v>488</v>
      </c>
      <c r="M199" t="s">
        <v>586</v>
      </c>
    </row>
    <row r="200" spans="1:13">
      <c r="A200" t="s">
        <v>13</v>
      </c>
      <c r="B200">
        <v>211532</v>
      </c>
      <c r="C200">
        <v>211759</v>
      </c>
      <c r="E200" t="s">
        <v>38</v>
      </c>
      <c r="F200" t="s">
        <v>49</v>
      </c>
      <c r="H200">
        <v>1021255</v>
      </c>
      <c r="I200" t="s">
        <v>17</v>
      </c>
      <c r="K200" t="s">
        <v>587</v>
      </c>
      <c r="L200">
        <v>75</v>
      </c>
      <c r="M200" t="s">
        <v>588</v>
      </c>
    </row>
    <row r="201" spans="1:13">
      <c r="A201" t="s">
        <v>13</v>
      </c>
      <c r="B201">
        <v>211807</v>
      </c>
      <c r="C201">
        <v>212286</v>
      </c>
      <c r="E201" t="s">
        <v>14</v>
      </c>
      <c r="F201" t="s">
        <v>49</v>
      </c>
      <c r="H201">
        <v>1021256</v>
      </c>
      <c r="I201" t="s">
        <v>17</v>
      </c>
      <c r="K201" t="s">
        <v>589</v>
      </c>
      <c r="L201">
        <v>159</v>
      </c>
      <c r="M201" t="s">
        <v>590</v>
      </c>
    </row>
    <row r="202" spans="1:13">
      <c r="A202" t="s">
        <v>13</v>
      </c>
      <c r="B202">
        <v>212283</v>
      </c>
      <c r="C202">
        <v>212738</v>
      </c>
      <c r="E202" t="s">
        <v>14</v>
      </c>
      <c r="F202" t="s">
        <v>49</v>
      </c>
      <c r="H202">
        <v>1021261</v>
      </c>
      <c r="I202" t="s">
        <v>17</v>
      </c>
      <c r="K202" t="s">
        <v>591</v>
      </c>
      <c r="L202">
        <v>151</v>
      </c>
      <c r="M202" t="s">
        <v>592</v>
      </c>
    </row>
    <row r="203" spans="1:13">
      <c r="A203" t="s">
        <v>13</v>
      </c>
      <c r="B203">
        <v>212764</v>
      </c>
      <c r="C203">
        <v>213660</v>
      </c>
      <c r="E203" t="s">
        <v>14</v>
      </c>
      <c r="F203" t="s">
        <v>49</v>
      </c>
      <c r="H203">
        <v>1021258</v>
      </c>
      <c r="I203" t="s">
        <v>17</v>
      </c>
      <c r="K203" t="s">
        <v>593</v>
      </c>
      <c r="L203">
        <v>298</v>
      </c>
      <c r="M203" t="s">
        <v>594</v>
      </c>
    </row>
    <row r="204" spans="1:13">
      <c r="A204" t="s">
        <v>13</v>
      </c>
      <c r="B204">
        <v>213676</v>
      </c>
      <c r="C204">
        <v>214110</v>
      </c>
      <c r="E204" t="s">
        <v>14</v>
      </c>
      <c r="F204" t="s">
        <v>595</v>
      </c>
      <c r="H204">
        <v>1021259</v>
      </c>
      <c r="I204" t="s">
        <v>17</v>
      </c>
      <c r="K204" t="s">
        <v>596</v>
      </c>
      <c r="L204">
        <v>144</v>
      </c>
      <c r="M204" t="s">
        <v>597</v>
      </c>
    </row>
    <row r="205" spans="1:13">
      <c r="A205" t="s">
        <v>13</v>
      </c>
      <c r="B205">
        <v>214121</v>
      </c>
      <c r="C205">
        <v>214525</v>
      </c>
      <c r="E205" t="s">
        <v>14</v>
      </c>
      <c r="F205" t="s">
        <v>49</v>
      </c>
      <c r="H205">
        <v>1021264</v>
      </c>
      <c r="I205" t="s">
        <v>17</v>
      </c>
      <c r="K205" t="s">
        <v>598</v>
      </c>
      <c r="L205">
        <v>134</v>
      </c>
      <c r="M205" t="s">
        <v>599</v>
      </c>
    </row>
    <row r="206" spans="1:13">
      <c r="A206" t="s">
        <v>13</v>
      </c>
      <c r="B206">
        <v>214527</v>
      </c>
      <c r="C206">
        <v>215162</v>
      </c>
      <c r="E206" t="s">
        <v>14</v>
      </c>
      <c r="F206" t="s">
        <v>600</v>
      </c>
      <c r="H206">
        <v>1021262</v>
      </c>
      <c r="I206" t="s">
        <v>17</v>
      </c>
      <c r="K206" t="s">
        <v>601</v>
      </c>
      <c r="L206">
        <v>211</v>
      </c>
      <c r="M206" t="s">
        <v>602</v>
      </c>
    </row>
    <row r="207" spans="1:13">
      <c r="A207" t="s">
        <v>13</v>
      </c>
      <c r="B207">
        <v>215159</v>
      </c>
      <c r="C207">
        <v>216100</v>
      </c>
      <c r="E207" t="s">
        <v>38</v>
      </c>
      <c r="F207" t="s">
        <v>603</v>
      </c>
      <c r="H207">
        <v>1021269</v>
      </c>
      <c r="I207" t="s">
        <v>17</v>
      </c>
      <c r="K207" t="s">
        <v>604</v>
      </c>
      <c r="L207">
        <v>313</v>
      </c>
      <c r="M207" t="s">
        <v>605</v>
      </c>
    </row>
    <row r="208" spans="1:13">
      <c r="A208" t="s">
        <v>13</v>
      </c>
      <c r="B208">
        <v>216113</v>
      </c>
      <c r="C208">
        <v>216712</v>
      </c>
      <c r="E208" t="s">
        <v>38</v>
      </c>
      <c r="F208" t="s">
        <v>356</v>
      </c>
      <c r="H208">
        <v>1021263</v>
      </c>
      <c r="I208" t="s">
        <v>17</v>
      </c>
      <c r="K208" t="s">
        <v>606</v>
      </c>
      <c r="L208">
        <v>199</v>
      </c>
      <c r="M208" t="s">
        <v>607</v>
      </c>
    </row>
    <row r="209" spans="1:13">
      <c r="A209" t="s">
        <v>13</v>
      </c>
      <c r="B209">
        <v>217138</v>
      </c>
      <c r="C209">
        <v>217929</v>
      </c>
      <c r="E209" t="s">
        <v>38</v>
      </c>
      <c r="F209" t="s">
        <v>608</v>
      </c>
      <c r="H209">
        <v>1021267</v>
      </c>
      <c r="I209" t="s">
        <v>17</v>
      </c>
      <c r="K209" t="s">
        <v>609</v>
      </c>
      <c r="L209">
        <v>263</v>
      </c>
      <c r="M209" t="s">
        <v>610</v>
      </c>
    </row>
    <row r="210" spans="1:13">
      <c r="A210" t="s">
        <v>13</v>
      </c>
      <c r="B210">
        <v>217940</v>
      </c>
      <c r="C210">
        <v>218836</v>
      </c>
      <c r="E210" t="s">
        <v>38</v>
      </c>
      <c r="F210" t="s">
        <v>611</v>
      </c>
      <c r="H210">
        <v>1021273</v>
      </c>
      <c r="I210" t="s">
        <v>17</v>
      </c>
      <c r="K210" t="s">
        <v>612</v>
      </c>
      <c r="L210">
        <v>298</v>
      </c>
      <c r="M210" t="s">
        <v>613</v>
      </c>
    </row>
    <row r="211" spans="1:13">
      <c r="A211" t="s">
        <v>13</v>
      </c>
      <c r="B211">
        <v>218979</v>
      </c>
      <c r="C211">
        <v>220154</v>
      </c>
      <c r="E211" t="s">
        <v>14</v>
      </c>
      <c r="F211" t="s">
        <v>614</v>
      </c>
      <c r="H211">
        <v>1021265</v>
      </c>
      <c r="I211" t="s">
        <v>17</v>
      </c>
      <c r="K211" t="s">
        <v>615</v>
      </c>
      <c r="L211">
        <v>391</v>
      </c>
      <c r="M211" t="s">
        <v>616</v>
      </c>
    </row>
    <row r="212" spans="1:13">
      <c r="A212" t="s">
        <v>13</v>
      </c>
      <c r="B212">
        <v>220151</v>
      </c>
      <c r="C212">
        <v>221107</v>
      </c>
      <c r="E212" t="s">
        <v>38</v>
      </c>
      <c r="F212" t="s">
        <v>617</v>
      </c>
      <c r="H212">
        <v>1021266</v>
      </c>
      <c r="I212" t="s">
        <v>17</v>
      </c>
      <c r="K212" t="s">
        <v>618</v>
      </c>
      <c r="L212">
        <v>318</v>
      </c>
      <c r="M212" t="s">
        <v>619</v>
      </c>
    </row>
    <row r="213" spans="1:13">
      <c r="A213" t="s">
        <v>13</v>
      </c>
      <c r="B213">
        <v>221128</v>
      </c>
      <c r="C213">
        <v>221655</v>
      </c>
      <c r="E213" t="s">
        <v>38</v>
      </c>
      <c r="F213" t="s">
        <v>49</v>
      </c>
      <c r="H213">
        <v>1021095</v>
      </c>
      <c r="I213" t="s">
        <v>17</v>
      </c>
      <c r="K213" t="s">
        <v>620</v>
      </c>
      <c r="L213">
        <v>175</v>
      </c>
      <c r="M213" t="s">
        <v>621</v>
      </c>
    </row>
    <row r="214" spans="1:13">
      <c r="A214" t="s">
        <v>13</v>
      </c>
      <c r="B214">
        <v>221750</v>
      </c>
      <c r="C214">
        <v>221834</v>
      </c>
      <c r="E214" t="s">
        <v>14</v>
      </c>
      <c r="F214" t="s">
        <v>622</v>
      </c>
      <c r="H214">
        <v>2745365</v>
      </c>
      <c r="I214" t="s">
        <v>62</v>
      </c>
      <c r="M214" t="s">
        <v>623</v>
      </c>
    </row>
    <row r="215" spans="1:13">
      <c r="A215" t="s">
        <v>13</v>
      </c>
      <c r="B215">
        <v>221929</v>
      </c>
      <c r="C215">
        <v>222210</v>
      </c>
      <c r="E215" t="s">
        <v>14</v>
      </c>
      <c r="F215" t="s">
        <v>624</v>
      </c>
      <c r="H215">
        <v>1021276</v>
      </c>
      <c r="I215" t="s">
        <v>17</v>
      </c>
      <c r="K215" t="s">
        <v>625</v>
      </c>
      <c r="L215">
        <v>93</v>
      </c>
      <c r="M215" t="s">
        <v>626</v>
      </c>
    </row>
    <row r="216" spans="1:13">
      <c r="A216" t="s">
        <v>13</v>
      </c>
      <c r="B216">
        <v>222207</v>
      </c>
      <c r="C216">
        <v>223694</v>
      </c>
      <c r="E216" t="s">
        <v>38</v>
      </c>
      <c r="F216" t="s">
        <v>627</v>
      </c>
      <c r="H216">
        <v>1021278</v>
      </c>
      <c r="I216" t="s">
        <v>17</v>
      </c>
      <c r="K216" t="s">
        <v>628</v>
      </c>
      <c r="L216">
        <v>495</v>
      </c>
      <c r="M216" t="s">
        <v>629</v>
      </c>
    </row>
    <row r="217" spans="1:13">
      <c r="A217" t="s">
        <v>13</v>
      </c>
      <c r="B217">
        <v>224354</v>
      </c>
      <c r="C217">
        <v>225247</v>
      </c>
      <c r="E217" t="s">
        <v>14</v>
      </c>
      <c r="F217" t="s">
        <v>630</v>
      </c>
      <c r="H217">
        <v>1021275</v>
      </c>
      <c r="I217" t="s">
        <v>17</v>
      </c>
      <c r="K217" t="s">
        <v>631</v>
      </c>
      <c r="L217">
        <v>297</v>
      </c>
      <c r="M217" t="s">
        <v>632</v>
      </c>
    </row>
    <row r="218" spans="1:13">
      <c r="A218" t="s">
        <v>13</v>
      </c>
      <c r="B218">
        <v>225239</v>
      </c>
      <c r="C218">
        <v>226312</v>
      </c>
      <c r="E218" t="s">
        <v>38</v>
      </c>
      <c r="F218" t="s">
        <v>633</v>
      </c>
      <c r="H218">
        <v>1021104</v>
      </c>
      <c r="I218" t="s">
        <v>17</v>
      </c>
      <c r="K218" t="s">
        <v>634</v>
      </c>
      <c r="L218">
        <v>357</v>
      </c>
      <c r="M218" t="s">
        <v>635</v>
      </c>
    </row>
    <row r="219" spans="1:13">
      <c r="A219" t="s">
        <v>13</v>
      </c>
      <c r="B219">
        <v>226309</v>
      </c>
      <c r="C219">
        <v>226767</v>
      </c>
      <c r="E219" t="s">
        <v>38</v>
      </c>
      <c r="F219" t="s">
        <v>636</v>
      </c>
      <c r="H219">
        <v>1021274</v>
      </c>
      <c r="I219" t="s">
        <v>17</v>
      </c>
      <c r="K219" t="s">
        <v>637</v>
      </c>
      <c r="L219">
        <v>152</v>
      </c>
      <c r="M219" t="s">
        <v>638</v>
      </c>
    </row>
    <row r="220" spans="1:13">
      <c r="A220" t="s">
        <v>13</v>
      </c>
      <c r="B220">
        <v>226757</v>
      </c>
      <c r="C220">
        <v>227218</v>
      </c>
      <c r="E220" t="s">
        <v>38</v>
      </c>
      <c r="F220" t="s">
        <v>639</v>
      </c>
      <c r="H220">
        <v>1021270</v>
      </c>
      <c r="I220" t="s">
        <v>17</v>
      </c>
      <c r="K220" t="s">
        <v>640</v>
      </c>
      <c r="L220">
        <v>153</v>
      </c>
      <c r="M220" t="s">
        <v>641</v>
      </c>
    </row>
    <row r="221" spans="1:13">
      <c r="A221" t="s">
        <v>13</v>
      </c>
      <c r="B221">
        <v>227215</v>
      </c>
      <c r="C221">
        <v>227685</v>
      </c>
      <c r="E221" t="s">
        <v>38</v>
      </c>
      <c r="F221" t="s">
        <v>642</v>
      </c>
      <c r="G221" t="s">
        <v>643</v>
      </c>
      <c r="H221">
        <v>1021271</v>
      </c>
      <c r="I221" t="s">
        <v>17</v>
      </c>
      <c r="K221" t="s">
        <v>644</v>
      </c>
      <c r="L221">
        <v>156</v>
      </c>
      <c r="M221" t="s">
        <v>645</v>
      </c>
    </row>
    <row r="222" spans="1:13">
      <c r="A222" t="s">
        <v>13</v>
      </c>
      <c r="B222">
        <v>227700</v>
      </c>
      <c r="C222">
        <v>228884</v>
      </c>
      <c r="E222" t="s">
        <v>38</v>
      </c>
      <c r="F222" t="s">
        <v>646</v>
      </c>
      <c r="H222">
        <v>1021277</v>
      </c>
      <c r="I222" t="s">
        <v>17</v>
      </c>
      <c r="K222" t="s">
        <v>647</v>
      </c>
      <c r="L222">
        <v>394</v>
      </c>
      <c r="M222" t="s">
        <v>648</v>
      </c>
    </row>
    <row r="223" spans="1:13">
      <c r="A223" t="s">
        <v>13</v>
      </c>
      <c r="B223">
        <v>228888</v>
      </c>
      <c r="C223">
        <v>229727</v>
      </c>
      <c r="E223" t="s">
        <v>38</v>
      </c>
      <c r="F223" t="s">
        <v>649</v>
      </c>
      <c r="H223">
        <v>1021286</v>
      </c>
      <c r="I223" t="s">
        <v>17</v>
      </c>
      <c r="K223" t="s">
        <v>650</v>
      </c>
      <c r="L223">
        <v>279</v>
      </c>
      <c r="M223" t="s">
        <v>651</v>
      </c>
    </row>
    <row r="224" spans="1:13">
      <c r="A224" t="s">
        <v>13</v>
      </c>
      <c r="B224">
        <v>229708</v>
      </c>
      <c r="C224">
        <v>230514</v>
      </c>
      <c r="E224" t="s">
        <v>38</v>
      </c>
      <c r="F224" t="s">
        <v>652</v>
      </c>
      <c r="G224" t="s">
        <v>653</v>
      </c>
      <c r="H224">
        <v>1021268</v>
      </c>
      <c r="I224" t="s">
        <v>17</v>
      </c>
      <c r="K224" t="s">
        <v>654</v>
      </c>
      <c r="L224">
        <v>268</v>
      </c>
      <c r="M224" t="s">
        <v>655</v>
      </c>
    </row>
    <row r="225" spans="1:13">
      <c r="A225" t="s">
        <v>13</v>
      </c>
      <c r="B225">
        <v>230674</v>
      </c>
      <c r="C225">
        <v>230931</v>
      </c>
      <c r="E225" t="s">
        <v>14</v>
      </c>
      <c r="F225" t="s">
        <v>656</v>
      </c>
      <c r="H225">
        <v>1021280</v>
      </c>
      <c r="I225" t="s">
        <v>17</v>
      </c>
      <c r="K225" t="s">
        <v>657</v>
      </c>
      <c r="L225">
        <v>85</v>
      </c>
      <c r="M225" t="s">
        <v>658</v>
      </c>
    </row>
    <row r="226" spans="1:13">
      <c r="A226" t="s">
        <v>13</v>
      </c>
      <c r="B226">
        <v>230928</v>
      </c>
      <c r="C226">
        <v>231842</v>
      </c>
      <c r="E226" t="s">
        <v>38</v>
      </c>
      <c r="F226" t="s">
        <v>147</v>
      </c>
      <c r="H226">
        <v>1021283</v>
      </c>
      <c r="I226" t="s">
        <v>17</v>
      </c>
      <c r="K226" t="s">
        <v>659</v>
      </c>
      <c r="L226">
        <v>304</v>
      </c>
      <c r="M226" t="s">
        <v>660</v>
      </c>
    </row>
    <row r="227" spans="1:13">
      <c r="A227" t="s">
        <v>13</v>
      </c>
      <c r="B227">
        <v>231845</v>
      </c>
      <c r="C227">
        <v>232267</v>
      </c>
      <c r="E227" t="s">
        <v>38</v>
      </c>
      <c r="F227" t="s">
        <v>661</v>
      </c>
      <c r="H227">
        <v>1021279</v>
      </c>
      <c r="I227" t="s">
        <v>17</v>
      </c>
      <c r="K227" t="s">
        <v>662</v>
      </c>
      <c r="L227">
        <v>140</v>
      </c>
      <c r="M227" t="s">
        <v>663</v>
      </c>
    </row>
    <row r="228" spans="1:13">
      <c r="A228" t="s">
        <v>13</v>
      </c>
      <c r="B228">
        <v>232257</v>
      </c>
      <c r="C228">
        <v>233282</v>
      </c>
      <c r="E228" t="s">
        <v>38</v>
      </c>
      <c r="F228" t="s">
        <v>664</v>
      </c>
      <c r="G228" t="s">
        <v>665</v>
      </c>
      <c r="H228">
        <v>1021282</v>
      </c>
      <c r="I228" t="s">
        <v>17</v>
      </c>
      <c r="K228" t="s">
        <v>666</v>
      </c>
      <c r="L228">
        <v>341</v>
      </c>
      <c r="M228" t="s">
        <v>667</v>
      </c>
    </row>
    <row r="229" spans="1:13">
      <c r="A229" t="s">
        <v>13</v>
      </c>
      <c r="B229">
        <v>233409</v>
      </c>
      <c r="C229">
        <v>233497</v>
      </c>
      <c r="E229" t="s">
        <v>14</v>
      </c>
      <c r="F229" t="s">
        <v>622</v>
      </c>
      <c r="H229">
        <v>2745319</v>
      </c>
      <c r="I229" t="s">
        <v>62</v>
      </c>
      <c r="M229" t="s">
        <v>668</v>
      </c>
    </row>
    <row r="230" spans="1:13">
      <c r="A230" t="s">
        <v>13</v>
      </c>
      <c r="B230">
        <v>233527</v>
      </c>
      <c r="C230">
        <v>233599</v>
      </c>
      <c r="E230" t="s">
        <v>14</v>
      </c>
      <c r="F230" t="s">
        <v>669</v>
      </c>
      <c r="H230">
        <v>2745329</v>
      </c>
      <c r="I230" t="s">
        <v>62</v>
      </c>
      <c r="M230" t="s">
        <v>670</v>
      </c>
    </row>
    <row r="231" spans="1:13">
      <c r="A231" t="s">
        <v>13</v>
      </c>
      <c r="B231">
        <v>233913</v>
      </c>
      <c r="C231">
        <v>234821</v>
      </c>
      <c r="E231" t="s">
        <v>14</v>
      </c>
      <c r="F231" t="s">
        <v>671</v>
      </c>
      <c r="H231">
        <v>1021290</v>
      </c>
      <c r="I231" t="s">
        <v>17</v>
      </c>
      <c r="K231" t="s">
        <v>672</v>
      </c>
      <c r="L231">
        <v>302</v>
      </c>
      <c r="M231" t="s">
        <v>673</v>
      </c>
    </row>
    <row r="232" spans="1:13">
      <c r="A232" t="s">
        <v>13</v>
      </c>
      <c r="B232">
        <v>234907</v>
      </c>
      <c r="C232">
        <v>235191</v>
      </c>
      <c r="E232" t="s">
        <v>38</v>
      </c>
      <c r="F232" t="s">
        <v>49</v>
      </c>
      <c r="H232">
        <v>1021289</v>
      </c>
      <c r="I232" t="s">
        <v>17</v>
      </c>
      <c r="K232" t="s">
        <v>674</v>
      </c>
      <c r="L232">
        <v>94</v>
      </c>
      <c r="M232" t="s">
        <v>675</v>
      </c>
    </row>
    <row r="233" spans="1:13">
      <c r="A233" t="s">
        <v>13</v>
      </c>
      <c r="B233">
        <v>235448</v>
      </c>
      <c r="C233">
        <v>236212</v>
      </c>
      <c r="E233" t="s">
        <v>38</v>
      </c>
      <c r="F233" t="s">
        <v>69</v>
      </c>
      <c r="H233">
        <v>1021293</v>
      </c>
      <c r="I233" t="s">
        <v>17</v>
      </c>
      <c r="K233" t="s">
        <v>676</v>
      </c>
      <c r="L233">
        <v>254</v>
      </c>
      <c r="M233" t="s">
        <v>677</v>
      </c>
    </row>
    <row r="234" spans="1:13">
      <c r="A234" t="s">
        <v>13</v>
      </c>
      <c r="B234">
        <v>236326</v>
      </c>
      <c r="C234">
        <v>237345</v>
      </c>
      <c r="E234" t="s">
        <v>14</v>
      </c>
      <c r="F234" t="s">
        <v>678</v>
      </c>
      <c r="H234">
        <v>1021281</v>
      </c>
      <c r="I234" t="s">
        <v>17</v>
      </c>
      <c r="K234" t="s">
        <v>679</v>
      </c>
      <c r="L234">
        <v>339</v>
      </c>
      <c r="M234" t="s">
        <v>680</v>
      </c>
    </row>
    <row r="235" spans="1:13">
      <c r="A235" t="s">
        <v>13</v>
      </c>
      <c r="B235">
        <v>237345</v>
      </c>
      <c r="C235">
        <v>238148</v>
      </c>
      <c r="E235" t="s">
        <v>14</v>
      </c>
      <c r="F235" t="s">
        <v>681</v>
      </c>
      <c r="H235">
        <v>1021284</v>
      </c>
      <c r="I235" t="s">
        <v>17</v>
      </c>
      <c r="K235" t="s">
        <v>682</v>
      </c>
      <c r="L235">
        <v>267</v>
      </c>
      <c r="M235" t="s">
        <v>683</v>
      </c>
    </row>
    <row r="236" spans="1:13">
      <c r="A236" t="s">
        <v>13</v>
      </c>
      <c r="B236">
        <v>238218</v>
      </c>
      <c r="C236">
        <v>239528</v>
      </c>
      <c r="E236" t="s">
        <v>14</v>
      </c>
      <c r="F236" t="s">
        <v>684</v>
      </c>
      <c r="G236" t="s">
        <v>685</v>
      </c>
      <c r="H236">
        <v>1021287</v>
      </c>
      <c r="I236" t="s">
        <v>17</v>
      </c>
      <c r="K236" t="s">
        <v>686</v>
      </c>
      <c r="L236">
        <v>436</v>
      </c>
      <c r="M236" t="s">
        <v>687</v>
      </c>
    </row>
    <row r="237" spans="1:13">
      <c r="A237" t="s">
        <v>13</v>
      </c>
      <c r="B237">
        <v>239935</v>
      </c>
      <c r="C237">
        <v>241518</v>
      </c>
      <c r="E237" t="s">
        <v>14</v>
      </c>
      <c r="F237" t="s">
        <v>688</v>
      </c>
      <c r="H237">
        <v>1021291</v>
      </c>
      <c r="I237" t="s">
        <v>17</v>
      </c>
      <c r="K237" t="s">
        <v>689</v>
      </c>
      <c r="L237">
        <v>527</v>
      </c>
      <c r="M237" t="s">
        <v>690</v>
      </c>
    </row>
    <row r="238" spans="1:13">
      <c r="A238" t="s">
        <v>13</v>
      </c>
      <c r="B238">
        <v>241637</v>
      </c>
      <c r="C238">
        <v>241709</v>
      </c>
      <c r="E238" t="s">
        <v>14</v>
      </c>
      <c r="F238" t="s">
        <v>669</v>
      </c>
      <c r="H238">
        <v>2745327</v>
      </c>
      <c r="I238" t="s">
        <v>62</v>
      </c>
      <c r="M238" t="s">
        <v>691</v>
      </c>
    </row>
    <row r="239" spans="1:13">
      <c r="A239" t="s">
        <v>13</v>
      </c>
      <c r="B239">
        <v>241880</v>
      </c>
      <c r="C239">
        <v>242902</v>
      </c>
      <c r="E239" t="s">
        <v>38</v>
      </c>
      <c r="F239" t="s">
        <v>692</v>
      </c>
      <c r="H239">
        <v>1021300</v>
      </c>
      <c r="I239" t="s">
        <v>17</v>
      </c>
      <c r="K239" t="s">
        <v>693</v>
      </c>
      <c r="L239">
        <v>340</v>
      </c>
      <c r="M239" t="s">
        <v>694</v>
      </c>
    </row>
    <row r="240" spans="1:13">
      <c r="A240" t="s">
        <v>13</v>
      </c>
      <c r="B240">
        <v>242940</v>
      </c>
      <c r="C240">
        <v>243434</v>
      </c>
      <c r="E240" t="s">
        <v>14</v>
      </c>
      <c r="F240" t="s">
        <v>695</v>
      </c>
      <c r="H240">
        <v>1021296</v>
      </c>
      <c r="I240" t="s">
        <v>17</v>
      </c>
      <c r="K240" t="s">
        <v>696</v>
      </c>
      <c r="L240">
        <v>164</v>
      </c>
      <c r="M240" t="s">
        <v>697</v>
      </c>
    </row>
    <row r="241" spans="1:13">
      <c r="A241" t="s">
        <v>13</v>
      </c>
      <c r="B241">
        <v>243434</v>
      </c>
      <c r="C241">
        <v>243913</v>
      </c>
      <c r="E241" t="s">
        <v>14</v>
      </c>
      <c r="F241" t="s">
        <v>698</v>
      </c>
      <c r="G241" t="s">
        <v>699</v>
      </c>
      <c r="H241">
        <v>1021295</v>
      </c>
      <c r="I241" t="s">
        <v>17</v>
      </c>
      <c r="K241" t="s">
        <v>700</v>
      </c>
      <c r="L241">
        <v>159</v>
      </c>
      <c r="M241" t="s">
        <v>701</v>
      </c>
    </row>
    <row r="242" spans="1:13">
      <c r="A242" t="s">
        <v>13</v>
      </c>
      <c r="B242">
        <v>244015</v>
      </c>
      <c r="C242">
        <v>244218</v>
      </c>
      <c r="E242" t="s">
        <v>14</v>
      </c>
      <c r="F242" t="s">
        <v>702</v>
      </c>
      <c r="H242">
        <v>1021299</v>
      </c>
      <c r="I242" t="s">
        <v>17</v>
      </c>
      <c r="K242" t="s">
        <v>703</v>
      </c>
      <c r="L242">
        <v>67</v>
      </c>
      <c r="M242" t="s">
        <v>704</v>
      </c>
    </row>
    <row r="243" spans="1:13">
      <c r="A243" t="s">
        <v>13</v>
      </c>
      <c r="B243">
        <v>244294</v>
      </c>
      <c r="C243">
        <v>244384</v>
      </c>
      <c r="E243" t="s">
        <v>14</v>
      </c>
      <c r="F243" t="s">
        <v>622</v>
      </c>
      <c r="H243">
        <v>2745331</v>
      </c>
      <c r="I243" t="s">
        <v>62</v>
      </c>
      <c r="M243" t="s">
        <v>705</v>
      </c>
    </row>
    <row r="244" spans="1:13">
      <c r="A244" t="s">
        <v>13</v>
      </c>
      <c r="B244">
        <v>244466</v>
      </c>
      <c r="C244">
        <v>244819</v>
      </c>
      <c r="E244" t="s">
        <v>14</v>
      </c>
      <c r="F244" t="s">
        <v>49</v>
      </c>
      <c r="H244">
        <v>1021301</v>
      </c>
      <c r="I244" t="s">
        <v>17</v>
      </c>
      <c r="K244" t="s">
        <v>706</v>
      </c>
      <c r="L244">
        <v>117</v>
      </c>
      <c r="M244" t="s">
        <v>707</v>
      </c>
    </row>
    <row r="245" spans="1:13">
      <c r="A245" t="s">
        <v>13</v>
      </c>
      <c r="B245">
        <v>244902</v>
      </c>
      <c r="C245">
        <v>247307</v>
      </c>
      <c r="E245" t="s">
        <v>14</v>
      </c>
      <c r="F245" t="s">
        <v>708</v>
      </c>
      <c r="H245">
        <v>1021305</v>
      </c>
      <c r="I245" t="s">
        <v>17</v>
      </c>
      <c r="K245" t="s">
        <v>709</v>
      </c>
      <c r="L245">
        <v>801</v>
      </c>
      <c r="M245" t="s">
        <v>710</v>
      </c>
    </row>
    <row r="246" spans="1:13">
      <c r="A246" t="s">
        <v>13</v>
      </c>
      <c r="B246">
        <v>247319</v>
      </c>
      <c r="C246">
        <v>248575</v>
      </c>
      <c r="E246" t="s">
        <v>14</v>
      </c>
      <c r="F246" t="s">
        <v>711</v>
      </c>
      <c r="G246" t="s">
        <v>712</v>
      </c>
      <c r="H246">
        <v>1021303</v>
      </c>
      <c r="I246" t="s">
        <v>17</v>
      </c>
      <c r="K246" t="s">
        <v>713</v>
      </c>
      <c r="L246">
        <v>418</v>
      </c>
      <c r="M246" t="s">
        <v>714</v>
      </c>
    </row>
    <row r="247" spans="1:13">
      <c r="A247" t="s">
        <v>13</v>
      </c>
      <c r="B247">
        <v>248554</v>
      </c>
      <c r="C247">
        <v>249306</v>
      </c>
      <c r="E247" t="s">
        <v>38</v>
      </c>
      <c r="F247" t="s">
        <v>715</v>
      </c>
      <c r="H247">
        <v>1021297</v>
      </c>
      <c r="I247" t="s">
        <v>17</v>
      </c>
      <c r="K247" t="s">
        <v>716</v>
      </c>
      <c r="L247">
        <v>250</v>
      </c>
      <c r="M247" t="s">
        <v>717</v>
      </c>
    </row>
    <row r="248" spans="1:13">
      <c r="A248" t="s">
        <v>13</v>
      </c>
      <c r="B248">
        <v>249428</v>
      </c>
      <c r="C248">
        <v>250510</v>
      </c>
      <c r="E248" t="s">
        <v>14</v>
      </c>
      <c r="F248" t="s">
        <v>718</v>
      </c>
      <c r="H248">
        <v>1021308</v>
      </c>
      <c r="I248" t="s">
        <v>17</v>
      </c>
      <c r="K248" t="s">
        <v>719</v>
      </c>
      <c r="L248">
        <v>360</v>
      </c>
      <c r="M248" t="s">
        <v>720</v>
      </c>
    </row>
    <row r="249" spans="1:13">
      <c r="A249" t="s">
        <v>13</v>
      </c>
      <c r="B249">
        <v>250503</v>
      </c>
      <c r="C249">
        <v>251942</v>
      </c>
      <c r="E249" t="s">
        <v>14</v>
      </c>
      <c r="F249" t="s">
        <v>721</v>
      </c>
      <c r="H249">
        <v>1021306</v>
      </c>
      <c r="I249" t="s">
        <v>17</v>
      </c>
      <c r="K249" t="s">
        <v>722</v>
      </c>
      <c r="L249">
        <v>479</v>
      </c>
      <c r="M249" t="s">
        <v>723</v>
      </c>
    </row>
    <row r="250" spans="1:13">
      <c r="A250" t="s">
        <v>13</v>
      </c>
      <c r="B250">
        <v>251952</v>
      </c>
      <c r="C250">
        <v>252833</v>
      </c>
      <c r="E250" t="s">
        <v>14</v>
      </c>
      <c r="F250" t="s">
        <v>724</v>
      </c>
      <c r="G250" t="s">
        <v>725</v>
      </c>
      <c r="H250">
        <v>1021302</v>
      </c>
      <c r="I250" t="s">
        <v>17</v>
      </c>
      <c r="K250" t="s">
        <v>726</v>
      </c>
      <c r="L250">
        <v>293</v>
      </c>
      <c r="M250" t="s">
        <v>727</v>
      </c>
    </row>
    <row r="251" spans="1:13">
      <c r="A251" t="s">
        <v>13</v>
      </c>
      <c r="B251">
        <v>252827</v>
      </c>
      <c r="C251">
        <v>253819</v>
      </c>
      <c r="E251" t="s">
        <v>38</v>
      </c>
      <c r="F251" t="s">
        <v>728</v>
      </c>
      <c r="H251">
        <v>1021311</v>
      </c>
      <c r="I251" t="s">
        <v>17</v>
      </c>
      <c r="K251" t="s">
        <v>729</v>
      </c>
      <c r="L251">
        <v>330</v>
      </c>
      <c r="M251" t="s">
        <v>730</v>
      </c>
    </row>
    <row r="252" spans="1:13">
      <c r="A252" t="s">
        <v>13</v>
      </c>
      <c r="B252">
        <v>254326</v>
      </c>
      <c r="C252">
        <v>255486</v>
      </c>
      <c r="E252" t="s">
        <v>38</v>
      </c>
      <c r="F252" t="s">
        <v>731</v>
      </c>
      <c r="H252">
        <v>1021309</v>
      </c>
      <c r="I252" t="s">
        <v>17</v>
      </c>
      <c r="K252" t="s">
        <v>732</v>
      </c>
      <c r="L252">
        <v>386</v>
      </c>
      <c r="M252" t="s">
        <v>733</v>
      </c>
    </row>
    <row r="253" spans="1:13">
      <c r="A253" t="s">
        <v>13</v>
      </c>
      <c r="B253">
        <v>255489</v>
      </c>
      <c r="C253">
        <v>255776</v>
      </c>
      <c r="E253" t="s">
        <v>38</v>
      </c>
      <c r="F253" t="s">
        <v>49</v>
      </c>
      <c r="H253">
        <v>1021304</v>
      </c>
      <c r="I253" t="s">
        <v>17</v>
      </c>
      <c r="K253" t="s">
        <v>734</v>
      </c>
      <c r="L253">
        <v>95</v>
      </c>
      <c r="M253" t="s">
        <v>735</v>
      </c>
    </row>
    <row r="254" spans="1:13">
      <c r="A254" t="s">
        <v>13</v>
      </c>
      <c r="B254">
        <v>256225</v>
      </c>
      <c r="C254">
        <v>256309</v>
      </c>
      <c r="E254" t="s">
        <v>38</v>
      </c>
      <c r="F254" t="s">
        <v>622</v>
      </c>
      <c r="H254">
        <v>2745338</v>
      </c>
      <c r="I254" t="s">
        <v>62</v>
      </c>
      <c r="M254" t="s">
        <v>736</v>
      </c>
    </row>
    <row r="255" spans="1:13">
      <c r="A255" t="s">
        <v>13</v>
      </c>
      <c r="B255">
        <v>256430</v>
      </c>
      <c r="C255">
        <v>256526</v>
      </c>
      <c r="E255" t="s">
        <v>14</v>
      </c>
      <c r="F255" t="s">
        <v>737</v>
      </c>
      <c r="G255" t="s">
        <v>738</v>
      </c>
      <c r="H255">
        <v>44144923</v>
      </c>
      <c r="I255" t="s">
        <v>739</v>
      </c>
      <c r="M255" t="s">
        <v>740</v>
      </c>
    </row>
    <row r="256" spans="1:13">
      <c r="A256" t="s">
        <v>13</v>
      </c>
      <c r="B256">
        <v>256599</v>
      </c>
      <c r="C256">
        <v>257897</v>
      </c>
      <c r="E256" t="s">
        <v>14</v>
      </c>
      <c r="F256" t="s">
        <v>741</v>
      </c>
      <c r="H256">
        <v>1021066</v>
      </c>
      <c r="I256" t="s">
        <v>17</v>
      </c>
      <c r="K256" t="s">
        <v>742</v>
      </c>
      <c r="L256">
        <v>432</v>
      </c>
      <c r="M256" t="s">
        <v>743</v>
      </c>
    </row>
    <row r="257" spans="1:13">
      <c r="A257" t="s">
        <v>13</v>
      </c>
      <c r="B257">
        <v>257900</v>
      </c>
      <c r="C257">
        <v>258532</v>
      </c>
      <c r="E257" t="s">
        <v>14</v>
      </c>
      <c r="F257" t="s">
        <v>744</v>
      </c>
      <c r="H257">
        <v>1021307</v>
      </c>
      <c r="I257" t="s">
        <v>17</v>
      </c>
      <c r="K257" t="s">
        <v>745</v>
      </c>
      <c r="L257">
        <v>210</v>
      </c>
      <c r="M257" t="s">
        <v>746</v>
      </c>
    </row>
    <row r="258" spans="1:13">
      <c r="A258" t="s">
        <v>13</v>
      </c>
      <c r="B258">
        <v>258551</v>
      </c>
      <c r="C258">
        <v>260878</v>
      </c>
      <c r="E258" t="s">
        <v>14</v>
      </c>
      <c r="F258" t="s">
        <v>747</v>
      </c>
      <c r="H258">
        <v>1021313</v>
      </c>
      <c r="I258" t="s">
        <v>17</v>
      </c>
      <c r="K258" t="s">
        <v>748</v>
      </c>
      <c r="L258">
        <v>775</v>
      </c>
      <c r="M258" t="s">
        <v>749</v>
      </c>
    </row>
    <row r="259" spans="1:13">
      <c r="A259" t="s">
        <v>13</v>
      </c>
      <c r="B259">
        <v>260987</v>
      </c>
      <c r="C259">
        <v>261298</v>
      </c>
      <c r="E259" t="s">
        <v>14</v>
      </c>
      <c r="F259" t="s">
        <v>750</v>
      </c>
      <c r="H259">
        <v>1021132</v>
      </c>
      <c r="I259" t="s">
        <v>17</v>
      </c>
      <c r="K259" t="s">
        <v>751</v>
      </c>
      <c r="L259">
        <v>103</v>
      </c>
      <c r="M259" t="s">
        <v>752</v>
      </c>
    </row>
    <row r="260" spans="1:13">
      <c r="A260" t="s">
        <v>13</v>
      </c>
      <c r="B260">
        <v>261402</v>
      </c>
      <c r="C260">
        <v>262058</v>
      </c>
      <c r="E260" t="s">
        <v>14</v>
      </c>
      <c r="F260" t="s">
        <v>753</v>
      </c>
      <c r="H260">
        <v>1021310</v>
      </c>
      <c r="I260" t="s">
        <v>17</v>
      </c>
      <c r="K260" t="s">
        <v>754</v>
      </c>
      <c r="L260">
        <v>218</v>
      </c>
      <c r="M260" t="s">
        <v>755</v>
      </c>
    </row>
    <row r="261" spans="1:13">
      <c r="A261" t="s">
        <v>13</v>
      </c>
      <c r="B261">
        <v>262543</v>
      </c>
      <c r="C261">
        <v>263295</v>
      </c>
      <c r="E261" t="s">
        <v>38</v>
      </c>
      <c r="F261" t="s">
        <v>756</v>
      </c>
      <c r="H261">
        <v>1021195</v>
      </c>
      <c r="I261" t="s">
        <v>17</v>
      </c>
      <c r="K261" t="s">
        <v>757</v>
      </c>
      <c r="L261">
        <v>250</v>
      </c>
      <c r="M261" t="s">
        <v>758</v>
      </c>
    </row>
    <row r="262" spans="1:13">
      <c r="A262" t="s">
        <v>13</v>
      </c>
      <c r="B262">
        <v>263295</v>
      </c>
      <c r="C262">
        <v>264566</v>
      </c>
      <c r="E262" t="s">
        <v>38</v>
      </c>
      <c r="F262" t="s">
        <v>759</v>
      </c>
      <c r="H262">
        <v>1021166</v>
      </c>
      <c r="I262" t="s">
        <v>17</v>
      </c>
      <c r="K262" t="s">
        <v>760</v>
      </c>
      <c r="L262">
        <v>423</v>
      </c>
      <c r="M262" t="s">
        <v>761</v>
      </c>
    </row>
    <row r="263" spans="1:13">
      <c r="A263" t="s">
        <v>13</v>
      </c>
      <c r="B263">
        <v>264596</v>
      </c>
      <c r="C263">
        <v>265678</v>
      </c>
      <c r="E263" t="s">
        <v>38</v>
      </c>
      <c r="F263" t="s">
        <v>762</v>
      </c>
      <c r="H263">
        <v>1021213</v>
      </c>
      <c r="I263" t="s">
        <v>17</v>
      </c>
      <c r="K263" t="s">
        <v>763</v>
      </c>
      <c r="L263">
        <v>360</v>
      </c>
      <c r="M263" t="s">
        <v>764</v>
      </c>
    </row>
    <row r="264" spans="1:13">
      <c r="A264" t="s">
        <v>13</v>
      </c>
      <c r="B264">
        <v>266151</v>
      </c>
      <c r="C264">
        <v>268001</v>
      </c>
      <c r="E264" t="s">
        <v>38</v>
      </c>
      <c r="F264" t="s">
        <v>765</v>
      </c>
      <c r="G264" t="s">
        <v>766</v>
      </c>
      <c r="H264">
        <v>1021149</v>
      </c>
      <c r="I264" t="s">
        <v>17</v>
      </c>
      <c r="K264" t="s">
        <v>767</v>
      </c>
      <c r="L264">
        <v>616</v>
      </c>
      <c r="M264" t="s">
        <v>768</v>
      </c>
    </row>
    <row r="265" spans="1:13">
      <c r="A265" t="s">
        <v>13</v>
      </c>
      <c r="B265">
        <v>268255</v>
      </c>
      <c r="C265">
        <v>269124</v>
      </c>
      <c r="E265" t="s">
        <v>38</v>
      </c>
      <c r="F265" t="s">
        <v>769</v>
      </c>
      <c r="H265">
        <v>1021165</v>
      </c>
      <c r="I265" t="s">
        <v>17</v>
      </c>
      <c r="K265" t="s">
        <v>770</v>
      </c>
      <c r="L265">
        <v>289</v>
      </c>
      <c r="M265" t="s">
        <v>771</v>
      </c>
    </row>
    <row r="266" spans="1:13">
      <c r="A266" t="s">
        <v>13</v>
      </c>
      <c r="B266">
        <v>269371</v>
      </c>
      <c r="C266">
        <v>270636</v>
      </c>
      <c r="E266" t="s">
        <v>14</v>
      </c>
      <c r="F266" t="s">
        <v>772</v>
      </c>
      <c r="H266">
        <v>1021294</v>
      </c>
      <c r="I266" t="s">
        <v>17</v>
      </c>
      <c r="K266" t="s">
        <v>773</v>
      </c>
      <c r="L266">
        <v>421</v>
      </c>
      <c r="M266" t="s">
        <v>774</v>
      </c>
    </row>
    <row r="267" spans="1:13">
      <c r="A267" t="s">
        <v>13</v>
      </c>
      <c r="B267">
        <v>270660</v>
      </c>
      <c r="C267">
        <v>271694</v>
      </c>
      <c r="E267" t="s">
        <v>14</v>
      </c>
      <c r="F267" t="s">
        <v>775</v>
      </c>
      <c r="H267">
        <v>1021315</v>
      </c>
      <c r="I267" t="s">
        <v>17</v>
      </c>
      <c r="K267" t="s">
        <v>776</v>
      </c>
      <c r="L267">
        <v>344</v>
      </c>
      <c r="M267" t="s">
        <v>777</v>
      </c>
    </row>
    <row r="268" spans="1:13">
      <c r="A268" t="s">
        <v>13</v>
      </c>
      <c r="B268">
        <v>271761</v>
      </c>
      <c r="C268">
        <v>273197</v>
      </c>
      <c r="E268" t="s">
        <v>14</v>
      </c>
      <c r="F268" t="s">
        <v>49</v>
      </c>
      <c r="H268">
        <v>1021138</v>
      </c>
      <c r="I268" t="s">
        <v>17</v>
      </c>
      <c r="K268" t="s">
        <v>778</v>
      </c>
      <c r="L268">
        <v>478</v>
      </c>
      <c r="M268" t="s">
        <v>779</v>
      </c>
    </row>
    <row r="269" spans="1:13">
      <c r="A269" t="s">
        <v>13</v>
      </c>
      <c r="B269">
        <v>273539</v>
      </c>
      <c r="C269">
        <v>274120</v>
      </c>
      <c r="E269" t="s">
        <v>38</v>
      </c>
      <c r="F269" t="s">
        <v>780</v>
      </c>
      <c r="H269">
        <v>1021317</v>
      </c>
      <c r="I269" t="s">
        <v>17</v>
      </c>
      <c r="K269" t="s">
        <v>781</v>
      </c>
      <c r="L269">
        <v>193</v>
      </c>
      <c r="M269" t="s">
        <v>782</v>
      </c>
    </row>
    <row r="270" spans="1:13">
      <c r="A270" t="s">
        <v>13</v>
      </c>
      <c r="B270">
        <v>274366</v>
      </c>
      <c r="C270">
        <v>275874</v>
      </c>
      <c r="E270" t="s">
        <v>14</v>
      </c>
      <c r="F270" t="s">
        <v>783</v>
      </c>
      <c r="H270">
        <v>1021318</v>
      </c>
      <c r="I270" t="s">
        <v>17</v>
      </c>
      <c r="K270" t="s">
        <v>784</v>
      </c>
      <c r="L270">
        <v>502</v>
      </c>
      <c r="M270" t="s">
        <v>785</v>
      </c>
    </row>
    <row r="271" spans="1:13">
      <c r="A271" t="s">
        <v>13</v>
      </c>
      <c r="B271">
        <v>275954</v>
      </c>
      <c r="C271">
        <v>276247</v>
      </c>
      <c r="E271" t="s">
        <v>38</v>
      </c>
      <c r="F271" t="s">
        <v>49</v>
      </c>
      <c r="H271">
        <v>1021158</v>
      </c>
      <c r="I271" t="s">
        <v>17</v>
      </c>
      <c r="K271" t="s">
        <v>786</v>
      </c>
      <c r="L271">
        <v>97</v>
      </c>
      <c r="M271" t="s">
        <v>787</v>
      </c>
    </row>
    <row r="272" spans="1:13">
      <c r="A272" t="s">
        <v>13</v>
      </c>
      <c r="B272">
        <v>276299</v>
      </c>
      <c r="C272">
        <v>276754</v>
      </c>
      <c r="E272" t="s">
        <v>38</v>
      </c>
      <c r="F272" t="s">
        <v>788</v>
      </c>
      <c r="H272">
        <v>1021319</v>
      </c>
      <c r="I272" t="s">
        <v>17</v>
      </c>
      <c r="K272" t="s">
        <v>789</v>
      </c>
      <c r="L272">
        <v>151</v>
      </c>
      <c r="M272" t="s">
        <v>790</v>
      </c>
    </row>
    <row r="273" spans="1:13">
      <c r="A273" t="s">
        <v>13</v>
      </c>
      <c r="B273">
        <v>276829</v>
      </c>
      <c r="C273">
        <v>277584</v>
      </c>
      <c r="E273" t="s">
        <v>14</v>
      </c>
      <c r="F273" t="s">
        <v>791</v>
      </c>
      <c r="G273" t="s">
        <v>792</v>
      </c>
      <c r="H273">
        <v>1021322</v>
      </c>
      <c r="I273" t="s">
        <v>17</v>
      </c>
      <c r="K273" t="s">
        <v>793</v>
      </c>
      <c r="L273">
        <v>251</v>
      </c>
      <c r="M273" t="s">
        <v>794</v>
      </c>
    </row>
    <row r="274" spans="1:13">
      <c r="A274" t="s">
        <v>13</v>
      </c>
      <c r="B274">
        <v>277581</v>
      </c>
      <c r="C274">
        <v>277907</v>
      </c>
      <c r="E274" t="s">
        <v>14</v>
      </c>
      <c r="F274" t="s">
        <v>795</v>
      </c>
      <c r="G274" t="s">
        <v>796</v>
      </c>
      <c r="H274">
        <v>1021321</v>
      </c>
      <c r="I274" t="s">
        <v>17</v>
      </c>
      <c r="K274" t="s">
        <v>797</v>
      </c>
      <c r="L274">
        <v>108</v>
      </c>
      <c r="M274" t="s">
        <v>798</v>
      </c>
    </row>
    <row r="275" spans="1:13">
      <c r="A275" t="s">
        <v>13</v>
      </c>
      <c r="B275">
        <v>277984</v>
      </c>
      <c r="C275">
        <v>278277</v>
      </c>
      <c r="E275" t="s">
        <v>38</v>
      </c>
      <c r="F275" t="s">
        <v>49</v>
      </c>
      <c r="H275">
        <v>1021324</v>
      </c>
      <c r="I275" t="s">
        <v>17</v>
      </c>
      <c r="K275" t="s">
        <v>799</v>
      </c>
      <c r="L275">
        <v>97</v>
      </c>
      <c r="M275" t="s">
        <v>800</v>
      </c>
    </row>
    <row r="276" spans="1:13">
      <c r="A276" t="s">
        <v>13</v>
      </c>
      <c r="B276">
        <v>278385</v>
      </c>
      <c r="C276">
        <v>278732</v>
      </c>
      <c r="E276" t="s">
        <v>38</v>
      </c>
      <c r="F276" t="s">
        <v>801</v>
      </c>
      <c r="H276">
        <v>1021157</v>
      </c>
      <c r="I276" t="s">
        <v>17</v>
      </c>
      <c r="K276" t="s">
        <v>802</v>
      </c>
      <c r="L276">
        <v>115</v>
      </c>
      <c r="M276" t="s">
        <v>803</v>
      </c>
    </row>
    <row r="277" spans="1:13">
      <c r="A277" t="s">
        <v>13</v>
      </c>
      <c r="B277">
        <v>278859</v>
      </c>
      <c r="C277">
        <v>279896</v>
      </c>
      <c r="E277" t="s">
        <v>14</v>
      </c>
      <c r="F277" t="s">
        <v>804</v>
      </c>
      <c r="G277" t="s">
        <v>805</v>
      </c>
      <c r="H277">
        <v>1021330</v>
      </c>
      <c r="I277" t="s">
        <v>17</v>
      </c>
      <c r="K277" t="s">
        <v>806</v>
      </c>
      <c r="L277">
        <v>345</v>
      </c>
      <c r="M277" t="s">
        <v>807</v>
      </c>
    </row>
    <row r="278" spans="1:13">
      <c r="A278" t="s">
        <v>13</v>
      </c>
      <c r="B278">
        <v>279893</v>
      </c>
      <c r="C278">
        <v>280282</v>
      </c>
      <c r="E278" t="s">
        <v>14</v>
      </c>
      <c r="F278" t="s">
        <v>808</v>
      </c>
      <c r="H278">
        <v>1021323</v>
      </c>
      <c r="I278" t="s">
        <v>17</v>
      </c>
      <c r="K278" t="s">
        <v>809</v>
      </c>
      <c r="L278">
        <v>129</v>
      </c>
      <c r="M278" t="s">
        <v>810</v>
      </c>
    </row>
    <row r="279" spans="1:13">
      <c r="A279" t="s">
        <v>13</v>
      </c>
      <c r="B279">
        <v>280346</v>
      </c>
      <c r="C279">
        <v>280666</v>
      </c>
      <c r="E279" t="s">
        <v>38</v>
      </c>
      <c r="F279" t="s">
        <v>811</v>
      </c>
      <c r="H279">
        <v>1021160</v>
      </c>
      <c r="I279" t="s">
        <v>17</v>
      </c>
      <c r="K279" t="s">
        <v>812</v>
      </c>
      <c r="L279">
        <v>106</v>
      </c>
      <c r="M279" t="s">
        <v>813</v>
      </c>
    </row>
    <row r="280" spans="1:13">
      <c r="A280" t="s">
        <v>13</v>
      </c>
      <c r="B280">
        <v>280667</v>
      </c>
      <c r="C280">
        <v>280939</v>
      </c>
      <c r="E280" t="s">
        <v>38</v>
      </c>
      <c r="F280" t="s">
        <v>814</v>
      </c>
      <c r="H280">
        <v>92792272</v>
      </c>
      <c r="I280" t="s">
        <v>17</v>
      </c>
      <c r="K280" t="s">
        <v>815</v>
      </c>
      <c r="L280">
        <v>90</v>
      </c>
      <c r="M280" t="s">
        <v>816</v>
      </c>
    </row>
    <row r="281" spans="1:13">
      <c r="A281" t="s">
        <v>13</v>
      </c>
      <c r="B281">
        <v>280946</v>
      </c>
      <c r="C281">
        <v>281401</v>
      </c>
      <c r="E281" t="s">
        <v>38</v>
      </c>
      <c r="F281" t="s">
        <v>817</v>
      </c>
      <c r="H281">
        <v>92792273</v>
      </c>
      <c r="I281" t="s">
        <v>17</v>
      </c>
      <c r="K281" t="s">
        <v>818</v>
      </c>
      <c r="L281">
        <v>151</v>
      </c>
      <c r="M281" t="s">
        <v>819</v>
      </c>
    </row>
    <row r="282" spans="1:13">
      <c r="A282" t="s">
        <v>13</v>
      </c>
      <c r="B282">
        <v>281401</v>
      </c>
      <c r="C282">
        <v>282927</v>
      </c>
      <c r="E282" t="s">
        <v>38</v>
      </c>
      <c r="F282" t="s">
        <v>820</v>
      </c>
      <c r="H282">
        <v>1021331</v>
      </c>
      <c r="I282" t="s">
        <v>17</v>
      </c>
      <c r="K282" t="s">
        <v>821</v>
      </c>
      <c r="L282">
        <v>508</v>
      </c>
      <c r="M282" t="s">
        <v>822</v>
      </c>
    </row>
    <row r="283" spans="1:13">
      <c r="A283" t="s">
        <v>13</v>
      </c>
      <c r="B283">
        <v>282934</v>
      </c>
      <c r="C283">
        <v>283317</v>
      </c>
      <c r="E283" t="s">
        <v>38</v>
      </c>
      <c r="F283" t="s">
        <v>823</v>
      </c>
      <c r="H283">
        <v>1021326</v>
      </c>
      <c r="I283" t="s">
        <v>17</v>
      </c>
      <c r="K283" t="s">
        <v>824</v>
      </c>
      <c r="L283">
        <v>127</v>
      </c>
      <c r="M283" t="s">
        <v>825</v>
      </c>
    </row>
    <row r="284" spans="1:13">
      <c r="A284" t="s">
        <v>13</v>
      </c>
      <c r="B284">
        <v>283314</v>
      </c>
      <c r="C284">
        <v>286208</v>
      </c>
      <c r="E284" t="s">
        <v>38</v>
      </c>
      <c r="F284" t="s">
        <v>826</v>
      </c>
      <c r="H284">
        <v>1021329</v>
      </c>
      <c r="I284" t="s">
        <v>17</v>
      </c>
      <c r="K284" t="s">
        <v>827</v>
      </c>
      <c r="L284">
        <v>964</v>
      </c>
      <c r="M284" t="s">
        <v>828</v>
      </c>
    </row>
    <row r="285" spans="1:13">
      <c r="A285" t="s">
        <v>13</v>
      </c>
      <c r="B285">
        <v>286382</v>
      </c>
      <c r="C285">
        <v>287860</v>
      </c>
      <c r="E285" t="s">
        <v>14</v>
      </c>
      <c r="F285" t="s">
        <v>829</v>
      </c>
      <c r="H285">
        <v>1021334</v>
      </c>
      <c r="I285" t="s">
        <v>17</v>
      </c>
      <c r="K285" t="s">
        <v>830</v>
      </c>
      <c r="L285">
        <v>492</v>
      </c>
      <c r="M285" t="s">
        <v>831</v>
      </c>
    </row>
    <row r="286" spans="1:13">
      <c r="A286" t="s">
        <v>13</v>
      </c>
      <c r="B286">
        <v>287963</v>
      </c>
      <c r="C286">
        <v>288829</v>
      </c>
      <c r="E286" t="s">
        <v>38</v>
      </c>
      <c r="F286" t="s">
        <v>832</v>
      </c>
      <c r="H286">
        <v>1021336</v>
      </c>
      <c r="I286" t="s">
        <v>17</v>
      </c>
      <c r="K286" t="s">
        <v>833</v>
      </c>
      <c r="L286">
        <v>288</v>
      </c>
      <c r="M286" t="s">
        <v>834</v>
      </c>
    </row>
    <row r="287" spans="1:13">
      <c r="A287" t="s">
        <v>13</v>
      </c>
      <c r="B287">
        <v>289128</v>
      </c>
      <c r="C287">
        <v>289796</v>
      </c>
      <c r="E287" t="s">
        <v>38</v>
      </c>
      <c r="F287" t="s">
        <v>835</v>
      </c>
      <c r="H287">
        <v>1021333</v>
      </c>
      <c r="I287" t="s">
        <v>17</v>
      </c>
      <c r="K287" t="s">
        <v>836</v>
      </c>
      <c r="L287">
        <v>222</v>
      </c>
      <c r="M287" t="s">
        <v>837</v>
      </c>
    </row>
    <row r="288" spans="1:13">
      <c r="A288" t="s">
        <v>13</v>
      </c>
      <c r="B288">
        <v>289774</v>
      </c>
      <c r="C288">
        <v>291243</v>
      </c>
      <c r="E288" t="s">
        <v>38</v>
      </c>
      <c r="F288" t="s">
        <v>237</v>
      </c>
      <c r="H288">
        <v>1021335</v>
      </c>
      <c r="I288" t="s">
        <v>17</v>
      </c>
      <c r="K288" t="s">
        <v>838</v>
      </c>
      <c r="L288">
        <v>489</v>
      </c>
      <c r="M288" t="s">
        <v>839</v>
      </c>
    </row>
    <row r="289" spans="1:13">
      <c r="A289" t="s">
        <v>13</v>
      </c>
      <c r="B289">
        <v>291270</v>
      </c>
      <c r="C289">
        <v>291617</v>
      </c>
      <c r="E289" t="s">
        <v>38</v>
      </c>
      <c r="F289" t="s">
        <v>49</v>
      </c>
      <c r="H289">
        <v>1021338</v>
      </c>
      <c r="I289" t="s">
        <v>17</v>
      </c>
      <c r="K289" t="s">
        <v>840</v>
      </c>
      <c r="L289">
        <v>115</v>
      </c>
      <c r="M289" t="s">
        <v>841</v>
      </c>
    </row>
    <row r="290" spans="1:13">
      <c r="A290" t="s">
        <v>13</v>
      </c>
      <c r="B290">
        <v>291800</v>
      </c>
      <c r="C290">
        <v>292420</v>
      </c>
      <c r="E290" t="s">
        <v>14</v>
      </c>
      <c r="F290" t="s">
        <v>842</v>
      </c>
      <c r="H290">
        <v>1021337</v>
      </c>
      <c r="I290" t="s">
        <v>17</v>
      </c>
      <c r="K290" t="s">
        <v>843</v>
      </c>
      <c r="L290">
        <v>206</v>
      </c>
      <c r="M290" t="s">
        <v>844</v>
      </c>
    </row>
    <row r="291" spans="1:13">
      <c r="A291" t="s">
        <v>13</v>
      </c>
      <c r="B291">
        <v>292469</v>
      </c>
      <c r="C291">
        <v>292542</v>
      </c>
      <c r="E291" t="s">
        <v>38</v>
      </c>
      <c r="F291" t="s">
        <v>845</v>
      </c>
      <c r="H291">
        <v>2745305</v>
      </c>
      <c r="I291" t="s">
        <v>62</v>
      </c>
      <c r="M291" t="s">
        <v>846</v>
      </c>
    </row>
    <row r="292" spans="1:13">
      <c r="A292" t="s">
        <v>13</v>
      </c>
      <c r="B292">
        <v>292594</v>
      </c>
      <c r="C292">
        <v>293502</v>
      </c>
      <c r="E292" t="s">
        <v>38</v>
      </c>
      <c r="F292" t="s">
        <v>89</v>
      </c>
      <c r="H292">
        <v>1021341</v>
      </c>
      <c r="I292" t="s">
        <v>17</v>
      </c>
      <c r="K292" t="s">
        <v>847</v>
      </c>
      <c r="L292">
        <v>302</v>
      </c>
      <c r="M292" t="s">
        <v>848</v>
      </c>
    </row>
    <row r="293" spans="1:13">
      <c r="A293" t="s">
        <v>13</v>
      </c>
      <c r="B293">
        <v>293539</v>
      </c>
      <c r="C293">
        <v>293994</v>
      </c>
      <c r="E293" t="s">
        <v>14</v>
      </c>
      <c r="F293" t="s">
        <v>849</v>
      </c>
      <c r="H293">
        <v>1021339</v>
      </c>
      <c r="I293" t="s">
        <v>17</v>
      </c>
      <c r="K293" t="s">
        <v>850</v>
      </c>
      <c r="L293">
        <v>151</v>
      </c>
      <c r="M293" t="s">
        <v>851</v>
      </c>
    </row>
    <row r="294" spans="1:13">
      <c r="A294" t="s">
        <v>13</v>
      </c>
      <c r="B294">
        <v>294001</v>
      </c>
      <c r="C294">
        <v>296388</v>
      </c>
      <c r="E294" t="s">
        <v>38</v>
      </c>
      <c r="F294" t="s">
        <v>852</v>
      </c>
      <c r="H294">
        <v>1021340</v>
      </c>
      <c r="I294" t="s">
        <v>17</v>
      </c>
      <c r="K294" t="s">
        <v>853</v>
      </c>
      <c r="L294">
        <v>795</v>
      </c>
      <c r="M294" t="s">
        <v>854</v>
      </c>
    </row>
    <row r="295" spans="1:13">
      <c r="A295" t="s">
        <v>13</v>
      </c>
      <c r="B295">
        <v>297055</v>
      </c>
      <c r="C295">
        <v>297405</v>
      </c>
      <c r="E295" t="s">
        <v>14</v>
      </c>
      <c r="F295" t="s">
        <v>855</v>
      </c>
      <c r="G295" t="s">
        <v>856</v>
      </c>
      <c r="H295">
        <v>1021345</v>
      </c>
      <c r="I295" t="s">
        <v>17</v>
      </c>
      <c r="K295" t="s">
        <v>857</v>
      </c>
      <c r="L295">
        <v>116</v>
      </c>
      <c r="M295" t="s">
        <v>858</v>
      </c>
    </row>
    <row r="296" spans="1:13">
      <c r="A296" t="s">
        <v>13</v>
      </c>
      <c r="B296">
        <v>297631</v>
      </c>
      <c r="C296">
        <v>297786</v>
      </c>
      <c r="E296" t="s">
        <v>14</v>
      </c>
      <c r="F296" t="s">
        <v>859</v>
      </c>
      <c r="H296">
        <v>1021343</v>
      </c>
      <c r="I296" t="s">
        <v>17</v>
      </c>
      <c r="K296" t="s">
        <v>860</v>
      </c>
      <c r="L296">
        <v>51</v>
      </c>
      <c r="M296" t="s">
        <v>861</v>
      </c>
    </row>
    <row r="297" spans="1:13">
      <c r="A297" t="s">
        <v>13</v>
      </c>
      <c r="B297">
        <v>297792</v>
      </c>
      <c r="C297">
        <v>298253</v>
      </c>
      <c r="E297" t="s">
        <v>14</v>
      </c>
      <c r="F297" t="s">
        <v>478</v>
      </c>
      <c r="H297">
        <v>1021344</v>
      </c>
      <c r="I297" t="s">
        <v>17</v>
      </c>
      <c r="K297" t="s">
        <v>862</v>
      </c>
      <c r="L297">
        <v>153</v>
      </c>
      <c r="M297" t="s">
        <v>863</v>
      </c>
    </row>
    <row r="298" spans="1:13">
      <c r="A298" t="s">
        <v>13</v>
      </c>
      <c r="B298">
        <v>298329</v>
      </c>
      <c r="C298">
        <v>299684</v>
      </c>
      <c r="E298" t="s">
        <v>38</v>
      </c>
      <c r="F298" t="s">
        <v>265</v>
      </c>
      <c r="H298">
        <v>1021349</v>
      </c>
      <c r="I298" t="s">
        <v>17</v>
      </c>
      <c r="K298" t="s">
        <v>864</v>
      </c>
      <c r="L298">
        <v>451</v>
      </c>
      <c r="M298" t="s">
        <v>865</v>
      </c>
    </row>
    <row r="299" spans="1:13">
      <c r="A299" t="s">
        <v>13</v>
      </c>
      <c r="B299">
        <v>299723</v>
      </c>
      <c r="C299">
        <v>301261</v>
      </c>
      <c r="E299" t="s">
        <v>38</v>
      </c>
      <c r="F299" t="s">
        <v>866</v>
      </c>
      <c r="H299">
        <v>1021346</v>
      </c>
      <c r="I299" t="s">
        <v>17</v>
      </c>
      <c r="K299" t="s">
        <v>867</v>
      </c>
      <c r="L299">
        <v>512</v>
      </c>
      <c r="M299" t="s">
        <v>868</v>
      </c>
    </row>
    <row r="300" spans="1:13">
      <c r="A300" t="s">
        <v>13</v>
      </c>
      <c r="B300">
        <v>301509</v>
      </c>
      <c r="C300">
        <v>301976</v>
      </c>
      <c r="E300" t="s">
        <v>38</v>
      </c>
      <c r="F300" t="s">
        <v>285</v>
      </c>
      <c r="H300">
        <v>1021347</v>
      </c>
      <c r="I300" t="s">
        <v>17</v>
      </c>
      <c r="K300" t="s">
        <v>869</v>
      </c>
      <c r="L300">
        <v>155</v>
      </c>
      <c r="M300" t="s">
        <v>870</v>
      </c>
    </row>
    <row r="301" spans="1:13">
      <c r="A301" t="s">
        <v>13</v>
      </c>
      <c r="B301">
        <v>302167</v>
      </c>
      <c r="C301">
        <v>303102</v>
      </c>
      <c r="E301" t="s">
        <v>14</v>
      </c>
      <c r="F301" t="s">
        <v>871</v>
      </c>
      <c r="H301">
        <v>1021352</v>
      </c>
      <c r="I301" t="s">
        <v>17</v>
      </c>
      <c r="K301" t="s">
        <v>872</v>
      </c>
      <c r="L301">
        <v>311</v>
      </c>
      <c r="M301" t="s">
        <v>873</v>
      </c>
    </row>
    <row r="302" spans="1:13">
      <c r="A302" t="s">
        <v>13</v>
      </c>
      <c r="B302">
        <v>303133</v>
      </c>
      <c r="C302">
        <v>304077</v>
      </c>
      <c r="E302" t="s">
        <v>14</v>
      </c>
      <c r="F302" t="s">
        <v>874</v>
      </c>
      <c r="H302">
        <v>1021350</v>
      </c>
      <c r="I302" t="s">
        <v>17</v>
      </c>
      <c r="K302" t="s">
        <v>875</v>
      </c>
      <c r="L302">
        <v>314</v>
      </c>
      <c r="M302" t="s">
        <v>876</v>
      </c>
    </row>
    <row r="303" spans="1:13">
      <c r="A303" t="s">
        <v>13</v>
      </c>
      <c r="B303">
        <v>304070</v>
      </c>
      <c r="C303">
        <v>305266</v>
      </c>
      <c r="E303" t="s">
        <v>14</v>
      </c>
      <c r="F303" t="s">
        <v>877</v>
      </c>
      <c r="H303">
        <v>1021351</v>
      </c>
      <c r="I303" t="s">
        <v>17</v>
      </c>
      <c r="K303" t="s">
        <v>878</v>
      </c>
      <c r="L303">
        <v>398</v>
      </c>
      <c r="M303" t="s">
        <v>879</v>
      </c>
    </row>
    <row r="304" spans="1:13">
      <c r="A304" t="s">
        <v>13</v>
      </c>
      <c r="B304">
        <v>305288</v>
      </c>
      <c r="C304">
        <v>305761</v>
      </c>
      <c r="E304" t="s">
        <v>14</v>
      </c>
      <c r="F304" t="s">
        <v>880</v>
      </c>
      <c r="H304">
        <v>1021355</v>
      </c>
      <c r="I304" t="s">
        <v>17</v>
      </c>
      <c r="K304" t="s">
        <v>881</v>
      </c>
      <c r="L304">
        <v>157</v>
      </c>
      <c r="M304" t="s">
        <v>882</v>
      </c>
    </row>
    <row r="305" spans="1:13">
      <c r="A305" t="s">
        <v>13</v>
      </c>
      <c r="B305">
        <v>305876</v>
      </c>
      <c r="C305">
        <v>306703</v>
      </c>
      <c r="E305" t="s">
        <v>14</v>
      </c>
      <c r="F305" t="s">
        <v>191</v>
      </c>
      <c r="H305">
        <v>1021353</v>
      </c>
      <c r="I305" t="s">
        <v>17</v>
      </c>
      <c r="K305" t="s">
        <v>883</v>
      </c>
      <c r="L305">
        <v>275</v>
      </c>
      <c r="M305" t="s">
        <v>884</v>
      </c>
    </row>
    <row r="306" spans="1:13">
      <c r="A306" t="s">
        <v>13</v>
      </c>
      <c r="B306">
        <v>306779</v>
      </c>
      <c r="C306">
        <v>307462</v>
      </c>
      <c r="E306" t="s">
        <v>38</v>
      </c>
      <c r="F306" t="s">
        <v>885</v>
      </c>
      <c r="G306" t="s">
        <v>886</v>
      </c>
      <c r="H306">
        <v>1021325</v>
      </c>
      <c r="I306" t="s">
        <v>17</v>
      </c>
      <c r="K306" t="s">
        <v>887</v>
      </c>
      <c r="L306">
        <v>227</v>
      </c>
      <c r="M306" t="s">
        <v>888</v>
      </c>
    </row>
    <row r="307" spans="1:13">
      <c r="A307" t="s">
        <v>13</v>
      </c>
      <c r="B307">
        <v>307724</v>
      </c>
      <c r="C307">
        <v>307909</v>
      </c>
      <c r="E307" t="s">
        <v>38</v>
      </c>
      <c r="F307" t="s">
        <v>49</v>
      </c>
      <c r="H307">
        <v>1021360</v>
      </c>
      <c r="I307" t="s">
        <v>17</v>
      </c>
      <c r="K307" t="s">
        <v>889</v>
      </c>
      <c r="L307">
        <v>61</v>
      </c>
      <c r="M307" t="s">
        <v>890</v>
      </c>
    </row>
    <row r="308" spans="1:13">
      <c r="A308" t="s">
        <v>13</v>
      </c>
      <c r="B308">
        <v>307955</v>
      </c>
      <c r="C308">
        <v>308737</v>
      </c>
      <c r="E308" t="s">
        <v>14</v>
      </c>
      <c r="F308" t="s">
        <v>891</v>
      </c>
      <c r="G308" t="s">
        <v>892</v>
      </c>
      <c r="H308">
        <v>1021358</v>
      </c>
      <c r="I308" t="s">
        <v>17</v>
      </c>
      <c r="K308" t="s">
        <v>893</v>
      </c>
      <c r="L308">
        <v>260</v>
      </c>
      <c r="M308" t="s">
        <v>894</v>
      </c>
    </row>
    <row r="309" spans="1:13">
      <c r="A309" t="s">
        <v>13</v>
      </c>
      <c r="B309">
        <v>308745</v>
      </c>
      <c r="C309">
        <v>309305</v>
      </c>
      <c r="E309" t="s">
        <v>14</v>
      </c>
      <c r="F309" t="s">
        <v>895</v>
      </c>
      <c r="H309">
        <v>1021366</v>
      </c>
      <c r="I309" t="s">
        <v>17</v>
      </c>
      <c r="K309" t="s">
        <v>896</v>
      </c>
      <c r="L309">
        <v>186</v>
      </c>
      <c r="M309" t="s">
        <v>897</v>
      </c>
    </row>
    <row r="310" spans="1:13">
      <c r="A310" t="s">
        <v>13</v>
      </c>
      <c r="B310">
        <v>309298</v>
      </c>
      <c r="C310">
        <v>310041</v>
      </c>
      <c r="E310" t="s">
        <v>14</v>
      </c>
      <c r="F310" t="s">
        <v>898</v>
      </c>
      <c r="H310">
        <v>1021356</v>
      </c>
      <c r="I310" t="s">
        <v>17</v>
      </c>
      <c r="K310" t="s">
        <v>899</v>
      </c>
      <c r="L310">
        <v>247</v>
      </c>
      <c r="M310" t="s">
        <v>900</v>
      </c>
    </row>
    <row r="311" spans="1:13">
      <c r="A311" t="s">
        <v>13</v>
      </c>
      <c r="B311">
        <v>310132</v>
      </c>
      <c r="C311">
        <v>311328</v>
      </c>
      <c r="E311" t="s">
        <v>14</v>
      </c>
      <c r="F311" t="s">
        <v>901</v>
      </c>
      <c r="H311">
        <v>1021359</v>
      </c>
      <c r="I311" t="s">
        <v>17</v>
      </c>
      <c r="K311" t="s">
        <v>902</v>
      </c>
      <c r="L311">
        <v>398</v>
      </c>
      <c r="M311" t="s">
        <v>903</v>
      </c>
    </row>
    <row r="312" spans="1:13">
      <c r="A312" t="s">
        <v>13</v>
      </c>
      <c r="B312">
        <v>311896</v>
      </c>
      <c r="C312">
        <v>312891</v>
      </c>
      <c r="E312" t="s">
        <v>38</v>
      </c>
      <c r="F312" t="s">
        <v>35</v>
      </c>
      <c r="H312">
        <v>1021363</v>
      </c>
      <c r="I312" t="s">
        <v>17</v>
      </c>
      <c r="K312" t="s">
        <v>904</v>
      </c>
      <c r="L312">
        <v>331</v>
      </c>
      <c r="M312" t="s">
        <v>905</v>
      </c>
    </row>
    <row r="313" spans="1:13">
      <c r="A313" t="s">
        <v>13</v>
      </c>
      <c r="B313">
        <v>312906</v>
      </c>
      <c r="C313">
        <v>313457</v>
      </c>
      <c r="E313" t="s">
        <v>38</v>
      </c>
      <c r="F313" t="s">
        <v>661</v>
      </c>
      <c r="H313">
        <v>1021361</v>
      </c>
      <c r="I313" t="s">
        <v>17</v>
      </c>
      <c r="K313" t="s">
        <v>906</v>
      </c>
      <c r="L313">
        <v>183</v>
      </c>
      <c r="M313" t="s">
        <v>907</v>
      </c>
    </row>
    <row r="314" spans="1:13">
      <c r="A314" t="s">
        <v>13</v>
      </c>
      <c r="B314">
        <v>313622</v>
      </c>
      <c r="C314">
        <v>314464</v>
      </c>
      <c r="E314" t="s">
        <v>38</v>
      </c>
      <c r="F314" t="s">
        <v>394</v>
      </c>
      <c r="H314">
        <v>1021354</v>
      </c>
      <c r="I314" t="s">
        <v>17</v>
      </c>
      <c r="K314" t="s">
        <v>908</v>
      </c>
      <c r="L314">
        <v>280</v>
      </c>
      <c r="M314" t="s">
        <v>909</v>
      </c>
    </row>
    <row r="315" spans="1:13">
      <c r="A315" t="s">
        <v>13</v>
      </c>
      <c r="B315">
        <v>314944</v>
      </c>
      <c r="C315">
        <v>316005</v>
      </c>
      <c r="E315" t="s">
        <v>14</v>
      </c>
      <c r="F315" t="s">
        <v>910</v>
      </c>
      <c r="G315" t="s">
        <v>911</v>
      </c>
      <c r="H315">
        <v>1021364</v>
      </c>
      <c r="I315" t="s">
        <v>17</v>
      </c>
      <c r="K315" t="s">
        <v>912</v>
      </c>
      <c r="L315">
        <v>353</v>
      </c>
      <c r="M315" t="s">
        <v>913</v>
      </c>
    </row>
    <row r="316" spans="1:13">
      <c r="A316" t="s">
        <v>13</v>
      </c>
      <c r="B316">
        <v>316002</v>
      </c>
      <c r="C316">
        <v>317135</v>
      </c>
      <c r="E316" t="s">
        <v>14</v>
      </c>
      <c r="F316" t="s">
        <v>914</v>
      </c>
      <c r="H316">
        <v>1021365</v>
      </c>
      <c r="I316" t="s">
        <v>17</v>
      </c>
      <c r="K316" t="s">
        <v>915</v>
      </c>
      <c r="L316">
        <v>377</v>
      </c>
      <c r="M316" t="s">
        <v>916</v>
      </c>
    </row>
    <row r="317" spans="1:13">
      <c r="A317" t="s">
        <v>13</v>
      </c>
      <c r="B317">
        <v>317120</v>
      </c>
      <c r="C317">
        <v>317896</v>
      </c>
      <c r="E317" t="s">
        <v>14</v>
      </c>
      <c r="F317" t="s">
        <v>917</v>
      </c>
      <c r="H317">
        <v>44144925</v>
      </c>
      <c r="I317" t="s">
        <v>17</v>
      </c>
      <c r="K317" t="s">
        <v>918</v>
      </c>
      <c r="L317">
        <v>258</v>
      </c>
      <c r="M317" t="s">
        <v>919</v>
      </c>
    </row>
    <row r="318" spans="1:13">
      <c r="A318" t="s">
        <v>13</v>
      </c>
      <c r="B318">
        <v>317893</v>
      </c>
      <c r="C318">
        <v>318468</v>
      </c>
      <c r="E318" t="s">
        <v>14</v>
      </c>
      <c r="F318" t="s">
        <v>917</v>
      </c>
      <c r="H318">
        <v>1021370</v>
      </c>
      <c r="I318" t="s">
        <v>17</v>
      </c>
      <c r="K318" t="s">
        <v>920</v>
      </c>
      <c r="L318">
        <v>191</v>
      </c>
      <c r="M318" t="s">
        <v>921</v>
      </c>
    </row>
    <row r="319" spans="1:13">
      <c r="A319" t="s">
        <v>13</v>
      </c>
      <c r="B319">
        <v>318492</v>
      </c>
      <c r="C319">
        <v>318692</v>
      </c>
      <c r="E319" t="s">
        <v>14</v>
      </c>
      <c r="F319" t="s">
        <v>922</v>
      </c>
      <c r="H319">
        <v>1021327</v>
      </c>
      <c r="I319" t="s">
        <v>17</v>
      </c>
      <c r="K319" t="s">
        <v>923</v>
      </c>
      <c r="L319">
        <v>66</v>
      </c>
      <c r="M319" t="s">
        <v>924</v>
      </c>
    </row>
    <row r="320" spans="1:13">
      <c r="A320" t="s">
        <v>13</v>
      </c>
      <c r="B320">
        <v>318696</v>
      </c>
      <c r="C320">
        <v>319016</v>
      </c>
      <c r="E320" t="s">
        <v>14</v>
      </c>
      <c r="F320" t="s">
        <v>49</v>
      </c>
      <c r="H320">
        <v>1021372</v>
      </c>
      <c r="I320" t="s">
        <v>17</v>
      </c>
      <c r="K320" t="s">
        <v>925</v>
      </c>
      <c r="L320">
        <v>106</v>
      </c>
      <c r="M320" t="s">
        <v>926</v>
      </c>
    </row>
    <row r="321" spans="1:13">
      <c r="A321" t="s">
        <v>13</v>
      </c>
      <c r="B321">
        <v>319039</v>
      </c>
      <c r="C321">
        <v>319338</v>
      </c>
      <c r="E321" t="s">
        <v>14</v>
      </c>
      <c r="F321" t="s">
        <v>927</v>
      </c>
      <c r="H321">
        <v>1021357</v>
      </c>
      <c r="I321" t="s">
        <v>17</v>
      </c>
      <c r="K321" t="s">
        <v>928</v>
      </c>
      <c r="L321">
        <v>99</v>
      </c>
      <c r="M321" t="s">
        <v>929</v>
      </c>
    </row>
    <row r="322" spans="1:13">
      <c r="A322" t="s">
        <v>13</v>
      </c>
      <c r="B322">
        <v>319333</v>
      </c>
      <c r="C322">
        <v>321690</v>
      </c>
      <c r="E322" t="s">
        <v>38</v>
      </c>
      <c r="F322" t="s">
        <v>930</v>
      </c>
      <c r="H322">
        <v>1021374</v>
      </c>
      <c r="I322" t="s">
        <v>17</v>
      </c>
      <c r="K322" t="s">
        <v>931</v>
      </c>
      <c r="L322">
        <v>785</v>
      </c>
      <c r="M322" t="s">
        <v>932</v>
      </c>
    </row>
    <row r="323" spans="1:13">
      <c r="A323" t="s">
        <v>13</v>
      </c>
      <c r="B323">
        <v>322007</v>
      </c>
      <c r="C323">
        <v>322210</v>
      </c>
      <c r="E323" t="s">
        <v>14</v>
      </c>
      <c r="F323" t="s">
        <v>541</v>
      </c>
      <c r="H323">
        <v>1021371</v>
      </c>
      <c r="I323" t="s">
        <v>17</v>
      </c>
      <c r="K323" t="s">
        <v>933</v>
      </c>
      <c r="L323">
        <v>67</v>
      </c>
      <c r="M323" t="s">
        <v>934</v>
      </c>
    </row>
    <row r="324" spans="1:13">
      <c r="A324" t="s">
        <v>13</v>
      </c>
      <c r="B324">
        <v>322910</v>
      </c>
      <c r="C324">
        <v>325900</v>
      </c>
      <c r="E324" t="s">
        <v>14</v>
      </c>
      <c r="F324" t="s">
        <v>935</v>
      </c>
      <c r="G324" t="s">
        <v>936</v>
      </c>
      <c r="H324">
        <v>1021373</v>
      </c>
      <c r="I324" t="s">
        <v>17</v>
      </c>
      <c r="K324" t="s">
        <v>937</v>
      </c>
      <c r="L324">
        <v>996</v>
      </c>
      <c r="M324" t="s">
        <v>938</v>
      </c>
    </row>
    <row r="325" spans="1:13">
      <c r="A325" t="s">
        <v>13</v>
      </c>
      <c r="B325">
        <v>325919</v>
      </c>
      <c r="C325">
        <v>326617</v>
      </c>
      <c r="E325" t="s">
        <v>14</v>
      </c>
      <c r="F325" t="s">
        <v>939</v>
      </c>
      <c r="H325">
        <v>1021377</v>
      </c>
      <c r="I325" t="s">
        <v>17</v>
      </c>
      <c r="K325" t="s">
        <v>940</v>
      </c>
      <c r="L325">
        <v>232</v>
      </c>
      <c r="M325" t="s">
        <v>941</v>
      </c>
    </row>
    <row r="326" spans="1:13">
      <c r="A326" t="s">
        <v>13</v>
      </c>
      <c r="B326">
        <v>326692</v>
      </c>
      <c r="C326">
        <v>328218</v>
      </c>
      <c r="E326" t="s">
        <v>38</v>
      </c>
      <c r="F326" t="s">
        <v>942</v>
      </c>
      <c r="H326">
        <v>1021375</v>
      </c>
      <c r="I326" t="s">
        <v>17</v>
      </c>
      <c r="K326" t="s">
        <v>943</v>
      </c>
      <c r="L326">
        <v>508</v>
      </c>
      <c r="M326" t="s">
        <v>944</v>
      </c>
    </row>
    <row r="327" spans="1:13">
      <c r="A327" t="s">
        <v>13</v>
      </c>
      <c r="B327">
        <v>328283</v>
      </c>
      <c r="C327">
        <v>329542</v>
      </c>
      <c r="E327" t="s">
        <v>14</v>
      </c>
      <c r="F327" t="s">
        <v>945</v>
      </c>
      <c r="H327">
        <v>1021376</v>
      </c>
      <c r="I327" t="s">
        <v>17</v>
      </c>
      <c r="K327" t="s">
        <v>946</v>
      </c>
      <c r="L327">
        <v>419</v>
      </c>
      <c r="M327" t="s">
        <v>947</v>
      </c>
    </row>
    <row r="328" spans="1:13">
      <c r="A328" t="s">
        <v>13</v>
      </c>
      <c r="B328">
        <v>329629</v>
      </c>
      <c r="C328">
        <v>329704</v>
      </c>
      <c r="E328" t="s">
        <v>14</v>
      </c>
      <c r="F328" t="s">
        <v>948</v>
      </c>
      <c r="H328">
        <v>2745377</v>
      </c>
      <c r="I328" t="s">
        <v>62</v>
      </c>
      <c r="M328" t="s">
        <v>949</v>
      </c>
    </row>
    <row r="329" spans="1:13">
      <c r="A329" t="s">
        <v>13</v>
      </c>
      <c r="B329">
        <v>329933</v>
      </c>
      <c r="C329">
        <v>330379</v>
      </c>
      <c r="E329" t="s">
        <v>14</v>
      </c>
      <c r="F329" t="s">
        <v>950</v>
      </c>
      <c r="H329">
        <v>1021378</v>
      </c>
      <c r="I329" t="s">
        <v>17</v>
      </c>
      <c r="K329" t="s">
        <v>951</v>
      </c>
      <c r="L329">
        <v>148</v>
      </c>
      <c r="M329" t="s">
        <v>952</v>
      </c>
    </row>
    <row r="330" spans="1:13">
      <c r="A330" t="s">
        <v>13</v>
      </c>
      <c r="B330">
        <v>330573</v>
      </c>
      <c r="C330">
        <v>330812</v>
      </c>
      <c r="E330" t="s">
        <v>14</v>
      </c>
      <c r="F330" t="s">
        <v>49</v>
      </c>
      <c r="H330">
        <v>44144926</v>
      </c>
      <c r="I330" t="s">
        <v>17</v>
      </c>
      <c r="K330" t="s">
        <v>953</v>
      </c>
      <c r="L330">
        <v>79</v>
      </c>
      <c r="M330" t="s">
        <v>954</v>
      </c>
    </row>
    <row r="331" spans="1:13">
      <c r="A331" t="s">
        <v>13</v>
      </c>
      <c r="B331">
        <v>330973</v>
      </c>
      <c r="C331">
        <v>331536</v>
      </c>
      <c r="E331" t="s">
        <v>14</v>
      </c>
      <c r="F331" t="s">
        <v>955</v>
      </c>
      <c r="H331">
        <v>1021379</v>
      </c>
      <c r="I331" t="s">
        <v>17</v>
      </c>
      <c r="K331" t="s">
        <v>956</v>
      </c>
      <c r="L331">
        <v>187</v>
      </c>
      <c r="M331" t="s">
        <v>957</v>
      </c>
    </row>
    <row r="332" spans="1:13">
      <c r="A332" t="s">
        <v>13</v>
      </c>
      <c r="B332">
        <v>331552</v>
      </c>
      <c r="C332">
        <v>332436</v>
      </c>
      <c r="E332" t="s">
        <v>14</v>
      </c>
      <c r="F332" t="s">
        <v>958</v>
      </c>
      <c r="H332">
        <v>1021385</v>
      </c>
      <c r="I332" t="s">
        <v>17</v>
      </c>
      <c r="K332" t="s">
        <v>959</v>
      </c>
      <c r="L332">
        <v>294</v>
      </c>
      <c r="M332" t="s">
        <v>960</v>
      </c>
    </row>
    <row r="333" spans="1:13">
      <c r="A333" t="s">
        <v>13</v>
      </c>
      <c r="B333">
        <v>332919</v>
      </c>
      <c r="C333">
        <v>334956</v>
      </c>
      <c r="E333" t="s">
        <v>14</v>
      </c>
      <c r="F333" t="s">
        <v>141</v>
      </c>
      <c r="H333">
        <v>1021382</v>
      </c>
      <c r="I333" t="s">
        <v>142</v>
      </c>
      <c r="M333" t="s">
        <v>961</v>
      </c>
    </row>
    <row r="334" spans="1:13">
      <c r="A334" t="s">
        <v>13</v>
      </c>
      <c r="B334">
        <v>335009</v>
      </c>
      <c r="C334">
        <v>336115</v>
      </c>
      <c r="E334" t="s">
        <v>14</v>
      </c>
      <c r="F334" t="s">
        <v>962</v>
      </c>
      <c r="H334">
        <v>1021381</v>
      </c>
      <c r="I334" t="s">
        <v>17</v>
      </c>
      <c r="K334" t="s">
        <v>963</v>
      </c>
      <c r="L334">
        <v>368</v>
      </c>
      <c r="M334" t="s">
        <v>964</v>
      </c>
    </row>
    <row r="335" spans="1:13">
      <c r="A335" t="s">
        <v>13</v>
      </c>
      <c r="B335">
        <v>336116</v>
      </c>
      <c r="C335">
        <v>336751</v>
      </c>
      <c r="E335" t="s">
        <v>14</v>
      </c>
      <c r="F335" t="s">
        <v>191</v>
      </c>
      <c r="H335">
        <v>1021386</v>
      </c>
      <c r="I335" t="s">
        <v>17</v>
      </c>
      <c r="K335" t="s">
        <v>965</v>
      </c>
      <c r="L335">
        <v>211</v>
      </c>
      <c r="M335" t="s">
        <v>966</v>
      </c>
    </row>
    <row r="336" spans="1:13">
      <c r="A336" t="s">
        <v>13</v>
      </c>
      <c r="B336">
        <v>336781</v>
      </c>
      <c r="C336">
        <v>337452</v>
      </c>
      <c r="E336" t="s">
        <v>14</v>
      </c>
      <c r="F336" t="s">
        <v>871</v>
      </c>
      <c r="H336">
        <v>1021367</v>
      </c>
      <c r="I336" t="s">
        <v>17</v>
      </c>
      <c r="K336" t="s">
        <v>967</v>
      </c>
      <c r="L336">
        <v>223</v>
      </c>
      <c r="M336" t="s">
        <v>968</v>
      </c>
    </row>
    <row r="337" spans="1:13">
      <c r="A337" t="s">
        <v>13</v>
      </c>
      <c r="B337">
        <v>337539</v>
      </c>
      <c r="C337">
        <v>338771</v>
      </c>
      <c r="E337" t="s">
        <v>14</v>
      </c>
      <c r="F337" t="s">
        <v>265</v>
      </c>
      <c r="H337">
        <v>1021388</v>
      </c>
      <c r="I337" t="s">
        <v>17</v>
      </c>
      <c r="K337" t="s">
        <v>969</v>
      </c>
      <c r="L337">
        <v>410</v>
      </c>
      <c r="M337" t="s">
        <v>970</v>
      </c>
    </row>
    <row r="338" spans="1:13">
      <c r="A338" t="s">
        <v>13</v>
      </c>
      <c r="B338">
        <v>338793</v>
      </c>
      <c r="C338">
        <v>339728</v>
      </c>
      <c r="E338" t="s">
        <v>14</v>
      </c>
      <c r="F338" t="s">
        <v>971</v>
      </c>
      <c r="H338">
        <v>1021383</v>
      </c>
      <c r="I338" t="s">
        <v>17</v>
      </c>
      <c r="K338" t="s">
        <v>972</v>
      </c>
      <c r="L338">
        <v>311</v>
      </c>
      <c r="M338" t="s">
        <v>973</v>
      </c>
    </row>
    <row r="339" spans="1:13">
      <c r="A339" t="s">
        <v>13</v>
      </c>
      <c r="B339">
        <v>340192</v>
      </c>
      <c r="C339">
        <v>340569</v>
      </c>
      <c r="E339" t="s">
        <v>38</v>
      </c>
      <c r="F339" t="s">
        <v>974</v>
      </c>
      <c r="H339">
        <v>1021390</v>
      </c>
      <c r="I339" t="s">
        <v>17</v>
      </c>
      <c r="K339" t="s">
        <v>975</v>
      </c>
      <c r="L339">
        <v>125</v>
      </c>
      <c r="M339" t="s">
        <v>976</v>
      </c>
    </row>
    <row r="340" spans="1:13">
      <c r="A340" t="s">
        <v>13</v>
      </c>
      <c r="B340">
        <v>340566</v>
      </c>
      <c r="C340">
        <v>341276</v>
      </c>
      <c r="E340" t="s">
        <v>38</v>
      </c>
      <c r="F340" t="s">
        <v>977</v>
      </c>
      <c r="H340">
        <v>1021114</v>
      </c>
      <c r="I340" t="s">
        <v>17</v>
      </c>
      <c r="K340" t="s">
        <v>978</v>
      </c>
      <c r="L340">
        <v>236</v>
      </c>
      <c r="M340" t="s">
        <v>979</v>
      </c>
    </row>
    <row r="341" spans="1:13">
      <c r="A341" t="s">
        <v>13</v>
      </c>
      <c r="B341">
        <v>341356</v>
      </c>
      <c r="C341">
        <v>342378</v>
      </c>
      <c r="E341" t="s">
        <v>14</v>
      </c>
      <c r="F341" t="s">
        <v>980</v>
      </c>
      <c r="H341">
        <v>1021389</v>
      </c>
      <c r="I341" t="s">
        <v>17</v>
      </c>
      <c r="K341" t="s">
        <v>981</v>
      </c>
      <c r="L341">
        <v>340</v>
      </c>
      <c r="M341" t="s">
        <v>982</v>
      </c>
    </row>
    <row r="342" spans="1:13">
      <c r="A342" t="s">
        <v>13</v>
      </c>
      <c r="B342">
        <v>342417</v>
      </c>
      <c r="C342">
        <v>343454</v>
      </c>
      <c r="E342" t="s">
        <v>14</v>
      </c>
      <c r="F342" t="s">
        <v>977</v>
      </c>
      <c r="H342">
        <v>1021368</v>
      </c>
      <c r="I342" t="s">
        <v>17</v>
      </c>
      <c r="K342" t="s">
        <v>983</v>
      </c>
      <c r="L342">
        <v>345</v>
      </c>
      <c r="M342" t="s">
        <v>984</v>
      </c>
    </row>
    <row r="343" spans="1:13">
      <c r="A343" t="s">
        <v>13</v>
      </c>
      <c r="B343">
        <v>343636</v>
      </c>
      <c r="C343">
        <v>345720</v>
      </c>
      <c r="E343" t="s">
        <v>14</v>
      </c>
      <c r="F343" t="s">
        <v>985</v>
      </c>
      <c r="H343">
        <v>1021392</v>
      </c>
      <c r="I343" t="s">
        <v>17</v>
      </c>
      <c r="K343" t="s">
        <v>986</v>
      </c>
      <c r="L343">
        <v>694</v>
      </c>
      <c r="M343" t="s">
        <v>987</v>
      </c>
    </row>
    <row r="344" spans="1:13">
      <c r="A344" t="s">
        <v>13</v>
      </c>
      <c r="B344">
        <v>346107</v>
      </c>
      <c r="C344">
        <v>346460</v>
      </c>
      <c r="E344" t="s">
        <v>38</v>
      </c>
      <c r="F344" t="s">
        <v>49</v>
      </c>
      <c r="H344">
        <v>1021387</v>
      </c>
      <c r="I344" t="s">
        <v>17</v>
      </c>
      <c r="K344" t="s">
        <v>988</v>
      </c>
      <c r="L344">
        <v>117</v>
      </c>
      <c r="M344" t="s">
        <v>989</v>
      </c>
    </row>
    <row r="345" spans="1:13">
      <c r="A345" t="s">
        <v>13</v>
      </c>
      <c r="B345">
        <v>346958</v>
      </c>
      <c r="C345">
        <v>348019</v>
      </c>
      <c r="E345" t="s">
        <v>38</v>
      </c>
      <c r="F345" t="s">
        <v>990</v>
      </c>
      <c r="G345" t="s">
        <v>991</v>
      </c>
      <c r="H345">
        <v>1021395</v>
      </c>
      <c r="I345" t="s">
        <v>17</v>
      </c>
      <c r="K345" t="s">
        <v>992</v>
      </c>
      <c r="L345">
        <v>353</v>
      </c>
      <c r="M345" t="s">
        <v>993</v>
      </c>
    </row>
    <row r="346" spans="1:13">
      <c r="A346" t="s">
        <v>13</v>
      </c>
      <c r="B346">
        <v>348095</v>
      </c>
      <c r="C346">
        <v>348952</v>
      </c>
      <c r="E346" t="s">
        <v>38</v>
      </c>
      <c r="F346" t="s">
        <v>994</v>
      </c>
      <c r="G346" t="s">
        <v>995</v>
      </c>
      <c r="H346">
        <v>1021396</v>
      </c>
      <c r="I346" t="s">
        <v>17</v>
      </c>
      <c r="K346" t="s">
        <v>996</v>
      </c>
      <c r="L346">
        <v>285</v>
      </c>
      <c r="M346" t="s">
        <v>997</v>
      </c>
    </row>
    <row r="347" spans="1:13">
      <c r="A347" t="s">
        <v>13</v>
      </c>
      <c r="B347">
        <v>348949</v>
      </c>
      <c r="C347">
        <v>350310</v>
      </c>
      <c r="E347" t="s">
        <v>38</v>
      </c>
      <c r="F347" t="s">
        <v>998</v>
      </c>
      <c r="H347">
        <v>1021124</v>
      </c>
      <c r="I347" t="s">
        <v>17</v>
      </c>
      <c r="K347" t="s">
        <v>999</v>
      </c>
      <c r="L347">
        <v>453</v>
      </c>
      <c r="M347" t="s">
        <v>1000</v>
      </c>
    </row>
    <row r="348" spans="1:13">
      <c r="A348" t="s">
        <v>13</v>
      </c>
      <c r="B348">
        <v>350310</v>
      </c>
      <c r="C348">
        <v>351329</v>
      </c>
      <c r="E348" t="s">
        <v>38</v>
      </c>
      <c r="F348" t="s">
        <v>1001</v>
      </c>
      <c r="G348" t="s">
        <v>1002</v>
      </c>
      <c r="H348">
        <v>1021061</v>
      </c>
      <c r="I348" t="s">
        <v>17</v>
      </c>
      <c r="K348" t="s">
        <v>1003</v>
      </c>
      <c r="L348">
        <v>339</v>
      </c>
      <c r="M348" t="s">
        <v>1004</v>
      </c>
    </row>
    <row r="349" spans="1:13">
      <c r="A349" t="s">
        <v>13</v>
      </c>
      <c r="B349">
        <v>351367</v>
      </c>
      <c r="C349">
        <v>351948</v>
      </c>
      <c r="E349" t="s">
        <v>38</v>
      </c>
      <c r="F349" t="s">
        <v>1005</v>
      </c>
      <c r="H349">
        <v>1021176</v>
      </c>
      <c r="I349" t="s">
        <v>17</v>
      </c>
      <c r="K349" t="s">
        <v>1006</v>
      </c>
      <c r="L349">
        <v>193</v>
      </c>
      <c r="M349" t="s">
        <v>1007</v>
      </c>
    </row>
    <row r="350" spans="1:13">
      <c r="A350" t="s">
        <v>13</v>
      </c>
      <c r="B350">
        <v>352693</v>
      </c>
      <c r="C350">
        <v>353640</v>
      </c>
      <c r="E350" t="s">
        <v>14</v>
      </c>
      <c r="F350" t="s">
        <v>1008</v>
      </c>
      <c r="H350">
        <v>1021397</v>
      </c>
      <c r="I350" t="s">
        <v>17</v>
      </c>
      <c r="K350" t="s">
        <v>1009</v>
      </c>
      <c r="L350">
        <v>315</v>
      </c>
      <c r="M350" t="s">
        <v>1010</v>
      </c>
    </row>
    <row r="351" spans="1:13">
      <c r="A351" t="s">
        <v>13</v>
      </c>
      <c r="B351">
        <v>353746</v>
      </c>
      <c r="C351">
        <v>354387</v>
      </c>
      <c r="E351" t="s">
        <v>38</v>
      </c>
      <c r="F351" t="s">
        <v>49</v>
      </c>
      <c r="H351">
        <v>1021083</v>
      </c>
      <c r="I351" t="s">
        <v>17</v>
      </c>
      <c r="K351" t="s">
        <v>1011</v>
      </c>
      <c r="L351">
        <v>213</v>
      </c>
      <c r="M351" t="s">
        <v>1012</v>
      </c>
    </row>
    <row r="352" spans="1:13">
      <c r="A352" t="s">
        <v>13</v>
      </c>
      <c r="B352">
        <v>354596</v>
      </c>
      <c r="C352">
        <v>355846</v>
      </c>
      <c r="E352" t="s">
        <v>38</v>
      </c>
      <c r="F352" t="s">
        <v>49</v>
      </c>
      <c r="H352">
        <v>1021398</v>
      </c>
      <c r="I352" t="s">
        <v>17</v>
      </c>
      <c r="K352" t="s">
        <v>1013</v>
      </c>
      <c r="L352">
        <v>416</v>
      </c>
      <c r="M352" t="s">
        <v>1014</v>
      </c>
    </row>
    <row r="353" spans="1:13">
      <c r="A353" t="s">
        <v>13</v>
      </c>
      <c r="B353">
        <v>355846</v>
      </c>
      <c r="C353">
        <v>357228</v>
      </c>
      <c r="E353" t="s">
        <v>38</v>
      </c>
      <c r="F353" t="s">
        <v>1015</v>
      </c>
      <c r="H353">
        <v>1021394</v>
      </c>
      <c r="I353" t="s">
        <v>17</v>
      </c>
      <c r="K353" t="s">
        <v>1016</v>
      </c>
      <c r="L353">
        <v>460</v>
      </c>
      <c r="M353" t="s">
        <v>1017</v>
      </c>
    </row>
    <row r="354" spans="1:13">
      <c r="A354" t="s">
        <v>13</v>
      </c>
      <c r="B354">
        <v>357234</v>
      </c>
      <c r="C354">
        <v>359240</v>
      </c>
      <c r="E354" t="s">
        <v>38</v>
      </c>
      <c r="F354" t="s">
        <v>1018</v>
      </c>
      <c r="H354">
        <v>1021172</v>
      </c>
      <c r="I354" t="s">
        <v>17</v>
      </c>
      <c r="K354" t="s">
        <v>1019</v>
      </c>
      <c r="L354">
        <v>668</v>
      </c>
      <c r="M354" t="s">
        <v>1020</v>
      </c>
    </row>
    <row r="355" spans="1:13">
      <c r="A355" t="s">
        <v>13</v>
      </c>
      <c r="B355">
        <v>359759</v>
      </c>
      <c r="C355">
        <v>360307</v>
      </c>
      <c r="E355" t="s">
        <v>38</v>
      </c>
      <c r="F355" t="s">
        <v>1021</v>
      </c>
      <c r="H355">
        <v>1021060</v>
      </c>
      <c r="I355" t="s">
        <v>17</v>
      </c>
      <c r="K355" t="s">
        <v>1022</v>
      </c>
      <c r="L355">
        <v>182</v>
      </c>
      <c r="M355" t="s">
        <v>1023</v>
      </c>
    </row>
    <row r="356" spans="1:13">
      <c r="A356" t="s">
        <v>13</v>
      </c>
      <c r="B356">
        <v>360811</v>
      </c>
      <c r="C356">
        <v>361905</v>
      </c>
      <c r="E356" t="s">
        <v>38</v>
      </c>
      <c r="F356" t="s">
        <v>1024</v>
      </c>
      <c r="H356">
        <v>1021180</v>
      </c>
      <c r="I356" t="s">
        <v>17</v>
      </c>
      <c r="K356" t="s">
        <v>1025</v>
      </c>
      <c r="L356">
        <v>364</v>
      </c>
      <c r="M356" t="s">
        <v>1026</v>
      </c>
    </row>
    <row r="357" spans="1:13">
      <c r="A357" t="s">
        <v>13</v>
      </c>
      <c r="B357">
        <v>362054</v>
      </c>
      <c r="C357">
        <v>363151</v>
      </c>
      <c r="E357" t="s">
        <v>38</v>
      </c>
      <c r="F357" t="s">
        <v>391</v>
      </c>
      <c r="H357">
        <v>1021400</v>
      </c>
      <c r="I357" t="s">
        <v>17</v>
      </c>
      <c r="K357" t="s">
        <v>1027</v>
      </c>
      <c r="L357">
        <v>365</v>
      </c>
      <c r="M357" t="s">
        <v>1028</v>
      </c>
    </row>
    <row r="358" spans="1:13">
      <c r="A358" t="s">
        <v>13</v>
      </c>
      <c r="B358">
        <v>363824</v>
      </c>
      <c r="C358">
        <v>365260</v>
      </c>
      <c r="E358" t="s">
        <v>14</v>
      </c>
      <c r="F358" t="s">
        <v>1029</v>
      </c>
      <c r="H358">
        <v>1021402</v>
      </c>
      <c r="I358" t="s">
        <v>17</v>
      </c>
      <c r="K358" t="s">
        <v>1030</v>
      </c>
      <c r="L358">
        <v>478</v>
      </c>
      <c r="M358" t="s">
        <v>1031</v>
      </c>
    </row>
    <row r="359" spans="1:13">
      <c r="A359" t="s">
        <v>13</v>
      </c>
      <c r="B359">
        <v>365250</v>
      </c>
      <c r="C359">
        <v>365855</v>
      </c>
      <c r="E359" t="s">
        <v>14</v>
      </c>
      <c r="F359" t="s">
        <v>808</v>
      </c>
      <c r="H359">
        <v>1021170</v>
      </c>
      <c r="I359" t="s">
        <v>17</v>
      </c>
      <c r="K359" t="s">
        <v>1032</v>
      </c>
      <c r="L359">
        <v>201</v>
      </c>
      <c r="M359" t="s">
        <v>1033</v>
      </c>
    </row>
    <row r="360" spans="1:13">
      <c r="A360" t="s">
        <v>13</v>
      </c>
      <c r="B360">
        <v>365855</v>
      </c>
      <c r="C360">
        <v>366841</v>
      </c>
      <c r="E360" t="s">
        <v>14</v>
      </c>
      <c r="F360" t="s">
        <v>1034</v>
      </c>
      <c r="H360">
        <v>1021391</v>
      </c>
      <c r="I360" t="s">
        <v>17</v>
      </c>
      <c r="K360" t="s">
        <v>1035</v>
      </c>
      <c r="L360">
        <v>328</v>
      </c>
      <c r="M360" t="s">
        <v>1036</v>
      </c>
    </row>
    <row r="361" spans="1:13">
      <c r="A361" t="s">
        <v>13</v>
      </c>
      <c r="B361">
        <v>366832</v>
      </c>
      <c r="C361">
        <v>368646</v>
      </c>
      <c r="E361" t="s">
        <v>14</v>
      </c>
      <c r="F361" t="s">
        <v>1037</v>
      </c>
      <c r="H361">
        <v>1021073</v>
      </c>
      <c r="I361" t="s">
        <v>17</v>
      </c>
      <c r="K361" t="s">
        <v>1038</v>
      </c>
      <c r="L361">
        <v>604</v>
      </c>
      <c r="M361" t="s">
        <v>1039</v>
      </c>
    </row>
    <row r="362" spans="1:13">
      <c r="A362" t="s">
        <v>13</v>
      </c>
      <c r="B362">
        <v>368647</v>
      </c>
      <c r="C362">
        <v>369804</v>
      </c>
      <c r="E362" t="s">
        <v>14</v>
      </c>
      <c r="F362" t="s">
        <v>1040</v>
      </c>
      <c r="H362">
        <v>1021186</v>
      </c>
      <c r="I362" t="s">
        <v>17</v>
      </c>
      <c r="K362" t="s">
        <v>1041</v>
      </c>
      <c r="L362">
        <v>385</v>
      </c>
      <c r="M362" t="s">
        <v>1042</v>
      </c>
    </row>
    <row r="363" spans="1:13">
      <c r="A363" t="s">
        <v>13</v>
      </c>
      <c r="B363">
        <v>369794</v>
      </c>
      <c r="C363">
        <v>370408</v>
      </c>
      <c r="E363" t="s">
        <v>14</v>
      </c>
      <c r="F363" t="s">
        <v>1043</v>
      </c>
      <c r="H363">
        <v>1021404</v>
      </c>
      <c r="I363" t="s">
        <v>17</v>
      </c>
      <c r="K363" t="s">
        <v>1044</v>
      </c>
      <c r="L363">
        <v>204</v>
      </c>
      <c r="M363" t="s">
        <v>1045</v>
      </c>
    </row>
    <row r="364" spans="1:13">
      <c r="A364" t="s">
        <v>13</v>
      </c>
      <c r="B364">
        <v>370685</v>
      </c>
      <c r="C364">
        <v>371776</v>
      </c>
      <c r="E364" t="s">
        <v>14</v>
      </c>
      <c r="F364" t="s">
        <v>1046</v>
      </c>
      <c r="H364">
        <v>1021401</v>
      </c>
      <c r="I364" t="s">
        <v>17</v>
      </c>
      <c r="K364" t="s">
        <v>1047</v>
      </c>
      <c r="L364">
        <v>363</v>
      </c>
      <c r="M364" t="s">
        <v>1048</v>
      </c>
    </row>
    <row r="365" spans="1:13">
      <c r="A365" t="s">
        <v>13</v>
      </c>
      <c r="B365">
        <v>371929</v>
      </c>
      <c r="C365">
        <v>373422</v>
      </c>
      <c r="E365" t="s">
        <v>14</v>
      </c>
      <c r="F365" t="s">
        <v>1049</v>
      </c>
      <c r="H365">
        <v>1021405</v>
      </c>
      <c r="I365" t="s">
        <v>17</v>
      </c>
      <c r="K365" t="s">
        <v>1050</v>
      </c>
      <c r="L365">
        <v>497</v>
      </c>
      <c r="M365" t="s">
        <v>1051</v>
      </c>
    </row>
    <row r="366" spans="1:13">
      <c r="A366" t="s">
        <v>13</v>
      </c>
      <c r="B366">
        <v>373500</v>
      </c>
      <c r="C366">
        <v>374816</v>
      </c>
      <c r="E366" t="s">
        <v>14</v>
      </c>
      <c r="F366" t="s">
        <v>1052</v>
      </c>
      <c r="H366">
        <v>1021194</v>
      </c>
      <c r="I366" t="s">
        <v>17</v>
      </c>
      <c r="K366" t="s">
        <v>1053</v>
      </c>
      <c r="L366">
        <v>438</v>
      </c>
      <c r="M366" t="s">
        <v>1054</v>
      </c>
    </row>
    <row r="367" spans="1:13">
      <c r="A367" t="s">
        <v>13</v>
      </c>
      <c r="B367">
        <v>374833</v>
      </c>
      <c r="C367">
        <v>375840</v>
      </c>
      <c r="E367" t="s">
        <v>14</v>
      </c>
      <c r="F367" t="s">
        <v>1055</v>
      </c>
      <c r="G367" t="s">
        <v>1056</v>
      </c>
      <c r="H367">
        <v>1021403</v>
      </c>
      <c r="I367" t="s">
        <v>17</v>
      </c>
      <c r="K367" t="s">
        <v>1057</v>
      </c>
      <c r="L367">
        <v>335</v>
      </c>
      <c r="M367" t="s">
        <v>1058</v>
      </c>
    </row>
    <row r="368" spans="1:13">
      <c r="A368" t="s">
        <v>13</v>
      </c>
      <c r="B368">
        <v>375842</v>
      </c>
      <c r="C368">
        <v>376879</v>
      </c>
      <c r="E368" t="s">
        <v>14</v>
      </c>
      <c r="F368" t="s">
        <v>977</v>
      </c>
      <c r="H368">
        <v>1021406</v>
      </c>
      <c r="I368" t="s">
        <v>17</v>
      </c>
      <c r="K368" t="s">
        <v>1059</v>
      </c>
      <c r="L368">
        <v>345</v>
      </c>
      <c r="M368" t="s">
        <v>1060</v>
      </c>
    </row>
    <row r="369" spans="1:13">
      <c r="A369" t="s">
        <v>13</v>
      </c>
      <c r="B369">
        <v>377683</v>
      </c>
      <c r="C369">
        <v>377835</v>
      </c>
      <c r="E369" t="s">
        <v>14</v>
      </c>
      <c r="F369" t="s">
        <v>1061</v>
      </c>
      <c r="H369">
        <v>92792284</v>
      </c>
      <c r="I369" t="s">
        <v>17</v>
      </c>
      <c r="K369" t="s">
        <v>1062</v>
      </c>
      <c r="L369">
        <v>50</v>
      </c>
      <c r="M369" t="s">
        <v>1063</v>
      </c>
    </row>
    <row r="370" spans="1:13">
      <c r="A370" t="s">
        <v>13</v>
      </c>
      <c r="B370">
        <v>377832</v>
      </c>
      <c r="C370">
        <v>378056</v>
      </c>
      <c r="E370" t="s">
        <v>38</v>
      </c>
      <c r="F370" t="s">
        <v>49</v>
      </c>
      <c r="H370">
        <v>92792285</v>
      </c>
      <c r="I370" t="s">
        <v>17</v>
      </c>
      <c r="K370" t="s">
        <v>1064</v>
      </c>
      <c r="L370">
        <v>74</v>
      </c>
      <c r="M370" t="s">
        <v>1065</v>
      </c>
    </row>
    <row r="371" spans="1:13">
      <c r="A371" t="s">
        <v>13</v>
      </c>
      <c r="B371">
        <v>378296</v>
      </c>
      <c r="C371">
        <v>378514</v>
      </c>
      <c r="E371" t="s">
        <v>14</v>
      </c>
      <c r="F371" t="s">
        <v>1061</v>
      </c>
      <c r="H371">
        <v>92792286</v>
      </c>
      <c r="I371" t="s">
        <v>17</v>
      </c>
      <c r="K371" t="s">
        <v>1066</v>
      </c>
      <c r="L371">
        <v>72</v>
      </c>
      <c r="M371" t="s">
        <v>1067</v>
      </c>
    </row>
    <row r="372" spans="1:13">
      <c r="A372" t="s">
        <v>13</v>
      </c>
      <c r="B372">
        <v>378665</v>
      </c>
      <c r="C372">
        <v>379837</v>
      </c>
      <c r="E372" t="s">
        <v>38</v>
      </c>
      <c r="F372" t="s">
        <v>1068</v>
      </c>
      <c r="H372">
        <v>1021408</v>
      </c>
      <c r="I372" t="s">
        <v>17</v>
      </c>
      <c r="K372" t="s">
        <v>1069</v>
      </c>
      <c r="L372">
        <v>390</v>
      </c>
      <c r="M372" t="s">
        <v>1070</v>
      </c>
    </row>
    <row r="373" spans="1:13">
      <c r="A373" t="s">
        <v>13</v>
      </c>
      <c r="B373">
        <v>379847</v>
      </c>
      <c r="C373">
        <v>380842</v>
      </c>
      <c r="E373" t="s">
        <v>38</v>
      </c>
      <c r="F373" t="s">
        <v>1071</v>
      </c>
      <c r="H373">
        <v>1021057</v>
      </c>
      <c r="I373" t="s">
        <v>17</v>
      </c>
      <c r="K373" t="s">
        <v>1072</v>
      </c>
      <c r="L373">
        <v>331</v>
      </c>
      <c r="M373" t="s">
        <v>1073</v>
      </c>
    </row>
    <row r="374" spans="1:13">
      <c r="A374" t="s">
        <v>13</v>
      </c>
      <c r="B374">
        <v>381115</v>
      </c>
      <c r="C374">
        <v>381498</v>
      </c>
      <c r="E374" t="s">
        <v>14</v>
      </c>
      <c r="F374" t="s">
        <v>141</v>
      </c>
      <c r="H374">
        <v>92792287</v>
      </c>
      <c r="I374" t="s">
        <v>142</v>
      </c>
      <c r="M374" t="s">
        <v>1074</v>
      </c>
    </row>
    <row r="375" spans="1:13">
      <c r="A375" t="s">
        <v>13</v>
      </c>
      <c r="B375">
        <v>381948</v>
      </c>
      <c r="C375">
        <v>383111</v>
      </c>
      <c r="E375" t="s">
        <v>14</v>
      </c>
      <c r="F375" t="s">
        <v>1075</v>
      </c>
      <c r="H375">
        <v>1020646</v>
      </c>
      <c r="I375" t="s">
        <v>17</v>
      </c>
      <c r="K375" t="s">
        <v>1076</v>
      </c>
      <c r="L375">
        <v>387</v>
      </c>
      <c r="M375" t="s">
        <v>1077</v>
      </c>
    </row>
    <row r="376" spans="1:13">
      <c r="A376" t="s">
        <v>13</v>
      </c>
      <c r="B376">
        <v>383979</v>
      </c>
      <c r="C376">
        <v>385190</v>
      </c>
      <c r="E376" t="s">
        <v>38</v>
      </c>
      <c r="F376" t="s">
        <v>1078</v>
      </c>
      <c r="H376">
        <v>1021049</v>
      </c>
      <c r="I376" t="s">
        <v>17</v>
      </c>
      <c r="K376" t="s">
        <v>1079</v>
      </c>
      <c r="L376">
        <v>403</v>
      </c>
      <c r="M376" t="s">
        <v>1080</v>
      </c>
    </row>
    <row r="377" spans="1:13">
      <c r="A377" t="s">
        <v>13</v>
      </c>
      <c r="B377">
        <v>385371</v>
      </c>
      <c r="C377">
        <v>386195</v>
      </c>
      <c r="E377" t="s">
        <v>38</v>
      </c>
      <c r="F377" t="s">
        <v>414</v>
      </c>
      <c r="H377">
        <v>1020165</v>
      </c>
      <c r="I377" t="s">
        <v>17</v>
      </c>
      <c r="K377" t="s">
        <v>1081</v>
      </c>
      <c r="L377">
        <v>274</v>
      </c>
      <c r="M377" t="s">
        <v>1082</v>
      </c>
    </row>
    <row r="378" spans="1:13">
      <c r="A378" t="s">
        <v>13</v>
      </c>
      <c r="B378">
        <v>386556</v>
      </c>
      <c r="C378">
        <v>387203</v>
      </c>
      <c r="E378" t="s">
        <v>14</v>
      </c>
      <c r="F378" t="s">
        <v>1083</v>
      </c>
      <c r="H378">
        <v>1021065</v>
      </c>
      <c r="I378" t="s">
        <v>17</v>
      </c>
      <c r="K378" t="s">
        <v>1084</v>
      </c>
      <c r="L378">
        <v>215</v>
      </c>
      <c r="M378" t="s">
        <v>1085</v>
      </c>
    </row>
    <row r="379" spans="1:13">
      <c r="A379" t="s">
        <v>13</v>
      </c>
      <c r="B379">
        <v>387692</v>
      </c>
      <c r="C379">
        <v>389101</v>
      </c>
      <c r="E379" t="s">
        <v>14</v>
      </c>
      <c r="F379" t="s">
        <v>1086</v>
      </c>
      <c r="G379" t="s">
        <v>1087</v>
      </c>
      <c r="H379">
        <v>1021410</v>
      </c>
      <c r="I379" t="s">
        <v>17</v>
      </c>
      <c r="K379" t="s">
        <v>1088</v>
      </c>
      <c r="L379">
        <v>469</v>
      </c>
      <c r="M379" t="s">
        <v>1089</v>
      </c>
    </row>
    <row r="380" spans="1:13">
      <c r="A380" t="s">
        <v>13</v>
      </c>
      <c r="B380">
        <v>389248</v>
      </c>
      <c r="C380">
        <v>390171</v>
      </c>
      <c r="E380" t="s">
        <v>14</v>
      </c>
      <c r="F380" t="s">
        <v>1090</v>
      </c>
      <c r="H380">
        <v>1021411</v>
      </c>
      <c r="I380" t="s">
        <v>17</v>
      </c>
      <c r="K380" t="s">
        <v>1091</v>
      </c>
      <c r="L380">
        <v>307</v>
      </c>
      <c r="M380" t="s">
        <v>1092</v>
      </c>
    </row>
    <row r="381" spans="1:13">
      <c r="A381" t="s">
        <v>13</v>
      </c>
      <c r="B381">
        <v>390212</v>
      </c>
      <c r="C381">
        <v>390733</v>
      </c>
      <c r="E381" t="s">
        <v>14</v>
      </c>
      <c r="F381" t="s">
        <v>1093</v>
      </c>
      <c r="G381" t="s">
        <v>1094</v>
      </c>
      <c r="H381">
        <v>1021409</v>
      </c>
      <c r="I381" t="s">
        <v>17</v>
      </c>
      <c r="K381" t="s">
        <v>1095</v>
      </c>
      <c r="L381">
        <v>173</v>
      </c>
      <c r="M381" t="s">
        <v>1096</v>
      </c>
    </row>
    <row r="382" spans="1:13">
      <c r="A382" t="s">
        <v>13</v>
      </c>
      <c r="B382">
        <v>390784</v>
      </c>
      <c r="C382">
        <v>392208</v>
      </c>
      <c r="E382" t="s">
        <v>38</v>
      </c>
      <c r="F382" t="s">
        <v>1097</v>
      </c>
      <c r="G382" t="s">
        <v>1098</v>
      </c>
      <c r="H382">
        <v>1021407</v>
      </c>
      <c r="I382" t="s">
        <v>17</v>
      </c>
      <c r="K382" t="s">
        <v>1099</v>
      </c>
      <c r="L382">
        <v>474</v>
      </c>
      <c r="M382" t="s">
        <v>1100</v>
      </c>
    </row>
    <row r="383" spans="1:13">
      <c r="A383" t="s">
        <v>13</v>
      </c>
      <c r="B383">
        <v>392705</v>
      </c>
      <c r="C383">
        <v>393478</v>
      </c>
      <c r="E383" t="s">
        <v>14</v>
      </c>
      <c r="F383" t="s">
        <v>1101</v>
      </c>
      <c r="H383">
        <v>1021096</v>
      </c>
      <c r="I383" t="s">
        <v>17</v>
      </c>
      <c r="K383" t="s">
        <v>1102</v>
      </c>
      <c r="L383">
        <v>257</v>
      </c>
      <c r="M383" t="s">
        <v>1103</v>
      </c>
    </row>
    <row r="384" spans="1:13">
      <c r="A384" t="s">
        <v>13</v>
      </c>
      <c r="B384">
        <v>393495</v>
      </c>
      <c r="C384">
        <v>395516</v>
      </c>
      <c r="E384" t="s">
        <v>14</v>
      </c>
      <c r="F384" t="s">
        <v>1104</v>
      </c>
      <c r="H384">
        <v>1021051</v>
      </c>
      <c r="I384" t="s">
        <v>17</v>
      </c>
      <c r="K384" t="s">
        <v>1105</v>
      </c>
      <c r="L384">
        <v>673</v>
      </c>
      <c r="M384" t="s">
        <v>1106</v>
      </c>
    </row>
    <row r="385" spans="1:13">
      <c r="A385" t="s">
        <v>13</v>
      </c>
      <c r="B385">
        <v>395516</v>
      </c>
      <c r="C385">
        <v>396265</v>
      </c>
      <c r="E385" t="s">
        <v>14</v>
      </c>
      <c r="F385" t="s">
        <v>1107</v>
      </c>
      <c r="H385">
        <v>1021416</v>
      </c>
      <c r="I385" t="s">
        <v>17</v>
      </c>
      <c r="K385" t="s">
        <v>1108</v>
      </c>
      <c r="L385">
        <v>249</v>
      </c>
      <c r="M385" t="s">
        <v>1109</v>
      </c>
    </row>
    <row r="386" spans="1:13">
      <c r="A386" t="s">
        <v>13</v>
      </c>
      <c r="B386">
        <v>396324</v>
      </c>
      <c r="C386">
        <v>396653</v>
      </c>
      <c r="E386" t="s">
        <v>14</v>
      </c>
      <c r="F386" t="s">
        <v>49</v>
      </c>
      <c r="H386">
        <v>1021153</v>
      </c>
      <c r="I386" t="s">
        <v>17</v>
      </c>
      <c r="K386" t="s">
        <v>1110</v>
      </c>
      <c r="L386">
        <v>109</v>
      </c>
      <c r="M386" t="s">
        <v>1111</v>
      </c>
    </row>
    <row r="387" spans="1:13">
      <c r="A387" t="s">
        <v>13</v>
      </c>
      <c r="B387">
        <v>396672</v>
      </c>
      <c r="C387">
        <v>396935</v>
      </c>
      <c r="E387" t="s">
        <v>14</v>
      </c>
      <c r="F387" t="s">
        <v>49</v>
      </c>
      <c r="H387">
        <v>1021412</v>
      </c>
      <c r="I387" t="s">
        <v>17</v>
      </c>
      <c r="K387" t="s">
        <v>1112</v>
      </c>
      <c r="L387">
        <v>87</v>
      </c>
      <c r="M387" t="s">
        <v>1113</v>
      </c>
    </row>
    <row r="388" spans="1:13">
      <c r="A388" t="s">
        <v>13</v>
      </c>
      <c r="B388">
        <v>397229</v>
      </c>
      <c r="C388">
        <v>398206</v>
      </c>
      <c r="E388" t="s">
        <v>38</v>
      </c>
      <c r="F388" t="s">
        <v>1114</v>
      </c>
      <c r="H388">
        <v>1019657</v>
      </c>
      <c r="I388" t="s">
        <v>17</v>
      </c>
      <c r="K388" t="s">
        <v>1115</v>
      </c>
      <c r="L388">
        <v>325</v>
      </c>
      <c r="M388" t="s">
        <v>1116</v>
      </c>
    </row>
    <row r="389" spans="1:13">
      <c r="A389" t="s">
        <v>13</v>
      </c>
      <c r="B389">
        <v>398278</v>
      </c>
      <c r="C389">
        <v>399582</v>
      </c>
      <c r="E389" t="s">
        <v>14</v>
      </c>
      <c r="F389" t="s">
        <v>1117</v>
      </c>
      <c r="H389">
        <v>1021414</v>
      </c>
      <c r="I389" t="s">
        <v>17</v>
      </c>
      <c r="K389" t="s">
        <v>1118</v>
      </c>
      <c r="L389">
        <v>434</v>
      </c>
      <c r="M389" t="s">
        <v>1119</v>
      </c>
    </row>
    <row r="390" spans="1:13">
      <c r="A390" t="s">
        <v>13</v>
      </c>
      <c r="B390">
        <v>399598</v>
      </c>
      <c r="C390">
        <v>400020</v>
      </c>
      <c r="E390" t="s">
        <v>14</v>
      </c>
      <c r="F390" t="s">
        <v>1120</v>
      </c>
      <c r="H390">
        <v>1020970</v>
      </c>
      <c r="I390" t="s">
        <v>17</v>
      </c>
      <c r="K390" t="s">
        <v>1121</v>
      </c>
      <c r="L390">
        <v>140</v>
      </c>
      <c r="M390" t="s">
        <v>1122</v>
      </c>
    </row>
    <row r="391" spans="1:13">
      <c r="A391" t="s">
        <v>13</v>
      </c>
      <c r="B391">
        <v>400039</v>
      </c>
      <c r="C391">
        <v>400344</v>
      </c>
      <c r="E391" t="s">
        <v>14</v>
      </c>
      <c r="F391" t="s">
        <v>1123</v>
      </c>
      <c r="H391">
        <v>1021118</v>
      </c>
      <c r="I391" t="s">
        <v>17</v>
      </c>
      <c r="K391" t="s">
        <v>1124</v>
      </c>
      <c r="L391">
        <v>101</v>
      </c>
      <c r="M391" t="s">
        <v>1125</v>
      </c>
    </row>
    <row r="392" spans="1:13">
      <c r="A392" t="s">
        <v>13</v>
      </c>
      <c r="B392">
        <v>400500</v>
      </c>
      <c r="C392">
        <v>401153</v>
      </c>
      <c r="E392" t="s">
        <v>14</v>
      </c>
      <c r="F392" t="s">
        <v>1126</v>
      </c>
      <c r="H392">
        <v>1021419</v>
      </c>
      <c r="I392" t="s">
        <v>17</v>
      </c>
      <c r="K392" t="s">
        <v>1127</v>
      </c>
      <c r="L392">
        <v>217</v>
      </c>
      <c r="M392" t="s">
        <v>1128</v>
      </c>
    </row>
    <row r="393" spans="1:13">
      <c r="A393" t="s">
        <v>13</v>
      </c>
      <c r="B393">
        <v>401150</v>
      </c>
      <c r="C393">
        <v>402799</v>
      </c>
      <c r="E393" t="s">
        <v>14</v>
      </c>
      <c r="F393" t="s">
        <v>1129</v>
      </c>
      <c r="H393">
        <v>1021417</v>
      </c>
      <c r="I393" t="s">
        <v>17</v>
      </c>
      <c r="K393" t="s">
        <v>1130</v>
      </c>
      <c r="L393">
        <v>549</v>
      </c>
      <c r="M393" t="s">
        <v>1131</v>
      </c>
    </row>
    <row r="394" spans="1:13">
      <c r="A394" t="s">
        <v>13</v>
      </c>
      <c r="B394">
        <v>402799</v>
      </c>
      <c r="C394">
        <v>404433</v>
      </c>
      <c r="E394" t="s">
        <v>14</v>
      </c>
      <c r="F394" t="s">
        <v>1129</v>
      </c>
      <c r="H394">
        <v>1021415</v>
      </c>
      <c r="I394" t="s">
        <v>17</v>
      </c>
      <c r="K394" t="s">
        <v>1132</v>
      </c>
      <c r="L394">
        <v>544</v>
      </c>
      <c r="M394" t="s">
        <v>1133</v>
      </c>
    </row>
    <row r="395" spans="1:13">
      <c r="A395" t="s">
        <v>13</v>
      </c>
      <c r="B395">
        <v>404505</v>
      </c>
      <c r="C395">
        <v>405419</v>
      </c>
      <c r="E395" t="s">
        <v>38</v>
      </c>
      <c r="F395" t="s">
        <v>1134</v>
      </c>
      <c r="G395" t="s">
        <v>1135</v>
      </c>
      <c r="H395">
        <v>1021130</v>
      </c>
      <c r="I395" t="s">
        <v>17</v>
      </c>
      <c r="K395" t="s">
        <v>1136</v>
      </c>
      <c r="L395">
        <v>304</v>
      </c>
      <c r="M395" t="s">
        <v>1137</v>
      </c>
    </row>
    <row r="396" spans="1:13">
      <c r="A396" t="s">
        <v>13</v>
      </c>
      <c r="B396">
        <v>405480</v>
      </c>
      <c r="C396">
        <v>406148</v>
      </c>
      <c r="E396" t="s">
        <v>14</v>
      </c>
      <c r="F396" t="s">
        <v>1138</v>
      </c>
      <c r="G396" t="s">
        <v>1139</v>
      </c>
      <c r="H396">
        <v>1021418</v>
      </c>
      <c r="I396" t="s">
        <v>17</v>
      </c>
      <c r="K396" t="s">
        <v>1140</v>
      </c>
      <c r="L396">
        <v>222</v>
      </c>
      <c r="M396" t="s">
        <v>1141</v>
      </c>
    </row>
    <row r="397" spans="1:13">
      <c r="A397" t="s">
        <v>13</v>
      </c>
      <c r="B397">
        <v>406550</v>
      </c>
      <c r="C397">
        <v>407419</v>
      </c>
      <c r="E397" t="s">
        <v>14</v>
      </c>
      <c r="F397" t="s">
        <v>49</v>
      </c>
      <c r="H397">
        <v>1021420</v>
      </c>
      <c r="I397" t="s">
        <v>17</v>
      </c>
      <c r="K397" t="s">
        <v>1142</v>
      </c>
      <c r="L397">
        <v>289</v>
      </c>
      <c r="M397" t="s">
        <v>1143</v>
      </c>
    </row>
    <row r="398" spans="1:13">
      <c r="A398" t="s">
        <v>13</v>
      </c>
      <c r="B398">
        <v>407406</v>
      </c>
      <c r="C398">
        <v>407708</v>
      </c>
      <c r="E398" t="s">
        <v>38</v>
      </c>
      <c r="F398" t="s">
        <v>202</v>
      </c>
      <c r="H398">
        <v>1021422</v>
      </c>
      <c r="I398" t="s">
        <v>17</v>
      </c>
      <c r="K398" t="s">
        <v>1144</v>
      </c>
      <c r="L398">
        <v>100</v>
      </c>
      <c r="M398" t="s">
        <v>1145</v>
      </c>
    </row>
    <row r="399" spans="1:13">
      <c r="A399" t="s">
        <v>13</v>
      </c>
      <c r="B399">
        <v>407708</v>
      </c>
      <c r="C399">
        <v>409975</v>
      </c>
      <c r="E399" t="s">
        <v>38</v>
      </c>
      <c r="F399" t="s">
        <v>1146</v>
      </c>
      <c r="H399">
        <v>1021421</v>
      </c>
      <c r="I399" t="s">
        <v>17</v>
      </c>
      <c r="K399" t="s">
        <v>1147</v>
      </c>
      <c r="L399">
        <v>755</v>
      </c>
      <c r="M399" t="s">
        <v>1148</v>
      </c>
    </row>
    <row r="400" spans="1:13">
      <c r="A400" t="s">
        <v>13</v>
      </c>
      <c r="B400">
        <v>410024</v>
      </c>
      <c r="C400">
        <v>410476</v>
      </c>
      <c r="E400" t="s">
        <v>38</v>
      </c>
      <c r="F400" t="s">
        <v>49</v>
      </c>
      <c r="H400">
        <v>1020829</v>
      </c>
      <c r="I400" t="s">
        <v>17</v>
      </c>
      <c r="K400" t="s">
        <v>1149</v>
      </c>
      <c r="L400">
        <v>150</v>
      </c>
      <c r="M400" t="s">
        <v>1150</v>
      </c>
    </row>
    <row r="401" spans="1:13">
      <c r="A401" t="s">
        <v>13</v>
      </c>
      <c r="B401">
        <v>410707</v>
      </c>
      <c r="C401">
        <v>412548</v>
      </c>
      <c r="E401" t="s">
        <v>14</v>
      </c>
      <c r="F401" t="s">
        <v>1151</v>
      </c>
      <c r="H401">
        <v>1021076</v>
      </c>
      <c r="I401" t="s">
        <v>17</v>
      </c>
      <c r="K401" t="s">
        <v>1152</v>
      </c>
      <c r="L401">
        <v>613</v>
      </c>
      <c r="M401" t="s">
        <v>1153</v>
      </c>
    </row>
    <row r="402" spans="1:13">
      <c r="A402" t="s">
        <v>13</v>
      </c>
      <c r="B402">
        <v>412557</v>
      </c>
      <c r="C402">
        <v>413636</v>
      </c>
      <c r="E402" t="s">
        <v>14</v>
      </c>
      <c r="F402" t="s">
        <v>1154</v>
      </c>
      <c r="H402">
        <v>1021159</v>
      </c>
      <c r="I402" t="s">
        <v>17</v>
      </c>
      <c r="K402" t="s">
        <v>1155</v>
      </c>
      <c r="L402">
        <v>359</v>
      </c>
      <c r="M402" t="s">
        <v>1156</v>
      </c>
    </row>
    <row r="403" spans="1:13">
      <c r="A403" t="s">
        <v>13</v>
      </c>
      <c r="B403">
        <v>413637</v>
      </c>
      <c r="C403">
        <v>414713</v>
      </c>
      <c r="E403" t="s">
        <v>14</v>
      </c>
      <c r="F403" t="s">
        <v>144</v>
      </c>
      <c r="H403">
        <v>1021423</v>
      </c>
      <c r="I403" t="s">
        <v>17</v>
      </c>
      <c r="K403" t="s">
        <v>1157</v>
      </c>
      <c r="L403">
        <v>358</v>
      </c>
      <c r="M403" t="s">
        <v>1158</v>
      </c>
    </row>
    <row r="404" spans="1:13">
      <c r="A404" t="s">
        <v>13</v>
      </c>
      <c r="B404">
        <v>414714</v>
      </c>
      <c r="C404">
        <v>415529</v>
      </c>
      <c r="E404" t="s">
        <v>14</v>
      </c>
      <c r="F404" t="s">
        <v>1159</v>
      </c>
      <c r="H404">
        <v>1021425</v>
      </c>
      <c r="I404" t="s">
        <v>17</v>
      </c>
      <c r="K404" t="s">
        <v>1160</v>
      </c>
      <c r="L404">
        <v>271</v>
      </c>
      <c r="M404" t="s">
        <v>1161</v>
      </c>
    </row>
    <row r="405" spans="1:13">
      <c r="A405" t="s">
        <v>13</v>
      </c>
      <c r="B405">
        <v>415643</v>
      </c>
      <c r="C405">
        <v>416602</v>
      </c>
      <c r="E405" t="s">
        <v>14</v>
      </c>
      <c r="F405" t="s">
        <v>1151</v>
      </c>
      <c r="H405">
        <v>92792322</v>
      </c>
      <c r="I405" t="s">
        <v>17</v>
      </c>
      <c r="K405" t="s">
        <v>1162</v>
      </c>
      <c r="L405">
        <v>319</v>
      </c>
      <c r="M405" t="s">
        <v>1163</v>
      </c>
    </row>
    <row r="406" spans="1:13">
      <c r="A406" t="s">
        <v>13</v>
      </c>
      <c r="B406">
        <v>416603</v>
      </c>
      <c r="C406">
        <v>417442</v>
      </c>
      <c r="E406" t="s">
        <v>14</v>
      </c>
      <c r="F406" t="s">
        <v>1151</v>
      </c>
      <c r="H406">
        <v>1021100</v>
      </c>
      <c r="I406" t="s">
        <v>17</v>
      </c>
      <c r="K406" t="s">
        <v>1164</v>
      </c>
      <c r="L406">
        <v>279</v>
      </c>
      <c r="M406" t="s">
        <v>1165</v>
      </c>
    </row>
    <row r="407" spans="1:13">
      <c r="A407" t="s">
        <v>13</v>
      </c>
      <c r="B407">
        <v>417542</v>
      </c>
      <c r="C407">
        <v>418354</v>
      </c>
      <c r="E407" t="s">
        <v>38</v>
      </c>
      <c r="F407" t="s">
        <v>1166</v>
      </c>
      <c r="H407">
        <v>1021427</v>
      </c>
      <c r="I407" t="s">
        <v>17</v>
      </c>
      <c r="K407" t="s">
        <v>1167</v>
      </c>
      <c r="L407">
        <v>270</v>
      </c>
      <c r="M407" t="s">
        <v>1168</v>
      </c>
    </row>
    <row r="408" spans="1:13">
      <c r="A408" t="s">
        <v>13</v>
      </c>
      <c r="B408">
        <v>418438</v>
      </c>
      <c r="C408">
        <v>419253</v>
      </c>
      <c r="E408" t="s">
        <v>38</v>
      </c>
      <c r="F408" t="s">
        <v>1169</v>
      </c>
      <c r="H408">
        <v>1021226</v>
      </c>
      <c r="I408" t="s">
        <v>17</v>
      </c>
      <c r="K408" t="s">
        <v>1170</v>
      </c>
      <c r="L408">
        <v>271</v>
      </c>
      <c r="M408" t="s">
        <v>1171</v>
      </c>
    </row>
    <row r="409" spans="1:13">
      <c r="A409" t="s">
        <v>13</v>
      </c>
      <c r="B409">
        <v>419254</v>
      </c>
      <c r="C409">
        <v>419757</v>
      </c>
      <c r="E409" t="s">
        <v>38</v>
      </c>
      <c r="F409" t="s">
        <v>1172</v>
      </c>
      <c r="H409">
        <v>1021426</v>
      </c>
      <c r="I409" t="s">
        <v>17</v>
      </c>
      <c r="K409" t="s">
        <v>1173</v>
      </c>
      <c r="L409">
        <v>167</v>
      </c>
      <c r="M409" t="s">
        <v>1174</v>
      </c>
    </row>
    <row r="410" spans="1:13">
      <c r="A410" t="s">
        <v>13</v>
      </c>
      <c r="B410">
        <v>419782</v>
      </c>
      <c r="C410">
        <v>420888</v>
      </c>
      <c r="E410" t="s">
        <v>14</v>
      </c>
      <c r="F410" t="s">
        <v>1055</v>
      </c>
      <c r="H410">
        <v>1021429</v>
      </c>
      <c r="I410" t="s">
        <v>17</v>
      </c>
      <c r="K410" t="s">
        <v>1175</v>
      </c>
      <c r="L410">
        <v>368</v>
      </c>
      <c r="M410" t="s">
        <v>1176</v>
      </c>
    </row>
    <row r="411" spans="1:13">
      <c r="A411" t="s">
        <v>13</v>
      </c>
      <c r="B411">
        <v>420881</v>
      </c>
      <c r="C411">
        <v>421519</v>
      </c>
      <c r="E411" t="s">
        <v>14</v>
      </c>
      <c r="F411" t="s">
        <v>388</v>
      </c>
      <c r="H411">
        <v>1021110</v>
      </c>
      <c r="I411" t="s">
        <v>17</v>
      </c>
      <c r="K411" t="s">
        <v>1177</v>
      </c>
      <c r="L411">
        <v>212</v>
      </c>
      <c r="M411" t="s">
        <v>1178</v>
      </c>
    </row>
    <row r="412" spans="1:13">
      <c r="A412" t="s">
        <v>13</v>
      </c>
      <c r="B412">
        <v>422087</v>
      </c>
      <c r="C412">
        <v>423793</v>
      </c>
      <c r="E412" t="s">
        <v>38</v>
      </c>
      <c r="F412" t="s">
        <v>1179</v>
      </c>
      <c r="H412">
        <v>1021140</v>
      </c>
      <c r="I412" t="s">
        <v>17</v>
      </c>
      <c r="K412" t="s">
        <v>1180</v>
      </c>
      <c r="L412">
        <v>568</v>
      </c>
      <c r="M412" t="s">
        <v>1181</v>
      </c>
    </row>
    <row r="413" spans="1:13">
      <c r="A413" t="s">
        <v>13</v>
      </c>
      <c r="B413">
        <v>423878</v>
      </c>
      <c r="C413">
        <v>425134</v>
      </c>
      <c r="E413" t="s">
        <v>14</v>
      </c>
      <c r="F413" t="s">
        <v>1182</v>
      </c>
      <c r="G413" t="s">
        <v>1183</v>
      </c>
      <c r="H413">
        <v>1021208</v>
      </c>
      <c r="I413" t="s">
        <v>17</v>
      </c>
      <c r="K413" t="s">
        <v>1184</v>
      </c>
      <c r="L413">
        <v>418</v>
      </c>
      <c r="M413" t="s">
        <v>1185</v>
      </c>
    </row>
    <row r="414" spans="1:13">
      <c r="A414" t="s">
        <v>13</v>
      </c>
      <c r="B414">
        <v>425177</v>
      </c>
      <c r="C414">
        <v>425923</v>
      </c>
      <c r="E414" t="s">
        <v>14</v>
      </c>
      <c r="F414" t="s">
        <v>1186</v>
      </c>
      <c r="H414">
        <v>1021136</v>
      </c>
      <c r="I414" t="s">
        <v>17</v>
      </c>
      <c r="K414" t="s">
        <v>1187</v>
      </c>
      <c r="L414">
        <v>248</v>
      </c>
      <c r="M414" t="s">
        <v>1188</v>
      </c>
    </row>
    <row r="415" spans="1:13">
      <c r="A415" t="s">
        <v>13</v>
      </c>
      <c r="B415">
        <v>425934</v>
      </c>
      <c r="C415">
        <v>427175</v>
      </c>
      <c r="E415" t="s">
        <v>14</v>
      </c>
      <c r="F415" t="s">
        <v>237</v>
      </c>
      <c r="H415">
        <v>1021432</v>
      </c>
      <c r="I415" t="s">
        <v>17</v>
      </c>
      <c r="K415" t="s">
        <v>1189</v>
      </c>
      <c r="L415">
        <v>413</v>
      </c>
      <c r="M415" t="s">
        <v>1190</v>
      </c>
    </row>
    <row r="416" spans="1:13">
      <c r="A416" t="s">
        <v>13</v>
      </c>
      <c r="B416">
        <v>427172</v>
      </c>
      <c r="C416">
        <v>427870</v>
      </c>
      <c r="E416" t="s">
        <v>14</v>
      </c>
      <c r="F416" t="s">
        <v>835</v>
      </c>
      <c r="H416">
        <v>1021430</v>
      </c>
      <c r="I416" t="s">
        <v>17</v>
      </c>
      <c r="K416" t="s">
        <v>1191</v>
      </c>
      <c r="L416">
        <v>232</v>
      </c>
      <c r="M416" t="s">
        <v>1192</v>
      </c>
    </row>
    <row r="417" spans="1:13">
      <c r="A417" t="s">
        <v>13</v>
      </c>
      <c r="B417">
        <v>428561</v>
      </c>
      <c r="C417">
        <v>429442</v>
      </c>
      <c r="E417" t="s">
        <v>14</v>
      </c>
      <c r="F417" t="s">
        <v>49</v>
      </c>
      <c r="H417">
        <v>1021154</v>
      </c>
      <c r="I417" t="s">
        <v>17</v>
      </c>
      <c r="K417" t="s">
        <v>1193</v>
      </c>
      <c r="L417">
        <v>293</v>
      </c>
      <c r="M417" t="s">
        <v>1194</v>
      </c>
    </row>
    <row r="418" spans="1:13">
      <c r="A418" t="s">
        <v>13</v>
      </c>
      <c r="B418">
        <v>429435</v>
      </c>
      <c r="C418">
        <v>432005</v>
      </c>
      <c r="E418" t="s">
        <v>38</v>
      </c>
      <c r="F418" t="s">
        <v>124</v>
      </c>
      <c r="H418">
        <v>1021225</v>
      </c>
      <c r="I418" t="s">
        <v>17</v>
      </c>
      <c r="K418" t="s">
        <v>1195</v>
      </c>
      <c r="L418">
        <v>856</v>
      </c>
      <c r="M418" t="s">
        <v>1196</v>
      </c>
    </row>
    <row r="419" spans="1:13">
      <c r="A419" t="s">
        <v>13</v>
      </c>
      <c r="B419">
        <v>432123</v>
      </c>
      <c r="C419">
        <v>433028</v>
      </c>
      <c r="E419" t="s">
        <v>38</v>
      </c>
      <c r="F419" t="s">
        <v>49</v>
      </c>
      <c r="H419">
        <v>1021093</v>
      </c>
      <c r="I419" t="s">
        <v>17</v>
      </c>
      <c r="K419" t="s">
        <v>1197</v>
      </c>
      <c r="L419">
        <v>301</v>
      </c>
      <c r="M419" t="s">
        <v>1198</v>
      </c>
    </row>
    <row r="420" spans="1:13">
      <c r="A420" t="s">
        <v>13</v>
      </c>
      <c r="B420">
        <v>433062</v>
      </c>
      <c r="C420">
        <v>433991</v>
      </c>
      <c r="E420" t="s">
        <v>14</v>
      </c>
      <c r="F420" t="s">
        <v>1199</v>
      </c>
      <c r="H420">
        <v>1021089</v>
      </c>
      <c r="I420" t="s">
        <v>17</v>
      </c>
      <c r="K420" t="s">
        <v>1200</v>
      </c>
      <c r="L420">
        <v>309</v>
      </c>
      <c r="M420" t="s">
        <v>1201</v>
      </c>
    </row>
    <row r="421" spans="1:13">
      <c r="A421" t="s">
        <v>13</v>
      </c>
      <c r="B421">
        <v>434019</v>
      </c>
      <c r="C421">
        <v>434825</v>
      </c>
      <c r="E421" t="s">
        <v>14</v>
      </c>
      <c r="F421" t="s">
        <v>49</v>
      </c>
      <c r="H421">
        <v>1021434</v>
      </c>
      <c r="I421" t="s">
        <v>17</v>
      </c>
      <c r="K421" t="s">
        <v>1202</v>
      </c>
      <c r="L421">
        <v>268</v>
      </c>
      <c r="M421" t="s">
        <v>1203</v>
      </c>
    </row>
    <row r="422" spans="1:13">
      <c r="A422" t="s">
        <v>13</v>
      </c>
      <c r="B422">
        <v>434886</v>
      </c>
      <c r="C422">
        <v>435698</v>
      </c>
      <c r="E422" t="s">
        <v>14</v>
      </c>
      <c r="F422" t="s">
        <v>1204</v>
      </c>
      <c r="G422" t="s">
        <v>1205</v>
      </c>
      <c r="H422">
        <v>1021078</v>
      </c>
      <c r="I422" t="s">
        <v>17</v>
      </c>
      <c r="K422" t="s">
        <v>1206</v>
      </c>
      <c r="L422">
        <v>270</v>
      </c>
      <c r="M422" t="s">
        <v>1207</v>
      </c>
    </row>
    <row r="423" spans="1:13">
      <c r="A423" t="s">
        <v>13</v>
      </c>
      <c r="B423">
        <v>435949</v>
      </c>
      <c r="C423">
        <v>436140</v>
      </c>
      <c r="E423" t="s">
        <v>14</v>
      </c>
      <c r="F423" t="s">
        <v>138</v>
      </c>
      <c r="H423">
        <v>1021436</v>
      </c>
      <c r="I423" t="s">
        <v>17</v>
      </c>
      <c r="K423" t="s">
        <v>1208</v>
      </c>
      <c r="L423">
        <v>63</v>
      </c>
      <c r="M423" t="s">
        <v>1209</v>
      </c>
    </row>
    <row r="424" spans="1:13">
      <c r="A424" t="s">
        <v>13</v>
      </c>
      <c r="B424">
        <v>436463</v>
      </c>
      <c r="C424">
        <v>436564</v>
      </c>
      <c r="E424" t="s">
        <v>14</v>
      </c>
      <c r="F424" t="s">
        <v>1210</v>
      </c>
      <c r="H424">
        <v>44144929</v>
      </c>
      <c r="I424" t="s">
        <v>17</v>
      </c>
      <c r="K424" t="s">
        <v>1211</v>
      </c>
      <c r="L424">
        <v>33</v>
      </c>
      <c r="M424" t="s">
        <v>1212</v>
      </c>
    </row>
    <row r="425" spans="1:13">
      <c r="A425" t="s">
        <v>13</v>
      </c>
      <c r="B425">
        <v>436977</v>
      </c>
      <c r="C425">
        <v>438044</v>
      </c>
      <c r="E425" t="s">
        <v>38</v>
      </c>
      <c r="F425" t="s">
        <v>1213</v>
      </c>
      <c r="H425">
        <v>1021433</v>
      </c>
      <c r="I425" t="s">
        <v>17</v>
      </c>
      <c r="K425" t="s">
        <v>1214</v>
      </c>
      <c r="L425">
        <v>355</v>
      </c>
      <c r="M425" t="s">
        <v>1215</v>
      </c>
    </row>
    <row r="426" spans="1:13">
      <c r="A426" t="s">
        <v>13</v>
      </c>
      <c r="B426">
        <v>438191</v>
      </c>
      <c r="C426">
        <v>438427</v>
      </c>
      <c r="E426" t="s">
        <v>14</v>
      </c>
      <c r="F426" t="s">
        <v>1216</v>
      </c>
      <c r="H426">
        <v>1021440</v>
      </c>
      <c r="I426" t="s">
        <v>17</v>
      </c>
      <c r="K426" t="s">
        <v>1217</v>
      </c>
      <c r="L426">
        <v>78</v>
      </c>
      <c r="M426" t="s">
        <v>1218</v>
      </c>
    </row>
    <row r="427" spans="1:13">
      <c r="A427" t="s">
        <v>13</v>
      </c>
      <c r="B427">
        <v>438516</v>
      </c>
      <c r="C427">
        <v>439907</v>
      </c>
      <c r="E427" t="s">
        <v>14</v>
      </c>
      <c r="F427" t="s">
        <v>1219</v>
      </c>
      <c r="H427">
        <v>1021437</v>
      </c>
      <c r="I427" t="s">
        <v>17</v>
      </c>
      <c r="K427" t="s">
        <v>1220</v>
      </c>
      <c r="L427">
        <v>463</v>
      </c>
      <c r="M427" t="s">
        <v>1221</v>
      </c>
    </row>
    <row r="428" spans="1:13">
      <c r="A428" t="s">
        <v>13</v>
      </c>
      <c r="B428">
        <v>439909</v>
      </c>
      <c r="C428">
        <v>440817</v>
      </c>
      <c r="E428" t="s">
        <v>14</v>
      </c>
      <c r="F428" t="s">
        <v>1222</v>
      </c>
      <c r="G428" t="s">
        <v>1223</v>
      </c>
      <c r="H428">
        <v>1021438</v>
      </c>
      <c r="I428" t="s">
        <v>17</v>
      </c>
      <c r="K428" t="s">
        <v>1224</v>
      </c>
      <c r="L428">
        <v>302</v>
      </c>
      <c r="M428" t="s">
        <v>1225</v>
      </c>
    </row>
    <row r="429" spans="1:13">
      <c r="A429" t="s">
        <v>13</v>
      </c>
      <c r="B429">
        <v>441229</v>
      </c>
      <c r="C429">
        <v>441594</v>
      </c>
      <c r="E429" t="s">
        <v>14</v>
      </c>
      <c r="F429" t="s">
        <v>49</v>
      </c>
      <c r="H429">
        <v>1021125</v>
      </c>
      <c r="I429" t="s">
        <v>17</v>
      </c>
      <c r="K429" t="s">
        <v>1226</v>
      </c>
      <c r="L429">
        <v>121</v>
      </c>
      <c r="M429" t="s">
        <v>1227</v>
      </c>
    </row>
    <row r="430" spans="1:13">
      <c r="A430" t="s">
        <v>13</v>
      </c>
      <c r="B430">
        <v>441598</v>
      </c>
      <c r="C430">
        <v>442482</v>
      </c>
      <c r="E430" t="s">
        <v>38</v>
      </c>
      <c r="F430" t="s">
        <v>69</v>
      </c>
      <c r="H430">
        <v>1021094</v>
      </c>
      <c r="I430" t="s">
        <v>17</v>
      </c>
      <c r="K430" t="s">
        <v>1228</v>
      </c>
      <c r="L430">
        <v>294</v>
      </c>
      <c r="M430" t="s">
        <v>1229</v>
      </c>
    </row>
    <row r="431" spans="1:13">
      <c r="A431" t="s">
        <v>13</v>
      </c>
      <c r="B431">
        <v>442758</v>
      </c>
      <c r="C431">
        <v>444161</v>
      </c>
      <c r="E431" t="s">
        <v>14</v>
      </c>
      <c r="F431" t="s">
        <v>265</v>
      </c>
      <c r="H431">
        <v>1021178</v>
      </c>
      <c r="I431" t="s">
        <v>17</v>
      </c>
      <c r="K431" t="s">
        <v>1230</v>
      </c>
      <c r="L431">
        <v>467</v>
      </c>
      <c r="M431" t="s">
        <v>1231</v>
      </c>
    </row>
    <row r="432" spans="1:13">
      <c r="A432" t="s">
        <v>13</v>
      </c>
      <c r="B432">
        <v>444185</v>
      </c>
      <c r="C432">
        <v>446041</v>
      </c>
      <c r="E432" t="s">
        <v>14</v>
      </c>
      <c r="F432" t="s">
        <v>1232</v>
      </c>
      <c r="G432" t="s">
        <v>1233</v>
      </c>
      <c r="H432">
        <v>1021439</v>
      </c>
      <c r="I432" t="s">
        <v>17</v>
      </c>
      <c r="K432" t="s">
        <v>1234</v>
      </c>
      <c r="L432">
        <v>618</v>
      </c>
      <c r="M432" t="s">
        <v>1235</v>
      </c>
    </row>
    <row r="433" spans="1:13">
      <c r="A433" t="s">
        <v>13</v>
      </c>
      <c r="B433">
        <v>446087</v>
      </c>
      <c r="C433">
        <v>446524</v>
      </c>
      <c r="E433" t="s">
        <v>14</v>
      </c>
      <c r="F433" t="s">
        <v>1236</v>
      </c>
      <c r="G433" t="s">
        <v>1237</v>
      </c>
      <c r="H433">
        <v>1021131</v>
      </c>
      <c r="I433" t="s">
        <v>17</v>
      </c>
      <c r="K433" t="s">
        <v>1238</v>
      </c>
      <c r="L433">
        <v>145</v>
      </c>
      <c r="M433" t="s">
        <v>1239</v>
      </c>
    </row>
    <row r="434" spans="1:13">
      <c r="A434" t="s">
        <v>13</v>
      </c>
      <c r="B434">
        <v>446538</v>
      </c>
      <c r="C434">
        <v>447389</v>
      </c>
      <c r="E434" t="s">
        <v>14</v>
      </c>
      <c r="F434" t="s">
        <v>1240</v>
      </c>
      <c r="H434">
        <v>1021203</v>
      </c>
      <c r="I434" t="s">
        <v>17</v>
      </c>
      <c r="K434" t="s">
        <v>1241</v>
      </c>
      <c r="L434">
        <v>283</v>
      </c>
      <c r="M434" t="s">
        <v>1242</v>
      </c>
    </row>
    <row r="435" spans="1:13">
      <c r="A435" t="s">
        <v>13</v>
      </c>
      <c r="B435">
        <v>447395</v>
      </c>
      <c r="C435">
        <v>447670</v>
      </c>
      <c r="E435" t="s">
        <v>38</v>
      </c>
      <c r="F435" t="s">
        <v>1243</v>
      </c>
      <c r="H435">
        <v>1021441</v>
      </c>
      <c r="I435" t="s">
        <v>17</v>
      </c>
      <c r="K435" t="s">
        <v>1244</v>
      </c>
      <c r="L435">
        <v>91</v>
      </c>
      <c r="M435" t="s">
        <v>1245</v>
      </c>
    </row>
    <row r="436" spans="1:13">
      <c r="A436" t="s">
        <v>13</v>
      </c>
      <c r="B436">
        <v>448127</v>
      </c>
      <c r="C436">
        <v>449179</v>
      </c>
      <c r="E436" t="s">
        <v>38</v>
      </c>
      <c r="F436" t="s">
        <v>147</v>
      </c>
      <c r="H436">
        <v>1021189</v>
      </c>
      <c r="I436" t="s">
        <v>17</v>
      </c>
      <c r="K436" t="s">
        <v>1246</v>
      </c>
      <c r="L436">
        <v>350</v>
      </c>
      <c r="M436" t="s">
        <v>1247</v>
      </c>
    </row>
    <row r="437" spans="1:13">
      <c r="A437" t="s">
        <v>13</v>
      </c>
      <c r="B437">
        <v>449180</v>
      </c>
      <c r="C437">
        <v>450826</v>
      </c>
      <c r="E437" t="s">
        <v>38</v>
      </c>
      <c r="F437" t="s">
        <v>124</v>
      </c>
      <c r="H437">
        <v>1021190</v>
      </c>
      <c r="I437" t="s">
        <v>17</v>
      </c>
      <c r="K437" t="s">
        <v>1248</v>
      </c>
      <c r="L437">
        <v>548</v>
      </c>
      <c r="M437" t="s">
        <v>1249</v>
      </c>
    </row>
    <row r="438" spans="1:13">
      <c r="A438" t="s">
        <v>13</v>
      </c>
      <c r="B438">
        <v>450834</v>
      </c>
      <c r="C438">
        <v>451913</v>
      </c>
      <c r="E438" t="s">
        <v>38</v>
      </c>
      <c r="F438" t="s">
        <v>1008</v>
      </c>
      <c r="H438">
        <v>1021101</v>
      </c>
      <c r="I438" t="s">
        <v>17</v>
      </c>
      <c r="K438" t="s">
        <v>1250</v>
      </c>
      <c r="L438">
        <v>359</v>
      </c>
      <c r="M438" t="s">
        <v>1251</v>
      </c>
    </row>
    <row r="439" spans="1:13">
      <c r="A439" t="s">
        <v>13</v>
      </c>
      <c r="B439">
        <v>452637</v>
      </c>
      <c r="C439">
        <v>454433</v>
      </c>
      <c r="E439" t="s">
        <v>14</v>
      </c>
      <c r="F439" t="s">
        <v>1252</v>
      </c>
      <c r="H439">
        <v>1021443</v>
      </c>
      <c r="I439" t="s">
        <v>17</v>
      </c>
      <c r="K439" t="s">
        <v>1253</v>
      </c>
      <c r="L439">
        <v>598</v>
      </c>
      <c r="M439" t="s">
        <v>1254</v>
      </c>
    </row>
    <row r="440" spans="1:13">
      <c r="A440" t="s">
        <v>13</v>
      </c>
      <c r="B440">
        <v>454459</v>
      </c>
      <c r="C440">
        <v>454878</v>
      </c>
      <c r="E440" t="s">
        <v>14</v>
      </c>
      <c r="F440" t="s">
        <v>1255</v>
      </c>
      <c r="H440">
        <v>1021442</v>
      </c>
      <c r="I440" t="s">
        <v>17</v>
      </c>
      <c r="K440" t="s">
        <v>1256</v>
      </c>
      <c r="L440">
        <v>139</v>
      </c>
      <c r="M440" t="s">
        <v>1257</v>
      </c>
    </row>
    <row r="441" spans="1:13">
      <c r="A441" t="s">
        <v>13</v>
      </c>
      <c r="B441">
        <v>454967</v>
      </c>
      <c r="C441">
        <v>455986</v>
      </c>
      <c r="E441" t="s">
        <v>14</v>
      </c>
      <c r="F441" t="s">
        <v>1258</v>
      </c>
      <c r="G441" t="s">
        <v>1259</v>
      </c>
      <c r="H441">
        <v>1021444</v>
      </c>
      <c r="I441" t="s">
        <v>17</v>
      </c>
      <c r="K441" t="s">
        <v>1260</v>
      </c>
      <c r="L441">
        <v>339</v>
      </c>
      <c r="M441" t="s">
        <v>1261</v>
      </c>
    </row>
    <row r="442" spans="1:13">
      <c r="A442" t="s">
        <v>13</v>
      </c>
      <c r="B442">
        <v>456016</v>
      </c>
      <c r="C442">
        <v>456600</v>
      </c>
      <c r="E442" t="s">
        <v>14</v>
      </c>
      <c r="F442" t="s">
        <v>49</v>
      </c>
      <c r="H442">
        <v>1021446</v>
      </c>
      <c r="I442" t="s">
        <v>17</v>
      </c>
      <c r="K442" t="s">
        <v>1262</v>
      </c>
      <c r="L442">
        <v>194</v>
      </c>
      <c r="M442" t="s">
        <v>1263</v>
      </c>
    </row>
    <row r="443" spans="1:13">
      <c r="A443" t="s">
        <v>13</v>
      </c>
      <c r="B443">
        <v>456641</v>
      </c>
      <c r="C443">
        <v>457153</v>
      </c>
      <c r="E443" t="s">
        <v>14</v>
      </c>
      <c r="F443" t="s">
        <v>49</v>
      </c>
      <c r="H443">
        <v>1021048</v>
      </c>
      <c r="I443" t="s">
        <v>17</v>
      </c>
      <c r="K443" t="s">
        <v>1264</v>
      </c>
      <c r="L443">
        <v>170</v>
      </c>
      <c r="M443" t="s">
        <v>1265</v>
      </c>
    </row>
    <row r="444" spans="1:13">
      <c r="A444" t="s">
        <v>13</v>
      </c>
      <c r="B444">
        <v>457267</v>
      </c>
      <c r="C444">
        <v>459903</v>
      </c>
      <c r="E444" t="s">
        <v>14</v>
      </c>
      <c r="F444" t="s">
        <v>1146</v>
      </c>
      <c r="H444">
        <v>1021199</v>
      </c>
      <c r="I444" t="s">
        <v>17</v>
      </c>
      <c r="K444" t="s">
        <v>1266</v>
      </c>
      <c r="L444">
        <v>878</v>
      </c>
      <c r="M444" t="s">
        <v>1267</v>
      </c>
    </row>
    <row r="445" spans="1:13">
      <c r="A445" t="s">
        <v>13</v>
      </c>
      <c r="B445">
        <v>460020</v>
      </c>
      <c r="C445">
        <v>461096</v>
      </c>
      <c r="E445" t="s">
        <v>14</v>
      </c>
      <c r="F445" t="s">
        <v>1268</v>
      </c>
      <c r="G445" t="s">
        <v>1269</v>
      </c>
      <c r="H445">
        <v>1021107</v>
      </c>
      <c r="I445" t="s">
        <v>17</v>
      </c>
      <c r="K445" t="s">
        <v>1270</v>
      </c>
      <c r="L445">
        <v>358</v>
      </c>
      <c r="M445" t="s">
        <v>1271</v>
      </c>
    </row>
    <row r="446" spans="1:13">
      <c r="A446" t="s">
        <v>13</v>
      </c>
      <c r="B446">
        <v>461112</v>
      </c>
      <c r="C446">
        <v>462458</v>
      </c>
      <c r="E446" t="s">
        <v>14</v>
      </c>
      <c r="F446" t="s">
        <v>1272</v>
      </c>
      <c r="H446">
        <v>1021084</v>
      </c>
      <c r="I446" t="s">
        <v>17</v>
      </c>
      <c r="K446" t="s">
        <v>1273</v>
      </c>
      <c r="L446">
        <v>448</v>
      </c>
      <c r="M446" t="s">
        <v>1274</v>
      </c>
    </row>
    <row r="447" spans="1:13">
      <c r="A447" t="s">
        <v>13</v>
      </c>
      <c r="B447">
        <v>462557</v>
      </c>
      <c r="C447">
        <v>463870</v>
      </c>
      <c r="E447" t="s">
        <v>14</v>
      </c>
      <c r="F447" t="s">
        <v>1275</v>
      </c>
      <c r="G447" t="s">
        <v>1276</v>
      </c>
      <c r="H447">
        <v>1021451</v>
      </c>
      <c r="I447" t="s">
        <v>17</v>
      </c>
      <c r="K447" t="s">
        <v>1277</v>
      </c>
      <c r="L447">
        <v>437</v>
      </c>
      <c r="M447" t="s">
        <v>1278</v>
      </c>
    </row>
    <row r="448" spans="1:13">
      <c r="A448" t="s">
        <v>13</v>
      </c>
      <c r="B448">
        <v>463867</v>
      </c>
      <c r="C448">
        <v>464475</v>
      </c>
      <c r="E448" t="s">
        <v>14</v>
      </c>
      <c r="F448" t="s">
        <v>1279</v>
      </c>
      <c r="H448">
        <v>1021447</v>
      </c>
      <c r="I448" t="s">
        <v>17</v>
      </c>
      <c r="K448" t="s">
        <v>1280</v>
      </c>
      <c r="L448">
        <v>202</v>
      </c>
      <c r="M448" t="s">
        <v>1281</v>
      </c>
    </row>
    <row r="449" spans="1:13">
      <c r="A449" t="s">
        <v>13</v>
      </c>
      <c r="B449">
        <v>464482</v>
      </c>
      <c r="C449">
        <v>465105</v>
      </c>
      <c r="E449" t="s">
        <v>14</v>
      </c>
      <c r="F449" t="s">
        <v>1282</v>
      </c>
      <c r="H449">
        <v>1021450</v>
      </c>
      <c r="I449" t="s">
        <v>17</v>
      </c>
      <c r="K449" t="s">
        <v>1283</v>
      </c>
      <c r="L449">
        <v>207</v>
      </c>
      <c r="M449" t="s">
        <v>1284</v>
      </c>
    </row>
    <row r="450" spans="1:13">
      <c r="A450" t="s">
        <v>13</v>
      </c>
      <c r="B450">
        <v>465106</v>
      </c>
      <c r="C450">
        <v>465912</v>
      </c>
      <c r="E450" t="s">
        <v>14</v>
      </c>
      <c r="F450" t="s">
        <v>75</v>
      </c>
      <c r="H450">
        <v>1021449</v>
      </c>
      <c r="I450" t="s">
        <v>17</v>
      </c>
      <c r="K450" t="s">
        <v>1285</v>
      </c>
      <c r="L450">
        <v>268</v>
      </c>
      <c r="M450" t="s">
        <v>1286</v>
      </c>
    </row>
    <row r="451" spans="1:13">
      <c r="A451" t="s">
        <v>13</v>
      </c>
      <c r="B451">
        <v>465949</v>
      </c>
      <c r="C451">
        <v>467574</v>
      </c>
      <c r="E451" t="s">
        <v>14</v>
      </c>
      <c r="F451" t="s">
        <v>1287</v>
      </c>
      <c r="H451">
        <v>1021099</v>
      </c>
      <c r="I451" t="s">
        <v>17</v>
      </c>
      <c r="K451" t="s">
        <v>1288</v>
      </c>
      <c r="L451">
        <v>541</v>
      </c>
      <c r="M451" t="s">
        <v>1289</v>
      </c>
    </row>
    <row r="452" spans="1:13">
      <c r="A452" t="s">
        <v>13</v>
      </c>
      <c r="B452">
        <v>467648</v>
      </c>
      <c r="C452">
        <v>468661</v>
      </c>
      <c r="E452" t="s">
        <v>14</v>
      </c>
      <c r="F452" t="s">
        <v>1290</v>
      </c>
      <c r="G452" t="s">
        <v>1291</v>
      </c>
      <c r="H452">
        <v>1021059</v>
      </c>
      <c r="I452" t="s">
        <v>17</v>
      </c>
      <c r="K452" t="s">
        <v>1292</v>
      </c>
      <c r="L452">
        <v>337</v>
      </c>
      <c r="M452" t="s">
        <v>1293</v>
      </c>
    </row>
    <row r="453" spans="1:13">
      <c r="A453" t="s">
        <v>13</v>
      </c>
      <c r="B453">
        <v>469370</v>
      </c>
      <c r="C453">
        <v>470173</v>
      </c>
      <c r="E453" t="s">
        <v>14</v>
      </c>
      <c r="F453" t="s">
        <v>1294</v>
      </c>
      <c r="H453">
        <v>1021090</v>
      </c>
      <c r="I453" t="s">
        <v>17</v>
      </c>
      <c r="K453" t="s">
        <v>1295</v>
      </c>
      <c r="L453">
        <v>267</v>
      </c>
      <c r="M453" t="s">
        <v>1296</v>
      </c>
    </row>
    <row r="454" spans="1:13">
      <c r="A454" t="s">
        <v>13</v>
      </c>
      <c r="B454">
        <v>470184</v>
      </c>
      <c r="C454">
        <v>470657</v>
      </c>
      <c r="E454" t="s">
        <v>14</v>
      </c>
      <c r="F454" t="s">
        <v>478</v>
      </c>
      <c r="H454">
        <v>1021072</v>
      </c>
      <c r="I454" t="s">
        <v>17</v>
      </c>
      <c r="K454" t="s">
        <v>1297</v>
      </c>
      <c r="L454">
        <v>157</v>
      </c>
      <c r="M454" t="s">
        <v>1298</v>
      </c>
    </row>
    <row r="455" spans="1:13">
      <c r="A455" t="s">
        <v>13</v>
      </c>
      <c r="B455">
        <v>470654</v>
      </c>
      <c r="C455">
        <v>471013</v>
      </c>
      <c r="E455" t="s">
        <v>38</v>
      </c>
      <c r="F455" t="s">
        <v>801</v>
      </c>
      <c r="H455">
        <v>1021220</v>
      </c>
      <c r="I455" t="s">
        <v>17</v>
      </c>
      <c r="K455" t="s">
        <v>1299</v>
      </c>
      <c r="L455">
        <v>119</v>
      </c>
      <c r="M455" t="s">
        <v>1300</v>
      </c>
    </row>
    <row r="456" spans="1:13">
      <c r="A456" t="s">
        <v>13</v>
      </c>
      <c r="B456">
        <v>471118</v>
      </c>
      <c r="C456">
        <v>471420</v>
      </c>
      <c r="E456" t="s">
        <v>38</v>
      </c>
      <c r="F456" t="s">
        <v>49</v>
      </c>
      <c r="H456">
        <v>1021457</v>
      </c>
      <c r="I456" t="s">
        <v>17</v>
      </c>
      <c r="K456" t="s">
        <v>1301</v>
      </c>
      <c r="L456">
        <v>100</v>
      </c>
      <c r="M456" t="s">
        <v>1302</v>
      </c>
    </row>
    <row r="457" spans="1:13">
      <c r="A457" t="s">
        <v>13</v>
      </c>
      <c r="B457">
        <v>471515</v>
      </c>
      <c r="C457">
        <v>471850</v>
      </c>
      <c r="E457" t="s">
        <v>14</v>
      </c>
      <c r="F457" t="s">
        <v>1303</v>
      </c>
      <c r="H457">
        <v>1021452</v>
      </c>
      <c r="I457" t="s">
        <v>17</v>
      </c>
      <c r="K457" t="s">
        <v>1304</v>
      </c>
      <c r="L457">
        <v>111</v>
      </c>
      <c r="M457" t="s">
        <v>1305</v>
      </c>
    </row>
    <row r="458" spans="1:13">
      <c r="A458" t="s">
        <v>13</v>
      </c>
      <c r="B458">
        <v>471912</v>
      </c>
      <c r="C458">
        <v>472808</v>
      </c>
      <c r="E458" t="s">
        <v>38</v>
      </c>
      <c r="F458" t="s">
        <v>1306</v>
      </c>
      <c r="H458">
        <v>1021453</v>
      </c>
      <c r="I458" t="s">
        <v>17</v>
      </c>
      <c r="K458" t="s">
        <v>1307</v>
      </c>
      <c r="L458">
        <v>298</v>
      </c>
      <c r="M458" t="s">
        <v>1308</v>
      </c>
    </row>
    <row r="459" spans="1:13">
      <c r="A459" t="s">
        <v>13</v>
      </c>
      <c r="B459">
        <v>472948</v>
      </c>
      <c r="C459">
        <v>473814</v>
      </c>
      <c r="E459" t="s">
        <v>14</v>
      </c>
      <c r="F459" t="s">
        <v>49</v>
      </c>
      <c r="H459">
        <v>1021448</v>
      </c>
      <c r="I459" t="s">
        <v>17</v>
      </c>
      <c r="K459" t="s">
        <v>1309</v>
      </c>
      <c r="L459">
        <v>288</v>
      </c>
      <c r="M459" t="s">
        <v>1310</v>
      </c>
    </row>
    <row r="460" spans="1:13">
      <c r="A460" t="s">
        <v>13</v>
      </c>
      <c r="B460">
        <v>473811</v>
      </c>
      <c r="C460">
        <v>474941</v>
      </c>
      <c r="E460" t="s">
        <v>38</v>
      </c>
      <c r="F460" t="s">
        <v>1311</v>
      </c>
      <c r="G460" t="s">
        <v>1312</v>
      </c>
      <c r="H460">
        <v>1021228</v>
      </c>
      <c r="I460" t="s">
        <v>17</v>
      </c>
      <c r="K460" t="s">
        <v>1313</v>
      </c>
      <c r="L460">
        <v>376</v>
      </c>
      <c r="M460" t="s">
        <v>1314</v>
      </c>
    </row>
    <row r="461" spans="1:13">
      <c r="A461" t="s">
        <v>13</v>
      </c>
      <c r="B461">
        <v>474994</v>
      </c>
      <c r="C461">
        <v>475401</v>
      </c>
      <c r="E461" t="s">
        <v>38</v>
      </c>
      <c r="F461" t="s">
        <v>1315</v>
      </c>
      <c r="H461">
        <v>1021460</v>
      </c>
      <c r="I461" t="s">
        <v>17</v>
      </c>
      <c r="K461" t="s">
        <v>1316</v>
      </c>
      <c r="L461">
        <v>135</v>
      </c>
      <c r="M461" t="s">
        <v>1317</v>
      </c>
    </row>
    <row r="462" spans="1:13">
      <c r="A462" t="s">
        <v>13</v>
      </c>
      <c r="B462">
        <v>475486</v>
      </c>
      <c r="C462">
        <v>477048</v>
      </c>
      <c r="E462" t="s">
        <v>38</v>
      </c>
      <c r="F462" t="s">
        <v>1318</v>
      </c>
      <c r="H462">
        <v>1021211</v>
      </c>
      <c r="I462" t="s">
        <v>17</v>
      </c>
      <c r="K462" t="s">
        <v>1319</v>
      </c>
      <c r="L462">
        <v>520</v>
      </c>
      <c r="M462" t="s">
        <v>1320</v>
      </c>
    </row>
    <row r="463" spans="1:13">
      <c r="A463" t="s">
        <v>13</v>
      </c>
      <c r="B463">
        <v>477045</v>
      </c>
      <c r="C463">
        <v>477995</v>
      </c>
      <c r="E463" t="s">
        <v>38</v>
      </c>
      <c r="F463" t="s">
        <v>1321</v>
      </c>
      <c r="H463">
        <v>1021455</v>
      </c>
      <c r="I463" t="s">
        <v>17</v>
      </c>
      <c r="K463" t="s">
        <v>1322</v>
      </c>
      <c r="L463">
        <v>316</v>
      </c>
      <c r="M463" t="s">
        <v>1323</v>
      </c>
    </row>
    <row r="464" spans="1:13">
      <c r="A464" t="s">
        <v>13</v>
      </c>
      <c r="B464">
        <v>478089</v>
      </c>
      <c r="C464">
        <v>478973</v>
      </c>
      <c r="E464" t="s">
        <v>38</v>
      </c>
      <c r="F464" t="s">
        <v>1324</v>
      </c>
      <c r="H464">
        <v>1021055</v>
      </c>
      <c r="I464" t="s">
        <v>17</v>
      </c>
      <c r="K464" t="s">
        <v>1325</v>
      </c>
      <c r="L464">
        <v>294</v>
      </c>
      <c r="M464" t="s">
        <v>1326</v>
      </c>
    </row>
    <row r="465" spans="1:13">
      <c r="A465" t="s">
        <v>13</v>
      </c>
      <c r="B465">
        <v>478986</v>
      </c>
      <c r="C465">
        <v>479303</v>
      </c>
      <c r="E465" t="s">
        <v>38</v>
      </c>
      <c r="F465" t="s">
        <v>1327</v>
      </c>
      <c r="H465">
        <v>1021458</v>
      </c>
      <c r="I465" t="s">
        <v>17</v>
      </c>
      <c r="K465" t="s">
        <v>1328</v>
      </c>
      <c r="L465">
        <v>105</v>
      </c>
      <c r="M465" t="s">
        <v>1329</v>
      </c>
    </row>
    <row r="466" spans="1:13">
      <c r="A466" t="s">
        <v>13</v>
      </c>
      <c r="B466">
        <v>479449</v>
      </c>
      <c r="C466">
        <v>480201</v>
      </c>
      <c r="E466" t="s">
        <v>38</v>
      </c>
      <c r="F466" t="s">
        <v>268</v>
      </c>
      <c r="H466">
        <v>1021459</v>
      </c>
      <c r="I466" t="s">
        <v>17</v>
      </c>
      <c r="K466" t="s">
        <v>1330</v>
      </c>
      <c r="L466">
        <v>250</v>
      </c>
      <c r="M466" t="s">
        <v>1331</v>
      </c>
    </row>
    <row r="467" spans="1:13">
      <c r="A467" t="s">
        <v>13</v>
      </c>
      <c r="B467">
        <v>480205</v>
      </c>
      <c r="C467">
        <v>480624</v>
      </c>
      <c r="E467" t="s">
        <v>38</v>
      </c>
      <c r="F467" t="s">
        <v>1332</v>
      </c>
      <c r="H467">
        <v>1021466</v>
      </c>
      <c r="I467" t="s">
        <v>17</v>
      </c>
      <c r="K467" t="s">
        <v>1333</v>
      </c>
      <c r="L467">
        <v>139</v>
      </c>
      <c r="M467" t="s">
        <v>1334</v>
      </c>
    </row>
    <row r="468" spans="1:13">
      <c r="A468" t="s">
        <v>13</v>
      </c>
      <c r="B468">
        <v>480621</v>
      </c>
      <c r="C468">
        <v>480995</v>
      </c>
      <c r="E468" t="s">
        <v>38</v>
      </c>
      <c r="F468" t="s">
        <v>49</v>
      </c>
      <c r="H468">
        <v>1021214</v>
      </c>
      <c r="I468" t="s">
        <v>17</v>
      </c>
      <c r="K468" t="s">
        <v>1335</v>
      </c>
      <c r="L468">
        <v>124</v>
      </c>
      <c r="M468" t="s">
        <v>1336</v>
      </c>
    </row>
    <row r="469" spans="1:13">
      <c r="A469" t="s">
        <v>13</v>
      </c>
      <c r="B469">
        <v>481128</v>
      </c>
      <c r="C469">
        <v>481391</v>
      </c>
      <c r="E469" t="s">
        <v>38</v>
      </c>
      <c r="F469" t="s">
        <v>49</v>
      </c>
      <c r="H469">
        <v>1021454</v>
      </c>
      <c r="I469" t="s">
        <v>17</v>
      </c>
      <c r="K469" t="s">
        <v>1337</v>
      </c>
      <c r="L469">
        <v>87</v>
      </c>
      <c r="M469" t="s">
        <v>1338</v>
      </c>
    </row>
    <row r="470" spans="1:13">
      <c r="A470" t="s">
        <v>13</v>
      </c>
      <c r="B470">
        <v>481391</v>
      </c>
      <c r="C470">
        <v>482668</v>
      </c>
      <c r="E470" t="s">
        <v>38</v>
      </c>
      <c r="F470" t="s">
        <v>1339</v>
      </c>
      <c r="H470">
        <v>1021468</v>
      </c>
      <c r="I470" t="s">
        <v>17</v>
      </c>
      <c r="K470" t="s">
        <v>1340</v>
      </c>
      <c r="L470">
        <v>425</v>
      </c>
      <c r="M470" t="s">
        <v>1341</v>
      </c>
    </row>
    <row r="471" spans="1:13">
      <c r="A471" t="s">
        <v>13</v>
      </c>
      <c r="B471">
        <v>483363</v>
      </c>
      <c r="C471">
        <v>483587</v>
      </c>
      <c r="E471" t="s">
        <v>38</v>
      </c>
      <c r="F471" t="s">
        <v>49</v>
      </c>
      <c r="H471">
        <v>92792288</v>
      </c>
      <c r="I471" t="s">
        <v>17</v>
      </c>
      <c r="K471" t="s">
        <v>1342</v>
      </c>
      <c r="L471">
        <v>74</v>
      </c>
      <c r="M471" t="s">
        <v>1343</v>
      </c>
    </row>
    <row r="472" spans="1:13">
      <c r="A472" t="s">
        <v>13</v>
      </c>
      <c r="B472">
        <v>484103</v>
      </c>
      <c r="C472">
        <v>485062</v>
      </c>
      <c r="E472" t="s">
        <v>38</v>
      </c>
      <c r="F472" t="s">
        <v>1344</v>
      </c>
      <c r="H472">
        <v>1021469</v>
      </c>
      <c r="I472" t="s">
        <v>17</v>
      </c>
      <c r="K472" t="s">
        <v>1345</v>
      </c>
      <c r="L472">
        <v>319</v>
      </c>
      <c r="M472" t="s">
        <v>1346</v>
      </c>
    </row>
    <row r="473" spans="1:13">
      <c r="A473" t="s">
        <v>13</v>
      </c>
      <c r="B473">
        <v>485074</v>
      </c>
      <c r="C473">
        <v>485355</v>
      </c>
      <c r="E473" t="s">
        <v>38</v>
      </c>
      <c r="F473" t="s">
        <v>1347</v>
      </c>
      <c r="H473">
        <v>1021467</v>
      </c>
      <c r="I473" t="s">
        <v>17</v>
      </c>
      <c r="K473" t="s">
        <v>1348</v>
      </c>
      <c r="L473">
        <v>93</v>
      </c>
      <c r="M473" t="s">
        <v>1349</v>
      </c>
    </row>
    <row r="474" spans="1:13">
      <c r="A474" t="s">
        <v>13</v>
      </c>
      <c r="B474">
        <v>485384</v>
      </c>
      <c r="C474">
        <v>485989</v>
      </c>
      <c r="E474" t="s">
        <v>14</v>
      </c>
      <c r="F474" t="s">
        <v>1350</v>
      </c>
      <c r="H474">
        <v>1021470</v>
      </c>
      <c r="I474" t="s">
        <v>17</v>
      </c>
      <c r="K474" t="s">
        <v>1351</v>
      </c>
      <c r="L474">
        <v>201</v>
      </c>
      <c r="M474" t="s">
        <v>1352</v>
      </c>
    </row>
    <row r="475" spans="1:13">
      <c r="A475" t="s">
        <v>13</v>
      </c>
      <c r="B475">
        <v>486001</v>
      </c>
      <c r="C475">
        <v>487017</v>
      </c>
      <c r="E475" t="s">
        <v>14</v>
      </c>
      <c r="F475" t="s">
        <v>1353</v>
      </c>
      <c r="H475">
        <v>1021473</v>
      </c>
      <c r="I475" t="s">
        <v>17</v>
      </c>
      <c r="K475" t="s">
        <v>1354</v>
      </c>
      <c r="L475">
        <v>338</v>
      </c>
      <c r="M475" t="s">
        <v>1355</v>
      </c>
    </row>
    <row r="476" spans="1:13">
      <c r="A476" t="s">
        <v>13</v>
      </c>
      <c r="B476">
        <v>487028</v>
      </c>
      <c r="C476">
        <v>488659</v>
      </c>
      <c r="E476" t="s">
        <v>14</v>
      </c>
      <c r="F476" t="s">
        <v>1356</v>
      </c>
      <c r="G476" t="s">
        <v>1357</v>
      </c>
      <c r="H476">
        <v>1021471</v>
      </c>
      <c r="I476" t="s">
        <v>17</v>
      </c>
      <c r="K476" t="s">
        <v>1358</v>
      </c>
      <c r="L476">
        <v>543</v>
      </c>
      <c r="M476" t="s">
        <v>1359</v>
      </c>
    </row>
    <row r="477" spans="1:13">
      <c r="A477" t="s">
        <v>13</v>
      </c>
      <c r="B477">
        <v>488660</v>
      </c>
      <c r="C477">
        <v>489103</v>
      </c>
      <c r="E477" t="s">
        <v>14</v>
      </c>
      <c r="F477" t="s">
        <v>1360</v>
      </c>
      <c r="H477">
        <v>1021474</v>
      </c>
      <c r="I477" t="s">
        <v>17</v>
      </c>
      <c r="K477" t="s">
        <v>1361</v>
      </c>
      <c r="L477">
        <v>147</v>
      </c>
      <c r="M477" t="s">
        <v>1362</v>
      </c>
    </row>
    <row r="478" spans="1:13">
      <c r="A478" t="s">
        <v>13</v>
      </c>
      <c r="B478">
        <v>489227</v>
      </c>
      <c r="C478">
        <v>490450</v>
      </c>
      <c r="E478" t="s">
        <v>14</v>
      </c>
      <c r="F478" t="s">
        <v>1046</v>
      </c>
      <c r="H478">
        <v>1021476</v>
      </c>
      <c r="I478" t="s">
        <v>17</v>
      </c>
      <c r="K478" t="s">
        <v>1363</v>
      </c>
      <c r="L478">
        <v>407</v>
      </c>
      <c r="M478" t="s">
        <v>1364</v>
      </c>
    </row>
    <row r="479" spans="1:13">
      <c r="A479" t="s">
        <v>13</v>
      </c>
      <c r="B479">
        <v>490580</v>
      </c>
      <c r="C479">
        <v>491941</v>
      </c>
      <c r="E479" t="s">
        <v>14</v>
      </c>
      <c r="F479" t="s">
        <v>1365</v>
      </c>
      <c r="G479" t="s">
        <v>1366</v>
      </c>
      <c r="H479">
        <v>1021472</v>
      </c>
      <c r="I479" t="s">
        <v>17</v>
      </c>
      <c r="K479" t="s">
        <v>1367</v>
      </c>
      <c r="L479">
        <v>453</v>
      </c>
      <c r="M479" t="s">
        <v>1368</v>
      </c>
    </row>
    <row r="480" spans="1:13">
      <c r="A480" t="s">
        <v>13</v>
      </c>
      <c r="B480">
        <v>491966</v>
      </c>
      <c r="C480">
        <v>492658</v>
      </c>
      <c r="E480" t="s">
        <v>14</v>
      </c>
      <c r="F480" t="s">
        <v>1369</v>
      </c>
      <c r="H480">
        <v>1021475</v>
      </c>
      <c r="I480" t="s">
        <v>17</v>
      </c>
      <c r="K480" t="s">
        <v>1370</v>
      </c>
      <c r="L480">
        <v>230</v>
      </c>
      <c r="M480" t="s">
        <v>1371</v>
      </c>
    </row>
    <row r="481" spans="1:13">
      <c r="A481" t="s">
        <v>13</v>
      </c>
      <c r="B481">
        <v>492642</v>
      </c>
      <c r="C481">
        <v>493916</v>
      </c>
      <c r="E481" t="s">
        <v>38</v>
      </c>
      <c r="F481" t="s">
        <v>1372</v>
      </c>
      <c r="H481">
        <v>1021477</v>
      </c>
      <c r="I481" t="s">
        <v>17</v>
      </c>
      <c r="K481" t="s">
        <v>1373</v>
      </c>
      <c r="L481">
        <v>424</v>
      </c>
      <c r="M481" t="s">
        <v>1374</v>
      </c>
    </row>
    <row r="482" spans="1:13">
      <c r="A482" t="s">
        <v>13</v>
      </c>
      <c r="B482">
        <v>494061</v>
      </c>
      <c r="C482">
        <v>495113</v>
      </c>
      <c r="E482" t="s">
        <v>14</v>
      </c>
      <c r="F482" t="s">
        <v>1375</v>
      </c>
      <c r="H482">
        <v>1021478</v>
      </c>
      <c r="I482" t="s">
        <v>17</v>
      </c>
      <c r="K482" t="s">
        <v>1376</v>
      </c>
      <c r="L482">
        <v>350</v>
      </c>
      <c r="M482" t="s">
        <v>1377</v>
      </c>
    </row>
    <row r="483" spans="1:13">
      <c r="A483" t="s">
        <v>13</v>
      </c>
      <c r="B483">
        <v>495199</v>
      </c>
      <c r="C483">
        <v>495281</v>
      </c>
      <c r="E483" t="s">
        <v>14</v>
      </c>
      <c r="F483" t="s">
        <v>1378</v>
      </c>
      <c r="H483">
        <v>2745349</v>
      </c>
      <c r="I483" t="s">
        <v>62</v>
      </c>
      <c r="M483" t="s">
        <v>1379</v>
      </c>
    </row>
    <row r="484" spans="1:13">
      <c r="A484" t="s">
        <v>13</v>
      </c>
      <c r="B484">
        <v>495904</v>
      </c>
      <c r="C484">
        <v>495976</v>
      </c>
      <c r="E484" t="s">
        <v>14</v>
      </c>
      <c r="F484" t="s">
        <v>948</v>
      </c>
      <c r="H484">
        <v>2745374</v>
      </c>
      <c r="I484" t="s">
        <v>62</v>
      </c>
      <c r="M484" t="s">
        <v>1380</v>
      </c>
    </row>
    <row r="485" spans="1:13">
      <c r="A485" t="s">
        <v>13</v>
      </c>
      <c r="B485">
        <v>496229</v>
      </c>
      <c r="C485">
        <v>496301</v>
      </c>
      <c r="E485" t="s">
        <v>14</v>
      </c>
      <c r="F485" t="s">
        <v>948</v>
      </c>
      <c r="H485">
        <v>2745343</v>
      </c>
      <c r="I485" t="s">
        <v>62</v>
      </c>
      <c r="M485" t="s">
        <v>1381</v>
      </c>
    </row>
    <row r="486" spans="1:13">
      <c r="A486" t="s">
        <v>13</v>
      </c>
      <c r="B486">
        <v>496340</v>
      </c>
      <c r="C486">
        <v>496411</v>
      </c>
      <c r="E486" t="s">
        <v>14</v>
      </c>
      <c r="F486" t="s">
        <v>1382</v>
      </c>
      <c r="H486">
        <v>2745325</v>
      </c>
      <c r="I486" t="s">
        <v>62</v>
      </c>
      <c r="M486" t="s">
        <v>1383</v>
      </c>
    </row>
    <row r="487" spans="1:13">
      <c r="A487" t="s">
        <v>13</v>
      </c>
      <c r="B487">
        <v>496508</v>
      </c>
      <c r="C487">
        <v>496580</v>
      </c>
      <c r="E487" t="s">
        <v>14</v>
      </c>
      <c r="F487" t="s">
        <v>1384</v>
      </c>
      <c r="H487">
        <v>2745367</v>
      </c>
      <c r="I487" t="s">
        <v>62</v>
      </c>
      <c r="M487" t="s">
        <v>1385</v>
      </c>
    </row>
    <row r="488" spans="1:13">
      <c r="A488" t="s">
        <v>13</v>
      </c>
      <c r="B488">
        <v>496810</v>
      </c>
      <c r="C488">
        <v>497145</v>
      </c>
      <c r="E488" t="s">
        <v>14</v>
      </c>
      <c r="F488" t="s">
        <v>1386</v>
      </c>
      <c r="G488" t="s">
        <v>1387</v>
      </c>
      <c r="H488">
        <v>1021479</v>
      </c>
      <c r="I488" t="s">
        <v>17</v>
      </c>
      <c r="K488" t="s">
        <v>1388</v>
      </c>
      <c r="L488">
        <v>111</v>
      </c>
      <c r="M488" t="s">
        <v>1389</v>
      </c>
    </row>
    <row r="489" spans="1:13">
      <c r="A489" t="s">
        <v>13</v>
      </c>
      <c r="B489">
        <v>497374</v>
      </c>
      <c r="C489">
        <v>498330</v>
      </c>
      <c r="E489" t="s">
        <v>14</v>
      </c>
      <c r="F489" t="s">
        <v>1390</v>
      </c>
      <c r="G489" t="s">
        <v>1391</v>
      </c>
      <c r="H489">
        <v>1021480</v>
      </c>
      <c r="I489" t="s">
        <v>17</v>
      </c>
      <c r="K489" t="s">
        <v>1392</v>
      </c>
      <c r="L489">
        <v>318</v>
      </c>
      <c r="M489" t="s">
        <v>1393</v>
      </c>
    </row>
    <row r="490" spans="1:13">
      <c r="A490" t="s">
        <v>13</v>
      </c>
      <c r="B490">
        <v>498598</v>
      </c>
      <c r="C490">
        <v>499035</v>
      </c>
      <c r="E490" t="s">
        <v>14</v>
      </c>
      <c r="F490" t="s">
        <v>1394</v>
      </c>
      <c r="G490" t="s">
        <v>1395</v>
      </c>
      <c r="H490">
        <v>1021481</v>
      </c>
      <c r="I490" t="s">
        <v>17</v>
      </c>
      <c r="K490" t="s">
        <v>1396</v>
      </c>
      <c r="L490">
        <v>145</v>
      </c>
      <c r="M490" t="s">
        <v>1397</v>
      </c>
    </row>
    <row r="491" spans="1:13">
      <c r="A491" t="s">
        <v>13</v>
      </c>
      <c r="B491">
        <v>499162</v>
      </c>
      <c r="C491">
        <v>499872</v>
      </c>
      <c r="E491" t="s">
        <v>14</v>
      </c>
      <c r="F491" t="s">
        <v>1398</v>
      </c>
      <c r="G491" t="s">
        <v>1399</v>
      </c>
      <c r="H491">
        <v>1021483</v>
      </c>
      <c r="I491" t="s">
        <v>17</v>
      </c>
      <c r="K491" t="s">
        <v>1400</v>
      </c>
      <c r="L491">
        <v>236</v>
      </c>
      <c r="M491" t="s">
        <v>1401</v>
      </c>
    </row>
    <row r="492" spans="1:13">
      <c r="A492" t="s">
        <v>13</v>
      </c>
      <c r="B492">
        <v>499922</v>
      </c>
      <c r="C492">
        <v>501436</v>
      </c>
      <c r="E492" t="s">
        <v>38</v>
      </c>
      <c r="F492" t="s">
        <v>1402</v>
      </c>
      <c r="H492">
        <v>1021484</v>
      </c>
      <c r="I492" t="s">
        <v>17</v>
      </c>
      <c r="K492" t="s">
        <v>1403</v>
      </c>
      <c r="L492">
        <v>504</v>
      </c>
      <c r="M492" t="s">
        <v>1404</v>
      </c>
    </row>
    <row r="493" spans="1:13">
      <c r="A493" t="s">
        <v>13</v>
      </c>
      <c r="B493">
        <v>501577</v>
      </c>
      <c r="C493">
        <v>502923</v>
      </c>
      <c r="E493" t="s">
        <v>14</v>
      </c>
      <c r="F493" t="s">
        <v>1405</v>
      </c>
      <c r="G493" t="s">
        <v>1406</v>
      </c>
      <c r="H493">
        <v>1021485</v>
      </c>
      <c r="I493" t="s">
        <v>17</v>
      </c>
      <c r="K493" t="s">
        <v>1407</v>
      </c>
      <c r="L493">
        <v>448</v>
      </c>
      <c r="M493" t="s">
        <v>1408</v>
      </c>
    </row>
    <row r="494" spans="1:13">
      <c r="A494" t="s">
        <v>13</v>
      </c>
      <c r="B494">
        <v>502925</v>
      </c>
      <c r="C494">
        <v>504286</v>
      </c>
      <c r="E494" t="s">
        <v>14</v>
      </c>
      <c r="F494" t="s">
        <v>185</v>
      </c>
      <c r="H494">
        <v>1021486</v>
      </c>
      <c r="I494" t="s">
        <v>17</v>
      </c>
      <c r="K494" t="s">
        <v>1409</v>
      </c>
      <c r="L494">
        <v>453</v>
      </c>
      <c r="M494" t="s">
        <v>1410</v>
      </c>
    </row>
    <row r="495" spans="1:13">
      <c r="A495" t="s">
        <v>13</v>
      </c>
      <c r="B495">
        <v>504325</v>
      </c>
      <c r="C495">
        <v>505572</v>
      </c>
      <c r="E495" t="s">
        <v>14</v>
      </c>
      <c r="F495" t="s">
        <v>1411</v>
      </c>
      <c r="H495">
        <v>1021487</v>
      </c>
      <c r="I495" t="s">
        <v>17</v>
      </c>
      <c r="K495" t="s">
        <v>1412</v>
      </c>
      <c r="L495">
        <v>415</v>
      </c>
      <c r="M495" t="s">
        <v>1413</v>
      </c>
    </row>
    <row r="496" spans="1:13">
      <c r="A496" t="s">
        <v>13</v>
      </c>
      <c r="B496">
        <v>505698</v>
      </c>
      <c r="C496">
        <v>507650</v>
      </c>
      <c r="E496" t="s">
        <v>14</v>
      </c>
      <c r="F496" t="s">
        <v>1146</v>
      </c>
      <c r="H496">
        <v>1021482</v>
      </c>
      <c r="I496" t="s">
        <v>17</v>
      </c>
      <c r="K496" t="s">
        <v>1414</v>
      </c>
      <c r="L496">
        <v>650</v>
      </c>
      <c r="M496" t="s">
        <v>1415</v>
      </c>
    </row>
    <row r="497" spans="1:13">
      <c r="A497" t="s">
        <v>13</v>
      </c>
      <c r="B497">
        <v>507669</v>
      </c>
      <c r="C497">
        <v>509084</v>
      </c>
      <c r="E497" t="s">
        <v>14</v>
      </c>
      <c r="F497" t="s">
        <v>1416</v>
      </c>
      <c r="H497">
        <v>1021488</v>
      </c>
      <c r="I497" t="s">
        <v>17</v>
      </c>
      <c r="K497" t="s">
        <v>1417</v>
      </c>
      <c r="L497">
        <v>471</v>
      </c>
      <c r="M497" t="s">
        <v>1418</v>
      </c>
    </row>
    <row r="498" spans="1:13">
      <c r="A498" t="s">
        <v>13</v>
      </c>
      <c r="B498">
        <v>509094</v>
      </c>
      <c r="C498">
        <v>509699</v>
      </c>
      <c r="E498" t="s">
        <v>14</v>
      </c>
      <c r="F498" t="s">
        <v>1419</v>
      </c>
      <c r="H498">
        <v>1021490</v>
      </c>
      <c r="I498" t="s">
        <v>17</v>
      </c>
      <c r="K498" t="s">
        <v>1420</v>
      </c>
      <c r="L498">
        <v>201</v>
      </c>
      <c r="M498" t="s">
        <v>1421</v>
      </c>
    </row>
    <row r="499" spans="1:13">
      <c r="A499" t="s">
        <v>13</v>
      </c>
      <c r="B499">
        <v>509998</v>
      </c>
      <c r="C499">
        <v>510513</v>
      </c>
      <c r="E499" t="s">
        <v>14</v>
      </c>
      <c r="F499" t="s">
        <v>1422</v>
      </c>
      <c r="G499" t="s">
        <v>1423</v>
      </c>
      <c r="H499">
        <v>1021489</v>
      </c>
      <c r="I499" t="s">
        <v>17</v>
      </c>
      <c r="K499" t="s">
        <v>1424</v>
      </c>
      <c r="L499">
        <v>171</v>
      </c>
      <c r="M499" t="s">
        <v>1425</v>
      </c>
    </row>
    <row r="500" spans="1:13">
      <c r="A500" t="s">
        <v>13</v>
      </c>
      <c r="B500">
        <v>510591</v>
      </c>
      <c r="C500">
        <v>510977</v>
      </c>
      <c r="E500" t="s">
        <v>14</v>
      </c>
      <c r="F500" t="s">
        <v>1426</v>
      </c>
      <c r="G500" t="s">
        <v>1427</v>
      </c>
      <c r="H500">
        <v>1021491</v>
      </c>
      <c r="I500" t="s">
        <v>17</v>
      </c>
      <c r="K500" t="s">
        <v>1428</v>
      </c>
      <c r="L500">
        <v>128</v>
      </c>
      <c r="M500" t="s">
        <v>1429</v>
      </c>
    </row>
    <row r="501" spans="1:13">
      <c r="A501" t="s">
        <v>13</v>
      </c>
      <c r="B501">
        <v>511536</v>
      </c>
      <c r="C501">
        <v>512510</v>
      </c>
      <c r="E501" t="s">
        <v>14</v>
      </c>
      <c r="F501" t="s">
        <v>1430</v>
      </c>
      <c r="H501">
        <v>1021493</v>
      </c>
      <c r="I501" t="s">
        <v>17</v>
      </c>
      <c r="K501" t="s">
        <v>1431</v>
      </c>
      <c r="L501">
        <v>324</v>
      </c>
      <c r="M501" t="s">
        <v>1432</v>
      </c>
    </row>
    <row r="502" spans="1:13">
      <c r="A502" t="s">
        <v>13</v>
      </c>
      <c r="B502">
        <v>512913</v>
      </c>
      <c r="C502">
        <v>516410</v>
      </c>
      <c r="E502" t="s">
        <v>14</v>
      </c>
      <c r="F502" t="s">
        <v>1433</v>
      </c>
      <c r="H502">
        <v>1021495</v>
      </c>
      <c r="I502" t="s">
        <v>17</v>
      </c>
      <c r="K502" t="s">
        <v>1434</v>
      </c>
      <c r="L502">
        <v>1165</v>
      </c>
      <c r="M502" t="s">
        <v>1435</v>
      </c>
    </row>
    <row r="503" spans="1:13">
      <c r="A503" t="s">
        <v>13</v>
      </c>
      <c r="B503">
        <v>516494</v>
      </c>
      <c r="C503">
        <v>520495</v>
      </c>
      <c r="E503" t="s">
        <v>14</v>
      </c>
      <c r="F503" t="s">
        <v>1436</v>
      </c>
      <c r="H503">
        <v>1021494</v>
      </c>
      <c r="I503" t="s">
        <v>17</v>
      </c>
      <c r="K503" t="s">
        <v>1437</v>
      </c>
      <c r="L503">
        <v>1333</v>
      </c>
      <c r="M503" t="s">
        <v>1438</v>
      </c>
    </row>
    <row r="504" spans="1:13">
      <c r="A504" t="s">
        <v>13</v>
      </c>
      <c r="B504">
        <v>520671</v>
      </c>
      <c r="C504">
        <v>520853</v>
      </c>
      <c r="E504" t="s">
        <v>14</v>
      </c>
      <c r="F504" t="s">
        <v>49</v>
      </c>
      <c r="H504">
        <v>1021496</v>
      </c>
      <c r="I504" t="s">
        <v>17</v>
      </c>
      <c r="K504" t="s">
        <v>1439</v>
      </c>
      <c r="L504">
        <v>60</v>
      </c>
      <c r="M504" t="s">
        <v>1440</v>
      </c>
    </row>
    <row r="505" spans="1:13">
      <c r="A505" t="s">
        <v>13</v>
      </c>
      <c r="B505">
        <v>520865</v>
      </c>
      <c r="C505">
        <v>521647</v>
      </c>
      <c r="E505" t="s">
        <v>14</v>
      </c>
      <c r="F505" t="s">
        <v>138</v>
      </c>
      <c r="H505">
        <v>1021492</v>
      </c>
      <c r="I505" t="s">
        <v>17</v>
      </c>
      <c r="K505" t="s">
        <v>1441</v>
      </c>
      <c r="L505">
        <v>260</v>
      </c>
      <c r="M505" t="s">
        <v>1442</v>
      </c>
    </row>
    <row r="506" spans="1:13">
      <c r="A506" t="s">
        <v>13</v>
      </c>
      <c r="B506">
        <v>521676</v>
      </c>
      <c r="C506">
        <v>522371</v>
      </c>
      <c r="E506" t="s">
        <v>38</v>
      </c>
      <c r="F506" t="s">
        <v>1443</v>
      </c>
      <c r="H506">
        <v>1021497</v>
      </c>
      <c r="I506" t="s">
        <v>17</v>
      </c>
      <c r="K506" t="s">
        <v>1444</v>
      </c>
      <c r="L506">
        <v>231</v>
      </c>
      <c r="M506" t="s">
        <v>1445</v>
      </c>
    </row>
    <row r="507" spans="1:13">
      <c r="A507" t="s">
        <v>13</v>
      </c>
      <c r="B507">
        <v>522694</v>
      </c>
      <c r="C507">
        <v>523062</v>
      </c>
      <c r="E507" t="s">
        <v>14</v>
      </c>
      <c r="F507" t="s">
        <v>1446</v>
      </c>
      <c r="G507" t="s">
        <v>1447</v>
      </c>
      <c r="H507">
        <v>1021498</v>
      </c>
      <c r="I507" t="s">
        <v>17</v>
      </c>
      <c r="K507" t="s">
        <v>1448</v>
      </c>
      <c r="L507">
        <v>122</v>
      </c>
      <c r="M507" t="s">
        <v>1449</v>
      </c>
    </row>
    <row r="508" spans="1:13">
      <c r="A508" t="s">
        <v>13</v>
      </c>
      <c r="B508">
        <v>523069</v>
      </c>
      <c r="C508">
        <v>523536</v>
      </c>
      <c r="E508" t="s">
        <v>14</v>
      </c>
      <c r="F508" t="s">
        <v>1450</v>
      </c>
      <c r="G508" t="s">
        <v>1451</v>
      </c>
      <c r="H508">
        <v>1021500</v>
      </c>
      <c r="I508" t="s">
        <v>17</v>
      </c>
      <c r="K508" t="s">
        <v>1452</v>
      </c>
      <c r="L508">
        <v>155</v>
      </c>
      <c r="M508" t="s">
        <v>1453</v>
      </c>
    </row>
    <row r="509" spans="1:13">
      <c r="A509" t="s">
        <v>13</v>
      </c>
      <c r="B509">
        <v>523884</v>
      </c>
      <c r="C509">
        <v>526013</v>
      </c>
      <c r="E509" t="s">
        <v>14</v>
      </c>
      <c r="F509" t="s">
        <v>1454</v>
      </c>
      <c r="G509" t="s">
        <v>1455</v>
      </c>
      <c r="H509">
        <v>1021501</v>
      </c>
      <c r="I509" t="s">
        <v>17</v>
      </c>
      <c r="K509" t="s">
        <v>1456</v>
      </c>
      <c r="L509">
        <v>709</v>
      </c>
      <c r="M509" t="s">
        <v>1457</v>
      </c>
    </row>
    <row r="510" spans="1:13">
      <c r="A510" t="s">
        <v>13</v>
      </c>
      <c r="B510">
        <v>526376</v>
      </c>
      <c r="C510">
        <v>527566</v>
      </c>
      <c r="E510" t="s">
        <v>14</v>
      </c>
      <c r="F510" t="s">
        <v>1458</v>
      </c>
      <c r="G510" t="s">
        <v>1459</v>
      </c>
      <c r="H510">
        <v>1021503</v>
      </c>
      <c r="I510" t="s">
        <v>17</v>
      </c>
      <c r="K510" t="s">
        <v>1460</v>
      </c>
      <c r="L510">
        <v>396</v>
      </c>
      <c r="M510" t="s">
        <v>1461</v>
      </c>
    </row>
    <row r="511" spans="1:13">
      <c r="A511" t="s">
        <v>13</v>
      </c>
      <c r="B511">
        <v>528040</v>
      </c>
      <c r="C511">
        <v>528771</v>
      </c>
      <c r="E511" t="s">
        <v>14</v>
      </c>
      <c r="F511" t="s">
        <v>49</v>
      </c>
      <c r="H511">
        <v>1021505</v>
      </c>
      <c r="I511" t="s">
        <v>17</v>
      </c>
      <c r="K511" t="s">
        <v>1462</v>
      </c>
      <c r="L511">
        <v>243</v>
      </c>
      <c r="M511" t="s">
        <v>1463</v>
      </c>
    </row>
    <row r="512" spans="1:13">
      <c r="A512" t="s">
        <v>13</v>
      </c>
      <c r="B512">
        <v>528776</v>
      </c>
      <c r="C512">
        <v>529570</v>
      </c>
      <c r="E512" t="s">
        <v>38</v>
      </c>
      <c r="F512" t="s">
        <v>147</v>
      </c>
      <c r="H512">
        <v>1021499</v>
      </c>
      <c r="I512" t="s">
        <v>17</v>
      </c>
      <c r="K512" t="s">
        <v>1464</v>
      </c>
      <c r="L512">
        <v>264</v>
      </c>
      <c r="M512" t="s">
        <v>1465</v>
      </c>
    </row>
    <row r="513" spans="1:13">
      <c r="A513" t="s">
        <v>13</v>
      </c>
      <c r="B513">
        <v>529589</v>
      </c>
      <c r="C513">
        <v>530755</v>
      </c>
      <c r="E513" t="s">
        <v>38</v>
      </c>
      <c r="F513" t="s">
        <v>144</v>
      </c>
      <c r="H513">
        <v>1021506</v>
      </c>
      <c r="I513" t="s">
        <v>17</v>
      </c>
      <c r="K513" t="s">
        <v>1466</v>
      </c>
      <c r="L513">
        <v>388</v>
      </c>
      <c r="M513" t="s">
        <v>1467</v>
      </c>
    </row>
    <row r="514" spans="1:13">
      <c r="A514" t="s">
        <v>13</v>
      </c>
      <c r="B514">
        <v>530745</v>
      </c>
      <c r="C514">
        <v>531791</v>
      </c>
      <c r="E514" t="s">
        <v>38</v>
      </c>
      <c r="F514" t="s">
        <v>1468</v>
      </c>
      <c r="H514">
        <v>1021504</v>
      </c>
      <c r="I514" t="s">
        <v>17</v>
      </c>
      <c r="K514" t="s">
        <v>1469</v>
      </c>
      <c r="L514">
        <v>348</v>
      </c>
      <c r="M514" t="s">
        <v>1470</v>
      </c>
    </row>
    <row r="515" spans="1:13">
      <c r="A515" t="s">
        <v>13</v>
      </c>
      <c r="B515">
        <v>532098</v>
      </c>
      <c r="C515">
        <v>532526</v>
      </c>
      <c r="E515" t="s">
        <v>14</v>
      </c>
      <c r="F515" t="s">
        <v>141</v>
      </c>
      <c r="H515">
        <v>1021507</v>
      </c>
      <c r="I515" t="s">
        <v>142</v>
      </c>
      <c r="M515" t="s">
        <v>1471</v>
      </c>
    </row>
    <row r="516" spans="1:13">
      <c r="A516" t="s">
        <v>13</v>
      </c>
      <c r="B516">
        <v>533099</v>
      </c>
      <c r="C516">
        <v>533404</v>
      </c>
      <c r="E516" t="s">
        <v>14</v>
      </c>
      <c r="F516" t="s">
        <v>1472</v>
      </c>
      <c r="G516" t="s">
        <v>1473</v>
      </c>
      <c r="H516">
        <v>1021509</v>
      </c>
      <c r="I516" t="s">
        <v>17</v>
      </c>
      <c r="K516" t="s">
        <v>1474</v>
      </c>
      <c r="L516">
        <v>101</v>
      </c>
      <c r="M516" t="s">
        <v>1475</v>
      </c>
    </row>
    <row r="517" spans="1:13">
      <c r="A517" t="s">
        <v>13</v>
      </c>
      <c r="B517">
        <v>533437</v>
      </c>
      <c r="C517">
        <v>534093</v>
      </c>
      <c r="E517" t="s">
        <v>14</v>
      </c>
      <c r="F517" t="s">
        <v>1476</v>
      </c>
      <c r="G517" t="s">
        <v>1477</v>
      </c>
      <c r="H517">
        <v>1021508</v>
      </c>
      <c r="I517" t="s">
        <v>17</v>
      </c>
      <c r="K517" t="s">
        <v>1478</v>
      </c>
      <c r="L517">
        <v>218</v>
      </c>
      <c r="M517" t="s">
        <v>1479</v>
      </c>
    </row>
    <row r="518" spans="1:13">
      <c r="A518" t="s">
        <v>13</v>
      </c>
      <c r="B518">
        <v>534090</v>
      </c>
      <c r="C518">
        <v>534746</v>
      </c>
      <c r="E518" t="s">
        <v>14</v>
      </c>
      <c r="F518" t="s">
        <v>1480</v>
      </c>
      <c r="G518" t="s">
        <v>1481</v>
      </c>
      <c r="H518">
        <v>1021511</v>
      </c>
      <c r="I518" t="s">
        <v>17</v>
      </c>
      <c r="K518" t="s">
        <v>1482</v>
      </c>
      <c r="L518">
        <v>218</v>
      </c>
      <c r="M518" t="s">
        <v>1483</v>
      </c>
    </row>
    <row r="519" spans="1:13">
      <c r="A519" t="s">
        <v>13</v>
      </c>
      <c r="B519">
        <v>534746</v>
      </c>
      <c r="C519">
        <v>535051</v>
      </c>
      <c r="E519" t="s">
        <v>14</v>
      </c>
      <c r="F519" t="s">
        <v>1484</v>
      </c>
      <c r="G519" t="s">
        <v>1485</v>
      </c>
      <c r="H519">
        <v>1021512</v>
      </c>
      <c r="I519" t="s">
        <v>17</v>
      </c>
      <c r="K519" t="s">
        <v>1486</v>
      </c>
      <c r="L519">
        <v>101</v>
      </c>
      <c r="M519" t="s">
        <v>1487</v>
      </c>
    </row>
    <row r="520" spans="1:13">
      <c r="A520" t="s">
        <v>13</v>
      </c>
      <c r="B520">
        <v>535076</v>
      </c>
      <c r="C520">
        <v>535918</v>
      </c>
      <c r="E520" t="s">
        <v>14</v>
      </c>
      <c r="F520" t="s">
        <v>1488</v>
      </c>
      <c r="G520" t="s">
        <v>1489</v>
      </c>
      <c r="H520">
        <v>1021510</v>
      </c>
      <c r="I520" t="s">
        <v>17</v>
      </c>
      <c r="K520" t="s">
        <v>1490</v>
      </c>
      <c r="L520">
        <v>280</v>
      </c>
      <c r="M520" t="s">
        <v>1491</v>
      </c>
    </row>
    <row r="521" spans="1:13">
      <c r="A521" t="s">
        <v>13</v>
      </c>
      <c r="B521">
        <v>535935</v>
      </c>
      <c r="C521">
        <v>536213</v>
      </c>
      <c r="E521" t="s">
        <v>14</v>
      </c>
      <c r="F521" t="s">
        <v>1492</v>
      </c>
      <c r="G521" t="s">
        <v>1493</v>
      </c>
      <c r="H521">
        <v>1021514</v>
      </c>
      <c r="I521" t="s">
        <v>17</v>
      </c>
      <c r="K521" t="s">
        <v>1494</v>
      </c>
      <c r="L521">
        <v>92</v>
      </c>
      <c r="M521" t="s">
        <v>1495</v>
      </c>
    </row>
    <row r="522" spans="1:13">
      <c r="A522" t="s">
        <v>13</v>
      </c>
      <c r="B522">
        <v>536217</v>
      </c>
      <c r="C522">
        <v>536579</v>
      </c>
      <c r="E522" t="s">
        <v>14</v>
      </c>
      <c r="F522" t="s">
        <v>1496</v>
      </c>
      <c r="G522" t="s">
        <v>1497</v>
      </c>
      <c r="H522">
        <v>1021515</v>
      </c>
      <c r="I522" t="s">
        <v>17</v>
      </c>
      <c r="K522" t="s">
        <v>1498</v>
      </c>
      <c r="L522">
        <v>120</v>
      </c>
      <c r="M522" t="s">
        <v>1499</v>
      </c>
    </row>
    <row r="523" spans="1:13">
      <c r="A523" t="s">
        <v>13</v>
      </c>
      <c r="B523">
        <v>536579</v>
      </c>
      <c r="C523">
        <v>537325</v>
      </c>
      <c r="E523" t="s">
        <v>14</v>
      </c>
      <c r="F523" t="s">
        <v>1500</v>
      </c>
      <c r="G523" t="s">
        <v>1501</v>
      </c>
      <c r="H523">
        <v>1021517</v>
      </c>
      <c r="I523" t="s">
        <v>17</v>
      </c>
      <c r="K523" t="s">
        <v>1502</v>
      </c>
      <c r="L523">
        <v>248</v>
      </c>
      <c r="M523" t="s">
        <v>1503</v>
      </c>
    </row>
    <row r="524" spans="1:13">
      <c r="A524" t="s">
        <v>13</v>
      </c>
      <c r="B524">
        <v>537328</v>
      </c>
      <c r="C524">
        <v>537744</v>
      </c>
      <c r="E524" t="s">
        <v>14</v>
      </c>
      <c r="F524" t="s">
        <v>1504</v>
      </c>
      <c r="G524" t="s">
        <v>1505</v>
      </c>
      <c r="H524">
        <v>1021516</v>
      </c>
      <c r="I524" t="s">
        <v>17</v>
      </c>
      <c r="K524" t="s">
        <v>1506</v>
      </c>
      <c r="L524">
        <v>138</v>
      </c>
      <c r="M524" t="s">
        <v>1507</v>
      </c>
    </row>
    <row r="525" spans="1:13">
      <c r="A525" t="s">
        <v>13</v>
      </c>
      <c r="B525">
        <v>537744</v>
      </c>
      <c r="C525">
        <v>537974</v>
      </c>
      <c r="E525" t="s">
        <v>14</v>
      </c>
      <c r="F525" t="s">
        <v>1508</v>
      </c>
      <c r="G525" t="s">
        <v>1509</v>
      </c>
      <c r="H525">
        <v>1021518</v>
      </c>
      <c r="I525" t="s">
        <v>17</v>
      </c>
      <c r="K525" t="s">
        <v>1510</v>
      </c>
      <c r="L525">
        <v>76</v>
      </c>
      <c r="M525" t="s">
        <v>1511</v>
      </c>
    </row>
    <row r="526" spans="1:13">
      <c r="A526" t="s">
        <v>13</v>
      </c>
      <c r="B526">
        <v>537977</v>
      </c>
      <c r="C526">
        <v>538255</v>
      </c>
      <c r="E526" t="s">
        <v>14</v>
      </c>
      <c r="F526" t="s">
        <v>1512</v>
      </c>
      <c r="G526" t="s">
        <v>1513</v>
      </c>
      <c r="H526">
        <v>1021513</v>
      </c>
      <c r="I526" t="s">
        <v>17</v>
      </c>
      <c r="K526" t="s">
        <v>1514</v>
      </c>
      <c r="L526">
        <v>92</v>
      </c>
      <c r="M526" t="s">
        <v>1515</v>
      </c>
    </row>
    <row r="527" spans="1:13">
      <c r="A527" t="s">
        <v>13</v>
      </c>
      <c r="B527">
        <v>538378</v>
      </c>
      <c r="C527">
        <v>538647</v>
      </c>
      <c r="E527" t="s">
        <v>38</v>
      </c>
      <c r="F527" t="s">
        <v>49</v>
      </c>
      <c r="H527">
        <v>1021519</v>
      </c>
      <c r="I527" t="s">
        <v>17</v>
      </c>
      <c r="K527" t="s">
        <v>1516</v>
      </c>
      <c r="L527">
        <v>89</v>
      </c>
      <c r="M527" t="s">
        <v>1517</v>
      </c>
    </row>
    <row r="528" spans="1:13">
      <c r="A528" t="s">
        <v>13</v>
      </c>
      <c r="B528">
        <v>538715</v>
      </c>
      <c r="C528">
        <v>539413</v>
      </c>
      <c r="E528" t="s">
        <v>38</v>
      </c>
      <c r="F528" t="s">
        <v>1518</v>
      </c>
      <c r="H528">
        <v>1021521</v>
      </c>
      <c r="I528" t="s">
        <v>17</v>
      </c>
      <c r="K528" t="s">
        <v>1519</v>
      </c>
      <c r="L528">
        <v>232</v>
      </c>
      <c r="M528" t="s">
        <v>1520</v>
      </c>
    </row>
    <row r="529" spans="1:13">
      <c r="A529" t="s">
        <v>13</v>
      </c>
      <c r="B529">
        <v>539741</v>
      </c>
      <c r="C529">
        <v>540109</v>
      </c>
      <c r="E529" t="s">
        <v>14</v>
      </c>
      <c r="F529" t="s">
        <v>1521</v>
      </c>
      <c r="G529" t="s">
        <v>1522</v>
      </c>
      <c r="H529">
        <v>1021522</v>
      </c>
      <c r="I529" t="s">
        <v>17</v>
      </c>
      <c r="K529" t="s">
        <v>1523</v>
      </c>
      <c r="L529">
        <v>122</v>
      </c>
      <c r="M529" t="s">
        <v>1524</v>
      </c>
    </row>
    <row r="530" spans="1:13">
      <c r="A530" t="s">
        <v>13</v>
      </c>
      <c r="B530">
        <v>540112</v>
      </c>
      <c r="C530">
        <v>540426</v>
      </c>
      <c r="E530" t="s">
        <v>14</v>
      </c>
      <c r="F530" t="s">
        <v>1525</v>
      </c>
      <c r="G530" t="s">
        <v>1526</v>
      </c>
      <c r="H530">
        <v>1021520</v>
      </c>
      <c r="I530" t="s">
        <v>17</v>
      </c>
      <c r="K530" t="s">
        <v>1527</v>
      </c>
      <c r="L530">
        <v>104</v>
      </c>
      <c r="M530" t="s">
        <v>1528</v>
      </c>
    </row>
    <row r="531" spans="1:13">
      <c r="A531" t="s">
        <v>13</v>
      </c>
      <c r="B531">
        <v>540426</v>
      </c>
      <c r="C531">
        <v>541001</v>
      </c>
      <c r="E531" t="s">
        <v>14</v>
      </c>
      <c r="F531" t="s">
        <v>1529</v>
      </c>
      <c r="G531" t="s">
        <v>1530</v>
      </c>
      <c r="H531">
        <v>1021523</v>
      </c>
      <c r="I531" t="s">
        <v>17</v>
      </c>
      <c r="K531" t="s">
        <v>1531</v>
      </c>
      <c r="L531">
        <v>191</v>
      </c>
      <c r="M531" t="s">
        <v>1532</v>
      </c>
    </row>
    <row r="532" spans="1:13">
      <c r="A532" t="s">
        <v>13</v>
      </c>
      <c r="B532">
        <v>541108</v>
      </c>
      <c r="C532">
        <v>542082</v>
      </c>
      <c r="E532" t="s">
        <v>14</v>
      </c>
      <c r="F532" t="s">
        <v>1533</v>
      </c>
      <c r="H532">
        <v>1021525</v>
      </c>
      <c r="I532" t="s">
        <v>17</v>
      </c>
      <c r="K532" t="s">
        <v>1534</v>
      </c>
      <c r="L532">
        <v>324</v>
      </c>
      <c r="M532" t="s">
        <v>1535</v>
      </c>
    </row>
    <row r="533" spans="1:13">
      <c r="A533" t="s">
        <v>13</v>
      </c>
      <c r="B533">
        <v>542087</v>
      </c>
      <c r="C533">
        <v>542896</v>
      </c>
      <c r="E533" t="s">
        <v>38</v>
      </c>
      <c r="F533" t="s">
        <v>336</v>
      </c>
      <c r="H533">
        <v>1021524</v>
      </c>
      <c r="I533" t="s">
        <v>17</v>
      </c>
      <c r="K533" t="s">
        <v>1536</v>
      </c>
      <c r="L533">
        <v>269</v>
      </c>
      <c r="M533" t="s">
        <v>1537</v>
      </c>
    </row>
    <row r="534" spans="1:13">
      <c r="A534" t="s">
        <v>13</v>
      </c>
      <c r="B534">
        <v>542918</v>
      </c>
      <c r="C534">
        <v>543412</v>
      </c>
      <c r="E534" t="s">
        <v>38</v>
      </c>
      <c r="F534" t="s">
        <v>49</v>
      </c>
      <c r="H534">
        <v>1021528</v>
      </c>
      <c r="I534" t="s">
        <v>17</v>
      </c>
      <c r="K534" t="s">
        <v>1538</v>
      </c>
      <c r="L534">
        <v>164</v>
      </c>
      <c r="M534" t="s">
        <v>1539</v>
      </c>
    </row>
    <row r="535" spans="1:13">
      <c r="A535" t="s">
        <v>13</v>
      </c>
      <c r="B535">
        <v>543412</v>
      </c>
      <c r="C535">
        <v>544329</v>
      </c>
      <c r="E535" t="s">
        <v>38</v>
      </c>
      <c r="F535" t="s">
        <v>1540</v>
      </c>
      <c r="G535" t="s">
        <v>1541</v>
      </c>
      <c r="H535">
        <v>1021529</v>
      </c>
      <c r="I535" t="s">
        <v>17</v>
      </c>
      <c r="K535" t="s">
        <v>1542</v>
      </c>
      <c r="L535">
        <v>305</v>
      </c>
      <c r="M535" t="s">
        <v>1543</v>
      </c>
    </row>
    <row r="536" spans="1:13">
      <c r="A536" t="s">
        <v>13</v>
      </c>
      <c r="B536">
        <v>544332</v>
      </c>
      <c r="C536">
        <v>544640</v>
      </c>
      <c r="E536" t="s">
        <v>38</v>
      </c>
      <c r="F536" t="s">
        <v>1544</v>
      </c>
      <c r="H536">
        <v>1021526</v>
      </c>
      <c r="I536" t="s">
        <v>17</v>
      </c>
      <c r="K536" t="s">
        <v>1545</v>
      </c>
      <c r="L536">
        <v>102</v>
      </c>
      <c r="M536" t="s">
        <v>1546</v>
      </c>
    </row>
    <row r="537" spans="1:13">
      <c r="A537" t="s">
        <v>13</v>
      </c>
      <c r="B537">
        <v>544754</v>
      </c>
      <c r="C537">
        <v>547042</v>
      </c>
      <c r="E537" t="s">
        <v>38</v>
      </c>
      <c r="F537" t="s">
        <v>1547</v>
      </c>
      <c r="G537" t="s">
        <v>1548</v>
      </c>
      <c r="H537">
        <v>1021531</v>
      </c>
      <c r="I537" t="s">
        <v>17</v>
      </c>
      <c r="K537" t="s">
        <v>1549</v>
      </c>
      <c r="L537">
        <v>762</v>
      </c>
      <c r="M537" t="s">
        <v>1550</v>
      </c>
    </row>
    <row r="538" spans="1:13">
      <c r="A538" t="s">
        <v>13</v>
      </c>
      <c r="B538">
        <v>547458</v>
      </c>
      <c r="C538">
        <v>548087</v>
      </c>
      <c r="E538" t="s">
        <v>14</v>
      </c>
      <c r="F538" t="s">
        <v>49</v>
      </c>
      <c r="H538">
        <v>1021532</v>
      </c>
      <c r="I538" t="s">
        <v>17</v>
      </c>
      <c r="K538" t="s">
        <v>1551</v>
      </c>
      <c r="L538">
        <v>209</v>
      </c>
      <c r="M538" t="s">
        <v>1552</v>
      </c>
    </row>
    <row r="539" spans="1:13">
      <c r="A539" t="s">
        <v>13</v>
      </c>
      <c r="B539">
        <v>548184</v>
      </c>
      <c r="C539">
        <v>548990</v>
      </c>
      <c r="E539" t="s">
        <v>38</v>
      </c>
      <c r="F539" t="s">
        <v>1553</v>
      </c>
      <c r="H539">
        <v>1021530</v>
      </c>
      <c r="I539" t="s">
        <v>17</v>
      </c>
      <c r="K539" t="s">
        <v>1554</v>
      </c>
      <c r="L539">
        <v>268</v>
      </c>
      <c r="M539" t="s">
        <v>1555</v>
      </c>
    </row>
    <row r="540" spans="1:13">
      <c r="A540" t="s">
        <v>13</v>
      </c>
      <c r="B540">
        <v>548987</v>
      </c>
      <c r="C540">
        <v>550696</v>
      </c>
      <c r="E540" t="s">
        <v>38</v>
      </c>
      <c r="F540" t="s">
        <v>147</v>
      </c>
      <c r="H540">
        <v>1021527</v>
      </c>
      <c r="I540" t="s">
        <v>17</v>
      </c>
      <c r="K540" t="s">
        <v>1556</v>
      </c>
      <c r="L540">
        <v>569</v>
      </c>
      <c r="M540" t="s">
        <v>1557</v>
      </c>
    </row>
    <row r="541" spans="1:13">
      <c r="A541" t="s">
        <v>13</v>
      </c>
      <c r="B541">
        <v>550696</v>
      </c>
      <c r="C541">
        <v>551808</v>
      </c>
      <c r="E541" t="s">
        <v>38</v>
      </c>
      <c r="F541" t="s">
        <v>1558</v>
      </c>
      <c r="H541">
        <v>1021534</v>
      </c>
      <c r="I541" t="s">
        <v>17</v>
      </c>
      <c r="K541" t="s">
        <v>1559</v>
      </c>
      <c r="L541">
        <v>370</v>
      </c>
      <c r="M541" t="s">
        <v>1560</v>
      </c>
    </row>
    <row r="542" spans="1:13">
      <c r="A542" t="s">
        <v>13</v>
      </c>
      <c r="B542">
        <v>551851</v>
      </c>
      <c r="C542">
        <v>552924</v>
      </c>
      <c r="E542" t="s">
        <v>38</v>
      </c>
      <c r="F542" t="s">
        <v>49</v>
      </c>
      <c r="H542">
        <v>1021535</v>
      </c>
      <c r="I542" t="s">
        <v>17</v>
      </c>
      <c r="K542" t="s">
        <v>1561</v>
      </c>
      <c r="L542">
        <v>357</v>
      </c>
      <c r="M542" t="s">
        <v>1562</v>
      </c>
    </row>
    <row r="543" spans="1:13">
      <c r="A543" t="s">
        <v>13</v>
      </c>
      <c r="B543">
        <v>552945</v>
      </c>
      <c r="C543">
        <v>554129</v>
      </c>
      <c r="E543" t="s">
        <v>38</v>
      </c>
      <c r="F543" t="s">
        <v>1563</v>
      </c>
      <c r="H543">
        <v>1021533</v>
      </c>
      <c r="I543" t="s">
        <v>17</v>
      </c>
      <c r="K543" t="s">
        <v>1564</v>
      </c>
      <c r="L543">
        <v>394</v>
      </c>
      <c r="M543" t="s">
        <v>1565</v>
      </c>
    </row>
    <row r="544" spans="1:13">
      <c r="A544" t="s">
        <v>13</v>
      </c>
      <c r="B544">
        <v>554449</v>
      </c>
      <c r="C544">
        <v>554973</v>
      </c>
      <c r="E544" t="s">
        <v>38</v>
      </c>
      <c r="F544" t="s">
        <v>549</v>
      </c>
      <c r="H544">
        <v>1021536</v>
      </c>
      <c r="I544" t="s">
        <v>17</v>
      </c>
      <c r="K544" t="s">
        <v>1566</v>
      </c>
      <c r="L544">
        <v>174</v>
      </c>
      <c r="M544" t="s">
        <v>1567</v>
      </c>
    </row>
    <row r="545" spans="1:13">
      <c r="A545" t="s">
        <v>13</v>
      </c>
      <c r="B545">
        <v>555331</v>
      </c>
      <c r="C545">
        <v>555729</v>
      </c>
      <c r="E545" t="s">
        <v>14</v>
      </c>
      <c r="F545" t="s">
        <v>1568</v>
      </c>
      <c r="G545" t="s">
        <v>1569</v>
      </c>
      <c r="H545">
        <v>1021538</v>
      </c>
      <c r="I545" t="s">
        <v>17</v>
      </c>
      <c r="K545" t="s">
        <v>1570</v>
      </c>
      <c r="L545">
        <v>132</v>
      </c>
      <c r="M545" t="s">
        <v>1571</v>
      </c>
    </row>
    <row r="546" spans="1:13">
      <c r="A546" t="s">
        <v>13</v>
      </c>
      <c r="B546">
        <v>555749</v>
      </c>
      <c r="C546">
        <v>556285</v>
      </c>
      <c r="E546" t="s">
        <v>14</v>
      </c>
      <c r="F546" t="s">
        <v>1572</v>
      </c>
      <c r="G546" t="s">
        <v>1573</v>
      </c>
      <c r="H546">
        <v>1021537</v>
      </c>
      <c r="I546" t="s">
        <v>17</v>
      </c>
      <c r="K546" t="s">
        <v>1574</v>
      </c>
      <c r="L546">
        <v>178</v>
      </c>
      <c r="M546" t="s">
        <v>1575</v>
      </c>
    </row>
    <row r="547" spans="1:13">
      <c r="A547" t="s">
        <v>13</v>
      </c>
      <c r="B547">
        <v>556289</v>
      </c>
      <c r="C547">
        <v>556693</v>
      </c>
      <c r="E547" t="s">
        <v>14</v>
      </c>
      <c r="F547" t="s">
        <v>1576</v>
      </c>
      <c r="G547" t="s">
        <v>1577</v>
      </c>
      <c r="H547">
        <v>1021541</v>
      </c>
      <c r="I547" t="s">
        <v>17</v>
      </c>
      <c r="K547" t="s">
        <v>1578</v>
      </c>
      <c r="L547">
        <v>134</v>
      </c>
      <c r="M547" t="s">
        <v>1579</v>
      </c>
    </row>
    <row r="548" spans="1:13">
      <c r="A548" t="s">
        <v>13</v>
      </c>
      <c r="B548">
        <v>556734</v>
      </c>
      <c r="C548">
        <v>557369</v>
      </c>
      <c r="E548" t="s">
        <v>14</v>
      </c>
      <c r="F548" t="s">
        <v>1580</v>
      </c>
      <c r="G548" t="s">
        <v>1581</v>
      </c>
      <c r="H548">
        <v>1021540</v>
      </c>
      <c r="I548" t="s">
        <v>17</v>
      </c>
      <c r="K548" t="s">
        <v>1582</v>
      </c>
      <c r="L548">
        <v>211</v>
      </c>
      <c r="M548" t="s">
        <v>1583</v>
      </c>
    </row>
    <row r="549" spans="1:13">
      <c r="A549" t="s">
        <v>13</v>
      </c>
      <c r="B549">
        <v>557373</v>
      </c>
      <c r="C549">
        <v>557558</v>
      </c>
      <c r="E549" t="s">
        <v>14</v>
      </c>
      <c r="F549" t="s">
        <v>1584</v>
      </c>
      <c r="G549" t="s">
        <v>1585</v>
      </c>
      <c r="H549">
        <v>1021542</v>
      </c>
      <c r="I549" t="s">
        <v>17</v>
      </c>
      <c r="K549" t="s">
        <v>1586</v>
      </c>
      <c r="L549">
        <v>61</v>
      </c>
      <c r="M549" t="s">
        <v>1587</v>
      </c>
    </row>
    <row r="550" spans="1:13">
      <c r="A550" t="s">
        <v>13</v>
      </c>
      <c r="B550">
        <v>557565</v>
      </c>
      <c r="C550">
        <v>558011</v>
      </c>
      <c r="E550" t="s">
        <v>14</v>
      </c>
      <c r="F550" t="s">
        <v>1588</v>
      </c>
      <c r="G550" t="s">
        <v>1589</v>
      </c>
      <c r="H550">
        <v>1021539</v>
      </c>
      <c r="I550" t="s">
        <v>17</v>
      </c>
      <c r="K550" t="s">
        <v>1590</v>
      </c>
      <c r="L550">
        <v>148</v>
      </c>
      <c r="M550" t="s">
        <v>1591</v>
      </c>
    </row>
    <row r="551" spans="1:13">
      <c r="A551" t="s">
        <v>13</v>
      </c>
      <c r="B551">
        <v>558194</v>
      </c>
      <c r="C551">
        <v>558406</v>
      </c>
      <c r="E551" t="s">
        <v>38</v>
      </c>
      <c r="F551" t="s">
        <v>1592</v>
      </c>
      <c r="H551">
        <v>1018550</v>
      </c>
      <c r="I551" t="s">
        <v>17</v>
      </c>
      <c r="K551" t="s">
        <v>1593</v>
      </c>
      <c r="L551">
        <v>70</v>
      </c>
      <c r="M551" t="s">
        <v>1594</v>
      </c>
    </row>
    <row r="552" spans="1:13">
      <c r="A552" t="s">
        <v>13</v>
      </c>
      <c r="B552">
        <v>558604</v>
      </c>
      <c r="C552">
        <v>558969</v>
      </c>
      <c r="E552" t="s">
        <v>38</v>
      </c>
      <c r="F552" t="s">
        <v>49</v>
      </c>
      <c r="H552">
        <v>1018551</v>
      </c>
      <c r="I552" t="s">
        <v>17</v>
      </c>
      <c r="K552" t="s">
        <v>1595</v>
      </c>
      <c r="L552">
        <v>121</v>
      </c>
      <c r="M552" t="s">
        <v>1596</v>
      </c>
    </row>
    <row r="553" spans="1:13">
      <c r="A553" t="s">
        <v>13</v>
      </c>
      <c r="B553">
        <v>559141</v>
      </c>
      <c r="C553">
        <v>560634</v>
      </c>
      <c r="E553" t="s">
        <v>38</v>
      </c>
      <c r="F553" t="s">
        <v>1592</v>
      </c>
      <c r="H553">
        <v>1018552</v>
      </c>
      <c r="I553" t="s">
        <v>17</v>
      </c>
      <c r="K553" t="s">
        <v>1597</v>
      </c>
      <c r="L553">
        <v>497</v>
      </c>
      <c r="M553" t="s">
        <v>1598</v>
      </c>
    </row>
    <row r="554" spans="1:13">
      <c r="A554" t="s">
        <v>13</v>
      </c>
      <c r="B554">
        <v>560631</v>
      </c>
      <c r="C554">
        <v>561368</v>
      </c>
      <c r="E554" t="s">
        <v>38</v>
      </c>
      <c r="F554" t="s">
        <v>1599</v>
      </c>
      <c r="H554">
        <v>1018553</v>
      </c>
      <c r="I554" t="s">
        <v>17</v>
      </c>
      <c r="K554" t="s">
        <v>1600</v>
      </c>
      <c r="L554">
        <v>245</v>
      </c>
      <c r="M554" t="s">
        <v>1601</v>
      </c>
    </row>
    <row r="555" spans="1:13">
      <c r="A555" t="s">
        <v>13</v>
      </c>
      <c r="B555">
        <v>561365</v>
      </c>
      <c r="C555">
        <v>562633</v>
      </c>
      <c r="E555" t="s">
        <v>38</v>
      </c>
      <c r="F555" t="s">
        <v>1602</v>
      </c>
      <c r="H555">
        <v>1018554</v>
      </c>
      <c r="I555" t="s">
        <v>17</v>
      </c>
      <c r="K555" t="s">
        <v>1603</v>
      </c>
      <c r="L555">
        <v>422</v>
      </c>
      <c r="M555" t="s">
        <v>1604</v>
      </c>
    </row>
    <row r="556" spans="1:13">
      <c r="A556" t="s">
        <v>13</v>
      </c>
      <c r="B556">
        <v>562643</v>
      </c>
      <c r="C556">
        <v>562963</v>
      </c>
      <c r="E556" t="s">
        <v>38</v>
      </c>
      <c r="F556" t="s">
        <v>624</v>
      </c>
      <c r="H556">
        <v>1018555</v>
      </c>
      <c r="I556" t="s">
        <v>17</v>
      </c>
      <c r="K556" t="s">
        <v>1605</v>
      </c>
      <c r="L556">
        <v>106</v>
      </c>
      <c r="M556" t="s">
        <v>1606</v>
      </c>
    </row>
    <row r="557" spans="1:13">
      <c r="A557" t="s">
        <v>13</v>
      </c>
      <c r="B557">
        <v>562990</v>
      </c>
      <c r="C557">
        <v>563736</v>
      </c>
      <c r="E557" t="s">
        <v>38</v>
      </c>
      <c r="F557" t="s">
        <v>871</v>
      </c>
      <c r="H557">
        <v>1018556</v>
      </c>
      <c r="I557" t="s">
        <v>17</v>
      </c>
      <c r="K557" t="s">
        <v>1607</v>
      </c>
      <c r="L557">
        <v>248</v>
      </c>
      <c r="M557" t="s">
        <v>1608</v>
      </c>
    </row>
    <row r="558" spans="1:13">
      <c r="A558" t="s">
        <v>13</v>
      </c>
      <c r="B558">
        <v>563729</v>
      </c>
      <c r="C558">
        <v>565630</v>
      </c>
      <c r="E558" t="s">
        <v>38</v>
      </c>
      <c r="F558" t="s">
        <v>1609</v>
      </c>
      <c r="H558">
        <v>1018557</v>
      </c>
      <c r="I558" t="s">
        <v>17</v>
      </c>
      <c r="K558" t="s">
        <v>1610</v>
      </c>
      <c r="L558">
        <v>633</v>
      </c>
      <c r="M558" t="s">
        <v>1611</v>
      </c>
    </row>
    <row r="559" spans="1:13">
      <c r="A559" t="s">
        <v>13</v>
      </c>
      <c r="B559">
        <v>565677</v>
      </c>
      <c r="C559">
        <v>566771</v>
      </c>
      <c r="E559" t="s">
        <v>38</v>
      </c>
      <c r="F559" t="s">
        <v>1612</v>
      </c>
      <c r="H559">
        <v>1018558</v>
      </c>
      <c r="I559" t="s">
        <v>17</v>
      </c>
      <c r="K559" t="s">
        <v>1613</v>
      </c>
      <c r="L559">
        <v>364</v>
      </c>
      <c r="M559" t="s">
        <v>1614</v>
      </c>
    </row>
    <row r="560" spans="1:13">
      <c r="A560" t="s">
        <v>13</v>
      </c>
      <c r="B560">
        <v>566796</v>
      </c>
      <c r="C560">
        <v>568082</v>
      </c>
      <c r="E560" t="s">
        <v>38</v>
      </c>
      <c r="F560" t="s">
        <v>1615</v>
      </c>
      <c r="H560">
        <v>1018559</v>
      </c>
      <c r="I560" t="s">
        <v>17</v>
      </c>
      <c r="K560" t="s">
        <v>1616</v>
      </c>
      <c r="L560">
        <v>428</v>
      </c>
      <c r="M560" t="s">
        <v>1617</v>
      </c>
    </row>
    <row r="561" spans="1:13">
      <c r="A561" t="s">
        <v>13</v>
      </c>
      <c r="B561">
        <v>568269</v>
      </c>
      <c r="C561">
        <v>569075</v>
      </c>
      <c r="E561" t="s">
        <v>38</v>
      </c>
      <c r="F561" t="s">
        <v>1618</v>
      </c>
      <c r="H561">
        <v>1018560</v>
      </c>
      <c r="I561" t="s">
        <v>17</v>
      </c>
      <c r="K561" t="s">
        <v>1619</v>
      </c>
      <c r="L561">
        <v>268</v>
      </c>
      <c r="M561" t="s">
        <v>1620</v>
      </c>
    </row>
    <row r="562" spans="1:13">
      <c r="A562" t="s">
        <v>13</v>
      </c>
      <c r="B562">
        <v>569452</v>
      </c>
      <c r="C562">
        <v>570774</v>
      </c>
      <c r="E562" t="s">
        <v>14</v>
      </c>
      <c r="F562" t="s">
        <v>1621</v>
      </c>
      <c r="G562" t="s">
        <v>1622</v>
      </c>
      <c r="H562">
        <v>1018561</v>
      </c>
      <c r="I562" t="s">
        <v>17</v>
      </c>
      <c r="K562" t="s">
        <v>1623</v>
      </c>
      <c r="L562">
        <v>440</v>
      </c>
      <c r="M562" t="s">
        <v>1624</v>
      </c>
    </row>
    <row r="563" spans="1:13">
      <c r="A563" t="s">
        <v>13</v>
      </c>
      <c r="B563">
        <v>570774</v>
      </c>
      <c r="C563">
        <v>571319</v>
      </c>
      <c r="E563" t="s">
        <v>14</v>
      </c>
      <c r="F563" t="s">
        <v>955</v>
      </c>
      <c r="H563">
        <v>1018562</v>
      </c>
      <c r="I563" t="s">
        <v>17</v>
      </c>
      <c r="K563" t="s">
        <v>1625</v>
      </c>
      <c r="L563">
        <v>181</v>
      </c>
      <c r="M563" t="s">
        <v>1626</v>
      </c>
    </row>
    <row r="564" spans="1:13">
      <c r="A564" t="s">
        <v>13</v>
      </c>
      <c r="B564">
        <v>571476</v>
      </c>
      <c r="C564">
        <v>572270</v>
      </c>
      <c r="E564" t="s">
        <v>14</v>
      </c>
      <c r="F564" t="s">
        <v>1627</v>
      </c>
      <c r="G564" t="s">
        <v>1628</v>
      </c>
      <c r="H564">
        <v>1018563</v>
      </c>
      <c r="I564" t="s">
        <v>17</v>
      </c>
      <c r="K564" t="s">
        <v>1629</v>
      </c>
      <c r="L564">
        <v>264</v>
      </c>
      <c r="M564" t="s">
        <v>1630</v>
      </c>
    </row>
    <row r="565" spans="1:13">
      <c r="A565" t="s">
        <v>13</v>
      </c>
      <c r="B565">
        <v>572430</v>
      </c>
      <c r="C565">
        <v>573179</v>
      </c>
      <c r="E565" t="s">
        <v>14</v>
      </c>
      <c r="F565" t="s">
        <v>1631</v>
      </c>
      <c r="H565">
        <v>1018564</v>
      </c>
      <c r="I565" t="s">
        <v>17</v>
      </c>
      <c r="K565" t="s">
        <v>1632</v>
      </c>
      <c r="L565">
        <v>249</v>
      </c>
      <c r="M565" t="s">
        <v>1633</v>
      </c>
    </row>
    <row r="566" spans="1:13">
      <c r="A566" t="s">
        <v>13</v>
      </c>
      <c r="B566">
        <v>573407</v>
      </c>
      <c r="C566">
        <v>573625</v>
      </c>
      <c r="E566" t="s">
        <v>14</v>
      </c>
      <c r="F566" t="s">
        <v>1634</v>
      </c>
      <c r="G566" t="s">
        <v>1635</v>
      </c>
      <c r="H566">
        <v>1018565</v>
      </c>
      <c r="I566" t="s">
        <v>17</v>
      </c>
      <c r="K566" t="s">
        <v>1636</v>
      </c>
      <c r="L566">
        <v>72</v>
      </c>
      <c r="M566" t="s">
        <v>1637</v>
      </c>
    </row>
    <row r="567" spans="1:13">
      <c r="A567" t="s">
        <v>13</v>
      </c>
      <c r="B567">
        <v>573816</v>
      </c>
      <c r="C567">
        <v>574184</v>
      </c>
      <c r="E567" t="s">
        <v>14</v>
      </c>
      <c r="F567" t="s">
        <v>1638</v>
      </c>
      <c r="G567" t="s">
        <v>1639</v>
      </c>
      <c r="H567">
        <v>1018566</v>
      </c>
      <c r="I567" t="s">
        <v>17</v>
      </c>
      <c r="K567" t="s">
        <v>1640</v>
      </c>
      <c r="L567">
        <v>122</v>
      </c>
      <c r="M567" t="s">
        <v>1641</v>
      </c>
    </row>
    <row r="568" spans="1:13">
      <c r="A568" t="s">
        <v>13</v>
      </c>
      <c r="B568">
        <v>574187</v>
      </c>
      <c r="C568">
        <v>574591</v>
      </c>
      <c r="E568" t="s">
        <v>14</v>
      </c>
      <c r="F568" t="s">
        <v>1642</v>
      </c>
      <c r="G568" t="s">
        <v>1643</v>
      </c>
      <c r="H568">
        <v>1018567</v>
      </c>
      <c r="I568" t="s">
        <v>17</v>
      </c>
      <c r="K568" t="s">
        <v>1644</v>
      </c>
      <c r="L568">
        <v>134</v>
      </c>
      <c r="M568" t="s">
        <v>1645</v>
      </c>
    </row>
    <row r="569" spans="1:13">
      <c r="A569" t="s">
        <v>13</v>
      </c>
      <c r="B569">
        <v>574615</v>
      </c>
      <c r="C569">
        <v>575220</v>
      </c>
      <c r="E569" t="s">
        <v>14</v>
      </c>
      <c r="F569" t="s">
        <v>1646</v>
      </c>
      <c r="G569" t="s">
        <v>1647</v>
      </c>
      <c r="H569">
        <v>1018568</v>
      </c>
      <c r="I569" t="s">
        <v>17</v>
      </c>
      <c r="K569" t="s">
        <v>1648</v>
      </c>
      <c r="L569">
        <v>201</v>
      </c>
      <c r="M569" t="s">
        <v>1649</v>
      </c>
    </row>
    <row r="570" spans="1:13">
      <c r="A570" t="s">
        <v>13</v>
      </c>
      <c r="B570">
        <v>575338</v>
      </c>
      <c r="C570">
        <v>576354</v>
      </c>
      <c r="E570" t="s">
        <v>14</v>
      </c>
      <c r="F570" t="s">
        <v>1650</v>
      </c>
      <c r="H570">
        <v>1018569</v>
      </c>
      <c r="I570" t="s">
        <v>17</v>
      </c>
      <c r="K570" t="s">
        <v>1651</v>
      </c>
      <c r="L570">
        <v>338</v>
      </c>
      <c r="M570" t="s">
        <v>1652</v>
      </c>
    </row>
    <row r="571" spans="1:13">
      <c r="A571" t="s">
        <v>13</v>
      </c>
      <c r="B571">
        <v>576410</v>
      </c>
      <c r="C571">
        <v>576901</v>
      </c>
      <c r="E571" t="s">
        <v>14</v>
      </c>
      <c r="F571" t="s">
        <v>1653</v>
      </c>
      <c r="G571" t="s">
        <v>1654</v>
      </c>
      <c r="H571">
        <v>1018570</v>
      </c>
      <c r="I571" t="s">
        <v>17</v>
      </c>
      <c r="K571" t="s">
        <v>1655</v>
      </c>
      <c r="L571">
        <v>163</v>
      </c>
      <c r="M571" t="s">
        <v>1656</v>
      </c>
    </row>
    <row r="572" spans="1:13">
      <c r="A572" t="s">
        <v>13</v>
      </c>
      <c r="B572">
        <v>577042</v>
      </c>
      <c r="C572">
        <v>577926</v>
      </c>
      <c r="E572" t="s">
        <v>14</v>
      </c>
      <c r="F572" t="s">
        <v>1657</v>
      </c>
      <c r="G572" t="s">
        <v>1658</v>
      </c>
      <c r="H572">
        <v>1018571</v>
      </c>
      <c r="I572" t="s">
        <v>17</v>
      </c>
      <c r="K572" t="s">
        <v>1659</v>
      </c>
      <c r="L572">
        <v>294</v>
      </c>
      <c r="M572" t="s">
        <v>1660</v>
      </c>
    </row>
    <row r="573" spans="1:13">
      <c r="A573" t="s">
        <v>13</v>
      </c>
      <c r="B573">
        <v>578033</v>
      </c>
      <c r="C573">
        <v>580432</v>
      </c>
      <c r="E573" t="s">
        <v>14</v>
      </c>
      <c r="F573" t="s">
        <v>1661</v>
      </c>
      <c r="H573">
        <v>1018572</v>
      </c>
      <c r="I573" t="s">
        <v>17</v>
      </c>
      <c r="K573" t="s">
        <v>1662</v>
      </c>
      <c r="L573">
        <v>799</v>
      </c>
      <c r="M573" t="s">
        <v>1663</v>
      </c>
    </row>
    <row r="574" spans="1:13">
      <c r="A574" t="s">
        <v>13</v>
      </c>
      <c r="B574">
        <v>580433</v>
      </c>
      <c r="C574">
        <v>580891</v>
      </c>
      <c r="E574" t="s">
        <v>38</v>
      </c>
      <c r="F574" t="s">
        <v>549</v>
      </c>
      <c r="H574">
        <v>1018573</v>
      </c>
      <c r="I574" t="s">
        <v>17</v>
      </c>
      <c r="K574" t="s">
        <v>1664</v>
      </c>
      <c r="L574">
        <v>152</v>
      </c>
      <c r="M574" t="s">
        <v>1665</v>
      </c>
    </row>
    <row r="575" spans="1:13">
      <c r="A575" t="s">
        <v>13</v>
      </c>
      <c r="B575">
        <v>580916</v>
      </c>
      <c r="C575">
        <v>581221</v>
      </c>
      <c r="E575" t="s">
        <v>38</v>
      </c>
      <c r="F575" t="s">
        <v>49</v>
      </c>
      <c r="H575">
        <v>1018574</v>
      </c>
      <c r="I575" t="s">
        <v>17</v>
      </c>
      <c r="K575" t="s">
        <v>1666</v>
      </c>
      <c r="L575">
        <v>101</v>
      </c>
      <c r="M575" t="s">
        <v>1667</v>
      </c>
    </row>
    <row r="576" spans="1:13">
      <c r="A576" t="s">
        <v>13</v>
      </c>
      <c r="B576">
        <v>581406</v>
      </c>
      <c r="C576">
        <v>582665</v>
      </c>
      <c r="E576" t="s">
        <v>14</v>
      </c>
      <c r="F576" t="s">
        <v>1668</v>
      </c>
      <c r="G576" t="s">
        <v>1669</v>
      </c>
      <c r="H576">
        <v>1018575</v>
      </c>
      <c r="I576" t="s">
        <v>17</v>
      </c>
      <c r="K576" t="s">
        <v>1670</v>
      </c>
      <c r="L576">
        <v>419</v>
      </c>
      <c r="M576" t="s">
        <v>1671</v>
      </c>
    </row>
    <row r="577" spans="1:13">
      <c r="A577" t="s">
        <v>13</v>
      </c>
      <c r="B577">
        <v>582684</v>
      </c>
      <c r="C577">
        <v>584231</v>
      </c>
      <c r="E577" t="s">
        <v>14</v>
      </c>
      <c r="F577" t="s">
        <v>584</v>
      </c>
      <c r="H577">
        <v>1018576</v>
      </c>
      <c r="I577" t="s">
        <v>17</v>
      </c>
      <c r="K577" t="s">
        <v>1672</v>
      </c>
      <c r="L577">
        <v>515</v>
      </c>
      <c r="M577" t="s">
        <v>1673</v>
      </c>
    </row>
    <row r="578" spans="1:13">
      <c r="A578" t="s">
        <v>13</v>
      </c>
      <c r="B578">
        <v>584316</v>
      </c>
      <c r="C578">
        <v>585623</v>
      </c>
      <c r="E578" t="s">
        <v>14</v>
      </c>
      <c r="F578" t="s">
        <v>1674</v>
      </c>
      <c r="H578">
        <v>1018577</v>
      </c>
      <c r="I578" t="s">
        <v>17</v>
      </c>
      <c r="K578" t="s">
        <v>1675</v>
      </c>
      <c r="L578">
        <v>435</v>
      </c>
      <c r="M578" t="s">
        <v>1676</v>
      </c>
    </row>
    <row r="579" spans="1:13">
      <c r="A579" t="s">
        <v>13</v>
      </c>
      <c r="B579">
        <v>585823</v>
      </c>
      <c r="C579">
        <v>586251</v>
      </c>
      <c r="E579" t="s">
        <v>14</v>
      </c>
      <c r="F579" t="s">
        <v>1677</v>
      </c>
      <c r="H579">
        <v>1018578</v>
      </c>
      <c r="I579" t="s">
        <v>17</v>
      </c>
      <c r="K579" t="s">
        <v>1678</v>
      </c>
      <c r="L579">
        <v>142</v>
      </c>
      <c r="M579" t="s">
        <v>1679</v>
      </c>
    </row>
    <row r="580" spans="1:13">
      <c r="A580" t="s">
        <v>13</v>
      </c>
      <c r="B580">
        <v>586396</v>
      </c>
      <c r="C580">
        <v>587640</v>
      </c>
      <c r="E580" t="s">
        <v>38</v>
      </c>
      <c r="F580" t="s">
        <v>1680</v>
      </c>
      <c r="G580" t="s">
        <v>1681</v>
      </c>
      <c r="H580">
        <v>1018579</v>
      </c>
      <c r="I580" t="s">
        <v>17</v>
      </c>
      <c r="K580" t="s">
        <v>1682</v>
      </c>
      <c r="L580">
        <v>414</v>
      </c>
      <c r="M580" t="s">
        <v>1683</v>
      </c>
    </row>
    <row r="581" spans="1:13">
      <c r="A581" t="s">
        <v>13</v>
      </c>
      <c r="B581">
        <v>587642</v>
      </c>
      <c r="C581">
        <v>589024</v>
      </c>
      <c r="E581" t="s">
        <v>38</v>
      </c>
      <c r="F581" t="s">
        <v>1684</v>
      </c>
      <c r="G581" t="s">
        <v>1685</v>
      </c>
      <c r="H581">
        <v>1018580</v>
      </c>
      <c r="I581" t="s">
        <v>17</v>
      </c>
      <c r="K581" t="s">
        <v>1686</v>
      </c>
      <c r="L581">
        <v>460</v>
      </c>
      <c r="M581" t="s">
        <v>1687</v>
      </c>
    </row>
    <row r="582" spans="1:13">
      <c r="A582" t="s">
        <v>13</v>
      </c>
      <c r="B582">
        <v>589239</v>
      </c>
      <c r="C582">
        <v>592865</v>
      </c>
      <c r="E582" t="s">
        <v>14</v>
      </c>
      <c r="F582" t="s">
        <v>1688</v>
      </c>
      <c r="H582">
        <v>1018581</v>
      </c>
      <c r="I582" t="s">
        <v>17</v>
      </c>
      <c r="K582" t="s">
        <v>1689</v>
      </c>
      <c r="L582">
        <v>1208</v>
      </c>
      <c r="M582" t="s">
        <v>1690</v>
      </c>
    </row>
    <row r="583" spans="1:13">
      <c r="A583" t="s">
        <v>13</v>
      </c>
      <c r="B583">
        <v>592862</v>
      </c>
      <c r="C583">
        <v>593764</v>
      </c>
      <c r="E583" t="s">
        <v>14</v>
      </c>
      <c r="F583" t="s">
        <v>1691</v>
      </c>
      <c r="H583">
        <v>1018582</v>
      </c>
      <c r="I583" t="s">
        <v>17</v>
      </c>
      <c r="K583" t="s">
        <v>1692</v>
      </c>
      <c r="L583">
        <v>300</v>
      </c>
      <c r="M583" t="s">
        <v>1693</v>
      </c>
    </row>
    <row r="584" spans="1:13">
      <c r="A584" t="s">
        <v>13</v>
      </c>
      <c r="B584">
        <v>593935</v>
      </c>
      <c r="C584">
        <v>594261</v>
      </c>
      <c r="E584" t="s">
        <v>14</v>
      </c>
      <c r="F584" t="s">
        <v>1694</v>
      </c>
      <c r="H584">
        <v>1018583</v>
      </c>
      <c r="I584" t="s">
        <v>17</v>
      </c>
      <c r="K584" t="s">
        <v>1695</v>
      </c>
      <c r="L584">
        <v>108</v>
      </c>
      <c r="M584" t="s">
        <v>1696</v>
      </c>
    </row>
    <row r="585" spans="1:13">
      <c r="A585" t="s">
        <v>13</v>
      </c>
      <c r="B585">
        <v>594293</v>
      </c>
      <c r="C585">
        <v>594583</v>
      </c>
      <c r="E585" t="s">
        <v>14</v>
      </c>
      <c r="F585" t="s">
        <v>1694</v>
      </c>
      <c r="H585">
        <v>1018584</v>
      </c>
      <c r="I585" t="s">
        <v>17</v>
      </c>
      <c r="K585" t="s">
        <v>1697</v>
      </c>
      <c r="L585">
        <v>96</v>
      </c>
      <c r="M585" t="s">
        <v>1698</v>
      </c>
    </row>
    <row r="586" spans="1:13">
      <c r="A586" t="s">
        <v>13</v>
      </c>
      <c r="B586">
        <v>594939</v>
      </c>
      <c r="C586">
        <v>595382</v>
      </c>
      <c r="E586" t="s">
        <v>14</v>
      </c>
      <c r="F586" t="s">
        <v>1699</v>
      </c>
      <c r="G586" t="s">
        <v>1700</v>
      </c>
      <c r="H586">
        <v>1018585</v>
      </c>
      <c r="I586" t="s">
        <v>17</v>
      </c>
      <c r="K586" t="s">
        <v>1701</v>
      </c>
      <c r="L586">
        <v>147</v>
      </c>
      <c r="M586" t="s">
        <v>1702</v>
      </c>
    </row>
    <row r="587" spans="1:13">
      <c r="A587" t="s">
        <v>13</v>
      </c>
      <c r="B587">
        <v>595382</v>
      </c>
      <c r="C587">
        <v>595930</v>
      </c>
      <c r="E587" t="s">
        <v>14</v>
      </c>
      <c r="F587" t="s">
        <v>1703</v>
      </c>
      <c r="G587" t="s">
        <v>1704</v>
      </c>
      <c r="H587">
        <v>1018586</v>
      </c>
      <c r="I587" t="s">
        <v>17</v>
      </c>
      <c r="K587" t="s">
        <v>1705</v>
      </c>
      <c r="L587">
        <v>182</v>
      </c>
      <c r="M587" t="s">
        <v>1706</v>
      </c>
    </row>
    <row r="588" spans="1:13">
      <c r="A588" t="s">
        <v>13</v>
      </c>
      <c r="B588">
        <v>596109</v>
      </c>
      <c r="C588">
        <v>597452</v>
      </c>
      <c r="E588" t="s">
        <v>14</v>
      </c>
      <c r="F588" t="s">
        <v>1707</v>
      </c>
      <c r="G588" t="s">
        <v>1708</v>
      </c>
      <c r="H588">
        <v>1018587</v>
      </c>
      <c r="I588" t="s">
        <v>17</v>
      </c>
      <c r="K588" t="s">
        <v>1709</v>
      </c>
      <c r="L588">
        <v>447</v>
      </c>
      <c r="M588" t="s">
        <v>1710</v>
      </c>
    </row>
    <row r="589" spans="1:13">
      <c r="A589" t="s">
        <v>13</v>
      </c>
      <c r="B589">
        <v>597892</v>
      </c>
      <c r="C589">
        <v>598197</v>
      </c>
      <c r="E589" t="s">
        <v>14</v>
      </c>
      <c r="F589" t="s">
        <v>49</v>
      </c>
      <c r="H589">
        <v>1018588</v>
      </c>
      <c r="I589" t="s">
        <v>17</v>
      </c>
      <c r="K589" t="s">
        <v>1711</v>
      </c>
      <c r="L589">
        <v>101</v>
      </c>
      <c r="M589" t="s">
        <v>1712</v>
      </c>
    </row>
    <row r="590" spans="1:13">
      <c r="A590" t="s">
        <v>13</v>
      </c>
      <c r="B590">
        <v>598194</v>
      </c>
      <c r="C590">
        <v>599705</v>
      </c>
      <c r="E590" t="s">
        <v>14</v>
      </c>
      <c r="F590" t="s">
        <v>49</v>
      </c>
      <c r="H590">
        <v>1018589</v>
      </c>
      <c r="I590" t="s">
        <v>17</v>
      </c>
      <c r="K590" t="s">
        <v>1713</v>
      </c>
      <c r="L590">
        <v>503</v>
      </c>
      <c r="M590" t="s">
        <v>1714</v>
      </c>
    </row>
    <row r="591" spans="1:13">
      <c r="A591" t="s">
        <v>13</v>
      </c>
      <c r="B591">
        <v>599759</v>
      </c>
      <c r="C591">
        <v>599935</v>
      </c>
      <c r="E591" t="s">
        <v>14</v>
      </c>
      <c r="F591" t="s">
        <v>49</v>
      </c>
      <c r="H591">
        <v>1018590</v>
      </c>
      <c r="I591" t="s">
        <v>17</v>
      </c>
      <c r="K591" t="s">
        <v>1715</v>
      </c>
      <c r="L591">
        <v>58</v>
      </c>
      <c r="M591" t="s">
        <v>1716</v>
      </c>
    </row>
    <row r="592" spans="1:13">
      <c r="A592" t="s">
        <v>13</v>
      </c>
      <c r="B592">
        <v>600019</v>
      </c>
      <c r="C592">
        <v>600876</v>
      </c>
      <c r="E592" t="s">
        <v>38</v>
      </c>
      <c r="F592" t="s">
        <v>1717</v>
      </c>
      <c r="H592">
        <v>1018591</v>
      </c>
      <c r="I592" t="s">
        <v>17</v>
      </c>
      <c r="K592" t="s">
        <v>1718</v>
      </c>
      <c r="L592">
        <v>285</v>
      </c>
      <c r="M592" t="s">
        <v>1719</v>
      </c>
    </row>
    <row r="593" spans="1:13">
      <c r="A593" t="s">
        <v>13</v>
      </c>
      <c r="B593">
        <v>600971</v>
      </c>
      <c r="C593">
        <v>602056</v>
      </c>
      <c r="E593" t="s">
        <v>14</v>
      </c>
      <c r="F593" t="s">
        <v>1720</v>
      </c>
      <c r="G593" t="s">
        <v>1721</v>
      </c>
      <c r="H593">
        <v>1018592</v>
      </c>
      <c r="I593" t="s">
        <v>17</v>
      </c>
      <c r="K593" t="s">
        <v>1722</v>
      </c>
      <c r="L593">
        <v>361</v>
      </c>
      <c r="M593" t="s">
        <v>1723</v>
      </c>
    </row>
    <row r="594" spans="1:13">
      <c r="A594" t="s">
        <v>13</v>
      </c>
      <c r="B594">
        <v>602080</v>
      </c>
      <c r="C594">
        <v>602577</v>
      </c>
      <c r="E594" t="s">
        <v>14</v>
      </c>
      <c r="F594" t="s">
        <v>1724</v>
      </c>
      <c r="G594" t="s">
        <v>1725</v>
      </c>
      <c r="H594">
        <v>1018593</v>
      </c>
      <c r="I594" t="s">
        <v>17</v>
      </c>
      <c r="K594" t="s">
        <v>1726</v>
      </c>
      <c r="L594">
        <v>165</v>
      </c>
      <c r="M594" t="s">
        <v>1727</v>
      </c>
    </row>
    <row r="595" spans="1:13">
      <c r="A595" t="s">
        <v>13</v>
      </c>
      <c r="B595">
        <v>602811</v>
      </c>
      <c r="C595">
        <v>604412</v>
      </c>
      <c r="E595" t="s">
        <v>14</v>
      </c>
      <c r="F595" t="s">
        <v>1728</v>
      </c>
      <c r="H595">
        <v>1018594</v>
      </c>
      <c r="I595" t="s">
        <v>17</v>
      </c>
      <c r="K595" t="s">
        <v>1729</v>
      </c>
      <c r="L595">
        <v>533</v>
      </c>
      <c r="M595" t="s">
        <v>1730</v>
      </c>
    </row>
    <row r="596" spans="1:13">
      <c r="A596" t="s">
        <v>13</v>
      </c>
      <c r="B596">
        <v>604428</v>
      </c>
      <c r="C596">
        <v>605711</v>
      </c>
      <c r="E596" t="s">
        <v>14</v>
      </c>
      <c r="F596" t="s">
        <v>35</v>
      </c>
      <c r="H596">
        <v>1018595</v>
      </c>
      <c r="I596" t="s">
        <v>17</v>
      </c>
      <c r="K596" t="s">
        <v>1731</v>
      </c>
      <c r="L596">
        <v>427</v>
      </c>
      <c r="M596" t="s">
        <v>1732</v>
      </c>
    </row>
    <row r="597" spans="1:13">
      <c r="A597" t="s">
        <v>13</v>
      </c>
      <c r="B597">
        <v>605718</v>
      </c>
      <c r="C597">
        <v>606395</v>
      </c>
      <c r="E597" t="s">
        <v>14</v>
      </c>
      <c r="F597" t="s">
        <v>1733</v>
      </c>
      <c r="G597" t="s">
        <v>1734</v>
      </c>
      <c r="H597">
        <v>1018596</v>
      </c>
      <c r="I597" t="s">
        <v>17</v>
      </c>
      <c r="K597" t="s">
        <v>1735</v>
      </c>
      <c r="L597">
        <v>225</v>
      </c>
      <c r="M597" t="s">
        <v>1736</v>
      </c>
    </row>
    <row r="598" spans="1:13">
      <c r="A598" t="s">
        <v>13</v>
      </c>
      <c r="B598">
        <v>606392</v>
      </c>
      <c r="C598">
        <v>606901</v>
      </c>
      <c r="E598" t="s">
        <v>14</v>
      </c>
      <c r="F598" t="s">
        <v>1737</v>
      </c>
      <c r="G598" t="s">
        <v>1738</v>
      </c>
      <c r="H598">
        <v>1018597</v>
      </c>
      <c r="I598" t="s">
        <v>17</v>
      </c>
      <c r="K598" t="s">
        <v>1739</v>
      </c>
      <c r="L598">
        <v>169</v>
      </c>
      <c r="M598" t="s">
        <v>1740</v>
      </c>
    </row>
    <row r="599" spans="1:13">
      <c r="A599" t="s">
        <v>13</v>
      </c>
      <c r="B599">
        <v>606905</v>
      </c>
      <c r="C599">
        <v>607939</v>
      </c>
      <c r="E599" t="s">
        <v>14</v>
      </c>
      <c r="F599" t="s">
        <v>1741</v>
      </c>
      <c r="G599" t="s">
        <v>1742</v>
      </c>
      <c r="H599">
        <v>1018598</v>
      </c>
      <c r="I599" t="s">
        <v>17</v>
      </c>
      <c r="K599" t="s">
        <v>1743</v>
      </c>
      <c r="L599">
        <v>344</v>
      </c>
      <c r="M599" t="s">
        <v>1744</v>
      </c>
    </row>
    <row r="600" spans="1:13">
      <c r="A600" t="s">
        <v>13</v>
      </c>
      <c r="B600">
        <v>607958</v>
      </c>
      <c r="C600">
        <v>609682</v>
      </c>
      <c r="E600" t="s">
        <v>14</v>
      </c>
      <c r="F600" t="s">
        <v>1745</v>
      </c>
      <c r="H600">
        <v>1018599</v>
      </c>
      <c r="I600" t="s">
        <v>17</v>
      </c>
      <c r="K600" t="s">
        <v>1746</v>
      </c>
      <c r="L600">
        <v>574</v>
      </c>
      <c r="M600" t="s">
        <v>1747</v>
      </c>
    </row>
    <row r="601" spans="1:13">
      <c r="A601" t="s">
        <v>13</v>
      </c>
      <c r="B601">
        <v>609756</v>
      </c>
      <c r="C601">
        <v>610178</v>
      </c>
      <c r="E601" t="s">
        <v>14</v>
      </c>
      <c r="F601" t="s">
        <v>49</v>
      </c>
      <c r="H601">
        <v>1018600</v>
      </c>
      <c r="I601" t="s">
        <v>17</v>
      </c>
      <c r="K601" t="s">
        <v>1748</v>
      </c>
      <c r="L601">
        <v>140</v>
      </c>
      <c r="M601" t="s">
        <v>1749</v>
      </c>
    </row>
    <row r="602" spans="1:13">
      <c r="A602" t="s">
        <v>13</v>
      </c>
      <c r="B602">
        <v>610348</v>
      </c>
      <c r="C602">
        <v>610647</v>
      </c>
      <c r="E602" t="s">
        <v>14</v>
      </c>
      <c r="F602" t="s">
        <v>1750</v>
      </c>
      <c r="G602" t="s">
        <v>1751</v>
      </c>
      <c r="H602">
        <v>1018601</v>
      </c>
      <c r="I602" t="s">
        <v>17</v>
      </c>
      <c r="K602" t="s">
        <v>1752</v>
      </c>
      <c r="L602">
        <v>99</v>
      </c>
      <c r="M602" t="s">
        <v>1753</v>
      </c>
    </row>
    <row r="603" spans="1:13">
      <c r="A603" t="s">
        <v>13</v>
      </c>
      <c r="B603">
        <v>610659</v>
      </c>
      <c r="C603">
        <v>612275</v>
      </c>
      <c r="E603" t="s">
        <v>14</v>
      </c>
      <c r="F603" t="s">
        <v>1754</v>
      </c>
      <c r="G603" t="s">
        <v>1755</v>
      </c>
      <c r="H603">
        <v>1018602</v>
      </c>
      <c r="I603" t="s">
        <v>17</v>
      </c>
      <c r="K603" t="s">
        <v>1756</v>
      </c>
      <c r="L603">
        <v>538</v>
      </c>
      <c r="M603" t="s">
        <v>1757</v>
      </c>
    </row>
    <row r="604" spans="1:13">
      <c r="A604" t="s">
        <v>13</v>
      </c>
      <c r="B604">
        <v>612415</v>
      </c>
      <c r="C604">
        <v>612714</v>
      </c>
      <c r="E604" t="s">
        <v>38</v>
      </c>
      <c r="F604" t="s">
        <v>1758</v>
      </c>
      <c r="G604" t="s">
        <v>1759</v>
      </c>
      <c r="H604">
        <v>1018603</v>
      </c>
      <c r="I604" t="s">
        <v>17</v>
      </c>
      <c r="K604" t="s">
        <v>1760</v>
      </c>
      <c r="L604">
        <v>99</v>
      </c>
      <c r="M604" t="s">
        <v>1761</v>
      </c>
    </row>
    <row r="605" spans="1:13">
      <c r="A605" t="s">
        <v>13</v>
      </c>
      <c r="B605">
        <v>613156</v>
      </c>
      <c r="C605">
        <v>613722</v>
      </c>
      <c r="E605" t="s">
        <v>14</v>
      </c>
      <c r="F605" t="s">
        <v>1762</v>
      </c>
      <c r="H605">
        <v>1018604</v>
      </c>
      <c r="I605" t="s">
        <v>17</v>
      </c>
      <c r="K605" t="s">
        <v>1763</v>
      </c>
      <c r="L605">
        <v>188</v>
      </c>
      <c r="M605" t="s">
        <v>1764</v>
      </c>
    </row>
    <row r="606" spans="1:13">
      <c r="A606" t="s">
        <v>13</v>
      </c>
      <c r="B606">
        <v>613722</v>
      </c>
      <c r="C606">
        <v>614750</v>
      </c>
      <c r="E606" t="s">
        <v>14</v>
      </c>
      <c r="F606" t="s">
        <v>49</v>
      </c>
      <c r="H606">
        <v>1018605</v>
      </c>
      <c r="I606" t="s">
        <v>17</v>
      </c>
      <c r="K606" t="s">
        <v>1765</v>
      </c>
      <c r="L606">
        <v>342</v>
      </c>
      <c r="M606" t="s">
        <v>1766</v>
      </c>
    </row>
    <row r="607" spans="1:13">
      <c r="A607" t="s">
        <v>13</v>
      </c>
      <c r="B607">
        <v>614800</v>
      </c>
      <c r="C607">
        <v>615180</v>
      </c>
      <c r="E607" t="s">
        <v>38</v>
      </c>
      <c r="F607" t="s">
        <v>1767</v>
      </c>
      <c r="H607">
        <v>1018606</v>
      </c>
      <c r="I607" t="s">
        <v>17</v>
      </c>
      <c r="K607" t="s">
        <v>1768</v>
      </c>
      <c r="L607">
        <v>126</v>
      </c>
      <c r="M607" t="s">
        <v>1769</v>
      </c>
    </row>
    <row r="608" spans="1:13">
      <c r="A608" t="s">
        <v>13</v>
      </c>
      <c r="B608">
        <v>615336</v>
      </c>
      <c r="C608">
        <v>616856</v>
      </c>
      <c r="E608" t="s">
        <v>14</v>
      </c>
      <c r="F608" t="s">
        <v>1770</v>
      </c>
      <c r="G608" t="s">
        <v>1771</v>
      </c>
      <c r="H608">
        <v>1018607</v>
      </c>
      <c r="I608" t="s">
        <v>17</v>
      </c>
      <c r="K608" t="s">
        <v>1772</v>
      </c>
      <c r="L608">
        <v>506</v>
      </c>
      <c r="M608" t="s">
        <v>1773</v>
      </c>
    </row>
    <row r="609" spans="1:13">
      <c r="A609" t="s">
        <v>13</v>
      </c>
      <c r="B609">
        <v>616973</v>
      </c>
      <c r="C609">
        <v>618097</v>
      </c>
      <c r="E609" t="s">
        <v>14</v>
      </c>
      <c r="F609" t="s">
        <v>1774</v>
      </c>
      <c r="H609">
        <v>1018608</v>
      </c>
      <c r="I609" t="s">
        <v>17</v>
      </c>
      <c r="K609" t="s">
        <v>1775</v>
      </c>
      <c r="L609">
        <v>374</v>
      </c>
      <c r="M609" t="s">
        <v>1776</v>
      </c>
    </row>
    <row r="610" spans="1:13">
      <c r="A610" t="s">
        <v>13</v>
      </c>
      <c r="B610">
        <v>618090</v>
      </c>
      <c r="C610">
        <v>618995</v>
      </c>
      <c r="E610" t="s">
        <v>38</v>
      </c>
      <c r="F610" t="s">
        <v>425</v>
      </c>
      <c r="H610">
        <v>1018609</v>
      </c>
      <c r="I610" t="s">
        <v>17</v>
      </c>
      <c r="K610" t="s">
        <v>1777</v>
      </c>
      <c r="L610">
        <v>301</v>
      </c>
      <c r="M610" t="s">
        <v>1778</v>
      </c>
    </row>
    <row r="611" spans="1:13">
      <c r="A611" t="s">
        <v>13</v>
      </c>
      <c r="B611">
        <v>619086</v>
      </c>
      <c r="C611">
        <v>619997</v>
      </c>
      <c r="E611" t="s">
        <v>14</v>
      </c>
      <c r="F611" t="s">
        <v>1779</v>
      </c>
      <c r="H611">
        <v>1018610</v>
      </c>
      <c r="I611" t="s">
        <v>17</v>
      </c>
      <c r="K611" t="s">
        <v>1780</v>
      </c>
      <c r="L611">
        <v>303</v>
      </c>
      <c r="M611" t="s">
        <v>1781</v>
      </c>
    </row>
    <row r="612" spans="1:13">
      <c r="A612" t="s">
        <v>13</v>
      </c>
      <c r="B612">
        <v>620004</v>
      </c>
      <c r="C612">
        <v>621575</v>
      </c>
      <c r="E612" t="s">
        <v>14</v>
      </c>
      <c r="F612" t="s">
        <v>1782</v>
      </c>
      <c r="G612" t="s">
        <v>1783</v>
      </c>
      <c r="H612">
        <v>1018611</v>
      </c>
      <c r="I612" t="s">
        <v>17</v>
      </c>
      <c r="K612" t="s">
        <v>1784</v>
      </c>
      <c r="L612">
        <v>523</v>
      </c>
      <c r="M612" t="s">
        <v>1785</v>
      </c>
    </row>
    <row r="613" spans="1:13">
      <c r="A613" t="s">
        <v>13</v>
      </c>
      <c r="B613">
        <v>621717</v>
      </c>
      <c r="C613">
        <v>622160</v>
      </c>
      <c r="E613" t="s">
        <v>14</v>
      </c>
      <c r="F613" t="s">
        <v>1786</v>
      </c>
      <c r="H613">
        <v>1018612</v>
      </c>
      <c r="I613" t="s">
        <v>17</v>
      </c>
      <c r="K613" t="s">
        <v>1787</v>
      </c>
      <c r="L613">
        <v>147</v>
      </c>
      <c r="M613" t="s">
        <v>1788</v>
      </c>
    </row>
    <row r="614" spans="1:13">
      <c r="A614" t="s">
        <v>13</v>
      </c>
      <c r="B614">
        <v>622457</v>
      </c>
      <c r="C614">
        <v>623635</v>
      </c>
      <c r="E614" t="s">
        <v>38</v>
      </c>
      <c r="F614" t="s">
        <v>1789</v>
      </c>
      <c r="G614" t="s">
        <v>1790</v>
      </c>
      <c r="H614">
        <v>1018613</v>
      </c>
      <c r="I614" t="s">
        <v>17</v>
      </c>
      <c r="K614" t="s">
        <v>1791</v>
      </c>
      <c r="L614">
        <v>392</v>
      </c>
      <c r="M614" t="s">
        <v>1792</v>
      </c>
    </row>
    <row r="615" spans="1:13">
      <c r="A615" t="s">
        <v>13</v>
      </c>
      <c r="B615">
        <v>623800</v>
      </c>
      <c r="C615">
        <v>624942</v>
      </c>
      <c r="E615" t="s">
        <v>14</v>
      </c>
      <c r="F615" t="s">
        <v>1793</v>
      </c>
      <c r="G615" t="s">
        <v>1794</v>
      </c>
      <c r="H615">
        <v>1018614</v>
      </c>
      <c r="I615" t="s">
        <v>17</v>
      </c>
      <c r="K615" t="s">
        <v>1795</v>
      </c>
      <c r="L615">
        <v>380</v>
      </c>
      <c r="M615" t="s">
        <v>1796</v>
      </c>
    </row>
    <row r="616" spans="1:13">
      <c r="A616" t="s">
        <v>13</v>
      </c>
      <c r="B616">
        <v>624985</v>
      </c>
      <c r="C616">
        <v>625677</v>
      </c>
      <c r="E616" t="s">
        <v>14</v>
      </c>
      <c r="F616" t="s">
        <v>1797</v>
      </c>
      <c r="G616" t="s">
        <v>1798</v>
      </c>
      <c r="H616">
        <v>1018615</v>
      </c>
      <c r="I616" t="s">
        <v>17</v>
      </c>
      <c r="K616" t="s">
        <v>1799</v>
      </c>
      <c r="L616">
        <v>230</v>
      </c>
      <c r="M616" t="s">
        <v>1800</v>
      </c>
    </row>
    <row r="617" spans="1:13">
      <c r="A617" t="s">
        <v>13</v>
      </c>
      <c r="B617">
        <v>625677</v>
      </c>
      <c r="C617">
        <v>626003</v>
      </c>
      <c r="E617" t="s">
        <v>14</v>
      </c>
      <c r="F617" t="s">
        <v>49</v>
      </c>
      <c r="H617">
        <v>1018616</v>
      </c>
      <c r="I617" t="s">
        <v>17</v>
      </c>
      <c r="K617" t="s">
        <v>1801</v>
      </c>
      <c r="L617">
        <v>108</v>
      </c>
      <c r="M617" t="s">
        <v>1802</v>
      </c>
    </row>
    <row r="618" spans="1:13">
      <c r="A618" t="s">
        <v>13</v>
      </c>
      <c r="B618">
        <v>626067</v>
      </c>
      <c r="C618">
        <v>626510</v>
      </c>
      <c r="E618" t="s">
        <v>38</v>
      </c>
      <c r="F618" t="s">
        <v>49</v>
      </c>
      <c r="H618">
        <v>1018617</v>
      </c>
      <c r="I618" t="s">
        <v>17</v>
      </c>
      <c r="K618" t="s">
        <v>1803</v>
      </c>
      <c r="L618">
        <v>147</v>
      </c>
      <c r="M618" t="s">
        <v>1804</v>
      </c>
    </row>
    <row r="619" spans="1:13">
      <c r="A619" t="s">
        <v>13</v>
      </c>
      <c r="B619">
        <v>626574</v>
      </c>
      <c r="C619">
        <v>627539</v>
      </c>
      <c r="E619" t="s">
        <v>38</v>
      </c>
      <c r="F619" t="s">
        <v>49</v>
      </c>
      <c r="H619">
        <v>1018618</v>
      </c>
      <c r="I619" t="s">
        <v>17</v>
      </c>
      <c r="K619" t="s">
        <v>1805</v>
      </c>
      <c r="L619">
        <v>321</v>
      </c>
      <c r="M619" t="s">
        <v>1806</v>
      </c>
    </row>
    <row r="620" spans="1:13">
      <c r="A620" t="s">
        <v>13</v>
      </c>
      <c r="B620">
        <v>627763</v>
      </c>
      <c r="C620">
        <v>628554</v>
      </c>
      <c r="E620" t="s">
        <v>14</v>
      </c>
      <c r="F620" t="s">
        <v>49</v>
      </c>
      <c r="H620">
        <v>1018619</v>
      </c>
      <c r="I620" t="s">
        <v>17</v>
      </c>
      <c r="K620" t="s">
        <v>1807</v>
      </c>
      <c r="L620">
        <v>263</v>
      </c>
      <c r="M620" t="s">
        <v>1808</v>
      </c>
    </row>
    <row r="621" spans="1:13">
      <c r="A621" t="s">
        <v>13</v>
      </c>
      <c r="B621">
        <v>628563</v>
      </c>
      <c r="C621">
        <v>630143</v>
      </c>
      <c r="E621" t="s">
        <v>14</v>
      </c>
      <c r="F621" t="s">
        <v>1809</v>
      </c>
      <c r="H621">
        <v>1018620</v>
      </c>
      <c r="I621" t="s">
        <v>17</v>
      </c>
      <c r="K621" t="s">
        <v>1810</v>
      </c>
      <c r="L621">
        <v>526</v>
      </c>
      <c r="M621" t="s">
        <v>1811</v>
      </c>
    </row>
    <row r="622" spans="1:13">
      <c r="A622" t="s">
        <v>13</v>
      </c>
      <c r="B622">
        <v>630148</v>
      </c>
      <c r="C622">
        <v>630810</v>
      </c>
      <c r="E622" t="s">
        <v>38</v>
      </c>
      <c r="F622" t="s">
        <v>1812</v>
      </c>
      <c r="H622">
        <v>1018621</v>
      </c>
      <c r="I622" t="s">
        <v>17</v>
      </c>
      <c r="K622" t="s">
        <v>1813</v>
      </c>
      <c r="L622">
        <v>220</v>
      </c>
      <c r="M622" t="s">
        <v>1814</v>
      </c>
    </row>
    <row r="623" spans="1:13">
      <c r="A623" t="s">
        <v>13</v>
      </c>
      <c r="B623">
        <v>630949</v>
      </c>
      <c r="C623">
        <v>631812</v>
      </c>
      <c r="E623" t="s">
        <v>14</v>
      </c>
      <c r="F623" t="s">
        <v>1815</v>
      </c>
      <c r="H623">
        <v>1018622</v>
      </c>
      <c r="I623" t="s">
        <v>17</v>
      </c>
      <c r="K623" t="s">
        <v>1816</v>
      </c>
      <c r="L623">
        <v>287</v>
      </c>
      <c r="M623" t="s">
        <v>1817</v>
      </c>
    </row>
    <row r="624" spans="1:13">
      <c r="A624" t="s">
        <v>13</v>
      </c>
      <c r="B624">
        <v>631821</v>
      </c>
      <c r="C624">
        <v>632684</v>
      </c>
      <c r="E624" t="s">
        <v>38</v>
      </c>
      <c r="F624" t="s">
        <v>1818</v>
      </c>
      <c r="H624">
        <v>1018623</v>
      </c>
      <c r="I624" t="s">
        <v>17</v>
      </c>
      <c r="K624" t="s">
        <v>1819</v>
      </c>
      <c r="L624">
        <v>287</v>
      </c>
      <c r="M624" t="s">
        <v>1820</v>
      </c>
    </row>
    <row r="625" spans="1:13">
      <c r="A625" t="s">
        <v>13</v>
      </c>
      <c r="B625">
        <v>632687</v>
      </c>
      <c r="C625">
        <v>633079</v>
      </c>
      <c r="E625" t="s">
        <v>38</v>
      </c>
      <c r="F625" t="s">
        <v>1821</v>
      </c>
      <c r="H625">
        <v>1018624</v>
      </c>
      <c r="I625" t="s">
        <v>17</v>
      </c>
      <c r="K625" t="s">
        <v>1822</v>
      </c>
      <c r="L625">
        <v>130</v>
      </c>
      <c r="M625" t="s">
        <v>1823</v>
      </c>
    </row>
    <row r="626" spans="1:13">
      <c r="A626" t="s">
        <v>13</v>
      </c>
      <c r="B626">
        <v>633076</v>
      </c>
      <c r="C626">
        <v>633525</v>
      </c>
      <c r="E626" t="s">
        <v>38</v>
      </c>
      <c r="F626" t="s">
        <v>1821</v>
      </c>
      <c r="H626">
        <v>1018625</v>
      </c>
      <c r="I626" t="s">
        <v>17</v>
      </c>
      <c r="K626" t="s">
        <v>1824</v>
      </c>
      <c r="L626">
        <v>149</v>
      </c>
      <c r="M626" t="s">
        <v>1825</v>
      </c>
    </row>
    <row r="627" spans="1:13">
      <c r="A627" t="s">
        <v>13</v>
      </c>
      <c r="B627">
        <v>633529</v>
      </c>
      <c r="C627">
        <v>635175</v>
      </c>
      <c r="E627" t="s">
        <v>38</v>
      </c>
      <c r="F627" t="s">
        <v>1826</v>
      </c>
      <c r="H627">
        <v>1018626</v>
      </c>
      <c r="I627" t="s">
        <v>17</v>
      </c>
      <c r="K627" t="s">
        <v>1827</v>
      </c>
      <c r="L627">
        <v>548</v>
      </c>
      <c r="M627" t="s">
        <v>1828</v>
      </c>
    </row>
    <row r="628" spans="1:13">
      <c r="A628" t="s">
        <v>13</v>
      </c>
      <c r="B628">
        <v>635175</v>
      </c>
      <c r="C628">
        <v>636089</v>
      </c>
      <c r="E628" t="s">
        <v>38</v>
      </c>
      <c r="F628" t="s">
        <v>1829</v>
      </c>
      <c r="H628">
        <v>1018627</v>
      </c>
      <c r="I628" t="s">
        <v>17</v>
      </c>
      <c r="K628" t="s">
        <v>1830</v>
      </c>
      <c r="L628">
        <v>304</v>
      </c>
      <c r="M628" t="s">
        <v>1831</v>
      </c>
    </row>
    <row r="629" spans="1:13">
      <c r="A629" t="s">
        <v>13</v>
      </c>
      <c r="B629">
        <v>636086</v>
      </c>
      <c r="C629">
        <v>638224</v>
      </c>
      <c r="E629" t="s">
        <v>38</v>
      </c>
      <c r="F629" t="s">
        <v>708</v>
      </c>
      <c r="H629">
        <v>1018628</v>
      </c>
      <c r="I629" t="s">
        <v>17</v>
      </c>
      <c r="K629" t="s">
        <v>1832</v>
      </c>
      <c r="L629">
        <v>712</v>
      </c>
      <c r="M629" t="s">
        <v>1833</v>
      </c>
    </row>
    <row r="630" spans="1:13">
      <c r="A630" t="s">
        <v>13</v>
      </c>
      <c r="B630">
        <v>638314</v>
      </c>
      <c r="C630">
        <v>639237</v>
      </c>
      <c r="E630" t="s">
        <v>38</v>
      </c>
      <c r="F630" t="s">
        <v>1375</v>
      </c>
      <c r="H630">
        <v>1018629</v>
      </c>
      <c r="I630" t="s">
        <v>17</v>
      </c>
      <c r="K630" t="s">
        <v>1834</v>
      </c>
      <c r="L630">
        <v>307</v>
      </c>
      <c r="M630" t="s">
        <v>1835</v>
      </c>
    </row>
    <row r="631" spans="1:13">
      <c r="A631" t="s">
        <v>13</v>
      </c>
      <c r="B631">
        <v>639624</v>
      </c>
      <c r="C631">
        <v>640211</v>
      </c>
      <c r="E631" t="s">
        <v>14</v>
      </c>
      <c r="F631" t="s">
        <v>285</v>
      </c>
      <c r="H631">
        <v>1018630</v>
      </c>
      <c r="I631" t="s">
        <v>17</v>
      </c>
      <c r="K631" t="s">
        <v>1836</v>
      </c>
      <c r="L631">
        <v>195</v>
      </c>
      <c r="M631" t="s">
        <v>1837</v>
      </c>
    </row>
    <row r="632" spans="1:13">
      <c r="A632" t="s">
        <v>13</v>
      </c>
      <c r="B632">
        <v>640229</v>
      </c>
      <c r="C632">
        <v>640879</v>
      </c>
      <c r="E632" t="s">
        <v>38</v>
      </c>
      <c r="F632" t="s">
        <v>1838</v>
      </c>
      <c r="H632">
        <v>1018631</v>
      </c>
      <c r="I632" t="s">
        <v>17</v>
      </c>
      <c r="K632" t="s">
        <v>1839</v>
      </c>
      <c r="L632">
        <v>216</v>
      </c>
      <c r="M632" t="s">
        <v>1840</v>
      </c>
    </row>
    <row r="633" spans="1:13">
      <c r="A633" t="s">
        <v>13</v>
      </c>
      <c r="B633">
        <v>641037</v>
      </c>
      <c r="C633">
        <v>642560</v>
      </c>
      <c r="E633" t="s">
        <v>14</v>
      </c>
      <c r="F633" t="s">
        <v>1841</v>
      </c>
      <c r="H633">
        <v>1018632</v>
      </c>
      <c r="I633" t="s">
        <v>17</v>
      </c>
      <c r="K633" t="s">
        <v>1842</v>
      </c>
      <c r="L633">
        <v>507</v>
      </c>
      <c r="M633" t="s">
        <v>1843</v>
      </c>
    </row>
    <row r="634" spans="1:13">
      <c r="A634" t="s">
        <v>13</v>
      </c>
      <c r="B634">
        <v>642553</v>
      </c>
      <c r="C634">
        <v>644001</v>
      </c>
      <c r="E634" t="s">
        <v>38</v>
      </c>
      <c r="F634" t="s">
        <v>1844</v>
      </c>
      <c r="H634">
        <v>1018633</v>
      </c>
      <c r="I634" t="s">
        <v>17</v>
      </c>
      <c r="K634" t="s">
        <v>1845</v>
      </c>
      <c r="L634">
        <v>482</v>
      </c>
      <c r="M634" t="s">
        <v>1846</v>
      </c>
    </row>
    <row r="635" spans="1:13">
      <c r="A635" t="s">
        <v>13</v>
      </c>
      <c r="B635">
        <v>644026</v>
      </c>
      <c r="C635">
        <v>644781</v>
      </c>
      <c r="E635" t="s">
        <v>14</v>
      </c>
      <c r="F635" t="s">
        <v>1847</v>
      </c>
      <c r="G635" t="s">
        <v>1848</v>
      </c>
      <c r="H635">
        <v>1018634</v>
      </c>
      <c r="I635" t="s">
        <v>17</v>
      </c>
      <c r="K635" t="s">
        <v>1849</v>
      </c>
      <c r="L635">
        <v>251</v>
      </c>
      <c r="M635" t="s">
        <v>1850</v>
      </c>
    </row>
    <row r="636" spans="1:13">
      <c r="A636" t="s">
        <v>13</v>
      </c>
      <c r="B636">
        <v>645173</v>
      </c>
      <c r="C636">
        <v>647470</v>
      </c>
      <c r="E636" t="s">
        <v>38</v>
      </c>
      <c r="F636" t="s">
        <v>1851</v>
      </c>
      <c r="H636">
        <v>1018635</v>
      </c>
      <c r="I636" t="s">
        <v>17</v>
      </c>
      <c r="K636" t="s">
        <v>1852</v>
      </c>
      <c r="L636">
        <v>765</v>
      </c>
      <c r="M636" t="s">
        <v>1853</v>
      </c>
    </row>
    <row r="637" spans="1:13">
      <c r="A637" t="s">
        <v>13</v>
      </c>
      <c r="B637">
        <v>647590</v>
      </c>
      <c r="C637">
        <v>648309</v>
      </c>
      <c r="E637" t="s">
        <v>38</v>
      </c>
      <c r="F637" t="s">
        <v>147</v>
      </c>
      <c r="H637">
        <v>1018636</v>
      </c>
      <c r="I637" t="s">
        <v>17</v>
      </c>
      <c r="K637" t="s">
        <v>1854</v>
      </c>
      <c r="L637">
        <v>239</v>
      </c>
      <c r="M637" t="s">
        <v>1855</v>
      </c>
    </row>
    <row r="638" spans="1:13">
      <c r="A638" t="s">
        <v>13</v>
      </c>
      <c r="B638">
        <v>648437</v>
      </c>
      <c r="C638">
        <v>649114</v>
      </c>
      <c r="E638" t="s">
        <v>38</v>
      </c>
      <c r="F638" t="s">
        <v>1856</v>
      </c>
      <c r="H638">
        <v>1018637</v>
      </c>
      <c r="I638" t="s">
        <v>17</v>
      </c>
      <c r="K638" t="s">
        <v>1857</v>
      </c>
      <c r="L638">
        <v>225</v>
      </c>
      <c r="M638" t="s">
        <v>1858</v>
      </c>
    </row>
    <row r="639" spans="1:13">
      <c r="A639" t="s">
        <v>13</v>
      </c>
      <c r="B639">
        <v>649111</v>
      </c>
      <c r="C639">
        <v>650193</v>
      </c>
      <c r="E639" t="s">
        <v>38</v>
      </c>
      <c r="F639" t="s">
        <v>1859</v>
      </c>
      <c r="H639">
        <v>1018638</v>
      </c>
      <c r="I639" t="s">
        <v>17</v>
      </c>
      <c r="K639" t="s">
        <v>1860</v>
      </c>
      <c r="L639">
        <v>360</v>
      </c>
      <c r="M639" t="s">
        <v>1861</v>
      </c>
    </row>
    <row r="640" spans="1:13">
      <c r="A640" t="s">
        <v>13</v>
      </c>
      <c r="B640">
        <v>650389</v>
      </c>
      <c r="C640">
        <v>651288</v>
      </c>
      <c r="E640" t="s">
        <v>38</v>
      </c>
      <c r="F640" t="s">
        <v>1862</v>
      </c>
      <c r="H640">
        <v>1018639</v>
      </c>
      <c r="I640" t="s">
        <v>17</v>
      </c>
      <c r="K640" t="s">
        <v>1863</v>
      </c>
      <c r="L640">
        <v>299</v>
      </c>
      <c r="M640" t="s">
        <v>1864</v>
      </c>
    </row>
    <row r="641" spans="1:13">
      <c r="A641" t="s">
        <v>13</v>
      </c>
      <c r="B641">
        <v>651448</v>
      </c>
      <c r="C641">
        <v>654615</v>
      </c>
      <c r="E641" t="s">
        <v>14</v>
      </c>
      <c r="F641" t="s">
        <v>1865</v>
      </c>
      <c r="H641">
        <v>1018640</v>
      </c>
      <c r="I641" t="s">
        <v>17</v>
      </c>
      <c r="K641" t="s">
        <v>1866</v>
      </c>
      <c r="L641">
        <v>1055</v>
      </c>
      <c r="M641" t="s">
        <v>1867</v>
      </c>
    </row>
    <row r="642" spans="1:13">
      <c r="A642" t="s">
        <v>13</v>
      </c>
      <c r="B642">
        <v>654676</v>
      </c>
      <c r="C642">
        <v>655125</v>
      </c>
      <c r="E642" t="s">
        <v>14</v>
      </c>
      <c r="F642" t="s">
        <v>1868</v>
      </c>
      <c r="H642">
        <v>1018641</v>
      </c>
      <c r="I642" t="s">
        <v>17</v>
      </c>
      <c r="K642" t="s">
        <v>1869</v>
      </c>
      <c r="L642">
        <v>149</v>
      </c>
      <c r="M642" t="s">
        <v>1870</v>
      </c>
    </row>
    <row r="643" spans="1:13">
      <c r="A643" t="s">
        <v>13</v>
      </c>
      <c r="B643">
        <v>655122</v>
      </c>
      <c r="C643">
        <v>656537</v>
      </c>
      <c r="E643" t="s">
        <v>14</v>
      </c>
      <c r="F643" t="s">
        <v>1868</v>
      </c>
      <c r="H643">
        <v>1018642</v>
      </c>
      <c r="I643" t="s">
        <v>17</v>
      </c>
      <c r="K643" t="s">
        <v>1871</v>
      </c>
      <c r="L643">
        <v>471</v>
      </c>
      <c r="M643" t="s">
        <v>1872</v>
      </c>
    </row>
    <row r="644" spans="1:13">
      <c r="A644" t="s">
        <v>13</v>
      </c>
      <c r="B644">
        <v>656547</v>
      </c>
      <c r="C644">
        <v>657218</v>
      </c>
      <c r="E644" t="s">
        <v>14</v>
      </c>
      <c r="F644" t="s">
        <v>1873</v>
      </c>
      <c r="H644">
        <v>1018643</v>
      </c>
      <c r="I644" t="s">
        <v>17</v>
      </c>
      <c r="K644" t="s">
        <v>1874</v>
      </c>
      <c r="L644">
        <v>223</v>
      </c>
      <c r="M644" t="s">
        <v>1875</v>
      </c>
    </row>
    <row r="645" spans="1:13">
      <c r="A645" t="s">
        <v>13</v>
      </c>
      <c r="B645">
        <v>657202</v>
      </c>
      <c r="C645">
        <v>657978</v>
      </c>
      <c r="E645" t="s">
        <v>38</v>
      </c>
      <c r="F645" t="s">
        <v>1876</v>
      </c>
      <c r="H645">
        <v>1018644</v>
      </c>
      <c r="I645" t="s">
        <v>17</v>
      </c>
      <c r="K645" t="s">
        <v>1877</v>
      </c>
      <c r="L645">
        <v>258</v>
      </c>
      <c r="M645" t="s">
        <v>1878</v>
      </c>
    </row>
    <row r="646" spans="1:13">
      <c r="A646" t="s">
        <v>13</v>
      </c>
      <c r="B646">
        <v>658155</v>
      </c>
      <c r="C646">
        <v>658931</v>
      </c>
      <c r="E646" t="s">
        <v>14</v>
      </c>
      <c r="F646" t="s">
        <v>1879</v>
      </c>
      <c r="H646">
        <v>1018645</v>
      </c>
      <c r="I646" t="s">
        <v>17</v>
      </c>
      <c r="K646" t="s">
        <v>1880</v>
      </c>
      <c r="L646">
        <v>258</v>
      </c>
      <c r="M646" t="s">
        <v>1881</v>
      </c>
    </row>
    <row r="647" spans="1:13">
      <c r="A647" t="s">
        <v>13</v>
      </c>
      <c r="B647">
        <v>658933</v>
      </c>
      <c r="C647">
        <v>659427</v>
      </c>
      <c r="E647" t="s">
        <v>14</v>
      </c>
      <c r="F647" t="s">
        <v>1882</v>
      </c>
      <c r="H647">
        <v>1018646</v>
      </c>
      <c r="I647" t="s">
        <v>17</v>
      </c>
      <c r="K647" t="s">
        <v>1883</v>
      </c>
      <c r="L647">
        <v>164</v>
      </c>
      <c r="M647" t="s">
        <v>1884</v>
      </c>
    </row>
    <row r="648" spans="1:13">
      <c r="A648" t="s">
        <v>13</v>
      </c>
      <c r="B648">
        <v>659543</v>
      </c>
      <c r="C648">
        <v>660541</v>
      </c>
      <c r="E648" t="s">
        <v>14</v>
      </c>
      <c r="F648" t="s">
        <v>1885</v>
      </c>
      <c r="H648">
        <v>1018647</v>
      </c>
      <c r="I648" t="s">
        <v>17</v>
      </c>
      <c r="K648" t="s">
        <v>1886</v>
      </c>
      <c r="L648">
        <v>332</v>
      </c>
      <c r="M648" t="s">
        <v>1887</v>
      </c>
    </row>
    <row r="649" spans="1:13">
      <c r="A649" t="s">
        <v>13</v>
      </c>
      <c r="B649">
        <v>660647</v>
      </c>
      <c r="C649">
        <v>661120</v>
      </c>
      <c r="E649" t="s">
        <v>38</v>
      </c>
      <c r="F649" t="s">
        <v>1888</v>
      </c>
      <c r="H649">
        <v>1018648</v>
      </c>
      <c r="I649" t="s">
        <v>17</v>
      </c>
      <c r="K649" t="s">
        <v>1889</v>
      </c>
      <c r="L649">
        <v>157</v>
      </c>
      <c r="M649" t="s">
        <v>1890</v>
      </c>
    </row>
    <row r="650" spans="1:13">
      <c r="A650" t="s">
        <v>13</v>
      </c>
      <c r="B650">
        <v>661166</v>
      </c>
      <c r="C650">
        <v>662020</v>
      </c>
      <c r="E650" t="s">
        <v>14</v>
      </c>
      <c r="F650" t="s">
        <v>1891</v>
      </c>
      <c r="H650">
        <v>1018649</v>
      </c>
      <c r="I650" t="s">
        <v>17</v>
      </c>
      <c r="K650" t="s">
        <v>1892</v>
      </c>
      <c r="L650">
        <v>284</v>
      </c>
      <c r="M650" t="s">
        <v>1893</v>
      </c>
    </row>
    <row r="651" spans="1:13">
      <c r="A651" t="s">
        <v>13</v>
      </c>
      <c r="B651">
        <v>662027</v>
      </c>
      <c r="C651">
        <v>662377</v>
      </c>
      <c r="E651" t="s">
        <v>14</v>
      </c>
      <c r="F651" t="s">
        <v>1894</v>
      </c>
      <c r="H651">
        <v>1018650</v>
      </c>
      <c r="I651" t="s">
        <v>17</v>
      </c>
      <c r="K651" t="s">
        <v>1895</v>
      </c>
      <c r="L651">
        <v>116</v>
      </c>
      <c r="M651" t="s">
        <v>1896</v>
      </c>
    </row>
    <row r="652" spans="1:13">
      <c r="A652" t="s">
        <v>13</v>
      </c>
      <c r="B652">
        <v>662379</v>
      </c>
      <c r="C652">
        <v>663761</v>
      </c>
      <c r="E652" t="s">
        <v>38</v>
      </c>
      <c r="F652" t="s">
        <v>1897</v>
      </c>
      <c r="H652">
        <v>1018651</v>
      </c>
      <c r="I652" t="s">
        <v>17</v>
      </c>
      <c r="K652" t="s">
        <v>1898</v>
      </c>
      <c r="L652">
        <v>460</v>
      </c>
      <c r="M652" t="s">
        <v>1899</v>
      </c>
    </row>
    <row r="653" spans="1:13">
      <c r="A653" t="s">
        <v>13</v>
      </c>
      <c r="B653">
        <v>664123</v>
      </c>
      <c r="C653">
        <v>664947</v>
      </c>
      <c r="E653" t="s">
        <v>38</v>
      </c>
      <c r="F653" t="s">
        <v>1900</v>
      </c>
      <c r="H653">
        <v>1018652</v>
      </c>
      <c r="I653" t="s">
        <v>17</v>
      </c>
      <c r="K653" t="s">
        <v>1901</v>
      </c>
      <c r="L653">
        <v>274</v>
      </c>
      <c r="M653" t="s">
        <v>1902</v>
      </c>
    </row>
    <row r="654" spans="1:13">
      <c r="A654" t="s">
        <v>13</v>
      </c>
      <c r="B654">
        <v>665180</v>
      </c>
      <c r="C654">
        <v>666313</v>
      </c>
      <c r="E654" t="s">
        <v>38</v>
      </c>
      <c r="F654" t="s">
        <v>1903</v>
      </c>
      <c r="H654">
        <v>1018653</v>
      </c>
      <c r="I654" t="s">
        <v>17</v>
      </c>
      <c r="K654" t="s">
        <v>1904</v>
      </c>
      <c r="L654">
        <v>377</v>
      </c>
      <c r="M654" t="s">
        <v>1905</v>
      </c>
    </row>
    <row r="655" spans="1:13">
      <c r="A655" t="s">
        <v>13</v>
      </c>
      <c r="B655">
        <v>666457</v>
      </c>
      <c r="C655">
        <v>667770</v>
      </c>
      <c r="E655" t="s">
        <v>38</v>
      </c>
      <c r="F655" t="s">
        <v>1906</v>
      </c>
      <c r="H655">
        <v>1018654</v>
      </c>
      <c r="I655" t="s">
        <v>17</v>
      </c>
      <c r="K655" t="s">
        <v>1907</v>
      </c>
      <c r="L655">
        <v>437</v>
      </c>
      <c r="M655" t="s">
        <v>1908</v>
      </c>
    </row>
    <row r="656" spans="1:13">
      <c r="A656" t="s">
        <v>13</v>
      </c>
      <c r="B656">
        <v>668189</v>
      </c>
      <c r="C656">
        <v>670468</v>
      </c>
      <c r="E656" t="s">
        <v>14</v>
      </c>
      <c r="F656" t="s">
        <v>1909</v>
      </c>
      <c r="H656">
        <v>1018655</v>
      </c>
      <c r="I656" t="s">
        <v>17</v>
      </c>
      <c r="K656" t="s">
        <v>1910</v>
      </c>
      <c r="L656">
        <v>759</v>
      </c>
      <c r="M656" t="s">
        <v>1911</v>
      </c>
    </row>
    <row r="657" spans="1:13">
      <c r="A657" t="s">
        <v>13</v>
      </c>
      <c r="B657">
        <v>670472</v>
      </c>
      <c r="C657">
        <v>670675</v>
      </c>
      <c r="E657" t="s">
        <v>14</v>
      </c>
      <c r="F657" t="s">
        <v>1912</v>
      </c>
      <c r="H657">
        <v>44144932</v>
      </c>
      <c r="I657" t="s">
        <v>17</v>
      </c>
      <c r="K657" t="s">
        <v>1913</v>
      </c>
      <c r="L657">
        <v>67</v>
      </c>
      <c r="M657" t="s">
        <v>1914</v>
      </c>
    </row>
    <row r="658" spans="1:13">
      <c r="A658" t="s">
        <v>13</v>
      </c>
      <c r="B658">
        <v>671141</v>
      </c>
      <c r="C658">
        <v>672656</v>
      </c>
      <c r="E658" t="s">
        <v>14</v>
      </c>
      <c r="F658" t="s">
        <v>141</v>
      </c>
      <c r="G658" t="s">
        <v>1915</v>
      </c>
      <c r="H658">
        <v>18194956</v>
      </c>
      <c r="I658" t="s">
        <v>142</v>
      </c>
      <c r="M658" t="s">
        <v>1916</v>
      </c>
    </row>
    <row r="659" spans="1:13">
      <c r="A659" t="s">
        <v>13</v>
      </c>
      <c r="B659">
        <v>672656</v>
      </c>
      <c r="C659">
        <v>673579</v>
      </c>
      <c r="E659" t="s">
        <v>14</v>
      </c>
      <c r="F659" t="s">
        <v>1917</v>
      </c>
      <c r="G659" t="s">
        <v>1918</v>
      </c>
      <c r="H659">
        <v>1018658</v>
      </c>
      <c r="I659" t="s">
        <v>17</v>
      </c>
      <c r="K659" t="s">
        <v>1919</v>
      </c>
      <c r="L659">
        <v>307</v>
      </c>
      <c r="M659" t="s">
        <v>1920</v>
      </c>
    </row>
    <row r="660" spans="1:13">
      <c r="A660" t="s">
        <v>13</v>
      </c>
      <c r="B660">
        <v>673608</v>
      </c>
      <c r="C660">
        <v>674759</v>
      </c>
      <c r="E660" t="s">
        <v>14</v>
      </c>
      <c r="F660" t="s">
        <v>1921</v>
      </c>
      <c r="H660">
        <v>1018659</v>
      </c>
      <c r="I660" t="s">
        <v>17</v>
      </c>
      <c r="K660" t="s">
        <v>1922</v>
      </c>
      <c r="L660">
        <v>383</v>
      </c>
      <c r="M660" t="s">
        <v>1923</v>
      </c>
    </row>
    <row r="661" spans="1:13">
      <c r="A661" t="s">
        <v>13</v>
      </c>
      <c r="B661">
        <v>674796</v>
      </c>
      <c r="C661">
        <v>675077</v>
      </c>
      <c r="E661" t="s">
        <v>38</v>
      </c>
      <c r="F661" t="s">
        <v>1924</v>
      </c>
      <c r="H661">
        <v>44144933</v>
      </c>
      <c r="I661" t="s">
        <v>17</v>
      </c>
      <c r="K661" t="s">
        <v>1925</v>
      </c>
      <c r="L661">
        <v>93</v>
      </c>
      <c r="M661" t="s">
        <v>1926</v>
      </c>
    </row>
    <row r="662" spans="1:13">
      <c r="A662" t="s">
        <v>13</v>
      </c>
      <c r="B662">
        <v>675079</v>
      </c>
      <c r="C662">
        <v>676122</v>
      </c>
      <c r="E662" t="s">
        <v>38</v>
      </c>
      <c r="F662" t="s">
        <v>1927</v>
      </c>
      <c r="H662">
        <v>1018660</v>
      </c>
      <c r="I662" t="s">
        <v>17</v>
      </c>
      <c r="K662" t="s">
        <v>1928</v>
      </c>
      <c r="L662">
        <v>347</v>
      </c>
      <c r="M662" t="s">
        <v>1929</v>
      </c>
    </row>
    <row r="663" spans="1:13">
      <c r="A663" t="s">
        <v>13</v>
      </c>
      <c r="B663">
        <v>676215</v>
      </c>
      <c r="C663">
        <v>676937</v>
      </c>
      <c r="E663" t="s">
        <v>38</v>
      </c>
      <c r="F663" t="s">
        <v>1930</v>
      </c>
      <c r="H663">
        <v>1018661</v>
      </c>
      <c r="I663" t="s">
        <v>17</v>
      </c>
      <c r="K663" t="s">
        <v>1931</v>
      </c>
      <c r="L663">
        <v>240</v>
      </c>
      <c r="M663" t="s">
        <v>1932</v>
      </c>
    </row>
    <row r="664" spans="1:13">
      <c r="A664" t="s">
        <v>13</v>
      </c>
      <c r="B664">
        <v>677044</v>
      </c>
      <c r="C664">
        <v>677748</v>
      </c>
      <c r="E664" t="s">
        <v>38</v>
      </c>
      <c r="F664" t="s">
        <v>49</v>
      </c>
      <c r="H664">
        <v>1018662</v>
      </c>
      <c r="I664" t="s">
        <v>17</v>
      </c>
      <c r="K664" t="s">
        <v>1933</v>
      </c>
      <c r="L664">
        <v>234</v>
      </c>
      <c r="M664" t="s">
        <v>1934</v>
      </c>
    </row>
    <row r="665" spans="1:13">
      <c r="A665" t="s">
        <v>13</v>
      </c>
      <c r="B665">
        <v>677828</v>
      </c>
      <c r="C665">
        <v>680044</v>
      </c>
      <c r="E665" t="s">
        <v>38</v>
      </c>
      <c r="F665" t="s">
        <v>1935</v>
      </c>
      <c r="H665">
        <v>1018663</v>
      </c>
      <c r="I665" t="s">
        <v>17</v>
      </c>
      <c r="K665" t="s">
        <v>1936</v>
      </c>
      <c r="L665">
        <v>738</v>
      </c>
      <c r="M665" t="s">
        <v>1937</v>
      </c>
    </row>
    <row r="666" spans="1:13">
      <c r="A666" t="s">
        <v>13</v>
      </c>
      <c r="B666">
        <v>680128</v>
      </c>
      <c r="C666">
        <v>681027</v>
      </c>
      <c r="E666" t="s">
        <v>38</v>
      </c>
      <c r="F666" t="s">
        <v>150</v>
      </c>
      <c r="H666">
        <v>1018664</v>
      </c>
      <c r="I666" t="s">
        <v>17</v>
      </c>
      <c r="K666" t="s">
        <v>1938</v>
      </c>
      <c r="L666">
        <v>299</v>
      </c>
      <c r="M666" t="s">
        <v>1939</v>
      </c>
    </row>
    <row r="667" spans="1:13">
      <c r="A667" t="s">
        <v>13</v>
      </c>
      <c r="B667">
        <v>681037</v>
      </c>
      <c r="C667">
        <v>681846</v>
      </c>
      <c r="E667" t="s">
        <v>38</v>
      </c>
      <c r="F667" t="s">
        <v>147</v>
      </c>
      <c r="H667">
        <v>1018665</v>
      </c>
      <c r="I667" t="s">
        <v>17</v>
      </c>
      <c r="K667" t="s">
        <v>1940</v>
      </c>
      <c r="L667">
        <v>269</v>
      </c>
      <c r="M667" t="s">
        <v>1941</v>
      </c>
    </row>
    <row r="668" spans="1:13">
      <c r="A668" t="s">
        <v>13</v>
      </c>
      <c r="B668">
        <v>681843</v>
      </c>
      <c r="C668">
        <v>682871</v>
      </c>
      <c r="E668" t="s">
        <v>38</v>
      </c>
      <c r="F668" t="s">
        <v>144</v>
      </c>
      <c r="H668">
        <v>1018666</v>
      </c>
      <c r="I668" t="s">
        <v>17</v>
      </c>
      <c r="K668" t="s">
        <v>1942</v>
      </c>
      <c r="L668">
        <v>342</v>
      </c>
      <c r="M668" t="s">
        <v>1943</v>
      </c>
    </row>
    <row r="669" spans="1:13">
      <c r="A669" t="s">
        <v>13</v>
      </c>
      <c r="B669">
        <v>682868</v>
      </c>
      <c r="C669">
        <v>683863</v>
      </c>
      <c r="E669" t="s">
        <v>38</v>
      </c>
      <c r="F669" t="s">
        <v>144</v>
      </c>
      <c r="H669">
        <v>1018667</v>
      </c>
      <c r="I669" t="s">
        <v>17</v>
      </c>
      <c r="K669" t="s">
        <v>1944</v>
      </c>
      <c r="L669">
        <v>331</v>
      </c>
      <c r="M669" t="s">
        <v>1945</v>
      </c>
    </row>
    <row r="670" spans="1:13">
      <c r="A670" t="s">
        <v>13</v>
      </c>
      <c r="B670">
        <v>683873</v>
      </c>
      <c r="C670">
        <v>684925</v>
      </c>
      <c r="E670" t="s">
        <v>38</v>
      </c>
      <c r="F670" t="s">
        <v>1885</v>
      </c>
      <c r="H670">
        <v>1018668</v>
      </c>
      <c r="I670" t="s">
        <v>17</v>
      </c>
      <c r="K670" t="s">
        <v>1946</v>
      </c>
      <c r="L670">
        <v>350</v>
      </c>
      <c r="M670" t="s">
        <v>1947</v>
      </c>
    </row>
    <row r="671" spans="1:13">
      <c r="A671" t="s">
        <v>13</v>
      </c>
      <c r="B671">
        <v>685109</v>
      </c>
      <c r="C671">
        <v>686383</v>
      </c>
      <c r="E671" t="s">
        <v>14</v>
      </c>
      <c r="F671" t="s">
        <v>265</v>
      </c>
      <c r="H671">
        <v>1018669</v>
      </c>
      <c r="I671" t="s">
        <v>17</v>
      </c>
      <c r="K671" t="s">
        <v>1948</v>
      </c>
      <c r="L671">
        <v>424</v>
      </c>
      <c r="M671" t="s">
        <v>1949</v>
      </c>
    </row>
    <row r="672" spans="1:13">
      <c r="A672" t="s">
        <v>13</v>
      </c>
      <c r="B672">
        <v>686435</v>
      </c>
      <c r="C672">
        <v>687349</v>
      </c>
      <c r="E672" t="s">
        <v>14</v>
      </c>
      <c r="F672" t="s">
        <v>1950</v>
      </c>
      <c r="H672">
        <v>1018670</v>
      </c>
      <c r="I672" t="s">
        <v>17</v>
      </c>
      <c r="K672" t="s">
        <v>1951</v>
      </c>
      <c r="L672">
        <v>304</v>
      </c>
      <c r="M672" t="s">
        <v>1952</v>
      </c>
    </row>
    <row r="673" spans="1:13">
      <c r="A673" t="s">
        <v>13</v>
      </c>
      <c r="B673">
        <v>687351</v>
      </c>
      <c r="C673">
        <v>688010</v>
      </c>
      <c r="E673" t="s">
        <v>14</v>
      </c>
      <c r="F673" t="s">
        <v>428</v>
      </c>
      <c r="H673">
        <v>1018671</v>
      </c>
      <c r="I673" t="s">
        <v>17</v>
      </c>
      <c r="K673" t="s">
        <v>1953</v>
      </c>
      <c r="L673">
        <v>219</v>
      </c>
      <c r="M673" t="s">
        <v>1954</v>
      </c>
    </row>
    <row r="674" spans="1:13">
      <c r="A674" t="s">
        <v>13</v>
      </c>
      <c r="B674">
        <v>688147</v>
      </c>
      <c r="C674">
        <v>688338</v>
      </c>
      <c r="E674" t="s">
        <v>14</v>
      </c>
      <c r="F674" t="s">
        <v>49</v>
      </c>
      <c r="H674">
        <v>1018672</v>
      </c>
      <c r="I674" t="s">
        <v>17</v>
      </c>
      <c r="K674" t="s">
        <v>1955</v>
      </c>
      <c r="L674">
        <v>63</v>
      </c>
      <c r="M674" t="s">
        <v>1956</v>
      </c>
    </row>
    <row r="675" spans="1:13">
      <c r="A675" t="s">
        <v>13</v>
      </c>
      <c r="B675">
        <v>688913</v>
      </c>
      <c r="C675">
        <v>689890</v>
      </c>
      <c r="E675" t="s">
        <v>38</v>
      </c>
      <c r="F675" t="s">
        <v>1008</v>
      </c>
      <c r="H675">
        <v>1018673</v>
      </c>
      <c r="I675" t="s">
        <v>17</v>
      </c>
      <c r="K675" t="s">
        <v>1957</v>
      </c>
      <c r="L675">
        <v>325</v>
      </c>
      <c r="M675" t="s">
        <v>1958</v>
      </c>
    </row>
    <row r="676" spans="1:13">
      <c r="A676" t="s">
        <v>13</v>
      </c>
      <c r="B676">
        <v>689914</v>
      </c>
      <c r="C676">
        <v>690696</v>
      </c>
      <c r="E676" t="s">
        <v>38</v>
      </c>
      <c r="F676" t="s">
        <v>147</v>
      </c>
      <c r="H676">
        <v>1018674</v>
      </c>
      <c r="I676" t="s">
        <v>17</v>
      </c>
      <c r="K676" t="s">
        <v>1959</v>
      </c>
      <c r="L676">
        <v>260</v>
      </c>
      <c r="M676" t="s">
        <v>1960</v>
      </c>
    </row>
    <row r="677" spans="1:13">
      <c r="A677" t="s">
        <v>13</v>
      </c>
      <c r="B677">
        <v>690703</v>
      </c>
      <c r="C677">
        <v>691722</v>
      </c>
      <c r="E677" t="s">
        <v>38</v>
      </c>
      <c r="F677" t="s">
        <v>144</v>
      </c>
      <c r="H677">
        <v>1018675</v>
      </c>
      <c r="I677" t="s">
        <v>17</v>
      </c>
      <c r="K677" t="s">
        <v>1961</v>
      </c>
      <c r="L677">
        <v>339</v>
      </c>
      <c r="M677" t="s">
        <v>1962</v>
      </c>
    </row>
    <row r="678" spans="1:13">
      <c r="A678" t="s">
        <v>13</v>
      </c>
      <c r="B678">
        <v>691882</v>
      </c>
      <c r="C678">
        <v>692919</v>
      </c>
      <c r="E678" t="s">
        <v>14</v>
      </c>
      <c r="F678" t="s">
        <v>1963</v>
      </c>
      <c r="G678" t="s">
        <v>1964</v>
      </c>
      <c r="H678">
        <v>1018676</v>
      </c>
      <c r="I678" t="s">
        <v>17</v>
      </c>
      <c r="K678" t="s">
        <v>1965</v>
      </c>
      <c r="L678">
        <v>345</v>
      </c>
      <c r="M678" t="s">
        <v>1966</v>
      </c>
    </row>
    <row r="679" spans="1:13">
      <c r="A679" t="s">
        <v>13</v>
      </c>
      <c r="B679">
        <v>693028</v>
      </c>
      <c r="C679">
        <v>694113</v>
      </c>
      <c r="E679" t="s">
        <v>14</v>
      </c>
      <c r="F679" t="s">
        <v>1967</v>
      </c>
      <c r="H679">
        <v>1018677</v>
      </c>
      <c r="I679" t="s">
        <v>17</v>
      </c>
      <c r="K679" t="s">
        <v>1968</v>
      </c>
      <c r="L679">
        <v>361</v>
      </c>
      <c r="M679" t="s">
        <v>1969</v>
      </c>
    </row>
    <row r="680" spans="1:13">
      <c r="A680" t="s">
        <v>13</v>
      </c>
      <c r="B680">
        <v>694172</v>
      </c>
      <c r="C680">
        <v>695077</v>
      </c>
      <c r="E680" t="s">
        <v>14</v>
      </c>
      <c r="F680" t="s">
        <v>1970</v>
      </c>
      <c r="H680">
        <v>1018678</v>
      </c>
      <c r="I680" t="s">
        <v>17</v>
      </c>
      <c r="K680" t="s">
        <v>1971</v>
      </c>
      <c r="L680">
        <v>301</v>
      </c>
      <c r="M680" t="s">
        <v>1972</v>
      </c>
    </row>
    <row r="681" spans="1:13">
      <c r="A681" t="s">
        <v>13</v>
      </c>
      <c r="B681">
        <v>695074</v>
      </c>
      <c r="C681">
        <v>696279</v>
      </c>
      <c r="E681" t="s">
        <v>38</v>
      </c>
      <c r="F681" t="s">
        <v>1973</v>
      </c>
      <c r="H681">
        <v>1018679</v>
      </c>
      <c r="I681" t="s">
        <v>17</v>
      </c>
      <c r="K681" t="s">
        <v>1974</v>
      </c>
      <c r="L681">
        <v>401</v>
      </c>
      <c r="M681" t="s">
        <v>1975</v>
      </c>
    </row>
    <row r="682" spans="1:13">
      <c r="A682" t="s">
        <v>13</v>
      </c>
      <c r="B682">
        <v>696766</v>
      </c>
      <c r="C682">
        <v>697995</v>
      </c>
      <c r="E682" t="s">
        <v>38</v>
      </c>
      <c r="F682" t="s">
        <v>49</v>
      </c>
      <c r="H682">
        <v>1018680</v>
      </c>
      <c r="I682" t="s">
        <v>17</v>
      </c>
      <c r="K682" t="s">
        <v>1976</v>
      </c>
      <c r="L682">
        <v>409</v>
      </c>
      <c r="M682" t="s">
        <v>1977</v>
      </c>
    </row>
    <row r="683" spans="1:13">
      <c r="A683" t="s">
        <v>13</v>
      </c>
      <c r="B683">
        <v>698062</v>
      </c>
      <c r="C683">
        <v>698922</v>
      </c>
      <c r="E683" t="s">
        <v>38</v>
      </c>
      <c r="F683" t="s">
        <v>1978</v>
      </c>
      <c r="H683">
        <v>1018681</v>
      </c>
      <c r="I683" t="s">
        <v>17</v>
      </c>
      <c r="K683" t="s">
        <v>1979</v>
      </c>
      <c r="L683">
        <v>286</v>
      </c>
      <c r="M683" t="s">
        <v>1980</v>
      </c>
    </row>
    <row r="684" spans="1:13">
      <c r="A684" t="s">
        <v>13</v>
      </c>
      <c r="B684">
        <v>698919</v>
      </c>
      <c r="C684">
        <v>699170</v>
      </c>
      <c r="E684" t="s">
        <v>38</v>
      </c>
      <c r="F684" t="s">
        <v>49</v>
      </c>
      <c r="H684">
        <v>1018682</v>
      </c>
      <c r="I684" t="s">
        <v>17</v>
      </c>
      <c r="K684" t="s">
        <v>1981</v>
      </c>
      <c r="L684">
        <v>83</v>
      </c>
      <c r="M684" t="s">
        <v>1982</v>
      </c>
    </row>
    <row r="685" spans="1:13">
      <c r="A685" t="s">
        <v>13</v>
      </c>
      <c r="B685">
        <v>699281</v>
      </c>
      <c r="C685">
        <v>699916</v>
      </c>
      <c r="E685" t="s">
        <v>14</v>
      </c>
      <c r="F685" t="s">
        <v>1983</v>
      </c>
      <c r="G685" t="s">
        <v>1984</v>
      </c>
      <c r="H685">
        <v>1018683</v>
      </c>
      <c r="I685" t="s">
        <v>17</v>
      </c>
      <c r="K685" t="s">
        <v>1985</v>
      </c>
      <c r="L685">
        <v>211</v>
      </c>
      <c r="M685" t="s">
        <v>1986</v>
      </c>
    </row>
    <row r="686" spans="1:13">
      <c r="A686" t="s">
        <v>13</v>
      </c>
      <c r="B686">
        <v>700010</v>
      </c>
      <c r="C686">
        <v>700384</v>
      </c>
      <c r="E686" t="s">
        <v>14</v>
      </c>
      <c r="F686" t="s">
        <v>138</v>
      </c>
      <c r="H686">
        <v>1018684</v>
      </c>
      <c r="I686" t="s">
        <v>17</v>
      </c>
      <c r="K686" t="s">
        <v>1987</v>
      </c>
      <c r="L686">
        <v>124</v>
      </c>
      <c r="M686" t="s">
        <v>1988</v>
      </c>
    </row>
    <row r="687" spans="1:13">
      <c r="A687" t="s">
        <v>13</v>
      </c>
      <c r="B687">
        <v>700381</v>
      </c>
      <c r="C687">
        <v>701973</v>
      </c>
      <c r="E687" t="s">
        <v>38</v>
      </c>
      <c r="F687" t="s">
        <v>1989</v>
      </c>
      <c r="H687">
        <v>1018685</v>
      </c>
      <c r="I687" t="s">
        <v>17</v>
      </c>
      <c r="K687" t="s">
        <v>1990</v>
      </c>
      <c r="L687">
        <v>530</v>
      </c>
      <c r="M687" t="s">
        <v>1991</v>
      </c>
    </row>
    <row r="688" spans="1:13">
      <c r="A688" t="s">
        <v>13</v>
      </c>
      <c r="B688">
        <v>702081</v>
      </c>
      <c r="C688">
        <v>703265</v>
      </c>
      <c r="E688" t="s">
        <v>14</v>
      </c>
      <c r="F688" t="s">
        <v>342</v>
      </c>
      <c r="H688">
        <v>1018686</v>
      </c>
      <c r="I688" t="s">
        <v>17</v>
      </c>
      <c r="K688" t="s">
        <v>1992</v>
      </c>
      <c r="L688">
        <v>394</v>
      </c>
      <c r="M688" t="s">
        <v>1993</v>
      </c>
    </row>
    <row r="689" spans="1:13">
      <c r="A689" t="s">
        <v>13</v>
      </c>
      <c r="B689">
        <v>703405</v>
      </c>
      <c r="C689">
        <v>704814</v>
      </c>
      <c r="E689" t="s">
        <v>14</v>
      </c>
      <c r="F689" t="s">
        <v>1994</v>
      </c>
      <c r="H689">
        <v>1018687</v>
      </c>
      <c r="I689" t="s">
        <v>17</v>
      </c>
      <c r="K689" t="s">
        <v>1995</v>
      </c>
      <c r="L689">
        <v>469</v>
      </c>
      <c r="M689" t="s">
        <v>1996</v>
      </c>
    </row>
    <row r="690" spans="1:13">
      <c r="A690" t="s">
        <v>13</v>
      </c>
      <c r="B690">
        <v>705211</v>
      </c>
      <c r="C690">
        <v>708633</v>
      </c>
      <c r="E690" t="s">
        <v>14</v>
      </c>
      <c r="F690" t="s">
        <v>1997</v>
      </c>
      <c r="H690">
        <v>1018688</v>
      </c>
      <c r="I690" t="s">
        <v>17</v>
      </c>
      <c r="K690" t="s">
        <v>1998</v>
      </c>
      <c r="L690">
        <v>1140</v>
      </c>
      <c r="M690" t="s">
        <v>1999</v>
      </c>
    </row>
    <row r="691" spans="1:13">
      <c r="A691" t="s">
        <v>13</v>
      </c>
      <c r="B691">
        <v>708839</v>
      </c>
      <c r="C691">
        <v>709711</v>
      </c>
      <c r="E691" t="s">
        <v>14</v>
      </c>
      <c r="F691" t="s">
        <v>2000</v>
      </c>
      <c r="H691">
        <v>1018689</v>
      </c>
      <c r="I691" t="s">
        <v>17</v>
      </c>
      <c r="K691" t="s">
        <v>2001</v>
      </c>
      <c r="L691">
        <v>290</v>
      </c>
      <c r="M691" t="s">
        <v>2002</v>
      </c>
    </row>
    <row r="692" spans="1:13">
      <c r="A692" t="s">
        <v>13</v>
      </c>
      <c r="B692">
        <v>709793</v>
      </c>
      <c r="C692">
        <v>710281</v>
      </c>
      <c r="E692" t="s">
        <v>14</v>
      </c>
      <c r="F692" t="s">
        <v>2003</v>
      </c>
      <c r="H692">
        <v>1018690</v>
      </c>
      <c r="I692" t="s">
        <v>17</v>
      </c>
      <c r="K692" t="s">
        <v>2004</v>
      </c>
      <c r="L692">
        <v>162</v>
      </c>
      <c r="M692" t="s">
        <v>2005</v>
      </c>
    </row>
    <row r="693" spans="1:13">
      <c r="A693" t="s">
        <v>13</v>
      </c>
      <c r="B693">
        <v>710517</v>
      </c>
      <c r="C693">
        <v>711605</v>
      </c>
      <c r="E693" t="s">
        <v>38</v>
      </c>
      <c r="F693" t="s">
        <v>2006</v>
      </c>
      <c r="H693">
        <v>1018691</v>
      </c>
      <c r="I693" t="s">
        <v>17</v>
      </c>
      <c r="K693" t="s">
        <v>2007</v>
      </c>
      <c r="L693">
        <v>362</v>
      </c>
      <c r="M693" t="s">
        <v>2008</v>
      </c>
    </row>
    <row r="694" spans="1:13">
      <c r="A694" t="s">
        <v>13</v>
      </c>
      <c r="B694">
        <v>711724</v>
      </c>
      <c r="C694">
        <v>712650</v>
      </c>
      <c r="E694" t="s">
        <v>14</v>
      </c>
      <c r="F694" t="s">
        <v>1602</v>
      </c>
      <c r="H694">
        <v>1018692</v>
      </c>
      <c r="I694" t="s">
        <v>17</v>
      </c>
      <c r="K694" t="s">
        <v>2009</v>
      </c>
      <c r="L694">
        <v>308</v>
      </c>
      <c r="M694" t="s">
        <v>2010</v>
      </c>
    </row>
    <row r="695" spans="1:13">
      <c r="A695" t="s">
        <v>13</v>
      </c>
      <c r="B695">
        <v>712738</v>
      </c>
      <c r="C695">
        <v>714234</v>
      </c>
      <c r="E695" t="s">
        <v>14</v>
      </c>
      <c r="F695" t="s">
        <v>2011</v>
      </c>
      <c r="G695" t="s">
        <v>1915</v>
      </c>
      <c r="H695">
        <v>1018693</v>
      </c>
      <c r="I695" t="s">
        <v>17</v>
      </c>
      <c r="K695" t="s">
        <v>2012</v>
      </c>
      <c r="L695">
        <v>498</v>
      </c>
      <c r="M695" t="s">
        <v>2013</v>
      </c>
    </row>
    <row r="696" spans="1:13">
      <c r="A696" t="s">
        <v>13</v>
      </c>
      <c r="B696">
        <v>714231</v>
      </c>
      <c r="C696">
        <v>715148</v>
      </c>
      <c r="E696" t="s">
        <v>14</v>
      </c>
      <c r="F696" t="s">
        <v>1917</v>
      </c>
      <c r="G696" t="s">
        <v>1918</v>
      </c>
      <c r="H696">
        <v>1018694</v>
      </c>
      <c r="I696" t="s">
        <v>17</v>
      </c>
      <c r="K696" t="s">
        <v>2014</v>
      </c>
      <c r="L696">
        <v>305</v>
      </c>
      <c r="M696" t="s">
        <v>2015</v>
      </c>
    </row>
    <row r="697" spans="1:13">
      <c r="A697" t="s">
        <v>13</v>
      </c>
      <c r="B697">
        <v>715141</v>
      </c>
      <c r="C697">
        <v>716286</v>
      </c>
      <c r="E697" t="s">
        <v>14</v>
      </c>
      <c r="F697" t="s">
        <v>1921</v>
      </c>
      <c r="H697">
        <v>1018695</v>
      </c>
      <c r="I697" t="s">
        <v>17</v>
      </c>
      <c r="K697" t="s">
        <v>2016</v>
      </c>
      <c r="L697">
        <v>381</v>
      </c>
      <c r="M697" t="s">
        <v>2017</v>
      </c>
    </row>
    <row r="698" spans="1:13">
      <c r="A698" t="s">
        <v>13</v>
      </c>
      <c r="B698">
        <v>716283</v>
      </c>
      <c r="C698">
        <v>716660</v>
      </c>
      <c r="E698" t="s">
        <v>38</v>
      </c>
      <c r="F698" t="s">
        <v>49</v>
      </c>
      <c r="H698">
        <v>1018696</v>
      </c>
      <c r="I698" t="s">
        <v>17</v>
      </c>
      <c r="K698" t="s">
        <v>2018</v>
      </c>
      <c r="L698">
        <v>125</v>
      </c>
      <c r="M698" t="s">
        <v>2019</v>
      </c>
    </row>
    <row r="699" spans="1:13">
      <c r="A699" t="s">
        <v>13</v>
      </c>
      <c r="B699">
        <v>716684</v>
      </c>
      <c r="C699">
        <v>718009</v>
      </c>
      <c r="E699" t="s">
        <v>38</v>
      </c>
      <c r="F699" t="s">
        <v>138</v>
      </c>
      <c r="H699">
        <v>1018697</v>
      </c>
      <c r="I699" t="s">
        <v>17</v>
      </c>
      <c r="K699" t="s">
        <v>2020</v>
      </c>
      <c r="L699">
        <v>441</v>
      </c>
      <c r="M699" t="s">
        <v>2021</v>
      </c>
    </row>
    <row r="700" spans="1:13">
      <c r="A700" t="s">
        <v>13</v>
      </c>
      <c r="B700">
        <v>718171</v>
      </c>
      <c r="C700">
        <v>718353</v>
      </c>
      <c r="E700" t="s">
        <v>14</v>
      </c>
      <c r="F700" t="s">
        <v>49</v>
      </c>
      <c r="H700">
        <v>1018698</v>
      </c>
      <c r="I700" t="s">
        <v>17</v>
      </c>
      <c r="K700" t="s">
        <v>2022</v>
      </c>
      <c r="L700">
        <v>60</v>
      </c>
      <c r="M700" t="s">
        <v>2023</v>
      </c>
    </row>
    <row r="701" spans="1:13">
      <c r="A701" t="s">
        <v>13</v>
      </c>
      <c r="B701">
        <v>718577</v>
      </c>
      <c r="C701">
        <v>720352</v>
      </c>
      <c r="E701" t="s">
        <v>38</v>
      </c>
      <c r="F701" t="s">
        <v>2024</v>
      </c>
      <c r="H701">
        <v>1018699</v>
      </c>
      <c r="I701" t="s">
        <v>17</v>
      </c>
      <c r="K701" t="s">
        <v>2025</v>
      </c>
      <c r="L701">
        <v>591</v>
      </c>
      <c r="M701" t="s">
        <v>2026</v>
      </c>
    </row>
    <row r="702" spans="1:13">
      <c r="A702" t="s">
        <v>13</v>
      </c>
      <c r="B702">
        <v>720544</v>
      </c>
      <c r="C702">
        <v>721449</v>
      </c>
      <c r="E702" t="s">
        <v>38</v>
      </c>
      <c r="F702" t="s">
        <v>2027</v>
      </c>
      <c r="H702">
        <v>1018700</v>
      </c>
      <c r="I702" t="s">
        <v>17</v>
      </c>
      <c r="K702" t="s">
        <v>2028</v>
      </c>
      <c r="L702">
        <v>301</v>
      </c>
      <c r="M702" t="s">
        <v>2029</v>
      </c>
    </row>
    <row r="703" spans="1:13">
      <c r="A703" t="s">
        <v>13</v>
      </c>
      <c r="B703">
        <v>721777</v>
      </c>
      <c r="C703">
        <v>722844</v>
      </c>
      <c r="E703" t="s">
        <v>14</v>
      </c>
      <c r="F703" t="s">
        <v>2030</v>
      </c>
      <c r="H703">
        <v>1018701</v>
      </c>
      <c r="I703" t="s">
        <v>17</v>
      </c>
      <c r="K703" t="s">
        <v>2031</v>
      </c>
      <c r="L703">
        <v>355</v>
      </c>
      <c r="M703" t="s">
        <v>2032</v>
      </c>
    </row>
    <row r="704" spans="1:13">
      <c r="A704" t="s">
        <v>13</v>
      </c>
      <c r="B704">
        <v>722922</v>
      </c>
      <c r="C704">
        <v>723338</v>
      </c>
      <c r="E704" t="s">
        <v>38</v>
      </c>
      <c r="F704" t="s">
        <v>2033</v>
      </c>
      <c r="H704">
        <v>1018702</v>
      </c>
      <c r="I704" t="s">
        <v>17</v>
      </c>
      <c r="K704" t="s">
        <v>2034</v>
      </c>
      <c r="L704">
        <v>138</v>
      </c>
      <c r="M704" t="s">
        <v>2035</v>
      </c>
    </row>
    <row r="705" spans="1:13">
      <c r="A705" t="s">
        <v>13</v>
      </c>
      <c r="B705">
        <v>723412</v>
      </c>
      <c r="C705">
        <v>725562</v>
      </c>
      <c r="E705" t="s">
        <v>14</v>
      </c>
      <c r="F705" t="s">
        <v>1071</v>
      </c>
      <c r="H705">
        <v>1018703</v>
      </c>
      <c r="I705" t="s">
        <v>17</v>
      </c>
      <c r="K705" t="s">
        <v>2036</v>
      </c>
      <c r="L705">
        <v>716</v>
      </c>
      <c r="M705" t="s">
        <v>2037</v>
      </c>
    </row>
    <row r="706" spans="1:13">
      <c r="A706" t="s">
        <v>13</v>
      </c>
      <c r="B706">
        <v>725869</v>
      </c>
      <c r="C706">
        <v>726462</v>
      </c>
      <c r="E706" t="s">
        <v>38</v>
      </c>
      <c r="F706" t="s">
        <v>2038</v>
      </c>
      <c r="H706">
        <v>1018704</v>
      </c>
      <c r="I706" t="s">
        <v>17</v>
      </c>
      <c r="K706" t="s">
        <v>2039</v>
      </c>
      <c r="L706">
        <v>197</v>
      </c>
      <c r="M706" t="s">
        <v>2040</v>
      </c>
    </row>
    <row r="707" spans="1:13">
      <c r="A707" t="s">
        <v>13</v>
      </c>
      <c r="B707">
        <v>726467</v>
      </c>
      <c r="C707">
        <v>726715</v>
      </c>
      <c r="E707" t="s">
        <v>38</v>
      </c>
      <c r="F707" t="s">
        <v>2041</v>
      </c>
      <c r="H707">
        <v>1018705</v>
      </c>
      <c r="I707" t="s">
        <v>17</v>
      </c>
      <c r="K707" t="s">
        <v>2042</v>
      </c>
      <c r="L707">
        <v>82</v>
      </c>
      <c r="M707" t="s">
        <v>2043</v>
      </c>
    </row>
    <row r="708" spans="1:13">
      <c r="A708" t="s">
        <v>13</v>
      </c>
      <c r="B708">
        <v>726739</v>
      </c>
      <c r="C708">
        <v>728352</v>
      </c>
      <c r="E708" t="s">
        <v>38</v>
      </c>
      <c r="F708" t="s">
        <v>2044</v>
      </c>
      <c r="H708">
        <v>1018706</v>
      </c>
      <c r="I708" t="s">
        <v>17</v>
      </c>
      <c r="K708" t="s">
        <v>2045</v>
      </c>
      <c r="L708">
        <v>537</v>
      </c>
      <c r="M708" t="s">
        <v>2046</v>
      </c>
    </row>
    <row r="709" spans="1:13">
      <c r="A709" t="s">
        <v>13</v>
      </c>
      <c r="B709">
        <v>728693</v>
      </c>
      <c r="C709">
        <v>730324</v>
      </c>
      <c r="E709" t="s">
        <v>38</v>
      </c>
      <c r="F709" t="s">
        <v>2044</v>
      </c>
      <c r="H709">
        <v>1018707</v>
      </c>
      <c r="I709" t="s">
        <v>17</v>
      </c>
      <c r="K709" t="s">
        <v>2047</v>
      </c>
      <c r="L709">
        <v>543</v>
      </c>
      <c r="M709" t="s">
        <v>2048</v>
      </c>
    </row>
    <row r="710" spans="1:13">
      <c r="A710" t="s">
        <v>13</v>
      </c>
      <c r="B710">
        <v>730436</v>
      </c>
      <c r="C710">
        <v>731302</v>
      </c>
      <c r="E710" t="s">
        <v>14</v>
      </c>
      <c r="F710" t="s">
        <v>2049</v>
      </c>
      <c r="H710">
        <v>1018708</v>
      </c>
      <c r="I710" t="s">
        <v>17</v>
      </c>
      <c r="K710" t="s">
        <v>2050</v>
      </c>
      <c r="L710">
        <v>288</v>
      </c>
      <c r="M710" t="s">
        <v>2051</v>
      </c>
    </row>
    <row r="711" spans="1:13">
      <c r="A711" t="s">
        <v>13</v>
      </c>
      <c r="B711">
        <v>731312</v>
      </c>
      <c r="C711">
        <v>731800</v>
      </c>
      <c r="E711" t="s">
        <v>14</v>
      </c>
      <c r="F711" t="s">
        <v>49</v>
      </c>
      <c r="H711">
        <v>1018709</v>
      </c>
      <c r="I711" t="s">
        <v>17</v>
      </c>
      <c r="K711" t="s">
        <v>2052</v>
      </c>
      <c r="L711">
        <v>162</v>
      </c>
      <c r="M711" t="s">
        <v>2053</v>
      </c>
    </row>
    <row r="712" spans="1:13">
      <c r="A712" t="s">
        <v>13</v>
      </c>
      <c r="B712">
        <v>731857</v>
      </c>
      <c r="C712">
        <v>733020</v>
      </c>
      <c r="E712" t="s">
        <v>14</v>
      </c>
      <c r="F712" t="s">
        <v>2054</v>
      </c>
      <c r="H712">
        <v>1018710</v>
      </c>
      <c r="I712" t="s">
        <v>17</v>
      </c>
      <c r="K712" t="s">
        <v>2055</v>
      </c>
      <c r="L712">
        <v>387</v>
      </c>
      <c r="M712" t="s">
        <v>2056</v>
      </c>
    </row>
    <row r="713" spans="1:13">
      <c r="A713" t="s">
        <v>13</v>
      </c>
      <c r="B713">
        <v>733060</v>
      </c>
      <c r="C713">
        <v>734946</v>
      </c>
      <c r="E713" t="s">
        <v>14</v>
      </c>
      <c r="F713" t="s">
        <v>2057</v>
      </c>
      <c r="H713">
        <v>1018711</v>
      </c>
      <c r="I713" t="s">
        <v>17</v>
      </c>
      <c r="K713" t="s">
        <v>2058</v>
      </c>
      <c r="L713">
        <v>628</v>
      </c>
      <c r="M713" t="s">
        <v>2059</v>
      </c>
    </row>
    <row r="714" spans="1:13">
      <c r="A714" t="s">
        <v>13</v>
      </c>
      <c r="B714">
        <v>734984</v>
      </c>
      <c r="C714">
        <v>735343</v>
      </c>
      <c r="E714" t="s">
        <v>14</v>
      </c>
      <c r="F714" t="s">
        <v>49</v>
      </c>
      <c r="H714">
        <v>1018712</v>
      </c>
      <c r="I714" t="s">
        <v>17</v>
      </c>
      <c r="K714" t="s">
        <v>2060</v>
      </c>
      <c r="L714">
        <v>119</v>
      </c>
      <c r="M714" t="s">
        <v>2061</v>
      </c>
    </row>
    <row r="715" spans="1:13">
      <c r="A715" t="s">
        <v>13</v>
      </c>
      <c r="B715">
        <v>735402</v>
      </c>
      <c r="C715">
        <v>735899</v>
      </c>
      <c r="E715" t="s">
        <v>14</v>
      </c>
      <c r="F715" t="s">
        <v>2062</v>
      </c>
      <c r="G715" t="s">
        <v>2063</v>
      </c>
      <c r="H715">
        <v>1018713</v>
      </c>
      <c r="I715" t="s">
        <v>17</v>
      </c>
      <c r="K715" t="s">
        <v>2064</v>
      </c>
      <c r="L715">
        <v>165</v>
      </c>
      <c r="M715" t="s">
        <v>2065</v>
      </c>
    </row>
    <row r="716" spans="1:13">
      <c r="A716" t="s">
        <v>13</v>
      </c>
      <c r="B716">
        <v>735899</v>
      </c>
      <c r="C716">
        <v>736354</v>
      </c>
      <c r="E716" t="s">
        <v>14</v>
      </c>
      <c r="F716" t="s">
        <v>2066</v>
      </c>
      <c r="H716">
        <v>1018714</v>
      </c>
      <c r="I716" t="s">
        <v>17</v>
      </c>
      <c r="K716" t="s">
        <v>2067</v>
      </c>
      <c r="L716">
        <v>151</v>
      </c>
      <c r="M716" t="s">
        <v>2068</v>
      </c>
    </row>
    <row r="717" spans="1:13">
      <c r="A717" t="s">
        <v>13</v>
      </c>
      <c r="B717">
        <v>736413</v>
      </c>
      <c r="C717">
        <v>737207</v>
      </c>
      <c r="E717" t="s">
        <v>14</v>
      </c>
      <c r="F717" t="s">
        <v>1332</v>
      </c>
      <c r="H717">
        <v>1018715</v>
      </c>
      <c r="I717" t="s">
        <v>17</v>
      </c>
      <c r="K717" t="s">
        <v>2069</v>
      </c>
      <c r="L717">
        <v>264</v>
      </c>
      <c r="M717" t="s">
        <v>2070</v>
      </c>
    </row>
    <row r="718" spans="1:13">
      <c r="A718" t="s">
        <v>13</v>
      </c>
      <c r="B718">
        <v>737213</v>
      </c>
      <c r="C718">
        <v>738529</v>
      </c>
      <c r="E718" t="s">
        <v>38</v>
      </c>
      <c r="F718" t="s">
        <v>2071</v>
      </c>
      <c r="H718">
        <v>1018716</v>
      </c>
      <c r="I718" t="s">
        <v>17</v>
      </c>
      <c r="K718" t="s">
        <v>2072</v>
      </c>
      <c r="L718">
        <v>438</v>
      </c>
      <c r="M718" t="s">
        <v>2073</v>
      </c>
    </row>
    <row r="719" spans="1:13">
      <c r="A719" t="s">
        <v>13</v>
      </c>
      <c r="B719">
        <v>738670</v>
      </c>
      <c r="C719">
        <v>740115</v>
      </c>
      <c r="E719" t="s">
        <v>38</v>
      </c>
      <c r="F719" t="s">
        <v>2074</v>
      </c>
      <c r="H719">
        <v>1018717</v>
      </c>
      <c r="I719" t="s">
        <v>17</v>
      </c>
      <c r="K719" t="s">
        <v>2075</v>
      </c>
      <c r="L719">
        <v>481</v>
      </c>
      <c r="M719" t="s">
        <v>2076</v>
      </c>
    </row>
    <row r="720" spans="1:13">
      <c r="A720" t="s">
        <v>13</v>
      </c>
      <c r="B720">
        <v>740225</v>
      </c>
      <c r="C720">
        <v>741016</v>
      </c>
      <c r="E720" t="s">
        <v>38</v>
      </c>
      <c r="F720" t="s">
        <v>2077</v>
      </c>
      <c r="H720">
        <v>1018718</v>
      </c>
      <c r="I720" t="s">
        <v>17</v>
      </c>
      <c r="K720" t="s">
        <v>2078</v>
      </c>
      <c r="L720">
        <v>263</v>
      </c>
      <c r="M720" t="s">
        <v>2079</v>
      </c>
    </row>
    <row r="721" spans="1:13">
      <c r="A721" t="s">
        <v>13</v>
      </c>
      <c r="B721">
        <v>741397</v>
      </c>
      <c r="C721">
        <v>741768</v>
      </c>
      <c r="E721" t="s">
        <v>14</v>
      </c>
      <c r="F721" t="s">
        <v>49</v>
      </c>
      <c r="H721">
        <v>1018719</v>
      </c>
      <c r="I721" t="s">
        <v>17</v>
      </c>
      <c r="K721" t="s">
        <v>2080</v>
      </c>
      <c r="L721">
        <v>123</v>
      </c>
      <c r="M721" t="s">
        <v>2081</v>
      </c>
    </row>
    <row r="722" spans="1:13">
      <c r="A722" t="s">
        <v>13</v>
      </c>
      <c r="B722">
        <v>741815</v>
      </c>
      <c r="C722">
        <v>742381</v>
      </c>
      <c r="E722" t="s">
        <v>38</v>
      </c>
      <c r="F722" t="s">
        <v>2082</v>
      </c>
      <c r="H722">
        <v>1018720</v>
      </c>
      <c r="I722" t="s">
        <v>17</v>
      </c>
      <c r="K722" t="s">
        <v>2083</v>
      </c>
      <c r="L722">
        <v>188</v>
      </c>
      <c r="M722" t="s">
        <v>2084</v>
      </c>
    </row>
    <row r="723" spans="1:13">
      <c r="A723" t="s">
        <v>13</v>
      </c>
      <c r="B723">
        <v>742409</v>
      </c>
      <c r="C723">
        <v>742831</v>
      </c>
      <c r="E723" t="s">
        <v>14</v>
      </c>
      <c r="F723" t="s">
        <v>356</v>
      </c>
      <c r="H723">
        <v>1018721</v>
      </c>
      <c r="I723" t="s">
        <v>17</v>
      </c>
      <c r="K723" t="s">
        <v>2085</v>
      </c>
      <c r="L723">
        <v>140</v>
      </c>
      <c r="M723" t="s">
        <v>2086</v>
      </c>
    </row>
    <row r="724" spans="1:13">
      <c r="A724" t="s">
        <v>13</v>
      </c>
      <c r="B724">
        <v>742828</v>
      </c>
      <c r="C724">
        <v>743052</v>
      </c>
      <c r="E724" t="s">
        <v>38</v>
      </c>
      <c r="F724" t="s">
        <v>49</v>
      </c>
      <c r="H724">
        <v>1018722</v>
      </c>
      <c r="I724" t="s">
        <v>17</v>
      </c>
      <c r="K724" t="s">
        <v>2087</v>
      </c>
      <c r="L724">
        <v>74</v>
      </c>
      <c r="M724" t="s">
        <v>2088</v>
      </c>
    </row>
    <row r="725" spans="1:13">
      <c r="A725" t="s">
        <v>13</v>
      </c>
      <c r="B725">
        <v>743064</v>
      </c>
      <c r="C725">
        <v>743900</v>
      </c>
      <c r="E725" t="s">
        <v>38</v>
      </c>
      <c r="F725" t="s">
        <v>2089</v>
      </c>
      <c r="H725">
        <v>1018723</v>
      </c>
      <c r="I725" t="s">
        <v>17</v>
      </c>
      <c r="K725" t="s">
        <v>2090</v>
      </c>
      <c r="L725">
        <v>278</v>
      </c>
      <c r="M725" t="s">
        <v>2091</v>
      </c>
    </row>
    <row r="726" spans="1:13">
      <c r="A726" t="s">
        <v>13</v>
      </c>
      <c r="B726">
        <v>743897</v>
      </c>
      <c r="C726">
        <v>744931</v>
      </c>
      <c r="E726" t="s">
        <v>38</v>
      </c>
      <c r="F726" t="s">
        <v>2089</v>
      </c>
      <c r="H726">
        <v>1018724</v>
      </c>
      <c r="I726" t="s">
        <v>17</v>
      </c>
      <c r="K726" t="s">
        <v>2092</v>
      </c>
      <c r="L726">
        <v>344</v>
      </c>
      <c r="M726" t="s">
        <v>2093</v>
      </c>
    </row>
    <row r="727" spans="1:13">
      <c r="A727" t="s">
        <v>13</v>
      </c>
      <c r="B727">
        <v>745043</v>
      </c>
      <c r="C727">
        <v>745498</v>
      </c>
      <c r="E727" t="s">
        <v>38</v>
      </c>
      <c r="F727" t="s">
        <v>2094</v>
      </c>
      <c r="H727">
        <v>1018725</v>
      </c>
      <c r="I727" t="s">
        <v>17</v>
      </c>
      <c r="K727" t="s">
        <v>2095</v>
      </c>
      <c r="L727">
        <v>151</v>
      </c>
      <c r="M727" t="s">
        <v>2096</v>
      </c>
    </row>
    <row r="728" spans="1:13">
      <c r="A728" t="s">
        <v>13</v>
      </c>
      <c r="B728">
        <v>745619</v>
      </c>
      <c r="C728">
        <v>746893</v>
      </c>
      <c r="E728" t="s">
        <v>38</v>
      </c>
      <c r="F728" t="s">
        <v>1008</v>
      </c>
      <c r="H728">
        <v>1018726</v>
      </c>
      <c r="I728" t="s">
        <v>17</v>
      </c>
      <c r="K728" t="s">
        <v>2097</v>
      </c>
      <c r="L728">
        <v>424</v>
      </c>
      <c r="M728" t="s">
        <v>2098</v>
      </c>
    </row>
    <row r="729" spans="1:13">
      <c r="A729" t="s">
        <v>13</v>
      </c>
      <c r="B729">
        <v>747028</v>
      </c>
      <c r="C729">
        <v>748026</v>
      </c>
      <c r="E729" t="s">
        <v>38</v>
      </c>
      <c r="F729" t="s">
        <v>147</v>
      </c>
      <c r="H729">
        <v>1018727</v>
      </c>
      <c r="I729" t="s">
        <v>17</v>
      </c>
      <c r="K729" t="s">
        <v>2099</v>
      </c>
      <c r="L729">
        <v>332</v>
      </c>
      <c r="M729" t="s">
        <v>2100</v>
      </c>
    </row>
    <row r="730" spans="1:13">
      <c r="A730" t="s">
        <v>13</v>
      </c>
      <c r="B730">
        <v>748113</v>
      </c>
      <c r="C730">
        <v>748445</v>
      </c>
      <c r="E730" t="s">
        <v>14</v>
      </c>
      <c r="F730" t="s">
        <v>2101</v>
      </c>
      <c r="H730">
        <v>1018728</v>
      </c>
      <c r="I730" t="s">
        <v>17</v>
      </c>
      <c r="K730" t="s">
        <v>2102</v>
      </c>
      <c r="L730">
        <v>110</v>
      </c>
      <c r="M730" t="s">
        <v>2103</v>
      </c>
    </row>
    <row r="731" spans="1:13">
      <c r="A731" t="s">
        <v>13</v>
      </c>
      <c r="B731">
        <v>748883</v>
      </c>
      <c r="C731">
        <v>753685</v>
      </c>
      <c r="E731" t="s">
        <v>38</v>
      </c>
      <c r="F731" t="s">
        <v>930</v>
      </c>
      <c r="H731">
        <v>1018729</v>
      </c>
      <c r="I731" t="s">
        <v>17</v>
      </c>
      <c r="K731" t="s">
        <v>2104</v>
      </c>
      <c r="L731">
        <v>1600</v>
      </c>
      <c r="M731" t="s">
        <v>2105</v>
      </c>
    </row>
    <row r="732" spans="1:13">
      <c r="A732" t="s">
        <v>13</v>
      </c>
      <c r="B732">
        <v>753694</v>
      </c>
      <c r="C732">
        <v>757395</v>
      </c>
      <c r="E732" t="s">
        <v>38</v>
      </c>
      <c r="F732" t="s">
        <v>49</v>
      </c>
      <c r="H732">
        <v>1018730</v>
      </c>
      <c r="I732" t="s">
        <v>17</v>
      </c>
      <c r="K732" t="s">
        <v>2106</v>
      </c>
      <c r="L732">
        <v>1233</v>
      </c>
      <c r="M732" t="s">
        <v>2107</v>
      </c>
    </row>
    <row r="733" spans="1:13">
      <c r="A733" t="s">
        <v>13</v>
      </c>
      <c r="B733">
        <v>757627</v>
      </c>
      <c r="C733">
        <v>758280</v>
      </c>
      <c r="E733" t="s">
        <v>38</v>
      </c>
      <c r="F733" t="s">
        <v>2108</v>
      </c>
      <c r="H733">
        <v>1018731</v>
      </c>
      <c r="I733" t="s">
        <v>17</v>
      </c>
      <c r="K733" t="s">
        <v>2109</v>
      </c>
      <c r="L733">
        <v>217</v>
      </c>
      <c r="M733" t="s">
        <v>2110</v>
      </c>
    </row>
    <row r="734" spans="1:13">
      <c r="A734" t="s">
        <v>13</v>
      </c>
      <c r="B734">
        <v>758361</v>
      </c>
      <c r="C734">
        <v>760796</v>
      </c>
      <c r="E734" t="s">
        <v>38</v>
      </c>
      <c r="F734" t="s">
        <v>2111</v>
      </c>
      <c r="H734">
        <v>1018732</v>
      </c>
      <c r="I734" t="s">
        <v>17</v>
      </c>
      <c r="K734" t="s">
        <v>2112</v>
      </c>
      <c r="L734">
        <v>811</v>
      </c>
      <c r="M734" t="s">
        <v>2113</v>
      </c>
    </row>
    <row r="735" spans="1:13">
      <c r="A735" t="s">
        <v>13</v>
      </c>
      <c r="B735">
        <v>760903</v>
      </c>
      <c r="C735">
        <v>763203</v>
      </c>
      <c r="E735" t="s">
        <v>38</v>
      </c>
      <c r="F735" t="s">
        <v>2114</v>
      </c>
      <c r="H735">
        <v>1018733</v>
      </c>
      <c r="I735" t="s">
        <v>17</v>
      </c>
      <c r="K735" t="s">
        <v>2115</v>
      </c>
      <c r="L735">
        <v>766</v>
      </c>
      <c r="M735" t="s">
        <v>2116</v>
      </c>
    </row>
    <row r="736" spans="1:13">
      <c r="A736" t="s">
        <v>13</v>
      </c>
      <c r="B736">
        <v>763234</v>
      </c>
      <c r="C736">
        <v>769536</v>
      </c>
      <c r="E736" t="s">
        <v>38</v>
      </c>
      <c r="F736" t="s">
        <v>930</v>
      </c>
      <c r="H736">
        <v>1018734</v>
      </c>
      <c r="I736" t="s">
        <v>17</v>
      </c>
      <c r="K736" t="s">
        <v>2117</v>
      </c>
      <c r="L736">
        <v>2100</v>
      </c>
      <c r="M736" t="s">
        <v>2118</v>
      </c>
    </row>
    <row r="737" spans="1:13">
      <c r="A737" t="s">
        <v>13</v>
      </c>
      <c r="B737">
        <v>769544</v>
      </c>
      <c r="C737">
        <v>774142</v>
      </c>
      <c r="E737" t="s">
        <v>38</v>
      </c>
      <c r="F737" t="s">
        <v>2119</v>
      </c>
      <c r="H737">
        <v>1018735</v>
      </c>
      <c r="I737" t="s">
        <v>17</v>
      </c>
      <c r="K737" t="s">
        <v>2120</v>
      </c>
      <c r="L737">
        <v>1532</v>
      </c>
      <c r="M737" t="s">
        <v>2121</v>
      </c>
    </row>
    <row r="738" spans="1:13">
      <c r="A738" t="s">
        <v>13</v>
      </c>
      <c r="B738">
        <v>774147</v>
      </c>
      <c r="C738">
        <v>777035</v>
      </c>
      <c r="E738" t="s">
        <v>38</v>
      </c>
      <c r="F738" t="s">
        <v>930</v>
      </c>
      <c r="H738">
        <v>1018736</v>
      </c>
      <c r="I738" t="s">
        <v>17</v>
      </c>
      <c r="K738" t="s">
        <v>2122</v>
      </c>
      <c r="L738">
        <v>962</v>
      </c>
      <c r="M738" t="s">
        <v>2123</v>
      </c>
    </row>
    <row r="739" spans="1:13">
      <c r="A739" t="s">
        <v>13</v>
      </c>
      <c r="B739">
        <v>777155</v>
      </c>
      <c r="C739">
        <v>778711</v>
      </c>
      <c r="E739" t="s">
        <v>38</v>
      </c>
      <c r="F739" t="s">
        <v>2124</v>
      </c>
      <c r="G739" t="s">
        <v>2125</v>
      </c>
      <c r="H739">
        <v>1018737</v>
      </c>
      <c r="I739" t="s">
        <v>17</v>
      </c>
      <c r="K739" t="s">
        <v>2126</v>
      </c>
      <c r="L739">
        <v>518</v>
      </c>
      <c r="M739" t="s">
        <v>2127</v>
      </c>
    </row>
    <row r="740" spans="1:13">
      <c r="A740" t="s">
        <v>13</v>
      </c>
      <c r="B740">
        <v>779014</v>
      </c>
      <c r="C740">
        <v>779913</v>
      </c>
      <c r="E740" t="s">
        <v>14</v>
      </c>
      <c r="F740" t="s">
        <v>977</v>
      </c>
      <c r="H740">
        <v>1018738</v>
      </c>
      <c r="I740" t="s">
        <v>17</v>
      </c>
      <c r="K740" t="s">
        <v>2128</v>
      </c>
      <c r="L740">
        <v>299</v>
      </c>
      <c r="M740" t="s">
        <v>2129</v>
      </c>
    </row>
    <row r="741" spans="1:13">
      <c r="A741" t="s">
        <v>13</v>
      </c>
      <c r="B741">
        <v>780086</v>
      </c>
      <c r="C741">
        <v>781174</v>
      </c>
      <c r="E741" t="s">
        <v>14</v>
      </c>
      <c r="F741" t="s">
        <v>2130</v>
      </c>
      <c r="H741">
        <v>1018739</v>
      </c>
      <c r="I741" t="s">
        <v>17</v>
      </c>
      <c r="K741" t="s">
        <v>2131</v>
      </c>
      <c r="L741">
        <v>362</v>
      </c>
      <c r="M741" t="s">
        <v>2132</v>
      </c>
    </row>
    <row r="742" spans="1:13">
      <c r="A742" t="s">
        <v>13</v>
      </c>
      <c r="B742">
        <v>781564</v>
      </c>
      <c r="C742">
        <v>781878</v>
      </c>
      <c r="E742" t="s">
        <v>14</v>
      </c>
      <c r="F742" t="s">
        <v>2133</v>
      </c>
      <c r="H742">
        <v>1018740</v>
      </c>
      <c r="I742" t="s">
        <v>17</v>
      </c>
      <c r="K742" t="s">
        <v>2134</v>
      </c>
      <c r="L742">
        <v>104</v>
      </c>
      <c r="M742" t="s">
        <v>2135</v>
      </c>
    </row>
    <row r="743" spans="1:13">
      <c r="A743" t="s">
        <v>13</v>
      </c>
      <c r="B743">
        <v>782159</v>
      </c>
      <c r="C743">
        <v>782617</v>
      </c>
      <c r="E743" t="s">
        <v>38</v>
      </c>
      <c r="F743" t="s">
        <v>2136</v>
      </c>
      <c r="H743">
        <v>1018741</v>
      </c>
      <c r="I743" t="s">
        <v>17</v>
      </c>
      <c r="K743" t="s">
        <v>2137</v>
      </c>
      <c r="L743">
        <v>152</v>
      </c>
      <c r="M743" t="s">
        <v>2138</v>
      </c>
    </row>
    <row r="744" spans="1:13">
      <c r="A744" t="s">
        <v>13</v>
      </c>
      <c r="B744">
        <v>782712</v>
      </c>
      <c r="C744">
        <v>783104</v>
      </c>
      <c r="E744" t="s">
        <v>14</v>
      </c>
      <c r="F744" t="s">
        <v>2139</v>
      </c>
      <c r="H744">
        <v>1018742</v>
      </c>
      <c r="I744" t="s">
        <v>17</v>
      </c>
      <c r="K744" t="s">
        <v>2140</v>
      </c>
      <c r="L744">
        <v>130</v>
      </c>
      <c r="M744" t="s">
        <v>2141</v>
      </c>
    </row>
    <row r="745" spans="1:13">
      <c r="A745" t="s">
        <v>13</v>
      </c>
      <c r="B745">
        <v>783184</v>
      </c>
      <c r="C745">
        <v>784560</v>
      </c>
      <c r="E745" t="s">
        <v>14</v>
      </c>
      <c r="F745" t="s">
        <v>2142</v>
      </c>
      <c r="H745">
        <v>1018743</v>
      </c>
      <c r="I745" t="s">
        <v>17</v>
      </c>
      <c r="K745" t="s">
        <v>2143</v>
      </c>
      <c r="L745">
        <v>458</v>
      </c>
      <c r="M745" t="s">
        <v>2144</v>
      </c>
    </row>
    <row r="746" spans="1:13">
      <c r="A746" t="s">
        <v>13</v>
      </c>
      <c r="B746">
        <v>784635</v>
      </c>
      <c r="C746">
        <v>785642</v>
      </c>
      <c r="E746" t="s">
        <v>14</v>
      </c>
      <c r="F746" t="s">
        <v>49</v>
      </c>
      <c r="H746">
        <v>1018744</v>
      </c>
      <c r="I746" t="s">
        <v>17</v>
      </c>
      <c r="K746" t="s">
        <v>2145</v>
      </c>
      <c r="L746">
        <v>335</v>
      </c>
      <c r="M746" t="s">
        <v>2146</v>
      </c>
    </row>
    <row r="747" spans="1:13">
      <c r="A747" t="s">
        <v>13</v>
      </c>
      <c r="B747">
        <v>785643</v>
      </c>
      <c r="C747">
        <v>786827</v>
      </c>
      <c r="E747" t="s">
        <v>14</v>
      </c>
      <c r="F747" t="s">
        <v>2147</v>
      </c>
      <c r="G747" t="s">
        <v>2148</v>
      </c>
      <c r="H747">
        <v>1018745</v>
      </c>
      <c r="I747" t="s">
        <v>17</v>
      </c>
      <c r="K747" t="s">
        <v>2149</v>
      </c>
      <c r="L747">
        <v>394</v>
      </c>
      <c r="M747" t="s">
        <v>2150</v>
      </c>
    </row>
    <row r="748" spans="1:13">
      <c r="A748" t="s">
        <v>13</v>
      </c>
      <c r="B748">
        <v>787167</v>
      </c>
      <c r="C748">
        <v>787952</v>
      </c>
      <c r="E748" t="s">
        <v>38</v>
      </c>
      <c r="F748" t="s">
        <v>49</v>
      </c>
      <c r="H748">
        <v>1018746</v>
      </c>
      <c r="I748" t="s">
        <v>17</v>
      </c>
      <c r="K748" t="s">
        <v>2151</v>
      </c>
      <c r="L748">
        <v>261</v>
      </c>
      <c r="M748" t="s">
        <v>2152</v>
      </c>
    </row>
    <row r="749" spans="1:13">
      <c r="A749" t="s">
        <v>13</v>
      </c>
      <c r="B749">
        <v>788196</v>
      </c>
      <c r="C749">
        <v>788549</v>
      </c>
      <c r="E749" t="s">
        <v>14</v>
      </c>
      <c r="F749" t="s">
        <v>49</v>
      </c>
      <c r="H749">
        <v>1018747</v>
      </c>
      <c r="I749" t="s">
        <v>17</v>
      </c>
      <c r="K749" t="s">
        <v>2153</v>
      </c>
      <c r="L749">
        <v>117</v>
      </c>
      <c r="M749" t="s">
        <v>2154</v>
      </c>
    </row>
    <row r="750" spans="1:13">
      <c r="A750" t="s">
        <v>13</v>
      </c>
      <c r="B750">
        <v>788660</v>
      </c>
      <c r="C750">
        <v>790096</v>
      </c>
      <c r="E750" t="s">
        <v>14</v>
      </c>
      <c r="F750" t="s">
        <v>2155</v>
      </c>
      <c r="G750" t="s">
        <v>2156</v>
      </c>
      <c r="H750">
        <v>1018748</v>
      </c>
      <c r="I750" t="s">
        <v>17</v>
      </c>
      <c r="K750" t="s">
        <v>2157</v>
      </c>
      <c r="L750">
        <v>478</v>
      </c>
      <c r="M750" t="s">
        <v>2158</v>
      </c>
    </row>
    <row r="751" spans="1:13">
      <c r="A751" t="s">
        <v>13</v>
      </c>
      <c r="B751">
        <v>790096</v>
      </c>
      <c r="C751">
        <v>790707</v>
      </c>
      <c r="E751" t="s">
        <v>14</v>
      </c>
      <c r="F751" t="s">
        <v>2159</v>
      </c>
      <c r="H751">
        <v>1018749</v>
      </c>
      <c r="I751" t="s">
        <v>17</v>
      </c>
      <c r="K751" t="s">
        <v>2160</v>
      </c>
      <c r="L751">
        <v>203</v>
      </c>
      <c r="M751" t="s">
        <v>2161</v>
      </c>
    </row>
    <row r="752" spans="1:13">
      <c r="A752" t="s">
        <v>13</v>
      </c>
      <c r="B752">
        <v>790732</v>
      </c>
      <c r="C752">
        <v>791412</v>
      </c>
      <c r="E752" t="s">
        <v>14</v>
      </c>
      <c r="F752" t="s">
        <v>2162</v>
      </c>
      <c r="G752" t="s">
        <v>2163</v>
      </c>
      <c r="H752">
        <v>1018750</v>
      </c>
      <c r="I752" t="s">
        <v>17</v>
      </c>
      <c r="K752" t="s">
        <v>2164</v>
      </c>
      <c r="L752">
        <v>226</v>
      </c>
      <c r="M752" t="s">
        <v>2165</v>
      </c>
    </row>
    <row r="753" spans="1:13">
      <c r="A753" t="s">
        <v>13</v>
      </c>
      <c r="B753">
        <v>791476</v>
      </c>
      <c r="C753">
        <v>793011</v>
      </c>
      <c r="E753" t="s">
        <v>14</v>
      </c>
      <c r="F753" t="s">
        <v>2166</v>
      </c>
      <c r="G753" t="s">
        <v>2167</v>
      </c>
      <c r="H753">
        <v>1018751</v>
      </c>
      <c r="I753" t="s">
        <v>17</v>
      </c>
      <c r="K753" t="s">
        <v>2168</v>
      </c>
      <c r="L753">
        <v>511</v>
      </c>
      <c r="M753" t="s">
        <v>2169</v>
      </c>
    </row>
    <row r="754" spans="1:13">
      <c r="A754" t="s">
        <v>13</v>
      </c>
      <c r="B754">
        <v>793008</v>
      </c>
      <c r="C754">
        <v>794714</v>
      </c>
      <c r="E754" t="s">
        <v>14</v>
      </c>
      <c r="F754" t="s">
        <v>2170</v>
      </c>
      <c r="G754" t="s">
        <v>2171</v>
      </c>
      <c r="H754">
        <v>1018752</v>
      </c>
      <c r="I754" t="s">
        <v>17</v>
      </c>
      <c r="K754" t="s">
        <v>2172</v>
      </c>
      <c r="L754">
        <v>568</v>
      </c>
      <c r="M754" t="s">
        <v>2173</v>
      </c>
    </row>
    <row r="755" spans="1:13">
      <c r="A755" t="s">
        <v>13</v>
      </c>
      <c r="B755">
        <v>794810</v>
      </c>
      <c r="C755">
        <v>795304</v>
      </c>
      <c r="E755" t="s">
        <v>14</v>
      </c>
      <c r="F755" t="s">
        <v>2174</v>
      </c>
      <c r="H755">
        <v>1018753</v>
      </c>
      <c r="I755" t="s">
        <v>17</v>
      </c>
      <c r="K755" t="s">
        <v>2175</v>
      </c>
      <c r="L755">
        <v>164</v>
      </c>
      <c r="M755" t="s">
        <v>2176</v>
      </c>
    </row>
    <row r="756" spans="1:13">
      <c r="A756" t="s">
        <v>13</v>
      </c>
      <c r="B756">
        <v>795448</v>
      </c>
      <c r="C756">
        <v>796113</v>
      </c>
      <c r="E756" t="s">
        <v>14</v>
      </c>
      <c r="F756" t="s">
        <v>2177</v>
      </c>
      <c r="G756" t="s">
        <v>2178</v>
      </c>
      <c r="H756">
        <v>1018754</v>
      </c>
      <c r="I756" t="s">
        <v>17</v>
      </c>
      <c r="K756" t="s">
        <v>2179</v>
      </c>
      <c r="L756">
        <v>221</v>
      </c>
      <c r="M756" t="s">
        <v>2180</v>
      </c>
    </row>
    <row r="757" spans="1:13">
      <c r="A757" t="s">
        <v>13</v>
      </c>
      <c r="B757">
        <v>796250</v>
      </c>
      <c r="C757">
        <v>798787</v>
      </c>
      <c r="E757" t="s">
        <v>14</v>
      </c>
      <c r="F757" t="s">
        <v>2181</v>
      </c>
      <c r="G757" t="s">
        <v>2182</v>
      </c>
      <c r="H757">
        <v>1018755</v>
      </c>
      <c r="I757" t="s">
        <v>17</v>
      </c>
      <c r="K757" t="s">
        <v>2183</v>
      </c>
      <c r="L757">
        <v>845</v>
      </c>
      <c r="M757" t="s">
        <v>2184</v>
      </c>
    </row>
    <row r="758" spans="1:13">
      <c r="A758" t="s">
        <v>13</v>
      </c>
      <c r="B758">
        <v>798784</v>
      </c>
      <c r="C758">
        <v>799167</v>
      </c>
      <c r="E758" t="s">
        <v>38</v>
      </c>
      <c r="F758" t="s">
        <v>2185</v>
      </c>
      <c r="H758">
        <v>18194957</v>
      </c>
      <c r="I758" t="s">
        <v>17</v>
      </c>
      <c r="K758" t="s">
        <v>2186</v>
      </c>
      <c r="L758">
        <v>127</v>
      </c>
      <c r="M758" t="s">
        <v>2187</v>
      </c>
    </row>
    <row r="759" spans="1:13">
      <c r="A759" t="s">
        <v>13</v>
      </c>
      <c r="B759">
        <v>799284</v>
      </c>
      <c r="C759">
        <v>799694</v>
      </c>
      <c r="E759" t="s">
        <v>14</v>
      </c>
      <c r="F759" t="s">
        <v>2188</v>
      </c>
      <c r="H759">
        <v>1018756</v>
      </c>
      <c r="I759" t="s">
        <v>17</v>
      </c>
      <c r="K759" t="s">
        <v>2189</v>
      </c>
      <c r="L759">
        <v>136</v>
      </c>
      <c r="M759" t="s">
        <v>2190</v>
      </c>
    </row>
    <row r="760" spans="1:13">
      <c r="A760" t="s">
        <v>13</v>
      </c>
      <c r="B760">
        <v>799697</v>
      </c>
      <c r="C760">
        <v>800203</v>
      </c>
      <c r="E760" t="s">
        <v>14</v>
      </c>
      <c r="F760" t="s">
        <v>2191</v>
      </c>
      <c r="H760">
        <v>1018757</v>
      </c>
      <c r="I760" t="s">
        <v>17</v>
      </c>
      <c r="K760" t="s">
        <v>2192</v>
      </c>
      <c r="L760">
        <v>168</v>
      </c>
      <c r="M760" t="s">
        <v>2193</v>
      </c>
    </row>
    <row r="761" spans="1:13">
      <c r="A761" t="s">
        <v>13</v>
      </c>
      <c r="B761">
        <v>800205</v>
      </c>
      <c r="C761">
        <v>801212</v>
      </c>
      <c r="E761" t="s">
        <v>38</v>
      </c>
      <c r="F761" t="s">
        <v>2194</v>
      </c>
      <c r="G761" t="s">
        <v>2195</v>
      </c>
      <c r="H761">
        <v>1018758</v>
      </c>
      <c r="I761" t="s">
        <v>17</v>
      </c>
      <c r="K761" t="s">
        <v>2196</v>
      </c>
      <c r="L761">
        <v>335</v>
      </c>
      <c r="M761" t="s">
        <v>2197</v>
      </c>
    </row>
    <row r="762" spans="1:13">
      <c r="A762" t="s">
        <v>13</v>
      </c>
      <c r="B762">
        <v>801187</v>
      </c>
      <c r="C762">
        <v>802479</v>
      </c>
      <c r="E762" t="s">
        <v>38</v>
      </c>
      <c r="F762" t="s">
        <v>2198</v>
      </c>
      <c r="G762" t="s">
        <v>2199</v>
      </c>
      <c r="H762">
        <v>1018759</v>
      </c>
      <c r="I762" t="s">
        <v>17</v>
      </c>
      <c r="K762" t="s">
        <v>2200</v>
      </c>
      <c r="L762">
        <v>430</v>
      </c>
      <c r="M762" t="s">
        <v>2201</v>
      </c>
    </row>
    <row r="763" spans="1:13">
      <c r="A763" t="s">
        <v>13</v>
      </c>
      <c r="B763">
        <v>802490</v>
      </c>
      <c r="C763">
        <v>803131</v>
      </c>
      <c r="E763" t="s">
        <v>14</v>
      </c>
      <c r="F763" t="s">
        <v>2202</v>
      </c>
      <c r="H763">
        <v>1018760</v>
      </c>
      <c r="I763" t="s">
        <v>17</v>
      </c>
      <c r="K763" t="s">
        <v>2203</v>
      </c>
      <c r="L763">
        <v>213</v>
      </c>
      <c r="M763" t="s">
        <v>2204</v>
      </c>
    </row>
    <row r="764" spans="1:13">
      <c r="A764" t="s">
        <v>13</v>
      </c>
      <c r="B764">
        <v>803128</v>
      </c>
      <c r="C764">
        <v>804240</v>
      </c>
      <c r="E764" t="s">
        <v>38</v>
      </c>
      <c r="F764" t="s">
        <v>2205</v>
      </c>
      <c r="H764">
        <v>1018761</v>
      </c>
      <c r="I764" t="s">
        <v>17</v>
      </c>
      <c r="K764" t="s">
        <v>2206</v>
      </c>
      <c r="L764">
        <v>370</v>
      </c>
      <c r="M764" t="s">
        <v>2207</v>
      </c>
    </row>
    <row r="765" spans="1:13">
      <c r="A765" t="s">
        <v>13</v>
      </c>
      <c r="B765">
        <v>804408</v>
      </c>
      <c r="C765">
        <v>805028</v>
      </c>
      <c r="E765" t="s">
        <v>14</v>
      </c>
      <c r="F765" t="s">
        <v>1762</v>
      </c>
      <c r="H765">
        <v>1018762</v>
      </c>
      <c r="I765" t="s">
        <v>17</v>
      </c>
      <c r="K765" t="s">
        <v>2208</v>
      </c>
      <c r="L765">
        <v>206</v>
      </c>
      <c r="M765" t="s">
        <v>2209</v>
      </c>
    </row>
    <row r="766" spans="1:13">
      <c r="A766" t="s">
        <v>13</v>
      </c>
      <c r="B766">
        <v>805031</v>
      </c>
      <c r="C766">
        <v>805300</v>
      </c>
      <c r="E766" t="s">
        <v>14</v>
      </c>
      <c r="F766" t="s">
        <v>2210</v>
      </c>
      <c r="G766" t="s">
        <v>2211</v>
      </c>
      <c r="H766">
        <v>18194958</v>
      </c>
      <c r="I766" t="s">
        <v>17</v>
      </c>
      <c r="K766" t="s">
        <v>2212</v>
      </c>
      <c r="L766">
        <v>89</v>
      </c>
      <c r="M766" t="s">
        <v>2213</v>
      </c>
    </row>
    <row r="767" spans="1:13">
      <c r="A767" t="s">
        <v>13</v>
      </c>
      <c r="B767">
        <v>805346</v>
      </c>
      <c r="C767">
        <v>805420</v>
      </c>
      <c r="E767" t="s">
        <v>38</v>
      </c>
      <c r="F767" t="s">
        <v>2214</v>
      </c>
      <c r="H767">
        <v>97006779</v>
      </c>
      <c r="I767" t="s">
        <v>17</v>
      </c>
      <c r="K767" t="s">
        <v>2215</v>
      </c>
      <c r="L767">
        <v>24</v>
      </c>
      <c r="M767" t="s">
        <v>2216</v>
      </c>
    </row>
    <row r="768" spans="1:13">
      <c r="A768" t="s">
        <v>13</v>
      </c>
      <c r="B768">
        <v>805532</v>
      </c>
      <c r="C768">
        <v>805792</v>
      </c>
      <c r="E768" t="s">
        <v>38</v>
      </c>
      <c r="F768" t="s">
        <v>2217</v>
      </c>
      <c r="G768" t="s">
        <v>2218</v>
      </c>
      <c r="H768">
        <v>1018763</v>
      </c>
      <c r="I768" t="s">
        <v>17</v>
      </c>
      <c r="K768" t="s">
        <v>2219</v>
      </c>
      <c r="L768">
        <v>86</v>
      </c>
      <c r="M768" t="s">
        <v>2220</v>
      </c>
    </row>
    <row r="769" spans="1:13">
      <c r="A769" t="s">
        <v>13</v>
      </c>
      <c r="B769">
        <v>806318</v>
      </c>
      <c r="C769">
        <v>806740</v>
      </c>
      <c r="E769" t="s">
        <v>14</v>
      </c>
      <c r="F769" t="s">
        <v>49</v>
      </c>
      <c r="H769">
        <v>1018764</v>
      </c>
      <c r="I769" t="s">
        <v>17</v>
      </c>
      <c r="K769" t="s">
        <v>2221</v>
      </c>
      <c r="L769">
        <v>140</v>
      </c>
      <c r="M769" t="s">
        <v>2222</v>
      </c>
    </row>
    <row r="770" spans="1:13">
      <c r="A770" t="s">
        <v>13</v>
      </c>
      <c r="B770">
        <v>806737</v>
      </c>
      <c r="C770">
        <v>807939</v>
      </c>
      <c r="E770" t="s">
        <v>38</v>
      </c>
      <c r="F770" t="s">
        <v>2223</v>
      </c>
      <c r="H770">
        <v>1018765</v>
      </c>
      <c r="I770" t="s">
        <v>17</v>
      </c>
      <c r="K770" t="s">
        <v>2224</v>
      </c>
      <c r="L770">
        <v>400</v>
      </c>
      <c r="M770" t="s">
        <v>2225</v>
      </c>
    </row>
    <row r="771" spans="1:13">
      <c r="A771" t="s">
        <v>13</v>
      </c>
      <c r="B771">
        <v>807943</v>
      </c>
      <c r="C771">
        <v>809217</v>
      </c>
      <c r="E771" t="s">
        <v>38</v>
      </c>
      <c r="F771" t="s">
        <v>930</v>
      </c>
      <c r="H771">
        <v>1018766</v>
      </c>
      <c r="I771" t="s">
        <v>17</v>
      </c>
      <c r="K771" t="s">
        <v>2226</v>
      </c>
      <c r="L771">
        <v>424</v>
      </c>
      <c r="M771" t="s">
        <v>2227</v>
      </c>
    </row>
    <row r="772" spans="1:13">
      <c r="A772" t="s">
        <v>13</v>
      </c>
      <c r="B772">
        <v>809286</v>
      </c>
      <c r="C772">
        <v>809513</v>
      </c>
      <c r="E772" t="s">
        <v>14</v>
      </c>
      <c r="F772" t="s">
        <v>2228</v>
      </c>
      <c r="H772">
        <v>1018767</v>
      </c>
      <c r="I772" t="s">
        <v>17</v>
      </c>
      <c r="K772" t="s">
        <v>2229</v>
      </c>
      <c r="L772">
        <v>75</v>
      </c>
      <c r="M772" t="s">
        <v>2230</v>
      </c>
    </row>
    <row r="773" spans="1:13">
      <c r="A773" t="s">
        <v>13</v>
      </c>
      <c r="B773">
        <v>809528</v>
      </c>
      <c r="C773">
        <v>810397</v>
      </c>
      <c r="E773" t="s">
        <v>14</v>
      </c>
      <c r="F773" t="s">
        <v>2231</v>
      </c>
      <c r="H773">
        <v>1018768</v>
      </c>
      <c r="I773" t="s">
        <v>17</v>
      </c>
      <c r="K773" t="s">
        <v>2232</v>
      </c>
      <c r="L773">
        <v>289</v>
      </c>
      <c r="M773" t="s">
        <v>2233</v>
      </c>
    </row>
    <row r="774" spans="1:13">
      <c r="A774" t="s">
        <v>13</v>
      </c>
      <c r="B774">
        <v>810405</v>
      </c>
      <c r="C774">
        <v>811166</v>
      </c>
      <c r="E774" t="s">
        <v>14</v>
      </c>
      <c r="F774" t="s">
        <v>2234</v>
      </c>
      <c r="H774">
        <v>1018769</v>
      </c>
      <c r="I774" t="s">
        <v>17</v>
      </c>
      <c r="K774" t="s">
        <v>2235</v>
      </c>
      <c r="L774">
        <v>253</v>
      </c>
      <c r="M774" t="s">
        <v>2236</v>
      </c>
    </row>
    <row r="775" spans="1:13">
      <c r="A775" t="s">
        <v>13</v>
      </c>
      <c r="B775">
        <v>811170</v>
      </c>
      <c r="C775">
        <v>814220</v>
      </c>
      <c r="E775" t="s">
        <v>14</v>
      </c>
      <c r="F775" t="s">
        <v>2237</v>
      </c>
      <c r="H775">
        <v>1018770</v>
      </c>
      <c r="I775" t="s">
        <v>17</v>
      </c>
      <c r="K775" t="s">
        <v>2238</v>
      </c>
      <c r="L775">
        <v>1016</v>
      </c>
      <c r="M775" t="s">
        <v>2239</v>
      </c>
    </row>
    <row r="776" spans="1:13">
      <c r="A776" t="s">
        <v>13</v>
      </c>
      <c r="B776">
        <v>814213</v>
      </c>
      <c r="C776">
        <v>817425</v>
      </c>
      <c r="E776" t="s">
        <v>14</v>
      </c>
      <c r="F776" t="s">
        <v>2237</v>
      </c>
      <c r="H776">
        <v>1018771</v>
      </c>
      <c r="I776" t="s">
        <v>17</v>
      </c>
      <c r="K776" t="s">
        <v>2240</v>
      </c>
      <c r="L776">
        <v>1070</v>
      </c>
      <c r="M776" t="s">
        <v>2241</v>
      </c>
    </row>
    <row r="777" spans="1:13">
      <c r="A777" t="s">
        <v>13</v>
      </c>
      <c r="B777">
        <v>817465</v>
      </c>
      <c r="C777">
        <v>818526</v>
      </c>
      <c r="E777" t="s">
        <v>14</v>
      </c>
      <c r="F777" t="s">
        <v>2242</v>
      </c>
      <c r="H777">
        <v>1018772</v>
      </c>
      <c r="I777" t="s">
        <v>17</v>
      </c>
      <c r="K777" t="s">
        <v>2243</v>
      </c>
      <c r="L777">
        <v>353</v>
      </c>
      <c r="M777" t="s">
        <v>2244</v>
      </c>
    </row>
    <row r="778" spans="1:13">
      <c r="A778" t="s">
        <v>13</v>
      </c>
      <c r="B778">
        <v>818523</v>
      </c>
      <c r="C778">
        <v>819239</v>
      </c>
      <c r="E778" t="s">
        <v>14</v>
      </c>
      <c r="F778" t="s">
        <v>2245</v>
      </c>
      <c r="H778">
        <v>1018773</v>
      </c>
      <c r="I778" t="s">
        <v>17</v>
      </c>
      <c r="K778" t="s">
        <v>2246</v>
      </c>
      <c r="L778">
        <v>238</v>
      </c>
      <c r="M778" t="s">
        <v>2247</v>
      </c>
    </row>
    <row r="779" spans="1:13">
      <c r="A779" t="s">
        <v>13</v>
      </c>
      <c r="B779">
        <v>819254</v>
      </c>
      <c r="C779">
        <v>821290</v>
      </c>
      <c r="E779" t="s">
        <v>14</v>
      </c>
      <c r="F779" t="s">
        <v>2248</v>
      </c>
      <c r="H779">
        <v>1018774</v>
      </c>
      <c r="I779" t="s">
        <v>17</v>
      </c>
      <c r="K779" t="s">
        <v>2249</v>
      </c>
      <c r="L779">
        <v>678</v>
      </c>
      <c r="M779" t="s">
        <v>2250</v>
      </c>
    </row>
    <row r="780" spans="1:13">
      <c r="A780" t="s">
        <v>13</v>
      </c>
      <c r="B780">
        <v>821287</v>
      </c>
      <c r="C780">
        <v>822087</v>
      </c>
      <c r="E780" t="s">
        <v>38</v>
      </c>
      <c r="F780" t="s">
        <v>49</v>
      </c>
      <c r="H780">
        <v>1018775</v>
      </c>
      <c r="I780" t="s">
        <v>17</v>
      </c>
      <c r="K780" t="s">
        <v>2251</v>
      </c>
      <c r="L780">
        <v>266</v>
      </c>
      <c r="M780" t="s">
        <v>2252</v>
      </c>
    </row>
    <row r="781" spans="1:13">
      <c r="A781" t="s">
        <v>13</v>
      </c>
      <c r="B781">
        <v>822184</v>
      </c>
      <c r="C781">
        <v>822672</v>
      </c>
      <c r="E781" t="s">
        <v>14</v>
      </c>
      <c r="F781" t="s">
        <v>2253</v>
      </c>
      <c r="H781">
        <v>1018776</v>
      </c>
      <c r="I781" t="s">
        <v>17</v>
      </c>
      <c r="K781" t="s">
        <v>2254</v>
      </c>
      <c r="L781">
        <v>162</v>
      </c>
      <c r="M781" t="s">
        <v>2255</v>
      </c>
    </row>
    <row r="782" spans="1:13">
      <c r="A782" t="s">
        <v>13</v>
      </c>
      <c r="B782">
        <v>822677</v>
      </c>
      <c r="C782">
        <v>824104</v>
      </c>
      <c r="E782" t="s">
        <v>38</v>
      </c>
      <c r="F782" t="s">
        <v>2256</v>
      </c>
      <c r="H782">
        <v>1018777</v>
      </c>
      <c r="I782" t="s">
        <v>17</v>
      </c>
      <c r="K782" t="s">
        <v>2257</v>
      </c>
      <c r="L782">
        <v>475</v>
      </c>
      <c r="M782" t="s">
        <v>2258</v>
      </c>
    </row>
    <row r="783" spans="1:13">
      <c r="A783" t="s">
        <v>13</v>
      </c>
      <c r="B783">
        <v>824190</v>
      </c>
      <c r="C783">
        <v>825242</v>
      </c>
      <c r="E783" t="s">
        <v>14</v>
      </c>
      <c r="F783" t="s">
        <v>2259</v>
      </c>
      <c r="H783">
        <v>1018778</v>
      </c>
      <c r="I783" t="s">
        <v>17</v>
      </c>
      <c r="K783" t="s">
        <v>2260</v>
      </c>
      <c r="L783">
        <v>350</v>
      </c>
      <c r="M783" t="s">
        <v>2261</v>
      </c>
    </row>
    <row r="784" spans="1:13">
      <c r="A784" t="s">
        <v>13</v>
      </c>
      <c r="B784">
        <v>825239</v>
      </c>
      <c r="C784">
        <v>825916</v>
      </c>
      <c r="E784" t="s">
        <v>38</v>
      </c>
      <c r="F784" t="s">
        <v>49</v>
      </c>
      <c r="H784">
        <v>92792289</v>
      </c>
      <c r="I784" t="s">
        <v>17</v>
      </c>
      <c r="K784" t="s">
        <v>2262</v>
      </c>
      <c r="L784">
        <v>225</v>
      </c>
      <c r="M784" t="s">
        <v>2263</v>
      </c>
    </row>
    <row r="785" spans="1:13">
      <c r="A785" t="s">
        <v>13</v>
      </c>
      <c r="B785">
        <v>825993</v>
      </c>
      <c r="C785">
        <v>826517</v>
      </c>
      <c r="E785" t="s">
        <v>38</v>
      </c>
      <c r="F785" t="s">
        <v>2264</v>
      </c>
      <c r="H785">
        <v>1018780</v>
      </c>
      <c r="I785" t="s">
        <v>17</v>
      </c>
      <c r="K785" t="s">
        <v>2265</v>
      </c>
      <c r="L785">
        <v>174</v>
      </c>
      <c r="M785" t="s">
        <v>2266</v>
      </c>
    </row>
    <row r="786" spans="1:13">
      <c r="A786" t="s">
        <v>13</v>
      </c>
      <c r="B786">
        <v>826616</v>
      </c>
      <c r="C786">
        <v>829573</v>
      </c>
      <c r="E786" t="s">
        <v>14</v>
      </c>
      <c r="F786" t="s">
        <v>2267</v>
      </c>
      <c r="H786">
        <v>1018781</v>
      </c>
      <c r="I786" t="s">
        <v>17</v>
      </c>
      <c r="K786" t="s">
        <v>2268</v>
      </c>
      <c r="L786">
        <v>985</v>
      </c>
      <c r="M786" t="s">
        <v>2269</v>
      </c>
    </row>
    <row r="787" spans="1:13">
      <c r="A787" t="s">
        <v>13</v>
      </c>
      <c r="B787">
        <v>829624</v>
      </c>
      <c r="C787">
        <v>830985</v>
      </c>
      <c r="E787" t="s">
        <v>38</v>
      </c>
      <c r="F787" t="s">
        <v>2270</v>
      </c>
      <c r="G787" t="s">
        <v>2271</v>
      </c>
      <c r="H787">
        <v>1018782</v>
      </c>
      <c r="I787" t="s">
        <v>17</v>
      </c>
      <c r="K787" t="s">
        <v>2272</v>
      </c>
      <c r="L787">
        <v>453</v>
      </c>
      <c r="M787" t="s">
        <v>2273</v>
      </c>
    </row>
    <row r="788" spans="1:13">
      <c r="A788" t="s">
        <v>13</v>
      </c>
      <c r="B788">
        <v>831075</v>
      </c>
      <c r="C788">
        <v>831974</v>
      </c>
      <c r="E788" t="s">
        <v>14</v>
      </c>
      <c r="F788" t="s">
        <v>2274</v>
      </c>
      <c r="G788" t="s">
        <v>2275</v>
      </c>
      <c r="H788">
        <v>1018783</v>
      </c>
      <c r="I788" t="s">
        <v>17</v>
      </c>
      <c r="K788" t="s">
        <v>2276</v>
      </c>
      <c r="L788">
        <v>299</v>
      </c>
      <c r="M788" t="s">
        <v>2277</v>
      </c>
    </row>
    <row r="789" spans="1:13">
      <c r="A789" t="s">
        <v>13</v>
      </c>
      <c r="B789">
        <v>831971</v>
      </c>
      <c r="C789">
        <v>832573</v>
      </c>
      <c r="E789" t="s">
        <v>14</v>
      </c>
      <c r="F789" t="s">
        <v>2278</v>
      </c>
      <c r="G789" t="s">
        <v>2279</v>
      </c>
      <c r="H789">
        <v>1018784</v>
      </c>
      <c r="I789" t="s">
        <v>17</v>
      </c>
      <c r="K789" t="s">
        <v>2280</v>
      </c>
      <c r="L789">
        <v>200</v>
      </c>
      <c r="M789" t="s">
        <v>2281</v>
      </c>
    </row>
    <row r="790" spans="1:13">
      <c r="A790" t="s">
        <v>13</v>
      </c>
      <c r="B790">
        <v>832667</v>
      </c>
      <c r="C790">
        <v>832740</v>
      </c>
      <c r="E790" t="s">
        <v>14</v>
      </c>
      <c r="F790" t="s">
        <v>1382</v>
      </c>
      <c r="H790">
        <v>2745363</v>
      </c>
      <c r="I790" t="s">
        <v>62</v>
      </c>
      <c r="M790" t="s">
        <v>2282</v>
      </c>
    </row>
    <row r="791" spans="1:13">
      <c r="A791" t="s">
        <v>13</v>
      </c>
      <c r="B791">
        <v>832792</v>
      </c>
      <c r="C791">
        <v>833157</v>
      </c>
      <c r="E791" t="s">
        <v>38</v>
      </c>
      <c r="F791" t="s">
        <v>2283</v>
      </c>
      <c r="H791">
        <v>1018785</v>
      </c>
      <c r="I791" t="s">
        <v>17</v>
      </c>
      <c r="K791" t="s">
        <v>2284</v>
      </c>
      <c r="L791">
        <v>121</v>
      </c>
      <c r="M791" t="s">
        <v>2285</v>
      </c>
    </row>
    <row r="792" spans="1:13">
      <c r="A792" t="s">
        <v>13</v>
      </c>
      <c r="B792">
        <v>833572</v>
      </c>
      <c r="C792">
        <v>834636</v>
      </c>
      <c r="E792" t="s">
        <v>14</v>
      </c>
      <c r="F792" t="s">
        <v>2286</v>
      </c>
      <c r="H792">
        <v>1018786</v>
      </c>
      <c r="I792" t="s">
        <v>17</v>
      </c>
      <c r="K792" t="s">
        <v>2287</v>
      </c>
      <c r="L792">
        <v>354</v>
      </c>
      <c r="M792" t="s">
        <v>2288</v>
      </c>
    </row>
    <row r="793" spans="1:13">
      <c r="A793" t="s">
        <v>13</v>
      </c>
      <c r="B793">
        <v>834927</v>
      </c>
      <c r="C793">
        <v>835391</v>
      </c>
      <c r="E793" t="s">
        <v>14</v>
      </c>
      <c r="F793" t="s">
        <v>49</v>
      </c>
      <c r="H793">
        <v>1018787</v>
      </c>
      <c r="I793" t="s">
        <v>17</v>
      </c>
      <c r="K793" t="s">
        <v>2289</v>
      </c>
      <c r="L793">
        <v>154</v>
      </c>
      <c r="M793" t="s">
        <v>2290</v>
      </c>
    </row>
    <row r="794" spans="1:13">
      <c r="A794" t="s">
        <v>13</v>
      </c>
      <c r="B794">
        <v>835385</v>
      </c>
      <c r="C794">
        <v>835840</v>
      </c>
      <c r="E794" t="s">
        <v>14</v>
      </c>
      <c r="F794" t="s">
        <v>49</v>
      </c>
      <c r="H794">
        <v>1018788</v>
      </c>
      <c r="I794" t="s">
        <v>17</v>
      </c>
      <c r="K794" t="s">
        <v>2291</v>
      </c>
      <c r="L794">
        <v>151</v>
      </c>
      <c r="M794" t="s">
        <v>2292</v>
      </c>
    </row>
    <row r="795" spans="1:13">
      <c r="A795" t="s">
        <v>13</v>
      </c>
      <c r="B795">
        <v>836090</v>
      </c>
      <c r="C795">
        <v>836251</v>
      </c>
      <c r="E795" t="s">
        <v>14</v>
      </c>
      <c r="F795" t="s">
        <v>49</v>
      </c>
      <c r="H795">
        <v>44144935</v>
      </c>
      <c r="I795" t="s">
        <v>17</v>
      </c>
      <c r="K795" t="s">
        <v>2293</v>
      </c>
      <c r="L795">
        <v>53</v>
      </c>
      <c r="M795" t="s">
        <v>2294</v>
      </c>
    </row>
    <row r="796" spans="1:13">
      <c r="A796" t="s">
        <v>13</v>
      </c>
      <c r="B796">
        <v>837312</v>
      </c>
      <c r="C796">
        <v>838895</v>
      </c>
      <c r="E796" t="s">
        <v>14</v>
      </c>
      <c r="F796" t="s">
        <v>2295</v>
      </c>
      <c r="H796">
        <v>1018789</v>
      </c>
      <c r="I796" t="s">
        <v>17</v>
      </c>
      <c r="K796" t="s">
        <v>2296</v>
      </c>
      <c r="L796">
        <v>527</v>
      </c>
      <c r="M796" t="s">
        <v>2297</v>
      </c>
    </row>
    <row r="797" spans="1:13">
      <c r="A797" t="s">
        <v>13</v>
      </c>
      <c r="B797">
        <v>838925</v>
      </c>
      <c r="C797">
        <v>839356</v>
      </c>
      <c r="E797" t="s">
        <v>14</v>
      </c>
      <c r="F797" t="s">
        <v>49</v>
      </c>
      <c r="H797">
        <v>1018790</v>
      </c>
      <c r="I797" t="s">
        <v>17</v>
      </c>
      <c r="K797" t="s">
        <v>2298</v>
      </c>
      <c r="L797">
        <v>143</v>
      </c>
      <c r="M797" t="s">
        <v>2299</v>
      </c>
    </row>
    <row r="798" spans="1:13">
      <c r="A798" t="s">
        <v>13</v>
      </c>
      <c r="B798">
        <v>839630</v>
      </c>
      <c r="C798">
        <v>840142</v>
      </c>
      <c r="E798" t="s">
        <v>14</v>
      </c>
      <c r="F798" t="s">
        <v>49</v>
      </c>
      <c r="H798">
        <v>1018792</v>
      </c>
      <c r="I798" t="s">
        <v>17</v>
      </c>
      <c r="K798" t="s">
        <v>2300</v>
      </c>
      <c r="L798">
        <v>170</v>
      </c>
      <c r="M798" t="s">
        <v>2301</v>
      </c>
    </row>
    <row r="799" spans="1:13">
      <c r="A799" t="s">
        <v>13</v>
      </c>
      <c r="B799">
        <v>840434</v>
      </c>
      <c r="C799">
        <v>840709</v>
      </c>
      <c r="E799" t="s">
        <v>38</v>
      </c>
      <c r="F799" t="s">
        <v>49</v>
      </c>
      <c r="H799">
        <v>92792274</v>
      </c>
      <c r="I799" t="s">
        <v>17</v>
      </c>
      <c r="K799" t="s">
        <v>2302</v>
      </c>
      <c r="L799">
        <v>91</v>
      </c>
      <c r="M799" t="s">
        <v>2303</v>
      </c>
    </row>
    <row r="800" spans="1:13">
      <c r="A800" t="s">
        <v>13</v>
      </c>
      <c r="B800">
        <v>841514</v>
      </c>
      <c r="C800">
        <v>842296</v>
      </c>
      <c r="E800" t="s">
        <v>38</v>
      </c>
      <c r="F800" t="s">
        <v>2304</v>
      </c>
      <c r="G800" t="s">
        <v>2305</v>
      </c>
      <c r="H800">
        <v>1018794</v>
      </c>
      <c r="I800" t="s">
        <v>17</v>
      </c>
      <c r="K800" t="s">
        <v>2306</v>
      </c>
      <c r="L800">
        <v>260</v>
      </c>
      <c r="M800" t="s">
        <v>2307</v>
      </c>
    </row>
    <row r="801" spans="1:13">
      <c r="A801" t="s">
        <v>13</v>
      </c>
      <c r="B801">
        <v>842303</v>
      </c>
      <c r="C801">
        <v>843178</v>
      </c>
      <c r="E801" t="s">
        <v>38</v>
      </c>
      <c r="F801" t="s">
        <v>2308</v>
      </c>
      <c r="H801">
        <v>1018795</v>
      </c>
      <c r="I801" t="s">
        <v>17</v>
      </c>
      <c r="K801" t="s">
        <v>2309</v>
      </c>
      <c r="L801">
        <v>291</v>
      </c>
      <c r="M801" t="s">
        <v>2310</v>
      </c>
    </row>
    <row r="802" spans="1:13">
      <c r="A802" t="s">
        <v>13</v>
      </c>
      <c r="B802">
        <v>843257</v>
      </c>
      <c r="C802">
        <v>844363</v>
      </c>
      <c r="E802" t="s">
        <v>14</v>
      </c>
      <c r="F802" t="s">
        <v>2311</v>
      </c>
      <c r="G802" t="s">
        <v>2312</v>
      </c>
      <c r="H802">
        <v>1018796</v>
      </c>
      <c r="I802" t="s">
        <v>17</v>
      </c>
      <c r="K802" t="s">
        <v>2313</v>
      </c>
      <c r="L802">
        <v>368</v>
      </c>
      <c r="M802" t="s">
        <v>2314</v>
      </c>
    </row>
    <row r="803" spans="1:13">
      <c r="A803" t="s">
        <v>13</v>
      </c>
      <c r="B803">
        <v>844495</v>
      </c>
      <c r="C803">
        <v>845184</v>
      </c>
      <c r="E803" t="s">
        <v>14</v>
      </c>
      <c r="F803" t="s">
        <v>2315</v>
      </c>
      <c r="G803" t="s">
        <v>2316</v>
      </c>
      <c r="H803">
        <v>1018797</v>
      </c>
      <c r="I803" t="s">
        <v>17</v>
      </c>
      <c r="K803" t="s">
        <v>2317</v>
      </c>
      <c r="L803">
        <v>229</v>
      </c>
      <c r="M803" t="s">
        <v>2318</v>
      </c>
    </row>
    <row r="804" spans="1:13">
      <c r="A804" t="s">
        <v>13</v>
      </c>
      <c r="B804">
        <v>845198</v>
      </c>
      <c r="C804">
        <v>846100</v>
      </c>
      <c r="E804" t="s">
        <v>14</v>
      </c>
      <c r="F804" t="s">
        <v>2319</v>
      </c>
      <c r="G804" t="s">
        <v>2320</v>
      </c>
      <c r="H804">
        <v>1018798</v>
      </c>
      <c r="I804" t="s">
        <v>17</v>
      </c>
      <c r="K804" t="s">
        <v>2321</v>
      </c>
      <c r="L804">
        <v>300</v>
      </c>
      <c r="M804" t="s">
        <v>2322</v>
      </c>
    </row>
    <row r="805" spans="1:13">
      <c r="A805" t="s">
        <v>13</v>
      </c>
      <c r="B805">
        <v>846137</v>
      </c>
      <c r="C805">
        <v>846631</v>
      </c>
      <c r="E805" t="s">
        <v>14</v>
      </c>
      <c r="F805" t="s">
        <v>2323</v>
      </c>
      <c r="G805" t="s">
        <v>2324</v>
      </c>
      <c r="H805">
        <v>1018799</v>
      </c>
      <c r="I805" t="s">
        <v>17</v>
      </c>
      <c r="K805" t="s">
        <v>2325</v>
      </c>
      <c r="L805">
        <v>164</v>
      </c>
      <c r="M805" t="s">
        <v>2326</v>
      </c>
    </row>
    <row r="806" spans="1:13">
      <c r="A806" t="s">
        <v>13</v>
      </c>
      <c r="B806">
        <v>846632</v>
      </c>
      <c r="C806">
        <v>846985</v>
      </c>
      <c r="E806" t="s">
        <v>14</v>
      </c>
      <c r="F806" t="s">
        <v>2327</v>
      </c>
      <c r="H806">
        <v>1018800</v>
      </c>
      <c r="I806" t="s">
        <v>17</v>
      </c>
      <c r="K806" t="s">
        <v>2328</v>
      </c>
      <c r="L806">
        <v>117</v>
      </c>
      <c r="M806" t="s">
        <v>2329</v>
      </c>
    </row>
    <row r="807" spans="1:13">
      <c r="A807" t="s">
        <v>13</v>
      </c>
      <c r="B807">
        <v>847074</v>
      </c>
      <c r="C807">
        <v>847450</v>
      </c>
      <c r="E807" t="s">
        <v>14</v>
      </c>
      <c r="F807" t="s">
        <v>2330</v>
      </c>
      <c r="G807" t="s">
        <v>2331</v>
      </c>
      <c r="H807">
        <v>2745322</v>
      </c>
      <c r="I807" t="s">
        <v>739</v>
      </c>
      <c r="M807" t="s">
        <v>2332</v>
      </c>
    </row>
    <row r="808" spans="1:13">
      <c r="A808" t="s">
        <v>13</v>
      </c>
      <c r="B808">
        <v>847727</v>
      </c>
      <c r="C808">
        <v>848026</v>
      </c>
      <c r="E808" t="s">
        <v>14</v>
      </c>
      <c r="F808" t="s">
        <v>141</v>
      </c>
      <c r="H808">
        <v>1018801</v>
      </c>
      <c r="I808" t="s">
        <v>142</v>
      </c>
      <c r="M808" t="s">
        <v>2333</v>
      </c>
    </row>
    <row r="809" spans="1:13">
      <c r="A809" t="s">
        <v>13</v>
      </c>
      <c r="B809">
        <v>848352</v>
      </c>
      <c r="C809">
        <v>848425</v>
      </c>
      <c r="E809" t="s">
        <v>14</v>
      </c>
      <c r="F809" t="s">
        <v>1382</v>
      </c>
      <c r="H809">
        <v>2745368</v>
      </c>
      <c r="I809" t="s">
        <v>62</v>
      </c>
      <c r="M809" t="s">
        <v>2334</v>
      </c>
    </row>
    <row r="810" spans="1:13">
      <c r="A810" t="s">
        <v>13</v>
      </c>
      <c r="B810">
        <v>848496</v>
      </c>
      <c r="C810">
        <v>849323</v>
      </c>
      <c r="E810" t="s">
        <v>38</v>
      </c>
      <c r="F810" t="s">
        <v>150</v>
      </c>
      <c r="H810">
        <v>1018802</v>
      </c>
      <c r="I810" t="s">
        <v>17</v>
      </c>
      <c r="K810" t="s">
        <v>2335</v>
      </c>
      <c r="L810">
        <v>275</v>
      </c>
      <c r="M810" t="s">
        <v>2336</v>
      </c>
    </row>
    <row r="811" spans="1:13">
      <c r="A811" t="s">
        <v>13</v>
      </c>
      <c r="B811">
        <v>849323</v>
      </c>
      <c r="C811">
        <v>850243</v>
      </c>
      <c r="E811" t="s">
        <v>38</v>
      </c>
      <c r="F811" t="s">
        <v>1885</v>
      </c>
      <c r="H811">
        <v>1018803</v>
      </c>
      <c r="I811" t="s">
        <v>17</v>
      </c>
      <c r="K811" t="s">
        <v>2337</v>
      </c>
      <c r="L811">
        <v>306</v>
      </c>
      <c r="M811" t="s">
        <v>2338</v>
      </c>
    </row>
    <row r="812" spans="1:13">
      <c r="A812" t="s">
        <v>13</v>
      </c>
      <c r="B812">
        <v>850409</v>
      </c>
      <c r="C812">
        <v>850999</v>
      </c>
      <c r="E812" t="s">
        <v>38</v>
      </c>
      <c r="F812" t="s">
        <v>2339</v>
      </c>
      <c r="H812">
        <v>1018804</v>
      </c>
      <c r="I812" t="s">
        <v>17</v>
      </c>
      <c r="K812" t="s">
        <v>2340</v>
      </c>
      <c r="L812">
        <v>196</v>
      </c>
      <c r="M812" t="s">
        <v>2341</v>
      </c>
    </row>
    <row r="813" spans="1:13">
      <c r="A813" t="s">
        <v>13</v>
      </c>
      <c r="B813">
        <v>851351</v>
      </c>
      <c r="C813">
        <v>852367</v>
      </c>
      <c r="E813" t="s">
        <v>14</v>
      </c>
      <c r="F813" t="s">
        <v>2342</v>
      </c>
      <c r="H813">
        <v>1018805</v>
      </c>
      <c r="I813" t="s">
        <v>17</v>
      </c>
      <c r="K813" t="s">
        <v>2343</v>
      </c>
      <c r="L813">
        <v>338</v>
      </c>
      <c r="M813" t="s">
        <v>2344</v>
      </c>
    </row>
    <row r="814" spans="1:13">
      <c r="A814" t="s">
        <v>13</v>
      </c>
      <c r="B814">
        <v>852618</v>
      </c>
      <c r="C814">
        <v>853619</v>
      </c>
      <c r="E814" t="s">
        <v>14</v>
      </c>
      <c r="F814" t="s">
        <v>124</v>
      </c>
      <c r="H814">
        <v>1018806</v>
      </c>
      <c r="I814" t="s">
        <v>17</v>
      </c>
      <c r="K814" t="s">
        <v>2345</v>
      </c>
      <c r="L814">
        <v>333</v>
      </c>
      <c r="M814" t="s">
        <v>2346</v>
      </c>
    </row>
    <row r="815" spans="1:13">
      <c r="A815" t="s">
        <v>13</v>
      </c>
      <c r="B815">
        <v>853612</v>
      </c>
      <c r="C815">
        <v>854727</v>
      </c>
      <c r="E815" t="s">
        <v>14</v>
      </c>
      <c r="F815" t="s">
        <v>1468</v>
      </c>
      <c r="H815">
        <v>1018807</v>
      </c>
      <c r="I815" t="s">
        <v>17</v>
      </c>
      <c r="K815" t="s">
        <v>2347</v>
      </c>
      <c r="L815">
        <v>371</v>
      </c>
      <c r="M815" t="s">
        <v>2348</v>
      </c>
    </row>
    <row r="816" spans="1:13">
      <c r="A816" t="s">
        <v>13</v>
      </c>
      <c r="B816">
        <v>854724</v>
      </c>
      <c r="C816">
        <v>855479</v>
      </c>
      <c r="E816" t="s">
        <v>14</v>
      </c>
      <c r="F816" t="s">
        <v>2349</v>
      </c>
      <c r="H816">
        <v>1018808</v>
      </c>
      <c r="I816" t="s">
        <v>17</v>
      </c>
      <c r="K816" t="s">
        <v>2350</v>
      </c>
      <c r="L816">
        <v>251</v>
      </c>
      <c r="M816" t="s">
        <v>2351</v>
      </c>
    </row>
    <row r="817" spans="1:13">
      <c r="A817" t="s">
        <v>13</v>
      </c>
      <c r="B817">
        <v>856117</v>
      </c>
      <c r="C817">
        <v>857641</v>
      </c>
      <c r="E817" t="s">
        <v>14</v>
      </c>
      <c r="F817" t="s">
        <v>257</v>
      </c>
      <c r="H817">
        <v>2745370</v>
      </c>
      <c r="I817" t="s">
        <v>258</v>
      </c>
      <c r="M817" t="s">
        <v>2352</v>
      </c>
    </row>
    <row r="818" spans="1:13">
      <c r="A818" t="s">
        <v>13</v>
      </c>
      <c r="B818">
        <v>858033</v>
      </c>
      <c r="C818">
        <v>861112</v>
      </c>
      <c r="E818" t="s">
        <v>14</v>
      </c>
      <c r="F818" t="s">
        <v>260</v>
      </c>
      <c r="H818">
        <v>2745297</v>
      </c>
      <c r="I818" t="s">
        <v>258</v>
      </c>
      <c r="M818" t="s">
        <v>2353</v>
      </c>
    </row>
    <row r="819" spans="1:13">
      <c r="A819" t="s">
        <v>13</v>
      </c>
      <c r="B819">
        <v>861226</v>
      </c>
      <c r="C819">
        <v>861342</v>
      </c>
      <c r="E819" t="s">
        <v>14</v>
      </c>
      <c r="F819" t="s">
        <v>262</v>
      </c>
      <c r="G819" t="s">
        <v>263</v>
      </c>
      <c r="H819">
        <v>2745337</v>
      </c>
      <c r="I819" t="s">
        <v>258</v>
      </c>
      <c r="M819" t="s">
        <v>2354</v>
      </c>
    </row>
    <row r="820" spans="1:13">
      <c r="A820" t="s">
        <v>13</v>
      </c>
      <c r="B820">
        <v>861592</v>
      </c>
      <c r="C820">
        <v>862755</v>
      </c>
      <c r="E820" t="s">
        <v>14</v>
      </c>
      <c r="F820" t="s">
        <v>2355</v>
      </c>
      <c r="H820">
        <v>1018809</v>
      </c>
      <c r="I820" t="s">
        <v>17</v>
      </c>
      <c r="K820" t="s">
        <v>2356</v>
      </c>
      <c r="L820">
        <v>387</v>
      </c>
      <c r="M820" t="s">
        <v>2357</v>
      </c>
    </row>
    <row r="821" spans="1:13">
      <c r="A821" t="s">
        <v>13</v>
      </c>
      <c r="B821">
        <v>862750</v>
      </c>
      <c r="C821">
        <v>863391</v>
      </c>
      <c r="E821" t="s">
        <v>38</v>
      </c>
      <c r="F821" t="s">
        <v>2358</v>
      </c>
      <c r="H821">
        <v>1018810</v>
      </c>
      <c r="I821" t="s">
        <v>17</v>
      </c>
      <c r="K821" t="s">
        <v>2359</v>
      </c>
      <c r="L821">
        <v>213</v>
      </c>
      <c r="M821" t="s">
        <v>2360</v>
      </c>
    </row>
    <row r="822" spans="1:13">
      <c r="A822" t="s">
        <v>13</v>
      </c>
      <c r="B822">
        <v>863393</v>
      </c>
      <c r="C822">
        <v>865066</v>
      </c>
      <c r="E822" t="s">
        <v>38</v>
      </c>
      <c r="F822" t="s">
        <v>2361</v>
      </c>
      <c r="H822">
        <v>1018811</v>
      </c>
      <c r="I822" t="s">
        <v>17</v>
      </c>
      <c r="K822" t="s">
        <v>2362</v>
      </c>
      <c r="L822">
        <v>557</v>
      </c>
      <c r="M822" t="s">
        <v>2363</v>
      </c>
    </row>
    <row r="823" spans="1:13">
      <c r="A823" t="s">
        <v>13</v>
      </c>
      <c r="B823">
        <v>865116</v>
      </c>
      <c r="C823">
        <v>867317</v>
      </c>
      <c r="E823" t="s">
        <v>38</v>
      </c>
      <c r="F823" t="s">
        <v>2364</v>
      </c>
      <c r="H823">
        <v>1018812</v>
      </c>
      <c r="I823" t="s">
        <v>17</v>
      </c>
      <c r="K823" t="s">
        <v>2365</v>
      </c>
      <c r="L823">
        <v>733</v>
      </c>
      <c r="M823" t="s">
        <v>2366</v>
      </c>
    </row>
    <row r="824" spans="1:13">
      <c r="A824" t="s">
        <v>13</v>
      </c>
      <c r="B824">
        <v>867383</v>
      </c>
      <c r="C824">
        <v>867574</v>
      </c>
      <c r="E824" t="s">
        <v>14</v>
      </c>
      <c r="F824" t="s">
        <v>49</v>
      </c>
      <c r="H824">
        <v>1018813</v>
      </c>
      <c r="I824" t="s">
        <v>17</v>
      </c>
      <c r="K824" t="s">
        <v>2367</v>
      </c>
      <c r="L824">
        <v>63</v>
      </c>
      <c r="M824" t="s">
        <v>2368</v>
      </c>
    </row>
    <row r="825" spans="1:13">
      <c r="A825" t="s">
        <v>13</v>
      </c>
      <c r="B825">
        <v>867800</v>
      </c>
      <c r="C825">
        <v>868381</v>
      </c>
      <c r="E825" t="s">
        <v>38</v>
      </c>
      <c r="F825" t="s">
        <v>2369</v>
      </c>
      <c r="G825" t="s">
        <v>2370</v>
      </c>
      <c r="H825">
        <v>1018814</v>
      </c>
      <c r="I825" t="s">
        <v>17</v>
      </c>
      <c r="K825" t="s">
        <v>2371</v>
      </c>
      <c r="L825">
        <v>193</v>
      </c>
      <c r="M825" t="s">
        <v>2372</v>
      </c>
    </row>
    <row r="826" spans="1:13">
      <c r="A826" t="s">
        <v>13</v>
      </c>
      <c r="B826">
        <v>868938</v>
      </c>
      <c r="C826">
        <v>869321</v>
      </c>
      <c r="E826" t="s">
        <v>14</v>
      </c>
      <c r="F826" t="s">
        <v>541</v>
      </c>
      <c r="H826">
        <v>1018815</v>
      </c>
      <c r="I826" t="s">
        <v>17</v>
      </c>
      <c r="K826" t="s">
        <v>2373</v>
      </c>
      <c r="L826">
        <v>127</v>
      </c>
      <c r="M826" t="s">
        <v>2374</v>
      </c>
    </row>
    <row r="827" spans="1:13">
      <c r="A827" t="s">
        <v>13</v>
      </c>
      <c r="B827">
        <v>869376</v>
      </c>
      <c r="C827">
        <v>869903</v>
      </c>
      <c r="E827" t="s">
        <v>38</v>
      </c>
      <c r="F827" t="s">
        <v>2375</v>
      </c>
      <c r="H827">
        <v>1018816</v>
      </c>
      <c r="I827" t="s">
        <v>17</v>
      </c>
      <c r="K827" t="s">
        <v>2376</v>
      </c>
      <c r="L827">
        <v>175</v>
      </c>
      <c r="M827" t="s">
        <v>2377</v>
      </c>
    </row>
    <row r="828" spans="1:13">
      <c r="A828" t="s">
        <v>13</v>
      </c>
      <c r="B828">
        <v>869915</v>
      </c>
      <c r="C828">
        <v>870742</v>
      </c>
      <c r="E828" t="s">
        <v>38</v>
      </c>
      <c r="F828" t="s">
        <v>2378</v>
      </c>
      <c r="H828">
        <v>1018817</v>
      </c>
      <c r="I828" t="s">
        <v>17</v>
      </c>
      <c r="K828" t="s">
        <v>2379</v>
      </c>
      <c r="L828">
        <v>275</v>
      </c>
      <c r="M828" t="s">
        <v>2380</v>
      </c>
    </row>
    <row r="829" spans="1:13">
      <c r="A829" t="s">
        <v>13</v>
      </c>
      <c r="B829">
        <v>870718</v>
      </c>
      <c r="C829">
        <v>871419</v>
      </c>
      <c r="E829" t="s">
        <v>38</v>
      </c>
      <c r="F829" t="s">
        <v>2381</v>
      </c>
      <c r="H829">
        <v>1018818</v>
      </c>
      <c r="I829" t="s">
        <v>17</v>
      </c>
      <c r="K829" t="s">
        <v>2382</v>
      </c>
      <c r="L829">
        <v>233</v>
      </c>
      <c r="M829" t="s">
        <v>2383</v>
      </c>
    </row>
    <row r="830" spans="1:13">
      <c r="A830" t="s">
        <v>13</v>
      </c>
      <c r="B830">
        <v>871870</v>
      </c>
      <c r="C830">
        <v>873213</v>
      </c>
      <c r="E830" t="s">
        <v>14</v>
      </c>
      <c r="F830" t="s">
        <v>2384</v>
      </c>
      <c r="H830">
        <v>1018819</v>
      </c>
      <c r="I830" t="s">
        <v>17</v>
      </c>
      <c r="K830" t="s">
        <v>2385</v>
      </c>
      <c r="L830">
        <v>447</v>
      </c>
      <c r="M830" t="s">
        <v>2386</v>
      </c>
    </row>
    <row r="831" spans="1:13">
      <c r="A831" t="s">
        <v>13</v>
      </c>
      <c r="B831">
        <v>873213</v>
      </c>
      <c r="C831">
        <v>874043</v>
      </c>
      <c r="E831" t="s">
        <v>14</v>
      </c>
      <c r="F831" t="s">
        <v>2387</v>
      </c>
      <c r="H831">
        <v>1018820</v>
      </c>
      <c r="I831" t="s">
        <v>17</v>
      </c>
      <c r="K831" t="s">
        <v>2388</v>
      </c>
      <c r="L831">
        <v>276</v>
      </c>
      <c r="M831" t="s">
        <v>2389</v>
      </c>
    </row>
    <row r="832" spans="1:13">
      <c r="A832" t="s">
        <v>13</v>
      </c>
      <c r="B832">
        <v>874066</v>
      </c>
      <c r="C832">
        <v>874938</v>
      </c>
      <c r="E832" t="s">
        <v>38</v>
      </c>
      <c r="F832" t="s">
        <v>2390</v>
      </c>
      <c r="H832">
        <v>1018821</v>
      </c>
      <c r="I832" t="s">
        <v>17</v>
      </c>
      <c r="K832" t="s">
        <v>2391</v>
      </c>
      <c r="L832">
        <v>290</v>
      </c>
      <c r="M832" t="s">
        <v>2392</v>
      </c>
    </row>
    <row r="833" spans="1:13">
      <c r="A833" t="s">
        <v>13</v>
      </c>
      <c r="B833">
        <v>874948</v>
      </c>
      <c r="C833">
        <v>875883</v>
      </c>
      <c r="E833" t="s">
        <v>38</v>
      </c>
      <c r="F833" t="s">
        <v>2393</v>
      </c>
      <c r="G833" t="s">
        <v>2394</v>
      </c>
      <c r="H833">
        <v>1018822</v>
      </c>
      <c r="I833" t="s">
        <v>17</v>
      </c>
      <c r="K833" t="s">
        <v>2395</v>
      </c>
      <c r="L833">
        <v>311</v>
      </c>
      <c r="M833" t="s">
        <v>2396</v>
      </c>
    </row>
    <row r="834" spans="1:13">
      <c r="A834" t="s">
        <v>13</v>
      </c>
      <c r="B834">
        <v>875982</v>
      </c>
      <c r="C834">
        <v>877112</v>
      </c>
      <c r="E834" t="s">
        <v>38</v>
      </c>
      <c r="F834" t="s">
        <v>2397</v>
      </c>
      <c r="G834" t="s">
        <v>2398</v>
      </c>
      <c r="H834">
        <v>1018823</v>
      </c>
      <c r="I834" t="s">
        <v>17</v>
      </c>
      <c r="K834" t="s">
        <v>2399</v>
      </c>
      <c r="L834">
        <v>376</v>
      </c>
      <c r="M834" t="s">
        <v>2400</v>
      </c>
    </row>
    <row r="835" spans="1:13">
      <c r="A835" t="s">
        <v>13</v>
      </c>
      <c r="B835">
        <v>877838</v>
      </c>
      <c r="C835">
        <v>879151</v>
      </c>
      <c r="E835" t="s">
        <v>14</v>
      </c>
      <c r="F835" t="s">
        <v>2401</v>
      </c>
      <c r="H835">
        <v>1018824</v>
      </c>
      <c r="I835" t="s">
        <v>17</v>
      </c>
      <c r="K835" t="s">
        <v>2402</v>
      </c>
      <c r="L835">
        <v>437</v>
      </c>
      <c r="M835" t="s">
        <v>2403</v>
      </c>
    </row>
    <row r="836" spans="1:13">
      <c r="A836" t="s">
        <v>13</v>
      </c>
      <c r="B836">
        <v>879276</v>
      </c>
      <c r="C836">
        <v>879632</v>
      </c>
      <c r="E836" t="s">
        <v>14</v>
      </c>
      <c r="F836" t="s">
        <v>2404</v>
      </c>
      <c r="G836" t="s">
        <v>2405</v>
      </c>
      <c r="H836">
        <v>1018825</v>
      </c>
      <c r="I836" t="s">
        <v>17</v>
      </c>
      <c r="K836" t="s">
        <v>2406</v>
      </c>
      <c r="L836">
        <v>118</v>
      </c>
      <c r="M836" t="s">
        <v>2407</v>
      </c>
    </row>
    <row r="837" spans="1:13">
      <c r="A837" t="s">
        <v>13</v>
      </c>
      <c r="B837">
        <v>879639</v>
      </c>
      <c r="C837">
        <v>881093</v>
      </c>
      <c r="E837" t="s">
        <v>38</v>
      </c>
      <c r="F837" t="s">
        <v>2408</v>
      </c>
      <c r="H837">
        <v>1018826</v>
      </c>
      <c r="I837" t="s">
        <v>17</v>
      </c>
      <c r="K837" t="s">
        <v>2409</v>
      </c>
      <c r="L837">
        <v>484</v>
      </c>
      <c r="M837" t="s">
        <v>2410</v>
      </c>
    </row>
    <row r="838" spans="1:13">
      <c r="A838" t="s">
        <v>13</v>
      </c>
      <c r="B838">
        <v>881647</v>
      </c>
      <c r="C838">
        <v>881988</v>
      </c>
      <c r="E838" t="s">
        <v>14</v>
      </c>
      <c r="F838" t="s">
        <v>2411</v>
      </c>
      <c r="H838">
        <v>1018827</v>
      </c>
      <c r="I838" t="s">
        <v>17</v>
      </c>
      <c r="K838" t="s">
        <v>2412</v>
      </c>
      <c r="L838">
        <v>113</v>
      </c>
      <c r="M838" t="s">
        <v>2413</v>
      </c>
    </row>
    <row r="839" spans="1:13">
      <c r="A839" t="s">
        <v>13</v>
      </c>
      <c r="B839">
        <v>881995</v>
      </c>
      <c r="C839">
        <v>883650</v>
      </c>
      <c r="E839" t="s">
        <v>14</v>
      </c>
      <c r="F839" t="s">
        <v>2414</v>
      </c>
      <c r="H839">
        <v>1018828</v>
      </c>
      <c r="I839" t="s">
        <v>17</v>
      </c>
      <c r="K839" t="s">
        <v>2415</v>
      </c>
      <c r="L839">
        <v>551</v>
      </c>
      <c r="M839" t="s">
        <v>2416</v>
      </c>
    </row>
    <row r="840" spans="1:13">
      <c r="A840" t="s">
        <v>13</v>
      </c>
      <c r="B840">
        <v>883768</v>
      </c>
      <c r="C840">
        <v>884544</v>
      </c>
      <c r="E840" t="s">
        <v>14</v>
      </c>
      <c r="F840" t="s">
        <v>49</v>
      </c>
      <c r="H840">
        <v>1018829</v>
      </c>
      <c r="I840" t="s">
        <v>17</v>
      </c>
      <c r="K840" t="s">
        <v>2417</v>
      </c>
      <c r="L840">
        <v>258</v>
      </c>
      <c r="M840" t="s">
        <v>2418</v>
      </c>
    </row>
    <row r="841" spans="1:13">
      <c r="A841" t="s">
        <v>13</v>
      </c>
      <c r="B841">
        <v>884546</v>
      </c>
      <c r="C841">
        <v>885388</v>
      </c>
      <c r="E841" t="s">
        <v>38</v>
      </c>
      <c r="F841" t="s">
        <v>2419</v>
      </c>
      <c r="H841">
        <v>1018830</v>
      </c>
      <c r="I841" t="s">
        <v>17</v>
      </c>
      <c r="K841" t="s">
        <v>2420</v>
      </c>
      <c r="L841">
        <v>280</v>
      </c>
      <c r="M841" t="s">
        <v>2421</v>
      </c>
    </row>
    <row r="842" spans="1:13">
      <c r="A842" t="s">
        <v>13</v>
      </c>
      <c r="B842">
        <v>885672</v>
      </c>
      <c r="C842">
        <v>894581</v>
      </c>
      <c r="E842" t="s">
        <v>14</v>
      </c>
      <c r="F842" t="s">
        <v>2422</v>
      </c>
      <c r="H842">
        <v>1018831</v>
      </c>
      <c r="I842" t="s">
        <v>17</v>
      </c>
      <c r="K842" t="s">
        <v>2423</v>
      </c>
      <c r="L842">
        <v>2969</v>
      </c>
      <c r="M842" t="s">
        <v>2424</v>
      </c>
    </row>
    <row r="843" spans="1:13">
      <c r="A843" t="s">
        <v>13</v>
      </c>
      <c r="B843">
        <v>894703</v>
      </c>
      <c r="C843">
        <v>895194</v>
      </c>
      <c r="E843" t="s">
        <v>14</v>
      </c>
      <c r="F843" t="s">
        <v>2425</v>
      </c>
      <c r="H843">
        <v>1018832</v>
      </c>
      <c r="I843" t="s">
        <v>17</v>
      </c>
      <c r="K843" t="s">
        <v>2426</v>
      </c>
      <c r="L843">
        <v>163</v>
      </c>
      <c r="M843" t="s">
        <v>2427</v>
      </c>
    </row>
    <row r="844" spans="1:13">
      <c r="A844" t="s">
        <v>13</v>
      </c>
      <c r="B844">
        <v>895593</v>
      </c>
      <c r="C844">
        <v>896642</v>
      </c>
      <c r="E844" t="s">
        <v>38</v>
      </c>
      <c r="F844" t="s">
        <v>35</v>
      </c>
      <c r="H844">
        <v>1018834</v>
      </c>
      <c r="I844" t="s">
        <v>17</v>
      </c>
      <c r="K844" t="s">
        <v>2428</v>
      </c>
      <c r="L844">
        <v>349</v>
      </c>
      <c r="M844" t="s">
        <v>2429</v>
      </c>
    </row>
    <row r="845" spans="1:13">
      <c r="A845" t="s">
        <v>13</v>
      </c>
      <c r="B845">
        <v>896716</v>
      </c>
      <c r="C845">
        <v>897144</v>
      </c>
      <c r="E845" t="s">
        <v>38</v>
      </c>
      <c r="F845" t="s">
        <v>49</v>
      </c>
      <c r="H845">
        <v>1018835</v>
      </c>
      <c r="I845" t="s">
        <v>17</v>
      </c>
      <c r="K845" t="s">
        <v>2430</v>
      </c>
      <c r="L845">
        <v>142</v>
      </c>
      <c r="M845" t="s">
        <v>2431</v>
      </c>
    </row>
    <row r="846" spans="1:13">
      <c r="A846" t="s">
        <v>13</v>
      </c>
      <c r="B846">
        <v>897230</v>
      </c>
      <c r="C846">
        <v>897302</v>
      </c>
      <c r="E846" t="s">
        <v>38</v>
      </c>
      <c r="F846" t="s">
        <v>669</v>
      </c>
      <c r="H846">
        <v>2745301</v>
      </c>
      <c r="I846" t="s">
        <v>62</v>
      </c>
      <c r="M846" t="s">
        <v>2432</v>
      </c>
    </row>
    <row r="847" spans="1:13">
      <c r="A847" t="s">
        <v>13</v>
      </c>
      <c r="B847">
        <v>897423</v>
      </c>
      <c r="C847">
        <v>897692</v>
      </c>
      <c r="E847" t="s">
        <v>14</v>
      </c>
      <c r="F847" t="s">
        <v>49</v>
      </c>
      <c r="H847">
        <v>1018836</v>
      </c>
      <c r="I847" t="s">
        <v>17</v>
      </c>
      <c r="K847" t="s">
        <v>2433</v>
      </c>
      <c r="L847">
        <v>89</v>
      </c>
      <c r="M847" t="s">
        <v>2434</v>
      </c>
    </row>
    <row r="848" spans="1:13">
      <c r="A848" t="s">
        <v>13</v>
      </c>
      <c r="B848">
        <v>897724</v>
      </c>
      <c r="C848">
        <v>897963</v>
      </c>
      <c r="E848" t="s">
        <v>38</v>
      </c>
      <c r="F848" t="s">
        <v>2435</v>
      </c>
      <c r="H848">
        <v>1018837</v>
      </c>
      <c r="I848" t="s">
        <v>17</v>
      </c>
      <c r="K848" t="s">
        <v>2436</v>
      </c>
      <c r="L848">
        <v>79</v>
      </c>
      <c r="M848" t="s">
        <v>2437</v>
      </c>
    </row>
    <row r="849" spans="1:13">
      <c r="A849" t="s">
        <v>13</v>
      </c>
      <c r="B849">
        <v>897976</v>
      </c>
      <c r="C849">
        <v>898434</v>
      </c>
      <c r="E849" t="s">
        <v>38</v>
      </c>
      <c r="F849" t="s">
        <v>2438</v>
      </c>
      <c r="H849">
        <v>1018838</v>
      </c>
      <c r="I849" t="s">
        <v>17</v>
      </c>
      <c r="K849" t="s">
        <v>2439</v>
      </c>
      <c r="L849">
        <v>152</v>
      </c>
      <c r="M849" t="s">
        <v>2440</v>
      </c>
    </row>
    <row r="850" spans="1:13">
      <c r="A850" t="s">
        <v>13</v>
      </c>
      <c r="B850">
        <v>898431</v>
      </c>
      <c r="C850">
        <v>899231</v>
      </c>
      <c r="E850" t="s">
        <v>38</v>
      </c>
      <c r="F850" t="s">
        <v>2441</v>
      </c>
      <c r="H850">
        <v>1018839</v>
      </c>
      <c r="I850" t="s">
        <v>17</v>
      </c>
      <c r="K850" t="s">
        <v>2442</v>
      </c>
      <c r="L850">
        <v>266</v>
      </c>
      <c r="M850" t="s">
        <v>2443</v>
      </c>
    </row>
    <row r="851" spans="1:13">
      <c r="A851" t="s">
        <v>13</v>
      </c>
      <c r="B851">
        <v>899250</v>
      </c>
      <c r="C851">
        <v>900008</v>
      </c>
      <c r="E851" t="s">
        <v>38</v>
      </c>
      <c r="F851" t="s">
        <v>2444</v>
      </c>
      <c r="H851">
        <v>1018840</v>
      </c>
      <c r="I851" t="s">
        <v>17</v>
      </c>
      <c r="K851" t="s">
        <v>2445</v>
      </c>
      <c r="L851">
        <v>252</v>
      </c>
      <c r="M851" t="s">
        <v>2446</v>
      </c>
    </row>
    <row r="852" spans="1:13">
      <c r="A852" t="s">
        <v>13</v>
      </c>
      <c r="B852">
        <v>900043</v>
      </c>
      <c r="C852">
        <v>904605</v>
      </c>
      <c r="E852" t="s">
        <v>14</v>
      </c>
      <c r="F852" t="s">
        <v>2237</v>
      </c>
      <c r="H852">
        <v>1018841</v>
      </c>
      <c r="I852" t="s">
        <v>17</v>
      </c>
      <c r="K852" t="s">
        <v>2447</v>
      </c>
      <c r="L852">
        <v>1520</v>
      </c>
      <c r="M852" t="s">
        <v>2448</v>
      </c>
    </row>
    <row r="853" spans="1:13">
      <c r="A853" t="s">
        <v>13</v>
      </c>
      <c r="B853">
        <v>904615</v>
      </c>
      <c r="C853">
        <v>905385</v>
      </c>
      <c r="E853" t="s">
        <v>14</v>
      </c>
      <c r="F853" t="s">
        <v>2449</v>
      </c>
      <c r="H853">
        <v>1018842</v>
      </c>
      <c r="I853" t="s">
        <v>17</v>
      </c>
      <c r="K853" t="s">
        <v>2450</v>
      </c>
      <c r="L853">
        <v>256</v>
      </c>
      <c r="M853" t="s">
        <v>2451</v>
      </c>
    </row>
    <row r="854" spans="1:13">
      <c r="A854" t="s">
        <v>13</v>
      </c>
      <c r="B854">
        <v>905389</v>
      </c>
      <c r="C854">
        <v>905799</v>
      </c>
      <c r="E854" t="s">
        <v>14</v>
      </c>
      <c r="F854" t="s">
        <v>2452</v>
      </c>
      <c r="H854">
        <v>1018843</v>
      </c>
      <c r="I854" t="s">
        <v>17</v>
      </c>
      <c r="K854" t="s">
        <v>2453</v>
      </c>
      <c r="L854">
        <v>136</v>
      </c>
      <c r="M854" t="s">
        <v>2454</v>
      </c>
    </row>
    <row r="855" spans="1:13">
      <c r="A855" t="s">
        <v>13</v>
      </c>
      <c r="B855">
        <v>905789</v>
      </c>
      <c r="C855">
        <v>906391</v>
      </c>
      <c r="E855" t="s">
        <v>38</v>
      </c>
      <c r="F855" t="s">
        <v>842</v>
      </c>
      <c r="H855">
        <v>1018844</v>
      </c>
      <c r="I855" t="s">
        <v>17</v>
      </c>
      <c r="K855" t="s">
        <v>2455</v>
      </c>
      <c r="L855">
        <v>200</v>
      </c>
      <c r="M855" t="s">
        <v>2456</v>
      </c>
    </row>
    <row r="856" spans="1:13">
      <c r="A856" t="s">
        <v>13</v>
      </c>
      <c r="B856">
        <v>906388</v>
      </c>
      <c r="C856">
        <v>906546</v>
      </c>
      <c r="E856" t="s">
        <v>38</v>
      </c>
      <c r="F856" t="s">
        <v>49</v>
      </c>
      <c r="H856">
        <v>44156730</v>
      </c>
      <c r="I856" t="s">
        <v>17</v>
      </c>
      <c r="K856" t="s">
        <v>2457</v>
      </c>
      <c r="L856">
        <v>52</v>
      </c>
      <c r="M856" t="s">
        <v>2458</v>
      </c>
    </row>
    <row r="857" spans="1:13">
      <c r="A857" t="s">
        <v>13</v>
      </c>
      <c r="B857">
        <v>906556</v>
      </c>
      <c r="C857">
        <v>907731</v>
      </c>
      <c r="E857" t="s">
        <v>38</v>
      </c>
      <c r="F857" t="s">
        <v>2459</v>
      </c>
      <c r="H857">
        <v>1018845</v>
      </c>
      <c r="I857" t="s">
        <v>17</v>
      </c>
      <c r="K857" t="s">
        <v>2460</v>
      </c>
      <c r="L857">
        <v>391</v>
      </c>
      <c r="M857" t="s">
        <v>2461</v>
      </c>
    </row>
    <row r="858" spans="1:13">
      <c r="A858" t="s">
        <v>13</v>
      </c>
      <c r="B858">
        <v>907756</v>
      </c>
      <c r="C858">
        <v>909378</v>
      </c>
      <c r="E858" t="s">
        <v>38</v>
      </c>
      <c r="F858" t="s">
        <v>2462</v>
      </c>
      <c r="G858" t="s">
        <v>2463</v>
      </c>
      <c r="H858">
        <v>1018846</v>
      </c>
      <c r="I858" t="s">
        <v>17</v>
      </c>
      <c r="K858" t="s">
        <v>2464</v>
      </c>
      <c r="L858">
        <v>540</v>
      </c>
      <c r="M858" t="s">
        <v>2465</v>
      </c>
    </row>
    <row r="859" spans="1:13">
      <c r="A859" t="s">
        <v>13</v>
      </c>
      <c r="B859">
        <v>909518</v>
      </c>
      <c r="C859">
        <v>910690</v>
      </c>
      <c r="E859" t="s">
        <v>38</v>
      </c>
      <c r="F859" t="s">
        <v>2205</v>
      </c>
      <c r="H859">
        <v>1018847</v>
      </c>
      <c r="I859" t="s">
        <v>17</v>
      </c>
      <c r="K859" t="s">
        <v>2466</v>
      </c>
      <c r="L859">
        <v>390</v>
      </c>
      <c r="M859" t="s">
        <v>2467</v>
      </c>
    </row>
    <row r="860" spans="1:13">
      <c r="A860" t="s">
        <v>13</v>
      </c>
      <c r="B860">
        <v>910852</v>
      </c>
      <c r="C860">
        <v>911157</v>
      </c>
      <c r="E860" t="s">
        <v>38</v>
      </c>
      <c r="F860" t="s">
        <v>2468</v>
      </c>
      <c r="H860">
        <v>1018848</v>
      </c>
      <c r="I860" t="s">
        <v>17</v>
      </c>
      <c r="K860" t="s">
        <v>2469</v>
      </c>
      <c r="L860">
        <v>101</v>
      </c>
      <c r="M860" t="s">
        <v>2470</v>
      </c>
    </row>
    <row r="861" spans="1:13">
      <c r="A861" t="s">
        <v>13</v>
      </c>
      <c r="B861">
        <v>911226</v>
      </c>
      <c r="C861">
        <v>913517</v>
      </c>
      <c r="E861" t="s">
        <v>14</v>
      </c>
      <c r="F861" t="s">
        <v>2471</v>
      </c>
      <c r="G861" t="s">
        <v>2472</v>
      </c>
      <c r="H861">
        <v>1018849</v>
      </c>
      <c r="I861" t="s">
        <v>17</v>
      </c>
      <c r="K861" t="s">
        <v>2473</v>
      </c>
      <c r="L861">
        <v>763</v>
      </c>
      <c r="M861" t="s">
        <v>2474</v>
      </c>
    </row>
    <row r="862" spans="1:13">
      <c r="A862" t="s">
        <v>13</v>
      </c>
      <c r="B862">
        <v>913474</v>
      </c>
      <c r="C862">
        <v>915699</v>
      </c>
      <c r="E862" t="s">
        <v>38</v>
      </c>
      <c r="F862" t="s">
        <v>124</v>
      </c>
      <c r="H862">
        <v>1018850</v>
      </c>
      <c r="I862" t="s">
        <v>17</v>
      </c>
      <c r="K862" t="s">
        <v>2475</v>
      </c>
      <c r="L862">
        <v>741</v>
      </c>
      <c r="M862" t="s">
        <v>2476</v>
      </c>
    </row>
    <row r="863" spans="1:13">
      <c r="A863" t="s">
        <v>13</v>
      </c>
      <c r="B863">
        <v>915696</v>
      </c>
      <c r="C863">
        <v>916364</v>
      </c>
      <c r="E863" t="s">
        <v>38</v>
      </c>
      <c r="F863" t="s">
        <v>147</v>
      </c>
      <c r="H863">
        <v>1018851</v>
      </c>
      <c r="I863" t="s">
        <v>17</v>
      </c>
      <c r="K863" t="s">
        <v>2477</v>
      </c>
      <c r="L863">
        <v>222</v>
      </c>
      <c r="M863" t="s">
        <v>2478</v>
      </c>
    </row>
    <row r="864" spans="1:13">
      <c r="A864" t="s">
        <v>13</v>
      </c>
      <c r="B864">
        <v>916365</v>
      </c>
      <c r="C864">
        <v>916874</v>
      </c>
      <c r="E864" t="s">
        <v>38</v>
      </c>
      <c r="F864" t="s">
        <v>2479</v>
      </c>
      <c r="H864">
        <v>1018852</v>
      </c>
      <c r="I864" t="s">
        <v>17</v>
      </c>
      <c r="K864" t="s">
        <v>2480</v>
      </c>
      <c r="L864">
        <v>169</v>
      </c>
      <c r="M864" t="s">
        <v>2481</v>
      </c>
    </row>
    <row r="865" spans="1:13">
      <c r="A865" t="s">
        <v>13</v>
      </c>
      <c r="B865">
        <v>916967</v>
      </c>
      <c r="C865">
        <v>917680</v>
      </c>
      <c r="E865" t="s">
        <v>38</v>
      </c>
      <c r="F865" t="s">
        <v>2482</v>
      </c>
      <c r="H865">
        <v>1018853</v>
      </c>
      <c r="I865" t="s">
        <v>17</v>
      </c>
      <c r="K865" t="s">
        <v>2483</v>
      </c>
      <c r="L865">
        <v>237</v>
      </c>
      <c r="M865" t="s">
        <v>2484</v>
      </c>
    </row>
    <row r="866" spans="1:13">
      <c r="A866" t="s">
        <v>13</v>
      </c>
      <c r="B866">
        <v>918036</v>
      </c>
      <c r="C866">
        <v>919355</v>
      </c>
      <c r="E866" t="s">
        <v>14</v>
      </c>
      <c r="F866" t="s">
        <v>2485</v>
      </c>
      <c r="H866">
        <v>1018854</v>
      </c>
      <c r="I866" t="s">
        <v>17</v>
      </c>
      <c r="K866" t="s">
        <v>2486</v>
      </c>
      <c r="L866">
        <v>439</v>
      </c>
      <c r="M866" t="s">
        <v>2487</v>
      </c>
    </row>
    <row r="867" spans="1:13">
      <c r="A867" t="s">
        <v>13</v>
      </c>
      <c r="B867">
        <v>919330</v>
      </c>
      <c r="C867">
        <v>919959</v>
      </c>
      <c r="E867" t="s">
        <v>14</v>
      </c>
      <c r="F867" t="s">
        <v>2488</v>
      </c>
      <c r="G867" t="s">
        <v>2489</v>
      </c>
      <c r="H867">
        <v>1018855</v>
      </c>
      <c r="I867" t="s">
        <v>17</v>
      </c>
      <c r="K867" t="s">
        <v>2490</v>
      </c>
      <c r="L867">
        <v>209</v>
      </c>
      <c r="M867" t="s">
        <v>2491</v>
      </c>
    </row>
    <row r="868" spans="1:13">
      <c r="A868" t="s">
        <v>13</v>
      </c>
      <c r="B868">
        <v>919967</v>
      </c>
      <c r="C868">
        <v>921529</v>
      </c>
      <c r="E868" t="s">
        <v>14</v>
      </c>
      <c r="F868" t="s">
        <v>2492</v>
      </c>
      <c r="G868" t="s">
        <v>2493</v>
      </c>
      <c r="H868">
        <v>1018856</v>
      </c>
      <c r="I868" t="s">
        <v>17</v>
      </c>
      <c r="K868" t="s">
        <v>2494</v>
      </c>
      <c r="L868">
        <v>520</v>
      </c>
      <c r="M868" t="s">
        <v>2495</v>
      </c>
    </row>
    <row r="869" spans="1:13">
      <c r="A869" t="s">
        <v>13</v>
      </c>
      <c r="B869">
        <v>921594</v>
      </c>
      <c r="C869">
        <v>922415</v>
      </c>
      <c r="E869" t="s">
        <v>14</v>
      </c>
      <c r="F869" t="s">
        <v>2496</v>
      </c>
      <c r="H869">
        <v>1018857</v>
      </c>
      <c r="I869" t="s">
        <v>17</v>
      </c>
      <c r="K869" t="s">
        <v>2497</v>
      </c>
      <c r="L869">
        <v>273</v>
      </c>
      <c r="M869" t="s">
        <v>2498</v>
      </c>
    </row>
    <row r="870" spans="1:13">
      <c r="A870" t="s">
        <v>13</v>
      </c>
      <c r="B870">
        <v>922393</v>
      </c>
      <c r="C870">
        <v>923061</v>
      </c>
      <c r="E870" t="s">
        <v>38</v>
      </c>
      <c r="F870" t="s">
        <v>2499</v>
      </c>
      <c r="G870" t="s">
        <v>2500</v>
      </c>
      <c r="H870">
        <v>1018858</v>
      </c>
      <c r="I870" t="s">
        <v>17</v>
      </c>
      <c r="K870" t="s">
        <v>2501</v>
      </c>
      <c r="L870">
        <v>222</v>
      </c>
      <c r="M870" t="s">
        <v>2502</v>
      </c>
    </row>
    <row r="871" spans="1:13">
      <c r="A871" t="s">
        <v>13</v>
      </c>
      <c r="B871">
        <v>923135</v>
      </c>
      <c r="C871">
        <v>923989</v>
      </c>
      <c r="E871" t="s">
        <v>38</v>
      </c>
      <c r="F871" t="s">
        <v>2503</v>
      </c>
      <c r="H871">
        <v>1018859</v>
      </c>
      <c r="I871" t="s">
        <v>17</v>
      </c>
      <c r="K871" t="s">
        <v>2504</v>
      </c>
      <c r="L871">
        <v>284</v>
      </c>
      <c r="M871" t="s">
        <v>2505</v>
      </c>
    </row>
    <row r="872" spans="1:13">
      <c r="A872" t="s">
        <v>13</v>
      </c>
      <c r="B872">
        <v>924156</v>
      </c>
      <c r="C872">
        <v>924407</v>
      </c>
      <c r="E872" t="s">
        <v>38</v>
      </c>
      <c r="F872" t="s">
        <v>2506</v>
      </c>
      <c r="G872" t="s">
        <v>2507</v>
      </c>
      <c r="H872">
        <v>1018860</v>
      </c>
      <c r="I872" t="s">
        <v>17</v>
      </c>
      <c r="K872" t="s">
        <v>2508</v>
      </c>
      <c r="L872">
        <v>83</v>
      </c>
      <c r="M872" t="s">
        <v>2509</v>
      </c>
    </row>
    <row r="873" spans="1:13">
      <c r="A873" t="s">
        <v>13</v>
      </c>
      <c r="B873">
        <v>924422</v>
      </c>
      <c r="C873">
        <v>924727</v>
      </c>
      <c r="E873" t="s">
        <v>38</v>
      </c>
      <c r="F873" t="s">
        <v>2510</v>
      </c>
      <c r="G873" t="s">
        <v>2511</v>
      </c>
      <c r="H873">
        <v>1018861</v>
      </c>
      <c r="I873" t="s">
        <v>17</v>
      </c>
      <c r="K873" t="s">
        <v>2512</v>
      </c>
      <c r="L873">
        <v>101</v>
      </c>
      <c r="M873" t="s">
        <v>2513</v>
      </c>
    </row>
    <row r="874" spans="1:13">
      <c r="A874" t="s">
        <v>13</v>
      </c>
      <c r="B874">
        <v>924731</v>
      </c>
      <c r="C874">
        <v>924895</v>
      </c>
      <c r="E874" t="s">
        <v>38</v>
      </c>
      <c r="F874" t="s">
        <v>2514</v>
      </c>
      <c r="G874" t="s">
        <v>2515</v>
      </c>
      <c r="H874">
        <v>1018862</v>
      </c>
      <c r="I874" t="s">
        <v>17</v>
      </c>
      <c r="K874" t="s">
        <v>2516</v>
      </c>
      <c r="L874">
        <v>54</v>
      </c>
      <c r="M874" t="s">
        <v>2517</v>
      </c>
    </row>
    <row r="875" spans="1:13">
      <c r="A875" t="s">
        <v>13</v>
      </c>
      <c r="B875">
        <v>924898</v>
      </c>
      <c r="C875">
        <v>925134</v>
      </c>
      <c r="E875" t="s">
        <v>38</v>
      </c>
      <c r="F875" t="s">
        <v>2518</v>
      </c>
      <c r="G875" t="s">
        <v>2519</v>
      </c>
      <c r="H875">
        <v>1018863</v>
      </c>
      <c r="I875" t="s">
        <v>17</v>
      </c>
      <c r="K875" t="s">
        <v>2520</v>
      </c>
      <c r="L875">
        <v>78</v>
      </c>
      <c r="M875" t="s">
        <v>2521</v>
      </c>
    </row>
    <row r="876" spans="1:13">
      <c r="A876" t="s">
        <v>13</v>
      </c>
      <c r="B876">
        <v>925322</v>
      </c>
      <c r="C876">
        <v>926935</v>
      </c>
      <c r="E876" t="s">
        <v>38</v>
      </c>
      <c r="F876" t="s">
        <v>2522</v>
      </c>
      <c r="H876">
        <v>1018864</v>
      </c>
      <c r="I876" t="s">
        <v>17</v>
      </c>
      <c r="K876" t="s">
        <v>2523</v>
      </c>
      <c r="L876">
        <v>537</v>
      </c>
      <c r="M876" t="s">
        <v>2524</v>
      </c>
    </row>
    <row r="877" spans="1:13">
      <c r="A877" t="s">
        <v>13</v>
      </c>
      <c r="B877">
        <v>926928</v>
      </c>
      <c r="C877">
        <v>927242</v>
      </c>
      <c r="E877" t="s">
        <v>38</v>
      </c>
      <c r="F877" t="s">
        <v>801</v>
      </c>
      <c r="H877">
        <v>1018865</v>
      </c>
      <c r="I877" t="s">
        <v>17</v>
      </c>
      <c r="K877" t="s">
        <v>2525</v>
      </c>
      <c r="L877">
        <v>104</v>
      </c>
      <c r="M877" t="s">
        <v>2526</v>
      </c>
    </row>
    <row r="878" spans="1:13">
      <c r="A878" t="s">
        <v>13</v>
      </c>
      <c r="B878">
        <v>927474</v>
      </c>
      <c r="C878">
        <v>927740</v>
      </c>
      <c r="E878" t="s">
        <v>14</v>
      </c>
      <c r="F878" t="s">
        <v>2527</v>
      </c>
      <c r="H878">
        <v>1018866</v>
      </c>
      <c r="I878" t="s">
        <v>17</v>
      </c>
      <c r="K878" t="s">
        <v>2528</v>
      </c>
      <c r="L878">
        <v>88</v>
      </c>
      <c r="M878" t="s">
        <v>2529</v>
      </c>
    </row>
    <row r="879" spans="1:13">
      <c r="A879" t="s">
        <v>13</v>
      </c>
      <c r="B879">
        <v>927752</v>
      </c>
      <c r="C879">
        <v>927925</v>
      </c>
      <c r="E879" t="s">
        <v>14</v>
      </c>
      <c r="F879" t="s">
        <v>2530</v>
      </c>
      <c r="G879" t="s">
        <v>2531</v>
      </c>
      <c r="H879">
        <v>1018867</v>
      </c>
      <c r="I879" t="s">
        <v>17</v>
      </c>
      <c r="K879" t="s">
        <v>2532</v>
      </c>
      <c r="L879">
        <v>57</v>
      </c>
      <c r="M879" t="s">
        <v>2533</v>
      </c>
    </row>
    <row r="880" spans="1:13">
      <c r="A880" t="s">
        <v>13</v>
      </c>
      <c r="B880">
        <v>928117</v>
      </c>
      <c r="C880">
        <v>928815</v>
      </c>
      <c r="E880" t="s">
        <v>14</v>
      </c>
      <c r="F880" t="s">
        <v>835</v>
      </c>
      <c r="H880">
        <v>1018868</v>
      </c>
      <c r="I880" t="s">
        <v>17</v>
      </c>
      <c r="K880" t="s">
        <v>2534</v>
      </c>
      <c r="L880">
        <v>232</v>
      </c>
      <c r="M880" t="s">
        <v>2535</v>
      </c>
    </row>
    <row r="881" spans="1:13">
      <c r="A881" t="s">
        <v>13</v>
      </c>
      <c r="B881">
        <v>928884</v>
      </c>
      <c r="C881">
        <v>930251</v>
      </c>
      <c r="E881" t="s">
        <v>14</v>
      </c>
      <c r="F881" t="s">
        <v>237</v>
      </c>
      <c r="H881">
        <v>1018869</v>
      </c>
      <c r="I881" t="s">
        <v>17</v>
      </c>
      <c r="K881" t="s">
        <v>2536</v>
      </c>
      <c r="L881">
        <v>455</v>
      </c>
      <c r="M881" t="s">
        <v>2537</v>
      </c>
    </row>
    <row r="882" spans="1:13">
      <c r="A882" t="s">
        <v>13</v>
      </c>
      <c r="B882">
        <v>930326</v>
      </c>
      <c r="C882">
        <v>931651</v>
      </c>
      <c r="E882" t="s">
        <v>14</v>
      </c>
      <c r="F882" t="s">
        <v>2538</v>
      </c>
      <c r="H882">
        <v>1018870</v>
      </c>
      <c r="I882" t="s">
        <v>17</v>
      </c>
      <c r="K882" t="s">
        <v>2539</v>
      </c>
      <c r="L882">
        <v>441</v>
      </c>
      <c r="M882" t="s">
        <v>2540</v>
      </c>
    </row>
    <row r="883" spans="1:13">
      <c r="A883" t="s">
        <v>13</v>
      </c>
      <c r="B883">
        <v>931706</v>
      </c>
      <c r="C883">
        <v>932293</v>
      </c>
      <c r="E883" t="s">
        <v>14</v>
      </c>
      <c r="F883" t="s">
        <v>639</v>
      </c>
      <c r="H883">
        <v>1018871</v>
      </c>
      <c r="I883" t="s">
        <v>17</v>
      </c>
      <c r="K883" t="s">
        <v>2541</v>
      </c>
      <c r="L883">
        <v>195</v>
      </c>
      <c r="M883" t="s">
        <v>2542</v>
      </c>
    </row>
    <row r="884" spans="1:13">
      <c r="A884" t="s">
        <v>13</v>
      </c>
      <c r="B884">
        <v>932305</v>
      </c>
      <c r="C884">
        <v>932490</v>
      </c>
      <c r="E884" t="s">
        <v>14</v>
      </c>
      <c r="F884" t="s">
        <v>49</v>
      </c>
      <c r="H884">
        <v>44144938</v>
      </c>
      <c r="I884" t="s">
        <v>17</v>
      </c>
      <c r="K884" t="s">
        <v>2543</v>
      </c>
      <c r="L884">
        <v>61</v>
      </c>
      <c r="M884" t="s">
        <v>2544</v>
      </c>
    </row>
    <row r="885" spans="1:13">
      <c r="A885" t="s">
        <v>13</v>
      </c>
      <c r="B885">
        <v>932567</v>
      </c>
      <c r="C885">
        <v>932974</v>
      </c>
      <c r="E885" t="s">
        <v>38</v>
      </c>
      <c r="F885" t="s">
        <v>2545</v>
      </c>
      <c r="G885" t="s">
        <v>2546</v>
      </c>
      <c r="H885">
        <v>1018872</v>
      </c>
      <c r="I885" t="s">
        <v>17</v>
      </c>
      <c r="K885" t="s">
        <v>2547</v>
      </c>
      <c r="L885">
        <v>135</v>
      </c>
      <c r="M885" t="s">
        <v>2548</v>
      </c>
    </row>
    <row r="886" spans="1:13">
      <c r="A886" t="s">
        <v>13</v>
      </c>
      <c r="B886">
        <v>933057</v>
      </c>
      <c r="C886">
        <v>933611</v>
      </c>
      <c r="E886" t="s">
        <v>38</v>
      </c>
      <c r="F886" t="s">
        <v>2549</v>
      </c>
      <c r="H886">
        <v>1018873</v>
      </c>
      <c r="I886" t="s">
        <v>17</v>
      </c>
      <c r="K886" t="s">
        <v>2550</v>
      </c>
      <c r="L886">
        <v>184</v>
      </c>
      <c r="M886" t="s">
        <v>2551</v>
      </c>
    </row>
    <row r="887" spans="1:13">
      <c r="A887" t="s">
        <v>13</v>
      </c>
      <c r="B887">
        <v>933730</v>
      </c>
      <c r="C887">
        <v>934302</v>
      </c>
      <c r="E887" t="s">
        <v>38</v>
      </c>
      <c r="F887" t="s">
        <v>2552</v>
      </c>
      <c r="H887">
        <v>1018874</v>
      </c>
      <c r="I887" t="s">
        <v>17</v>
      </c>
      <c r="K887" t="s">
        <v>2553</v>
      </c>
      <c r="L887">
        <v>190</v>
      </c>
      <c r="M887" t="s">
        <v>2554</v>
      </c>
    </row>
    <row r="888" spans="1:13">
      <c r="A888" t="s">
        <v>13</v>
      </c>
      <c r="B888">
        <v>934375</v>
      </c>
      <c r="C888">
        <v>935322</v>
      </c>
      <c r="E888" t="s">
        <v>14</v>
      </c>
      <c r="F888" t="s">
        <v>1090</v>
      </c>
      <c r="H888">
        <v>1018875</v>
      </c>
      <c r="I888" t="s">
        <v>17</v>
      </c>
      <c r="K888" t="s">
        <v>2555</v>
      </c>
      <c r="L888">
        <v>315</v>
      </c>
      <c r="M888" t="s">
        <v>2556</v>
      </c>
    </row>
    <row r="889" spans="1:13">
      <c r="A889" t="s">
        <v>13</v>
      </c>
      <c r="B889">
        <v>935351</v>
      </c>
      <c r="C889">
        <v>936610</v>
      </c>
      <c r="E889" t="s">
        <v>14</v>
      </c>
      <c r="F889" t="s">
        <v>2557</v>
      </c>
      <c r="G889" t="s">
        <v>2558</v>
      </c>
      <c r="H889">
        <v>1018876</v>
      </c>
      <c r="I889" t="s">
        <v>17</v>
      </c>
      <c r="K889" t="s">
        <v>2559</v>
      </c>
      <c r="L889">
        <v>419</v>
      </c>
      <c r="M889" t="s">
        <v>2560</v>
      </c>
    </row>
    <row r="890" spans="1:13">
      <c r="A890" t="s">
        <v>13</v>
      </c>
      <c r="B890">
        <v>936615</v>
      </c>
      <c r="C890">
        <v>937277</v>
      </c>
      <c r="E890" t="s">
        <v>14</v>
      </c>
      <c r="F890" t="s">
        <v>549</v>
      </c>
      <c r="H890">
        <v>1018877</v>
      </c>
      <c r="I890" t="s">
        <v>17</v>
      </c>
      <c r="K890" t="s">
        <v>2561</v>
      </c>
      <c r="L890">
        <v>220</v>
      </c>
      <c r="M890" t="s">
        <v>2562</v>
      </c>
    </row>
    <row r="891" spans="1:13">
      <c r="A891" t="s">
        <v>13</v>
      </c>
      <c r="B891">
        <v>937391</v>
      </c>
      <c r="C891">
        <v>938404</v>
      </c>
      <c r="E891" t="s">
        <v>14</v>
      </c>
      <c r="F891" t="s">
        <v>2563</v>
      </c>
      <c r="G891" t="s">
        <v>2564</v>
      </c>
      <c r="H891">
        <v>1018878</v>
      </c>
      <c r="I891" t="s">
        <v>17</v>
      </c>
      <c r="K891" t="s">
        <v>2565</v>
      </c>
      <c r="L891">
        <v>337</v>
      </c>
      <c r="M891" t="s">
        <v>2566</v>
      </c>
    </row>
    <row r="892" spans="1:13">
      <c r="A892" t="s">
        <v>13</v>
      </c>
      <c r="B892">
        <v>938427</v>
      </c>
      <c r="C892">
        <v>939629</v>
      </c>
      <c r="E892" t="s">
        <v>14</v>
      </c>
      <c r="F892" t="s">
        <v>2459</v>
      </c>
      <c r="H892">
        <v>1018879</v>
      </c>
      <c r="I892" t="s">
        <v>17</v>
      </c>
      <c r="K892" t="s">
        <v>2567</v>
      </c>
      <c r="L892">
        <v>400</v>
      </c>
      <c r="M892" t="s">
        <v>2568</v>
      </c>
    </row>
    <row r="893" spans="1:13">
      <c r="A893" t="s">
        <v>13</v>
      </c>
      <c r="B893">
        <v>939686</v>
      </c>
      <c r="C893">
        <v>940093</v>
      </c>
      <c r="E893" t="s">
        <v>14</v>
      </c>
      <c r="F893" t="s">
        <v>1315</v>
      </c>
      <c r="H893">
        <v>1018880</v>
      </c>
      <c r="I893" t="s">
        <v>17</v>
      </c>
      <c r="K893" t="s">
        <v>2569</v>
      </c>
      <c r="L893">
        <v>135</v>
      </c>
      <c r="M893" t="s">
        <v>2570</v>
      </c>
    </row>
    <row r="894" spans="1:13">
      <c r="A894" t="s">
        <v>13</v>
      </c>
      <c r="B894">
        <v>940086</v>
      </c>
      <c r="C894">
        <v>940757</v>
      </c>
      <c r="E894" t="s">
        <v>14</v>
      </c>
      <c r="F894" t="s">
        <v>2571</v>
      </c>
      <c r="H894">
        <v>1018881</v>
      </c>
      <c r="I894" t="s">
        <v>17</v>
      </c>
      <c r="K894" t="s">
        <v>2572</v>
      </c>
      <c r="L894">
        <v>223</v>
      </c>
      <c r="M894" t="s">
        <v>2573</v>
      </c>
    </row>
    <row r="895" spans="1:13">
      <c r="A895" t="s">
        <v>13</v>
      </c>
      <c r="B895">
        <v>940768</v>
      </c>
      <c r="C895">
        <v>941928</v>
      </c>
      <c r="E895" t="s">
        <v>14</v>
      </c>
      <c r="F895" t="s">
        <v>2574</v>
      </c>
      <c r="H895">
        <v>1018882</v>
      </c>
      <c r="I895" t="s">
        <v>17</v>
      </c>
      <c r="K895" t="s">
        <v>2575</v>
      </c>
      <c r="L895">
        <v>386</v>
      </c>
      <c r="M895" t="s">
        <v>2576</v>
      </c>
    </row>
    <row r="896" spans="1:13">
      <c r="A896" t="s">
        <v>13</v>
      </c>
      <c r="B896">
        <v>942378</v>
      </c>
      <c r="C896">
        <v>943940</v>
      </c>
      <c r="E896" t="s">
        <v>38</v>
      </c>
      <c r="F896" t="s">
        <v>2577</v>
      </c>
      <c r="H896">
        <v>1018883</v>
      </c>
      <c r="I896" t="s">
        <v>17</v>
      </c>
      <c r="K896" t="s">
        <v>2578</v>
      </c>
      <c r="L896">
        <v>520</v>
      </c>
      <c r="M896" t="s">
        <v>2579</v>
      </c>
    </row>
    <row r="897" spans="1:13">
      <c r="A897" t="s">
        <v>13</v>
      </c>
      <c r="B897">
        <v>943988</v>
      </c>
      <c r="C897">
        <v>944836</v>
      </c>
      <c r="E897" t="s">
        <v>14</v>
      </c>
      <c r="F897" t="s">
        <v>2580</v>
      </c>
      <c r="G897" t="s">
        <v>2581</v>
      </c>
      <c r="H897">
        <v>1018884</v>
      </c>
      <c r="I897" t="s">
        <v>17</v>
      </c>
      <c r="K897" t="s">
        <v>2582</v>
      </c>
      <c r="L897">
        <v>282</v>
      </c>
      <c r="M897" t="s">
        <v>2583</v>
      </c>
    </row>
    <row r="898" spans="1:13">
      <c r="A898" t="s">
        <v>13</v>
      </c>
      <c r="B898">
        <v>944996</v>
      </c>
      <c r="C898">
        <v>946783</v>
      </c>
      <c r="E898" t="s">
        <v>14</v>
      </c>
      <c r="F898" t="s">
        <v>2584</v>
      </c>
      <c r="G898" t="s">
        <v>2585</v>
      </c>
      <c r="H898">
        <v>1018885</v>
      </c>
      <c r="I898" t="s">
        <v>17</v>
      </c>
      <c r="K898" t="s">
        <v>2586</v>
      </c>
      <c r="L898">
        <v>595</v>
      </c>
      <c r="M898" t="s">
        <v>2587</v>
      </c>
    </row>
    <row r="899" spans="1:13">
      <c r="A899" t="s">
        <v>13</v>
      </c>
      <c r="B899">
        <v>946840</v>
      </c>
      <c r="C899">
        <v>948672</v>
      </c>
      <c r="E899" t="s">
        <v>14</v>
      </c>
      <c r="F899" t="s">
        <v>2588</v>
      </c>
      <c r="G899" t="s">
        <v>2589</v>
      </c>
      <c r="H899">
        <v>1018886</v>
      </c>
      <c r="I899" t="s">
        <v>17</v>
      </c>
      <c r="K899" t="s">
        <v>2590</v>
      </c>
      <c r="L899">
        <v>610</v>
      </c>
      <c r="M899" t="s">
        <v>2591</v>
      </c>
    </row>
    <row r="900" spans="1:13">
      <c r="A900" t="s">
        <v>13</v>
      </c>
      <c r="B900">
        <v>948791</v>
      </c>
      <c r="C900">
        <v>950842</v>
      </c>
      <c r="E900" t="s">
        <v>14</v>
      </c>
      <c r="F900" t="s">
        <v>2592</v>
      </c>
      <c r="H900">
        <v>1018887</v>
      </c>
      <c r="I900" t="s">
        <v>17</v>
      </c>
      <c r="K900" t="s">
        <v>2593</v>
      </c>
      <c r="L900">
        <v>683</v>
      </c>
      <c r="M900" t="s">
        <v>2594</v>
      </c>
    </row>
    <row r="901" spans="1:13">
      <c r="A901" t="s">
        <v>13</v>
      </c>
      <c r="B901">
        <v>950825</v>
      </c>
      <c r="C901">
        <v>951460</v>
      </c>
      <c r="E901" t="s">
        <v>38</v>
      </c>
      <c r="F901" t="s">
        <v>2595</v>
      </c>
      <c r="H901">
        <v>1018888</v>
      </c>
      <c r="I901" t="s">
        <v>17</v>
      </c>
      <c r="K901" t="s">
        <v>2596</v>
      </c>
      <c r="L901">
        <v>211</v>
      </c>
      <c r="M901" t="s">
        <v>2597</v>
      </c>
    </row>
    <row r="902" spans="1:13">
      <c r="A902" t="s">
        <v>13</v>
      </c>
      <c r="B902">
        <v>951556</v>
      </c>
      <c r="C902">
        <v>951654</v>
      </c>
      <c r="E902" t="s">
        <v>14</v>
      </c>
      <c r="F902" t="s">
        <v>49</v>
      </c>
      <c r="H902">
        <v>92792290</v>
      </c>
      <c r="I902" t="s">
        <v>17</v>
      </c>
      <c r="K902" t="s">
        <v>2598</v>
      </c>
      <c r="L902">
        <v>32</v>
      </c>
      <c r="M902" t="s">
        <v>2599</v>
      </c>
    </row>
    <row r="903" spans="1:13">
      <c r="A903" t="s">
        <v>13</v>
      </c>
      <c r="B903">
        <v>951831</v>
      </c>
      <c r="C903">
        <v>952991</v>
      </c>
      <c r="E903" t="s">
        <v>38</v>
      </c>
      <c r="F903" t="s">
        <v>2600</v>
      </c>
      <c r="H903">
        <v>1018889</v>
      </c>
      <c r="I903" t="s">
        <v>17</v>
      </c>
      <c r="K903" t="s">
        <v>2601</v>
      </c>
      <c r="L903">
        <v>386</v>
      </c>
      <c r="M903" t="s">
        <v>2602</v>
      </c>
    </row>
    <row r="904" spans="1:13">
      <c r="A904" t="s">
        <v>13</v>
      </c>
      <c r="B904">
        <v>953040</v>
      </c>
      <c r="C904">
        <v>953573</v>
      </c>
      <c r="E904" t="s">
        <v>38</v>
      </c>
      <c r="F904" t="s">
        <v>1018</v>
      </c>
      <c r="H904">
        <v>1018890</v>
      </c>
      <c r="I904" t="s">
        <v>17</v>
      </c>
      <c r="K904" t="s">
        <v>2603</v>
      </c>
      <c r="L904">
        <v>177</v>
      </c>
      <c r="M904" t="s">
        <v>2604</v>
      </c>
    </row>
    <row r="905" spans="1:13">
      <c r="A905" t="s">
        <v>13</v>
      </c>
      <c r="B905">
        <v>953717</v>
      </c>
      <c r="C905">
        <v>954909</v>
      </c>
      <c r="E905" t="s">
        <v>14</v>
      </c>
      <c r="F905" t="s">
        <v>141</v>
      </c>
      <c r="H905">
        <v>44144940</v>
      </c>
      <c r="I905" t="s">
        <v>142</v>
      </c>
      <c r="M905" t="s">
        <v>2605</v>
      </c>
    </row>
    <row r="906" spans="1:13">
      <c r="A906" t="s">
        <v>13</v>
      </c>
      <c r="B906">
        <v>954950</v>
      </c>
      <c r="C906">
        <v>955292</v>
      </c>
      <c r="E906" t="s">
        <v>14</v>
      </c>
      <c r="F906" t="s">
        <v>141</v>
      </c>
      <c r="H906">
        <v>1018893</v>
      </c>
      <c r="I906" t="s">
        <v>142</v>
      </c>
      <c r="M906" t="s">
        <v>2606</v>
      </c>
    </row>
    <row r="907" spans="1:13">
      <c r="A907" t="s">
        <v>13</v>
      </c>
      <c r="B907">
        <v>955683</v>
      </c>
      <c r="C907">
        <v>957398</v>
      </c>
      <c r="E907" t="s">
        <v>38</v>
      </c>
      <c r="F907" t="s">
        <v>2607</v>
      </c>
      <c r="G907" t="s">
        <v>2608</v>
      </c>
      <c r="H907">
        <v>1018894</v>
      </c>
      <c r="I907" t="s">
        <v>17</v>
      </c>
      <c r="K907" t="s">
        <v>2609</v>
      </c>
      <c r="L907">
        <v>571</v>
      </c>
      <c r="M907" t="s">
        <v>2610</v>
      </c>
    </row>
    <row r="908" spans="1:13">
      <c r="A908" t="s">
        <v>13</v>
      </c>
      <c r="B908">
        <v>957841</v>
      </c>
      <c r="C908">
        <v>958998</v>
      </c>
      <c r="E908" t="s">
        <v>38</v>
      </c>
      <c r="F908" t="s">
        <v>2611</v>
      </c>
      <c r="H908">
        <v>1018895</v>
      </c>
      <c r="I908" t="s">
        <v>17</v>
      </c>
      <c r="K908" t="s">
        <v>2612</v>
      </c>
      <c r="L908">
        <v>385</v>
      </c>
      <c r="M908" t="s">
        <v>2613</v>
      </c>
    </row>
    <row r="909" spans="1:13">
      <c r="A909" t="s">
        <v>13</v>
      </c>
      <c r="B909">
        <v>959825</v>
      </c>
      <c r="C909">
        <v>961017</v>
      </c>
      <c r="E909" t="s">
        <v>14</v>
      </c>
      <c r="F909" t="s">
        <v>141</v>
      </c>
      <c r="H909">
        <v>44144941</v>
      </c>
      <c r="I909" t="s">
        <v>142</v>
      </c>
      <c r="M909" t="s">
        <v>2614</v>
      </c>
    </row>
    <row r="910" spans="1:13">
      <c r="A910" t="s">
        <v>13</v>
      </c>
      <c r="B910">
        <v>961297</v>
      </c>
      <c r="C910">
        <v>961656</v>
      </c>
      <c r="E910" t="s">
        <v>14</v>
      </c>
      <c r="F910" t="s">
        <v>2615</v>
      </c>
      <c r="H910">
        <v>1018898</v>
      </c>
      <c r="I910" t="s">
        <v>17</v>
      </c>
      <c r="K910" t="s">
        <v>2616</v>
      </c>
      <c r="L910">
        <v>119</v>
      </c>
      <c r="M910" t="s">
        <v>2617</v>
      </c>
    </row>
    <row r="911" spans="1:13">
      <c r="A911" t="s">
        <v>13</v>
      </c>
      <c r="B911">
        <v>961614</v>
      </c>
      <c r="C911">
        <v>962252</v>
      </c>
      <c r="E911" t="s">
        <v>14</v>
      </c>
      <c r="F911" t="s">
        <v>2618</v>
      </c>
      <c r="H911">
        <v>1018899</v>
      </c>
      <c r="I911" t="s">
        <v>17</v>
      </c>
      <c r="K911" t="s">
        <v>2619</v>
      </c>
      <c r="L911">
        <v>212</v>
      </c>
      <c r="M911" t="s">
        <v>2620</v>
      </c>
    </row>
    <row r="912" spans="1:13">
      <c r="A912" t="s">
        <v>13</v>
      </c>
      <c r="B912">
        <v>962809</v>
      </c>
      <c r="C912">
        <v>963642</v>
      </c>
      <c r="E912" t="s">
        <v>14</v>
      </c>
      <c r="F912" t="s">
        <v>2621</v>
      </c>
      <c r="H912">
        <v>1018900</v>
      </c>
      <c r="I912" t="s">
        <v>17</v>
      </c>
      <c r="K912" t="s">
        <v>2622</v>
      </c>
      <c r="L912">
        <v>277</v>
      </c>
      <c r="M912" t="s">
        <v>2623</v>
      </c>
    </row>
    <row r="913" spans="1:13">
      <c r="A913" t="s">
        <v>13</v>
      </c>
      <c r="B913">
        <v>963813</v>
      </c>
      <c r="C913">
        <v>964937</v>
      </c>
      <c r="E913" t="s">
        <v>14</v>
      </c>
      <c r="F913" t="s">
        <v>2624</v>
      </c>
      <c r="G913" t="s">
        <v>2625</v>
      </c>
      <c r="H913">
        <v>1018901</v>
      </c>
      <c r="I913" t="s">
        <v>17</v>
      </c>
      <c r="K913" t="s">
        <v>2626</v>
      </c>
      <c r="L913">
        <v>374</v>
      </c>
      <c r="M913" t="s">
        <v>2627</v>
      </c>
    </row>
    <row r="914" spans="1:13">
      <c r="A914" t="s">
        <v>13</v>
      </c>
      <c r="B914">
        <v>964974</v>
      </c>
      <c r="C914">
        <v>965855</v>
      </c>
      <c r="E914" t="s">
        <v>14</v>
      </c>
      <c r="F914" t="s">
        <v>2628</v>
      </c>
      <c r="G914" t="s">
        <v>2629</v>
      </c>
      <c r="H914">
        <v>1018902</v>
      </c>
      <c r="I914" t="s">
        <v>17</v>
      </c>
      <c r="K914" t="s">
        <v>2630</v>
      </c>
      <c r="L914">
        <v>293</v>
      </c>
      <c r="M914" t="s">
        <v>2631</v>
      </c>
    </row>
    <row r="915" spans="1:13">
      <c r="A915" t="s">
        <v>13</v>
      </c>
      <c r="B915">
        <v>965852</v>
      </c>
      <c r="C915">
        <v>966787</v>
      </c>
      <c r="E915" t="s">
        <v>14</v>
      </c>
      <c r="F915" t="s">
        <v>2632</v>
      </c>
      <c r="H915">
        <v>1018903</v>
      </c>
      <c r="I915" t="s">
        <v>17</v>
      </c>
      <c r="K915" t="s">
        <v>2633</v>
      </c>
      <c r="L915">
        <v>311</v>
      </c>
      <c r="M915" t="s">
        <v>2634</v>
      </c>
    </row>
    <row r="916" spans="1:13">
      <c r="A916" t="s">
        <v>13</v>
      </c>
      <c r="B916">
        <v>966828</v>
      </c>
      <c r="C916">
        <v>968663</v>
      </c>
      <c r="E916" t="s">
        <v>14</v>
      </c>
      <c r="F916" t="s">
        <v>2635</v>
      </c>
      <c r="H916">
        <v>1018904</v>
      </c>
      <c r="I916" t="s">
        <v>17</v>
      </c>
      <c r="K916" t="s">
        <v>2636</v>
      </c>
      <c r="L916">
        <v>611</v>
      </c>
      <c r="M916" t="s">
        <v>2637</v>
      </c>
    </row>
    <row r="917" spans="1:13">
      <c r="A917" t="s">
        <v>13</v>
      </c>
      <c r="B917">
        <v>968667</v>
      </c>
      <c r="C917">
        <v>969461</v>
      </c>
      <c r="E917" t="s">
        <v>14</v>
      </c>
      <c r="F917" t="s">
        <v>2638</v>
      </c>
      <c r="H917">
        <v>1018905</v>
      </c>
      <c r="I917" t="s">
        <v>17</v>
      </c>
      <c r="K917" t="s">
        <v>2639</v>
      </c>
      <c r="L917">
        <v>264</v>
      </c>
      <c r="M917" t="s">
        <v>2640</v>
      </c>
    </row>
    <row r="918" spans="1:13">
      <c r="A918" t="s">
        <v>13</v>
      </c>
      <c r="B918">
        <v>969458</v>
      </c>
      <c r="C918">
        <v>969940</v>
      </c>
      <c r="E918" t="s">
        <v>38</v>
      </c>
      <c r="F918" t="s">
        <v>2641</v>
      </c>
      <c r="H918">
        <v>1018906</v>
      </c>
      <c r="I918" t="s">
        <v>17</v>
      </c>
      <c r="K918" t="s">
        <v>2642</v>
      </c>
      <c r="L918">
        <v>160</v>
      </c>
      <c r="M918" t="s">
        <v>2643</v>
      </c>
    </row>
    <row r="919" spans="1:13">
      <c r="A919" t="s">
        <v>13</v>
      </c>
      <c r="B919">
        <v>970029</v>
      </c>
      <c r="C919">
        <v>970352</v>
      </c>
      <c r="E919" t="s">
        <v>14</v>
      </c>
      <c r="F919" t="s">
        <v>1924</v>
      </c>
      <c r="H919">
        <v>1018907</v>
      </c>
      <c r="I919" t="s">
        <v>17</v>
      </c>
      <c r="K919" t="s">
        <v>2644</v>
      </c>
      <c r="L919">
        <v>107</v>
      </c>
      <c r="M919" t="s">
        <v>2645</v>
      </c>
    </row>
    <row r="920" spans="1:13">
      <c r="A920" t="s">
        <v>13</v>
      </c>
      <c r="B920">
        <v>970418</v>
      </c>
      <c r="C920">
        <v>970741</v>
      </c>
      <c r="E920" t="s">
        <v>14</v>
      </c>
      <c r="F920" t="s">
        <v>2646</v>
      </c>
      <c r="H920">
        <v>1018908</v>
      </c>
      <c r="I920" t="s">
        <v>17</v>
      </c>
      <c r="K920" t="s">
        <v>2647</v>
      </c>
      <c r="L920">
        <v>107</v>
      </c>
      <c r="M920" t="s">
        <v>2648</v>
      </c>
    </row>
    <row r="921" spans="1:13">
      <c r="A921" t="s">
        <v>13</v>
      </c>
      <c r="B921">
        <v>970864</v>
      </c>
      <c r="C921">
        <v>971826</v>
      </c>
      <c r="E921" t="s">
        <v>14</v>
      </c>
      <c r="F921" t="s">
        <v>2649</v>
      </c>
      <c r="G921" t="s">
        <v>2650</v>
      </c>
      <c r="H921">
        <v>1018909</v>
      </c>
      <c r="I921" t="s">
        <v>17</v>
      </c>
      <c r="K921" t="s">
        <v>2651</v>
      </c>
      <c r="L921">
        <v>320</v>
      </c>
      <c r="M921" t="s">
        <v>2652</v>
      </c>
    </row>
    <row r="922" spans="1:13">
      <c r="A922" t="s">
        <v>13</v>
      </c>
      <c r="B922">
        <v>972241</v>
      </c>
      <c r="C922">
        <v>973035</v>
      </c>
      <c r="E922" t="s">
        <v>38</v>
      </c>
      <c r="F922" t="s">
        <v>2653</v>
      </c>
      <c r="H922">
        <v>1018910</v>
      </c>
      <c r="I922" t="s">
        <v>17</v>
      </c>
      <c r="K922" t="s">
        <v>2654</v>
      </c>
      <c r="L922">
        <v>264</v>
      </c>
      <c r="M922" t="s">
        <v>2655</v>
      </c>
    </row>
    <row r="923" spans="1:13">
      <c r="A923" t="s">
        <v>13</v>
      </c>
      <c r="B923">
        <v>973139</v>
      </c>
      <c r="C923">
        <v>974158</v>
      </c>
      <c r="E923" t="s">
        <v>14</v>
      </c>
      <c r="F923" t="s">
        <v>2656</v>
      </c>
      <c r="H923">
        <v>1018911</v>
      </c>
      <c r="I923" t="s">
        <v>17</v>
      </c>
      <c r="K923" t="s">
        <v>2657</v>
      </c>
      <c r="L923">
        <v>339</v>
      </c>
      <c r="M923" t="s">
        <v>2658</v>
      </c>
    </row>
    <row r="924" spans="1:13">
      <c r="A924" t="s">
        <v>13</v>
      </c>
      <c r="B924">
        <v>974243</v>
      </c>
      <c r="C924">
        <v>974965</v>
      </c>
      <c r="E924" t="s">
        <v>14</v>
      </c>
      <c r="F924" t="s">
        <v>49</v>
      </c>
      <c r="H924">
        <v>1018912</v>
      </c>
      <c r="I924" t="s">
        <v>17</v>
      </c>
      <c r="K924" t="s">
        <v>2659</v>
      </c>
      <c r="L924">
        <v>240</v>
      </c>
      <c r="M924" t="s">
        <v>2660</v>
      </c>
    </row>
    <row r="925" spans="1:13">
      <c r="A925" t="s">
        <v>13</v>
      </c>
      <c r="B925">
        <v>974962</v>
      </c>
      <c r="C925">
        <v>976158</v>
      </c>
      <c r="E925" t="s">
        <v>38</v>
      </c>
      <c r="F925" t="s">
        <v>2661</v>
      </c>
      <c r="H925">
        <v>1018913</v>
      </c>
      <c r="I925" t="s">
        <v>17</v>
      </c>
      <c r="K925" t="s">
        <v>2662</v>
      </c>
      <c r="L925">
        <v>398</v>
      </c>
      <c r="M925" t="s">
        <v>2663</v>
      </c>
    </row>
    <row r="926" spans="1:13">
      <c r="A926" t="s">
        <v>13</v>
      </c>
      <c r="B926">
        <v>976286</v>
      </c>
      <c r="C926">
        <v>977737</v>
      </c>
      <c r="E926" t="s">
        <v>14</v>
      </c>
      <c r="F926" t="s">
        <v>391</v>
      </c>
      <c r="H926">
        <v>1018914</v>
      </c>
      <c r="I926" t="s">
        <v>17</v>
      </c>
      <c r="K926" t="s">
        <v>2664</v>
      </c>
      <c r="L926">
        <v>483</v>
      </c>
      <c r="M926" t="s">
        <v>2665</v>
      </c>
    </row>
    <row r="927" spans="1:13">
      <c r="A927" t="s">
        <v>13</v>
      </c>
      <c r="B927">
        <v>977797</v>
      </c>
      <c r="C927">
        <v>978378</v>
      </c>
      <c r="E927" t="s">
        <v>38</v>
      </c>
      <c r="F927" t="s">
        <v>1126</v>
      </c>
      <c r="H927">
        <v>1018915</v>
      </c>
      <c r="I927" t="s">
        <v>17</v>
      </c>
      <c r="K927" t="s">
        <v>2666</v>
      </c>
      <c r="L927">
        <v>193</v>
      </c>
      <c r="M927" t="s">
        <v>2667</v>
      </c>
    </row>
    <row r="928" spans="1:13">
      <c r="A928" t="s">
        <v>13</v>
      </c>
      <c r="B928">
        <v>978365</v>
      </c>
      <c r="C928">
        <v>980740</v>
      </c>
      <c r="E928" t="s">
        <v>38</v>
      </c>
      <c r="F928" t="s">
        <v>708</v>
      </c>
      <c r="H928">
        <v>1018916</v>
      </c>
      <c r="I928" t="s">
        <v>17</v>
      </c>
      <c r="K928" t="s">
        <v>2668</v>
      </c>
      <c r="L928">
        <v>791</v>
      </c>
      <c r="M928" t="s">
        <v>2669</v>
      </c>
    </row>
    <row r="929" spans="1:13">
      <c r="A929" t="s">
        <v>13</v>
      </c>
      <c r="B929">
        <v>980987</v>
      </c>
      <c r="C929">
        <v>981493</v>
      </c>
      <c r="E929" t="s">
        <v>14</v>
      </c>
      <c r="F929" t="s">
        <v>2670</v>
      </c>
      <c r="G929" t="s">
        <v>2671</v>
      </c>
      <c r="H929">
        <v>1018917</v>
      </c>
      <c r="I929" t="s">
        <v>17</v>
      </c>
      <c r="K929" t="s">
        <v>2672</v>
      </c>
      <c r="L929">
        <v>168</v>
      </c>
      <c r="M929" t="s">
        <v>2673</v>
      </c>
    </row>
    <row r="930" spans="1:13">
      <c r="A930" t="s">
        <v>13</v>
      </c>
      <c r="B930">
        <v>981658</v>
      </c>
      <c r="C930">
        <v>982290</v>
      </c>
      <c r="E930" t="s">
        <v>14</v>
      </c>
      <c r="F930" t="s">
        <v>49</v>
      </c>
      <c r="H930">
        <v>1018918</v>
      </c>
      <c r="I930" t="s">
        <v>17</v>
      </c>
      <c r="K930" t="s">
        <v>2674</v>
      </c>
      <c r="L930">
        <v>210</v>
      </c>
      <c r="M930" t="s">
        <v>2675</v>
      </c>
    </row>
    <row r="931" spans="1:13">
      <c r="A931" t="s">
        <v>13</v>
      </c>
      <c r="B931">
        <v>982291</v>
      </c>
      <c r="C931">
        <v>982725</v>
      </c>
      <c r="E931" t="s">
        <v>38</v>
      </c>
      <c r="F931" t="s">
        <v>141</v>
      </c>
      <c r="H931">
        <v>1018919</v>
      </c>
      <c r="I931" t="s">
        <v>142</v>
      </c>
      <c r="M931" t="s">
        <v>2676</v>
      </c>
    </row>
    <row r="932" spans="1:13">
      <c r="A932" t="s">
        <v>13</v>
      </c>
      <c r="B932">
        <v>983100</v>
      </c>
      <c r="C932">
        <v>984653</v>
      </c>
      <c r="E932" t="s">
        <v>14</v>
      </c>
      <c r="F932" t="s">
        <v>2205</v>
      </c>
      <c r="H932">
        <v>1018920</v>
      </c>
      <c r="I932" t="s">
        <v>17</v>
      </c>
      <c r="K932" t="s">
        <v>2677</v>
      </c>
      <c r="L932">
        <v>517</v>
      </c>
      <c r="M932" t="s">
        <v>2678</v>
      </c>
    </row>
    <row r="933" spans="1:13">
      <c r="A933" t="s">
        <v>13</v>
      </c>
      <c r="B933">
        <v>984861</v>
      </c>
      <c r="C933">
        <v>986510</v>
      </c>
      <c r="E933" t="s">
        <v>38</v>
      </c>
      <c r="F933" t="s">
        <v>2679</v>
      </c>
      <c r="H933">
        <v>1018921</v>
      </c>
      <c r="I933" t="s">
        <v>17</v>
      </c>
      <c r="K933" t="s">
        <v>2680</v>
      </c>
      <c r="L933">
        <v>549</v>
      </c>
      <c r="M933" t="s">
        <v>2681</v>
      </c>
    </row>
    <row r="934" spans="1:13">
      <c r="A934" t="s">
        <v>13</v>
      </c>
      <c r="B934">
        <v>986739</v>
      </c>
      <c r="C934">
        <v>988010</v>
      </c>
      <c r="E934" t="s">
        <v>14</v>
      </c>
      <c r="F934" t="s">
        <v>2682</v>
      </c>
      <c r="G934" t="s">
        <v>2683</v>
      </c>
      <c r="H934">
        <v>1018922</v>
      </c>
      <c r="I934" t="s">
        <v>17</v>
      </c>
      <c r="K934" t="s">
        <v>2684</v>
      </c>
      <c r="L934">
        <v>423</v>
      </c>
      <c r="M934" t="s">
        <v>2685</v>
      </c>
    </row>
    <row r="935" spans="1:13">
      <c r="A935" t="s">
        <v>13</v>
      </c>
      <c r="B935">
        <v>988023</v>
      </c>
      <c r="C935">
        <v>988907</v>
      </c>
      <c r="E935" t="s">
        <v>14</v>
      </c>
      <c r="F935" t="s">
        <v>2686</v>
      </c>
      <c r="G935" t="s">
        <v>2687</v>
      </c>
      <c r="H935">
        <v>1018923</v>
      </c>
      <c r="I935" t="s">
        <v>17</v>
      </c>
      <c r="K935" t="s">
        <v>2688</v>
      </c>
      <c r="L935">
        <v>294</v>
      </c>
      <c r="M935" t="s">
        <v>2689</v>
      </c>
    </row>
    <row r="936" spans="1:13">
      <c r="A936" t="s">
        <v>13</v>
      </c>
      <c r="B936">
        <v>988904</v>
      </c>
      <c r="C936">
        <v>989983</v>
      </c>
      <c r="E936" t="s">
        <v>14</v>
      </c>
      <c r="F936" t="s">
        <v>2690</v>
      </c>
      <c r="G936" t="s">
        <v>2691</v>
      </c>
      <c r="H936">
        <v>1018924</v>
      </c>
      <c r="I936" t="s">
        <v>17</v>
      </c>
      <c r="K936" t="s">
        <v>2692</v>
      </c>
      <c r="L936">
        <v>359</v>
      </c>
      <c r="M936" t="s">
        <v>2693</v>
      </c>
    </row>
    <row r="937" spans="1:13">
      <c r="A937" t="s">
        <v>13</v>
      </c>
      <c r="B937">
        <v>989980</v>
      </c>
      <c r="C937">
        <v>990708</v>
      </c>
      <c r="E937" t="s">
        <v>14</v>
      </c>
      <c r="F937" t="s">
        <v>2694</v>
      </c>
      <c r="G937" t="s">
        <v>2695</v>
      </c>
      <c r="H937">
        <v>1018925</v>
      </c>
      <c r="I937" t="s">
        <v>17</v>
      </c>
      <c r="K937" t="s">
        <v>2696</v>
      </c>
      <c r="L937">
        <v>242</v>
      </c>
      <c r="M937" t="s">
        <v>2697</v>
      </c>
    </row>
    <row r="938" spans="1:13">
      <c r="A938" t="s">
        <v>13</v>
      </c>
      <c r="B938">
        <v>990716</v>
      </c>
      <c r="C938">
        <v>991417</v>
      </c>
      <c r="E938" t="s">
        <v>14</v>
      </c>
      <c r="F938" t="s">
        <v>2698</v>
      </c>
      <c r="G938" t="s">
        <v>2699</v>
      </c>
      <c r="H938">
        <v>1018926</v>
      </c>
      <c r="I938" t="s">
        <v>17</v>
      </c>
      <c r="K938" t="s">
        <v>2700</v>
      </c>
      <c r="L938">
        <v>233</v>
      </c>
      <c r="M938" t="s">
        <v>2701</v>
      </c>
    </row>
    <row r="939" spans="1:13">
      <c r="A939" t="s">
        <v>13</v>
      </c>
      <c r="B939">
        <v>991414</v>
      </c>
      <c r="C939">
        <v>992028</v>
      </c>
      <c r="E939" t="s">
        <v>38</v>
      </c>
      <c r="F939" t="s">
        <v>2702</v>
      </c>
      <c r="G939" t="s">
        <v>2703</v>
      </c>
      <c r="H939">
        <v>1018927</v>
      </c>
      <c r="I939" t="s">
        <v>17</v>
      </c>
      <c r="K939" t="s">
        <v>2704</v>
      </c>
      <c r="L939">
        <v>204</v>
      </c>
      <c r="M939" t="s">
        <v>2705</v>
      </c>
    </row>
    <row r="940" spans="1:13">
      <c r="A940" t="s">
        <v>13</v>
      </c>
      <c r="B940">
        <v>992058</v>
      </c>
      <c r="C940">
        <v>993083</v>
      </c>
      <c r="E940" t="s">
        <v>14</v>
      </c>
      <c r="F940" t="s">
        <v>2706</v>
      </c>
      <c r="H940">
        <v>1018928</v>
      </c>
      <c r="I940" t="s">
        <v>17</v>
      </c>
      <c r="K940" t="s">
        <v>2707</v>
      </c>
      <c r="L940">
        <v>341</v>
      </c>
      <c r="M940" t="s">
        <v>2708</v>
      </c>
    </row>
    <row r="941" spans="1:13">
      <c r="A941" t="s">
        <v>13</v>
      </c>
      <c r="B941">
        <v>993174</v>
      </c>
      <c r="C941">
        <v>994616</v>
      </c>
      <c r="E941" t="s">
        <v>14</v>
      </c>
      <c r="F941" t="s">
        <v>2709</v>
      </c>
      <c r="H941">
        <v>1018929</v>
      </c>
      <c r="I941" t="s">
        <v>17</v>
      </c>
      <c r="K941" t="s">
        <v>2710</v>
      </c>
      <c r="L941">
        <v>480</v>
      </c>
      <c r="M941" t="s">
        <v>2711</v>
      </c>
    </row>
    <row r="942" spans="1:13">
      <c r="A942" t="s">
        <v>13</v>
      </c>
      <c r="B942">
        <v>994650</v>
      </c>
      <c r="C942">
        <v>994841</v>
      </c>
      <c r="E942" t="s">
        <v>14</v>
      </c>
      <c r="F942" t="s">
        <v>49</v>
      </c>
      <c r="H942">
        <v>44144942</v>
      </c>
      <c r="I942" t="s">
        <v>17</v>
      </c>
      <c r="K942" t="s">
        <v>2712</v>
      </c>
      <c r="L942">
        <v>63</v>
      </c>
      <c r="M942" t="s">
        <v>2713</v>
      </c>
    </row>
    <row r="943" spans="1:13">
      <c r="A943" t="s">
        <v>13</v>
      </c>
      <c r="B943">
        <v>994842</v>
      </c>
      <c r="C943">
        <v>995375</v>
      </c>
      <c r="E943" t="s">
        <v>38</v>
      </c>
      <c r="F943" t="s">
        <v>2702</v>
      </c>
      <c r="G943" t="s">
        <v>2703</v>
      </c>
      <c r="H943">
        <v>1018930</v>
      </c>
      <c r="I943" t="s">
        <v>17</v>
      </c>
      <c r="K943" t="s">
        <v>2714</v>
      </c>
      <c r="L943">
        <v>177</v>
      </c>
      <c r="M943" t="s">
        <v>2715</v>
      </c>
    </row>
    <row r="944" spans="1:13">
      <c r="A944" t="s">
        <v>13</v>
      </c>
      <c r="B944">
        <v>995524</v>
      </c>
      <c r="C944">
        <v>996126</v>
      </c>
      <c r="E944" t="s">
        <v>38</v>
      </c>
      <c r="F944" t="s">
        <v>2716</v>
      </c>
      <c r="H944">
        <v>1018931</v>
      </c>
      <c r="I944" t="s">
        <v>17</v>
      </c>
      <c r="K944" t="s">
        <v>2717</v>
      </c>
      <c r="L944">
        <v>200</v>
      </c>
      <c r="M944" t="s">
        <v>2718</v>
      </c>
    </row>
    <row r="945" spans="1:13">
      <c r="A945" t="s">
        <v>13</v>
      </c>
      <c r="B945">
        <v>996402</v>
      </c>
      <c r="C945">
        <v>996833</v>
      </c>
      <c r="E945" t="s">
        <v>14</v>
      </c>
      <c r="F945" t="s">
        <v>356</v>
      </c>
      <c r="H945">
        <v>1018932</v>
      </c>
      <c r="I945" t="s">
        <v>17</v>
      </c>
      <c r="K945" t="s">
        <v>2719</v>
      </c>
      <c r="L945">
        <v>143</v>
      </c>
      <c r="M945" t="s">
        <v>2720</v>
      </c>
    </row>
    <row r="946" spans="1:13">
      <c r="A946" t="s">
        <v>13</v>
      </c>
      <c r="B946">
        <v>996830</v>
      </c>
      <c r="C946">
        <v>997456</v>
      </c>
      <c r="E946" t="s">
        <v>38</v>
      </c>
      <c r="F946" t="s">
        <v>2721</v>
      </c>
      <c r="H946">
        <v>1018933</v>
      </c>
      <c r="I946" t="s">
        <v>17</v>
      </c>
      <c r="K946" t="s">
        <v>2722</v>
      </c>
      <c r="L946">
        <v>208</v>
      </c>
      <c r="M946" t="s">
        <v>2723</v>
      </c>
    </row>
    <row r="947" spans="1:13">
      <c r="A947" t="s">
        <v>13</v>
      </c>
      <c r="B947">
        <v>997463</v>
      </c>
      <c r="C947">
        <v>998440</v>
      </c>
      <c r="E947" t="s">
        <v>38</v>
      </c>
      <c r="F947" t="s">
        <v>2724</v>
      </c>
      <c r="H947">
        <v>1018934</v>
      </c>
      <c r="I947" t="s">
        <v>17</v>
      </c>
      <c r="K947" t="s">
        <v>2725</v>
      </c>
      <c r="L947">
        <v>325</v>
      </c>
      <c r="M947" t="s">
        <v>2726</v>
      </c>
    </row>
    <row r="948" spans="1:13">
      <c r="A948" t="s">
        <v>13</v>
      </c>
      <c r="B948">
        <v>998452</v>
      </c>
      <c r="C948">
        <v>999909</v>
      </c>
      <c r="E948" t="s">
        <v>38</v>
      </c>
      <c r="F948" t="s">
        <v>2727</v>
      </c>
      <c r="G948" t="s">
        <v>2728</v>
      </c>
      <c r="H948">
        <v>1018935</v>
      </c>
      <c r="I948" t="s">
        <v>17</v>
      </c>
      <c r="K948" t="s">
        <v>2729</v>
      </c>
      <c r="L948">
        <v>485</v>
      </c>
      <c r="M948" t="s">
        <v>2730</v>
      </c>
    </row>
    <row r="949" spans="1:13">
      <c r="A949" t="s">
        <v>13</v>
      </c>
      <c r="B949">
        <v>1000013</v>
      </c>
      <c r="C949">
        <v>1001242</v>
      </c>
      <c r="E949" t="s">
        <v>38</v>
      </c>
      <c r="F949" t="s">
        <v>265</v>
      </c>
      <c r="H949">
        <v>1018936</v>
      </c>
      <c r="I949" t="s">
        <v>17</v>
      </c>
      <c r="K949" t="s">
        <v>2731</v>
      </c>
      <c r="L949">
        <v>409</v>
      </c>
      <c r="M949" t="s">
        <v>2732</v>
      </c>
    </row>
    <row r="950" spans="1:13">
      <c r="A950" t="s">
        <v>13</v>
      </c>
      <c r="B950">
        <v>1001326</v>
      </c>
      <c r="C950">
        <v>1002867</v>
      </c>
      <c r="E950" t="s">
        <v>14</v>
      </c>
      <c r="F950" t="s">
        <v>2733</v>
      </c>
      <c r="H950">
        <v>1018937</v>
      </c>
      <c r="I950" t="s">
        <v>17</v>
      </c>
      <c r="K950" t="s">
        <v>2734</v>
      </c>
      <c r="L950">
        <v>513</v>
      </c>
      <c r="M950" t="s">
        <v>2735</v>
      </c>
    </row>
    <row r="951" spans="1:13">
      <c r="A951" t="s">
        <v>13</v>
      </c>
      <c r="B951">
        <v>1003013</v>
      </c>
      <c r="C951">
        <v>1003933</v>
      </c>
      <c r="E951" t="s">
        <v>14</v>
      </c>
      <c r="F951" t="s">
        <v>147</v>
      </c>
      <c r="H951">
        <v>1018938</v>
      </c>
      <c r="I951" t="s">
        <v>17</v>
      </c>
      <c r="K951" t="s">
        <v>2736</v>
      </c>
      <c r="L951">
        <v>306</v>
      </c>
      <c r="M951" t="s">
        <v>2737</v>
      </c>
    </row>
    <row r="952" spans="1:13">
      <c r="A952" t="s">
        <v>13</v>
      </c>
      <c r="B952">
        <v>1003953</v>
      </c>
      <c r="C952">
        <v>1004786</v>
      </c>
      <c r="E952" t="s">
        <v>14</v>
      </c>
      <c r="F952" t="s">
        <v>124</v>
      </c>
      <c r="H952">
        <v>1018939</v>
      </c>
      <c r="I952" t="s">
        <v>17</v>
      </c>
      <c r="K952" t="s">
        <v>2738</v>
      </c>
      <c r="L952">
        <v>277</v>
      </c>
      <c r="M952" t="s">
        <v>2739</v>
      </c>
    </row>
    <row r="953" spans="1:13">
      <c r="A953" t="s">
        <v>13</v>
      </c>
      <c r="B953">
        <v>1004829</v>
      </c>
      <c r="C953">
        <v>1006088</v>
      </c>
      <c r="E953" t="s">
        <v>14</v>
      </c>
      <c r="F953" t="s">
        <v>237</v>
      </c>
      <c r="H953">
        <v>1018940</v>
      </c>
      <c r="I953" t="s">
        <v>17</v>
      </c>
      <c r="K953" t="s">
        <v>2740</v>
      </c>
      <c r="L953">
        <v>419</v>
      </c>
      <c r="M953" t="s">
        <v>2741</v>
      </c>
    </row>
    <row r="954" spans="1:13">
      <c r="A954" t="s">
        <v>13</v>
      </c>
      <c r="B954">
        <v>1006089</v>
      </c>
      <c r="C954">
        <v>1006700</v>
      </c>
      <c r="E954" t="s">
        <v>14</v>
      </c>
      <c r="F954" t="s">
        <v>835</v>
      </c>
      <c r="H954">
        <v>1018941</v>
      </c>
      <c r="I954" t="s">
        <v>17</v>
      </c>
      <c r="K954" t="s">
        <v>2742</v>
      </c>
      <c r="L954">
        <v>203</v>
      </c>
      <c r="M954" t="s">
        <v>2743</v>
      </c>
    </row>
    <row r="955" spans="1:13">
      <c r="A955" t="s">
        <v>13</v>
      </c>
      <c r="B955">
        <v>1006731</v>
      </c>
      <c r="C955">
        <v>1006865</v>
      </c>
      <c r="E955" t="s">
        <v>38</v>
      </c>
      <c r="F955" t="s">
        <v>49</v>
      </c>
      <c r="H955">
        <v>92792323</v>
      </c>
      <c r="I955" t="s">
        <v>17</v>
      </c>
      <c r="K955" t="s">
        <v>2744</v>
      </c>
      <c r="L955">
        <v>44</v>
      </c>
      <c r="M955" t="s">
        <v>2745</v>
      </c>
    </row>
    <row r="956" spans="1:13">
      <c r="A956" t="s">
        <v>13</v>
      </c>
      <c r="B956">
        <v>1007049</v>
      </c>
      <c r="C956">
        <v>1008155</v>
      </c>
      <c r="E956" t="s">
        <v>14</v>
      </c>
      <c r="F956" t="s">
        <v>1967</v>
      </c>
      <c r="H956">
        <v>1018942</v>
      </c>
      <c r="I956" t="s">
        <v>17</v>
      </c>
      <c r="K956" t="s">
        <v>2746</v>
      </c>
      <c r="L956">
        <v>368</v>
      </c>
      <c r="M956" t="s">
        <v>2747</v>
      </c>
    </row>
    <row r="957" spans="1:13">
      <c r="A957" t="s">
        <v>13</v>
      </c>
      <c r="B957">
        <v>1008259</v>
      </c>
      <c r="C957">
        <v>1008534</v>
      </c>
      <c r="E957" t="s">
        <v>14</v>
      </c>
      <c r="F957" t="s">
        <v>49</v>
      </c>
      <c r="H957">
        <v>44144943</v>
      </c>
      <c r="I957" t="s">
        <v>17</v>
      </c>
      <c r="K957" t="s">
        <v>2748</v>
      </c>
      <c r="L957">
        <v>91</v>
      </c>
      <c r="M957" t="s">
        <v>2749</v>
      </c>
    </row>
    <row r="958" spans="1:13">
      <c r="A958" t="s">
        <v>13</v>
      </c>
      <c r="B958">
        <v>1008664</v>
      </c>
      <c r="C958">
        <v>1010064</v>
      </c>
      <c r="E958" t="s">
        <v>14</v>
      </c>
      <c r="F958" t="s">
        <v>721</v>
      </c>
      <c r="H958">
        <v>1018943</v>
      </c>
      <c r="I958" t="s">
        <v>17</v>
      </c>
      <c r="K958" t="s">
        <v>2750</v>
      </c>
      <c r="L958">
        <v>466</v>
      </c>
      <c r="M958" t="s">
        <v>2751</v>
      </c>
    </row>
    <row r="959" spans="1:13">
      <c r="A959" t="s">
        <v>13</v>
      </c>
      <c r="B959">
        <v>1010057</v>
      </c>
      <c r="C959">
        <v>1011793</v>
      </c>
      <c r="E959" t="s">
        <v>14</v>
      </c>
      <c r="F959" t="s">
        <v>147</v>
      </c>
      <c r="H959">
        <v>1018944</v>
      </c>
      <c r="I959" t="s">
        <v>17</v>
      </c>
      <c r="K959" t="s">
        <v>2752</v>
      </c>
      <c r="L959">
        <v>578</v>
      </c>
      <c r="M959" t="s">
        <v>2753</v>
      </c>
    </row>
    <row r="960" spans="1:13">
      <c r="A960" t="s">
        <v>13</v>
      </c>
      <c r="B960">
        <v>1011794</v>
      </c>
      <c r="C960">
        <v>1013767</v>
      </c>
      <c r="E960" t="s">
        <v>38</v>
      </c>
      <c r="F960" t="s">
        <v>2754</v>
      </c>
      <c r="G960" t="s">
        <v>2755</v>
      </c>
      <c r="H960">
        <v>1018945</v>
      </c>
      <c r="I960" t="s">
        <v>17</v>
      </c>
      <c r="K960" t="s">
        <v>2756</v>
      </c>
      <c r="L960">
        <v>657</v>
      </c>
      <c r="M960" t="s">
        <v>2757</v>
      </c>
    </row>
    <row r="961" spans="1:13">
      <c r="A961" t="s">
        <v>13</v>
      </c>
      <c r="B961">
        <v>1014016</v>
      </c>
      <c r="C961">
        <v>1014267</v>
      </c>
      <c r="E961" t="s">
        <v>14</v>
      </c>
      <c r="F961" t="s">
        <v>49</v>
      </c>
      <c r="H961">
        <v>1018946</v>
      </c>
      <c r="I961" t="s">
        <v>17</v>
      </c>
      <c r="K961" t="s">
        <v>2758</v>
      </c>
      <c r="L961">
        <v>83</v>
      </c>
      <c r="M961" t="s">
        <v>2759</v>
      </c>
    </row>
    <row r="962" spans="1:13">
      <c r="A962" t="s">
        <v>13</v>
      </c>
      <c r="B962">
        <v>1014340</v>
      </c>
      <c r="C962">
        <v>1014765</v>
      </c>
      <c r="E962" t="s">
        <v>38</v>
      </c>
      <c r="F962" t="s">
        <v>1021</v>
      </c>
      <c r="H962">
        <v>1018947</v>
      </c>
      <c r="I962" t="s">
        <v>17</v>
      </c>
      <c r="K962" t="s">
        <v>2760</v>
      </c>
      <c r="L962">
        <v>141</v>
      </c>
      <c r="M962" t="s">
        <v>2761</v>
      </c>
    </row>
    <row r="963" spans="1:13">
      <c r="A963" t="s">
        <v>13</v>
      </c>
      <c r="B963">
        <v>1015142</v>
      </c>
      <c r="C963">
        <v>1015852</v>
      </c>
      <c r="E963" t="s">
        <v>38</v>
      </c>
      <c r="F963" t="s">
        <v>2762</v>
      </c>
      <c r="H963">
        <v>1018948</v>
      </c>
      <c r="I963" t="s">
        <v>17</v>
      </c>
      <c r="K963" t="s">
        <v>2763</v>
      </c>
      <c r="L963">
        <v>236</v>
      </c>
      <c r="M963" t="s">
        <v>2764</v>
      </c>
    </row>
    <row r="964" spans="1:13">
      <c r="A964" t="s">
        <v>13</v>
      </c>
      <c r="B964">
        <v>1015982</v>
      </c>
      <c r="C964">
        <v>1016563</v>
      </c>
      <c r="E964" t="s">
        <v>14</v>
      </c>
      <c r="F964" t="s">
        <v>49</v>
      </c>
      <c r="H964">
        <v>1018949</v>
      </c>
      <c r="I964" t="s">
        <v>17</v>
      </c>
      <c r="K964" t="s">
        <v>2765</v>
      </c>
      <c r="L964">
        <v>193</v>
      </c>
      <c r="M964" t="s">
        <v>2766</v>
      </c>
    </row>
    <row r="965" spans="1:13">
      <c r="A965" t="s">
        <v>13</v>
      </c>
      <c r="B965">
        <v>1016563</v>
      </c>
      <c r="C965">
        <v>1017021</v>
      </c>
      <c r="E965" t="s">
        <v>14</v>
      </c>
      <c r="F965" t="s">
        <v>49</v>
      </c>
      <c r="H965">
        <v>1018950</v>
      </c>
      <c r="I965" t="s">
        <v>17</v>
      </c>
      <c r="K965" t="s">
        <v>2767</v>
      </c>
      <c r="L965">
        <v>152</v>
      </c>
      <c r="M965" t="s">
        <v>2768</v>
      </c>
    </row>
    <row r="966" spans="1:13">
      <c r="A966" t="s">
        <v>13</v>
      </c>
      <c r="B966">
        <v>1017271</v>
      </c>
      <c r="C966">
        <v>1017870</v>
      </c>
      <c r="E966" t="s">
        <v>38</v>
      </c>
      <c r="F966" t="s">
        <v>49</v>
      </c>
      <c r="H966">
        <v>1018951</v>
      </c>
      <c r="I966" t="s">
        <v>17</v>
      </c>
      <c r="K966" t="s">
        <v>2769</v>
      </c>
      <c r="L966">
        <v>199</v>
      </c>
      <c r="M966" t="s">
        <v>2770</v>
      </c>
    </row>
    <row r="967" spans="1:13">
      <c r="A967" t="s">
        <v>13</v>
      </c>
      <c r="B967">
        <v>1018416</v>
      </c>
      <c r="C967">
        <v>1019069</v>
      </c>
      <c r="E967" t="s">
        <v>14</v>
      </c>
      <c r="F967" t="s">
        <v>1126</v>
      </c>
      <c r="H967">
        <v>1018952</v>
      </c>
      <c r="I967" t="s">
        <v>17</v>
      </c>
      <c r="K967" t="s">
        <v>2771</v>
      </c>
      <c r="L967">
        <v>217</v>
      </c>
      <c r="M967" t="s">
        <v>2772</v>
      </c>
    </row>
    <row r="968" spans="1:13">
      <c r="A968" t="s">
        <v>13</v>
      </c>
      <c r="B968">
        <v>1019075</v>
      </c>
      <c r="C968">
        <v>1022719</v>
      </c>
      <c r="E968" t="s">
        <v>14</v>
      </c>
      <c r="F968" t="s">
        <v>2773</v>
      </c>
      <c r="G968" t="s">
        <v>2774</v>
      </c>
      <c r="H968">
        <v>1018953</v>
      </c>
      <c r="I968" t="s">
        <v>17</v>
      </c>
      <c r="K968" t="s">
        <v>2775</v>
      </c>
      <c r="L968">
        <v>1214</v>
      </c>
      <c r="M968" t="s">
        <v>2776</v>
      </c>
    </row>
    <row r="969" spans="1:13">
      <c r="A969" t="s">
        <v>13</v>
      </c>
      <c r="B969">
        <v>1022696</v>
      </c>
      <c r="C969">
        <v>1024666</v>
      </c>
      <c r="E969" t="s">
        <v>38</v>
      </c>
      <c r="F969" t="s">
        <v>147</v>
      </c>
      <c r="H969">
        <v>1018954</v>
      </c>
      <c r="I969" t="s">
        <v>17</v>
      </c>
      <c r="K969" t="s">
        <v>2777</v>
      </c>
      <c r="L969">
        <v>656</v>
      </c>
      <c r="M969" t="s">
        <v>2778</v>
      </c>
    </row>
    <row r="970" spans="1:13">
      <c r="A970" t="s">
        <v>13</v>
      </c>
      <c r="B970">
        <v>1024663</v>
      </c>
      <c r="C970">
        <v>1026396</v>
      </c>
      <c r="E970" t="s">
        <v>38</v>
      </c>
      <c r="F970" t="s">
        <v>147</v>
      </c>
      <c r="H970">
        <v>1018955</v>
      </c>
      <c r="I970" t="s">
        <v>17</v>
      </c>
      <c r="K970" t="s">
        <v>2779</v>
      </c>
      <c r="L970">
        <v>577</v>
      </c>
      <c r="M970" t="s">
        <v>2780</v>
      </c>
    </row>
    <row r="971" spans="1:13">
      <c r="A971" t="s">
        <v>13</v>
      </c>
      <c r="B971">
        <v>1026502</v>
      </c>
      <c r="C971">
        <v>1029000</v>
      </c>
      <c r="E971" t="s">
        <v>38</v>
      </c>
      <c r="F971" t="s">
        <v>2781</v>
      </c>
      <c r="H971">
        <v>1018956</v>
      </c>
      <c r="I971" t="s">
        <v>17</v>
      </c>
      <c r="K971" t="s">
        <v>2782</v>
      </c>
      <c r="L971">
        <v>832</v>
      </c>
      <c r="M971" t="s">
        <v>2783</v>
      </c>
    </row>
    <row r="972" spans="1:13">
      <c r="A972" t="s">
        <v>13</v>
      </c>
      <c r="B972">
        <v>1029003</v>
      </c>
      <c r="C972">
        <v>1030283</v>
      </c>
      <c r="E972" t="s">
        <v>38</v>
      </c>
      <c r="F972" t="s">
        <v>391</v>
      </c>
      <c r="H972">
        <v>1018957</v>
      </c>
      <c r="I972" t="s">
        <v>17</v>
      </c>
      <c r="K972" t="s">
        <v>2784</v>
      </c>
      <c r="L972">
        <v>426</v>
      </c>
      <c r="M972" t="s">
        <v>2785</v>
      </c>
    </row>
    <row r="973" spans="1:13">
      <c r="A973" t="s">
        <v>13</v>
      </c>
      <c r="B973">
        <v>1030366</v>
      </c>
      <c r="C973">
        <v>1031871</v>
      </c>
      <c r="E973" t="s">
        <v>38</v>
      </c>
      <c r="F973" t="s">
        <v>2786</v>
      </c>
      <c r="H973">
        <v>1018958</v>
      </c>
      <c r="I973" t="s">
        <v>17</v>
      </c>
      <c r="K973" t="s">
        <v>2787</v>
      </c>
      <c r="L973">
        <v>501</v>
      </c>
      <c r="M973" t="s">
        <v>2788</v>
      </c>
    </row>
    <row r="974" spans="1:13">
      <c r="A974" t="s">
        <v>13</v>
      </c>
      <c r="B974">
        <v>1031972</v>
      </c>
      <c r="C974">
        <v>1032184</v>
      </c>
      <c r="E974" t="s">
        <v>14</v>
      </c>
      <c r="F974" t="s">
        <v>2789</v>
      </c>
      <c r="H974">
        <v>1018959</v>
      </c>
      <c r="I974" t="s">
        <v>17</v>
      </c>
      <c r="K974" t="s">
        <v>2790</v>
      </c>
      <c r="L974">
        <v>70</v>
      </c>
      <c r="M974" t="s">
        <v>2791</v>
      </c>
    </row>
    <row r="975" spans="1:13">
      <c r="A975" t="s">
        <v>13</v>
      </c>
      <c r="B975">
        <v>1032196</v>
      </c>
      <c r="C975">
        <v>1032783</v>
      </c>
      <c r="E975" t="s">
        <v>14</v>
      </c>
      <c r="F975" t="s">
        <v>2792</v>
      </c>
      <c r="H975">
        <v>1018960</v>
      </c>
      <c r="I975" t="s">
        <v>17</v>
      </c>
      <c r="K975" t="s">
        <v>2793</v>
      </c>
      <c r="L975">
        <v>195</v>
      </c>
      <c r="M975" t="s">
        <v>2794</v>
      </c>
    </row>
    <row r="976" spans="1:13">
      <c r="A976" t="s">
        <v>13</v>
      </c>
      <c r="B976">
        <v>1032757</v>
      </c>
      <c r="C976">
        <v>1033128</v>
      </c>
      <c r="E976" t="s">
        <v>38</v>
      </c>
      <c r="F976" t="s">
        <v>49</v>
      </c>
      <c r="H976">
        <v>1018961</v>
      </c>
      <c r="I976" t="s">
        <v>17</v>
      </c>
      <c r="K976" t="s">
        <v>2795</v>
      </c>
      <c r="L976">
        <v>123</v>
      </c>
      <c r="M976" t="s">
        <v>2796</v>
      </c>
    </row>
    <row r="977" spans="1:13">
      <c r="A977" t="s">
        <v>13</v>
      </c>
      <c r="B977">
        <v>1033266</v>
      </c>
      <c r="C977">
        <v>1033646</v>
      </c>
      <c r="E977" t="s">
        <v>38</v>
      </c>
      <c r="F977" t="s">
        <v>2797</v>
      </c>
      <c r="H977">
        <v>1018962</v>
      </c>
      <c r="I977" t="s">
        <v>17</v>
      </c>
      <c r="K977" t="s">
        <v>2798</v>
      </c>
      <c r="L977">
        <v>126</v>
      </c>
      <c r="M977" t="s">
        <v>2799</v>
      </c>
    </row>
    <row r="978" spans="1:13">
      <c r="A978" t="s">
        <v>13</v>
      </c>
      <c r="B978">
        <v>1033978</v>
      </c>
      <c r="C978">
        <v>1034742</v>
      </c>
      <c r="E978" t="s">
        <v>14</v>
      </c>
      <c r="F978" t="s">
        <v>2800</v>
      </c>
      <c r="H978">
        <v>1018963</v>
      </c>
      <c r="I978" t="s">
        <v>17</v>
      </c>
      <c r="K978" t="s">
        <v>2801</v>
      </c>
      <c r="L978">
        <v>254</v>
      </c>
      <c r="M978" t="s">
        <v>2802</v>
      </c>
    </row>
    <row r="979" spans="1:13">
      <c r="A979" t="s">
        <v>13</v>
      </c>
      <c r="B979">
        <v>1034949</v>
      </c>
      <c r="C979">
        <v>1036226</v>
      </c>
      <c r="E979" t="s">
        <v>14</v>
      </c>
      <c r="F979" t="s">
        <v>2803</v>
      </c>
      <c r="G979" t="s">
        <v>2804</v>
      </c>
      <c r="H979">
        <v>1018964</v>
      </c>
      <c r="I979" t="s">
        <v>17</v>
      </c>
      <c r="K979" t="s">
        <v>2805</v>
      </c>
      <c r="L979">
        <v>425</v>
      </c>
      <c r="M979" t="s">
        <v>2806</v>
      </c>
    </row>
    <row r="980" spans="1:13">
      <c r="A980" t="s">
        <v>13</v>
      </c>
      <c r="B980">
        <v>1036316</v>
      </c>
      <c r="C980">
        <v>1036858</v>
      </c>
      <c r="E980" t="s">
        <v>14</v>
      </c>
      <c r="F980" t="s">
        <v>2807</v>
      </c>
      <c r="H980">
        <v>1018965</v>
      </c>
      <c r="I980" t="s">
        <v>17</v>
      </c>
      <c r="K980" t="s">
        <v>2808</v>
      </c>
      <c r="L980">
        <v>180</v>
      </c>
      <c r="M980" t="s">
        <v>2809</v>
      </c>
    </row>
    <row r="981" spans="1:13">
      <c r="A981" t="s">
        <v>13</v>
      </c>
      <c r="B981">
        <v>1036894</v>
      </c>
      <c r="C981">
        <v>1037448</v>
      </c>
      <c r="E981" t="s">
        <v>14</v>
      </c>
      <c r="F981" t="s">
        <v>2810</v>
      </c>
      <c r="H981">
        <v>1018966</v>
      </c>
      <c r="I981" t="s">
        <v>17</v>
      </c>
      <c r="K981" t="s">
        <v>2811</v>
      </c>
      <c r="L981">
        <v>184</v>
      </c>
      <c r="M981" t="s">
        <v>2812</v>
      </c>
    </row>
    <row r="982" spans="1:13">
      <c r="A982" t="s">
        <v>13</v>
      </c>
      <c r="B982">
        <v>1037448</v>
      </c>
      <c r="C982">
        <v>1038413</v>
      </c>
      <c r="E982" t="s">
        <v>14</v>
      </c>
      <c r="F982" t="s">
        <v>2813</v>
      </c>
      <c r="G982" t="s">
        <v>2814</v>
      </c>
      <c r="H982">
        <v>1018967</v>
      </c>
      <c r="I982" t="s">
        <v>17</v>
      </c>
      <c r="K982" t="s">
        <v>2815</v>
      </c>
      <c r="L982">
        <v>321</v>
      </c>
      <c r="M982" t="s">
        <v>2816</v>
      </c>
    </row>
    <row r="983" spans="1:13">
      <c r="A983" t="s">
        <v>13</v>
      </c>
      <c r="B983">
        <v>1038513</v>
      </c>
      <c r="C983">
        <v>1038589</v>
      </c>
      <c r="E983" t="s">
        <v>14</v>
      </c>
      <c r="F983" t="s">
        <v>179</v>
      </c>
      <c r="H983">
        <v>2745357</v>
      </c>
      <c r="I983" t="s">
        <v>62</v>
      </c>
      <c r="M983" t="s">
        <v>2817</v>
      </c>
    </row>
    <row r="984" spans="1:13">
      <c r="A984" t="s">
        <v>13</v>
      </c>
      <c r="B984">
        <v>1038718</v>
      </c>
      <c r="C984">
        <v>1039650</v>
      </c>
      <c r="E984" t="s">
        <v>38</v>
      </c>
      <c r="F984" t="s">
        <v>2818</v>
      </c>
      <c r="H984">
        <v>1018968</v>
      </c>
      <c r="I984" t="s">
        <v>17</v>
      </c>
      <c r="K984" t="s">
        <v>2819</v>
      </c>
      <c r="L984">
        <v>310</v>
      </c>
      <c r="M984" t="s">
        <v>2820</v>
      </c>
    </row>
    <row r="985" spans="1:13">
      <c r="A985" t="s">
        <v>13</v>
      </c>
      <c r="B985">
        <v>1039783</v>
      </c>
      <c r="C985">
        <v>1039980</v>
      </c>
      <c r="E985" t="s">
        <v>14</v>
      </c>
      <c r="F985" t="s">
        <v>49</v>
      </c>
      <c r="H985">
        <v>1018969</v>
      </c>
      <c r="I985" t="s">
        <v>17</v>
      </c>
      <c r="K985" t="s">
        <v>2821</v>
      </c>
      <c r="L985">
        <v>65</v>
      </c>
      <c r="M985" t="s">
        <v>2822</v>
      </c>
    </row>
    <row r="986" spans="1:13">
      <c r="A986" t="s">
        <v>13</v>
      </c>
      <c r="B986">
        <v>1040002</v>
      </c>
      <c r="C986">
        <v>1040328</v>
      </c>
      <c r="E986" t="s">
        <v>14</v>
      </c>
      <c r="F986" t="s">
        <v>2082</v>
      </c>
      <c r="H986">
        <v>1018970</v>
      </c>
      <c r="I986" t="s">
        <v>17</v>
      </c>
      <c r="K986" t="s">
        <v>2823</v>
      </c>
      <c r="L986">
        <v>108</v>
      </c>
      <c r="M986" t="s">
        <v>2824</v>
      </c>
    </row>
    <row r="987" spans="1:13">
      <c r="A987" t="s">
        <v>13</v>
      </c>
      <c r="B987">
        <v>1040494</v>
      </c>
      <c r="C987">
        <v>1040685</v>
      </c>
      <c r="E987" t="s">
        <v>14</v>
      </c>
      <c r="F987" t="s">
        <v>2825</v>
      </c>
      <c r="H987">
        <v>1018971</v>
      </c>
      <c r="I987" t="s">
        <v>17</v>
      </c>
      <c r="K987" t="s">
        <v>2826</v>
      </c>
      <c r="L987">
        <v>63</v>
      </c>
      <c r="M987" t="s">
        <v>2827</v>
      </c>
    </row>
    <row r="988" spans="1:13">
      <c r="A988" t="s">
        <v>13</v>
      </c>
      <c r="B988">
        <v>1040925</v>
      </c>
      <c r="C988">
        <v>1041920</v>
      </c>
      <c r="E988" t="s">
        <v>14</v>
      </c>
      <c r="F988" t="s">
        <v>2828</v>
      </c>
      <c r="H988">
        <v>1018972</v>
      </c>
      <c r="I988" t="s">
        <v>17</v>
      </c>
      <c r="K988" t="s">
        <v>2829</v>
      </c>
      <c r="L988">
        <v>331</v>
      </c>
      <c r="M988" t="s">
        <v>2830</v>
      </c>
    </row>
    <row r="989" spans="1:13">
      <c r="A989" t="s">
        <v>13</v>
      </c>
      <c r="B989">
        <v>1042027</v>
      </c>
      <c r="C989">
        <v>1042845</v>
      </c>
      <c r="E989" t="s">
        <v>14</v>
      </c>
      <c r="F989" t="s">
        <v>2831</v>
      </c>
      <c r="H989">
        <v>1018973</v>
      </c>
      <c r="I989" t="s">
        <v>17</v>
      </c>
      <c r="K989" t="s">
        <v>2832</v>
      </c>
      <c r="L989">
        <v>272</v>
      </c>
      <c r="M989" t="s">
        <v>2833</v>
      </c>
    </row>
    <row r="990" spans="1:13">
      <c r="A990" t="s">
        <v>13</v>
      </c>
      <c r="B990">
        <v>1043295</v>
      </c>
      <c r="C990">
        <v>1043747</v>
      </c>
      <c r="E990" t="s">
        <v>38</v>
      </c>
      <c r="F990" t="s">
        <v>49</v>
      </c>
      <c r="H990">
        <v>1018974</v>
      </c>
      <c r="I990" t="s">
        <v>17</v>
      </c>
      <c r="K990" t="s">
        <v>2834</v>
      </c>
      <c r="L990">
        <v>150</v>
      </c>
      <c r="M990" t="s">
        <v>2835</v>
      </c>
    </row>
    <row r="991" spans="1:13">
      <c r="A991" t="s">
        <v>13</v>
      </c>
      <c r="B991">
        <v>1043771</v>
      </c>
      <c r="C991">
        <v>1044295</v>
      </c>
      <c r="E991" t="s">
        <v>38</v>
      </c>
      <c r="F991" t="s">
        <v>2836</v>
      </c>
      <c r="G991" t="s">
        <v>2837</v>
      </c>
      <c r="H991">
        <v>1018975</v>
      </c>
      <c r="I991" t="s">
        <v>17</v>
      </c>
      <c r="K991" t="s">
        <v>2838</v>
      </c>
      <c r="L991">
        <v>174</v>
      </c>
      <c r="M991" t="s">
        <v>2839</v>
      </c>
    </row>
    <row r="992" spans="1:13">
      <c r="A992" t="s">
        <v>13</v>
      </c>
      <c r="B992">
        <v>1044474</v>
      </c>
      <c r="C992">
        <v>1044959</v>
      </c>
      <c r="E992" t="s">
        <v>38</v>
      </c>
      <c r="F992" t="s">
        <v>2840</v>
      </c>
      <c r="H992">
        <v>1018976</v>
      </c>
      <c r="I992" t="s">
        <v>17</v>
      </c>
      <c r="K992" t="s">
        <v>2841</v>
      </c>
      <c r="L992">
        <v>161</v>
      </c>
      <c r="M992" t="s">
        <v>2842</v>
      </c>
    </row>
    <row r="993" spans="1:13">
      <c r="A993" t="s">
        <v>13</v>
      </c>
      <c r="B993">
        <v>1045158</v>
      </c>
      <c r="C993">
        <v>1046033</v>
      </c>
      <c r="E993" t="s">
        <v>14</v>
      </c>
      <c r="F993" t="s">
        <v>2843</v>
      </c>
      <c r="G993" t="s">
        <v>2844</v>
      </c>
      <c r="H993">
        <v>1018977</v>
      </c>
      <c r="I993" t="s">
        <v>17</v>
      </c>
      <c r="K993" t="s">
        <v>2845</v>
      </c>
      <c r="L993">
        <v>291</v>
      </c>
      <c r="M993" t="s">
        <v>2846</v>
      </c>
    </row>
    <row r="994" spans="1:13">
      <c r="A994" t="s">
        <v>13</v>
      </c>
      <c r="B994">
        <v>1046073</v>
      </c>
      <c r="C994">
        <v>1046393</v>
      </c>
      <c r="E994" t="s">
        <v>14</v>
      </c>
      <c r="F994" t="s">
        <v>49</v>
      </c>
      <c r="H994">
        <v>1018978</v>
      </c>
      <c r="I994" t="s">
        <v>17</v>
      </c>
      <c r="K994" t="s">
        <v>2847</v>
      </c>
      <c r="L994">
        <v>106</v>
      </c>
      <c r="M994" t="s">
        <v>2848</v>
      </c>
    </row>
    <row r="995" spans="1:13">
      <c r="A995" t="s">
        <v>13</v>
      </c>
      <c r="B995">
        <v>1046610</v>
      </c>
      <c r="C995">
        <v>1047710</v>
      </c>
      <c r="E995" t="s">
        <v>14</v>
      </c>
      <c r="F995" t="s">
        <v>2849</v>
      </c>
      <c r="H995">
        <v>1018979</v>
      </c>
      <c r="I995" t="s">
        <v>17</v>
      </c>
      <c r="K995" t="s">
        <v>2850</v>
      </c>
      <c r="L995">
        <v>366</v>
      </c>
      <c r="M995" t="s">
        <v>2851</v>
      </c>
    </row>
    <row r="996" spans="1:13">
      <c r="A996" t="s">
        <v>13</v>
      </c>
      <c r="B996">
        <v>1047734</v>
      </c>
      <c r="C996">
        <v>1048504</v>
      </c>
      <c r="E996" t="s">
        <v>14</v>
      </c>
      <c r="F996" t="s">
        <v>2852</v>
      </c>
      <c r="H996">
        <v>1018980</v>
      </c>
      <c r="I996" t="s">
        <v>17</v>
      </c>
      <c r="K996" t="s">
        <v>2853</v>
      </c>
      <c r="L996">
        <v>256</v>
      </c>
      <c r="M996" t="s">
        <v>2854</v>
      </c>
    </row>
    <row r="997" spans="1:13">
      <c r="A997" t="s">
        <v>13</v>
      </c>
      <c r="B997">
        <v>1048525</v>
      </c>
      <c r="C997">
        <v>1049046</v>
      </c>
      <c r="E997" t="s">
        <v>14</v>
      </c>
      <c r="F997" t="s">
        <v>2855</v>
      </c>
      <c r="H997">
        <v>1018981</v>
      </c>
      <c r="I997" t="s">
        <v>17</v>
      </c>
      <c r="K997" t="s">
        <v>2856</v>
      </c>
      <c r="L997">
        <v>173</v>
      </c>
      <c r="M997" t="s">
        <v>2857</v>
      </c>
    </row>
    <row r="998" spans="1:13">
      <c r="A998" t="s">
        <v>13</v>
      </c>
      <c r="B998">
        <v>1049424</v>
      </c>
      <c r="C998">
        <v>1050395</v>
      </c>
      <c r="E998" t="s">
        <v>38</v>
      </c>
      <c r="F998" t="s">
        <v>2858</v>
      </c>
      <c r="G998" t="s">
        <v>2859</v>
      </c>
      <c r="H998">
        <v>1018982</v>
      </c>
      <c r="I998" t="s">
        <v>17</v>
      </c>
      <c r="K998" t="s">
        <v>2860</v>
      </c>
      <c r="L998">
        <v>323</v>
      </c>
      <c r="M998" t="s">
        <v>2861</v>
      </c>
    </row>
    <row r="999" spans="1:13">
      <c r="A999" t="s">
        <v>13</v>
      </c>
      <c r="B999">
        <v>1050624</v>
      </c>
      <c r="C999">
        <v>1051928</v>
      </c>
      <c r="E999" t="s">
        <v>14</v>
      </c>
      <c r="F999" t="s">
        <v>2862</v>
      </c>
      <c r="G999" t="s">
        <v>2863</v>
      </c>
      <c r="H999">
        <v>1018983</v>
      </c>
      <c r="I999" t="s">
        <v>17</v>
      </c>
      <c r="K999" t="s">
        <v>2864</v>
      </c>
      <c r="L999">
        <v>434</v>
      </c>
      <c r="M999" t="s">
        <v>2865</v>
      </c>
    </row>
    <row r="1000" spans="1:13">
      <c r="A1000" t="s">
        <v>13</v>
      </c>
      <c r="B1000">
        <v>1052021</v>
      </c>
      <c r="C1000">
        <v>1053883</v>
      </c>
      <c r="E1000" t="s">
        <v>14</v>
      </c>
      <c r="F1000" t="s">
        <v>2866</v>
      </c>
      <c r="G1000" t="s">
        <v>2867</v>
      </c>
      <c r="H1000">
        <v>1018984</v>
      </c>
      <c r="I1000" t="s">
        <v>17</v>
      </c>
      <c r="K1000" t="s">
        <v>2868</v>
      </c>
      <c r="L1000">
        <v>620</v>
      </c>
      <c r="M1000" t="s">
        <v>2869</v>
      </c>
    </row>
    <row r="1001" spans="1:13">
      <c r="A1001" t="s">
        <v>13</v>
      </c>
      <c r="B1001">
        <v>1053880</v>
      </c>
      <c r="C1001">
        <v>1054605</v>
      </c>
      <c r="E1001" t="s">
        <v>14</v>
      </c>
      <c r="F1001" t="s">
        <v>2381</v>
      </c>
      <c r="H1001">
        <v>1018985</v>
      </c>
      <c r="I1001" t="s">
        <v>17</v>
      </c>
      <c r="K1001" t="s">
        <v>2870</v>
      </c>
      <c r="L1001">
        <v>241</v>
      </c>
      <c r="M1001" t="s">
        <v>2871</v>
      </c>
    </row>
    <row r="1002" spans="1:13">
      <c r="A1002" t="s">
        <v>13</v>
      </c>
      <c r="B1002">
        <v>1054637</v>
      </c>
      <c r="C1002">
        <v>1055032</v>
      </c>
      <c r="E1002" t="s">
        <v>38</v>
      </c>
      <c r="F1002" t="s">
        <v>2872</v>
      </c>
      <c r="H1002">
        <v>1018986</v>
      </c>
      <c r="I1002" t="s">
        <v>17</v>
      </c>
      <c r="K1002" t="s">
        <v>2873</v>
      </c>
      <c r="L1002">
        <v>131</v>
      </c>
      <c r="M1002" t="s">
        <v>2874</v>
      </c>
    </row>
    <row r="1003" spans="1:13">
      <c r="A1003" t="s">
        <v>13</v>
      </c>
      <c r="B1003">
        <v>1055051</v>
      </c>
      <c r="C1003">
        <v>1055725</v>
      </c>
      <c r="E1003" t="s">
        <v>14</v>
      </c>
      <c r="F1003" t="s">
        <v>2875</v>
      </c>
      <c r="H1003">
        <v>1018987</v>
      </c>
      <c r="I1003" t="s">
        <v>17</v>
      </c>
      <c r="K1003" t="s">
        <v>2876</v>
      </c>
      <c r="L1003">
        <v>224</v>
      </c>
      <c r="M1003" t="s">
        <v>2877</v>
      </c>
    </row>
    <row r="1004" spans="1:13">
      <c r="A1004" t="s">
        <v>13</v>
      </c>
      <c r="B1004">
        <v>1055783</v>
      </c>
      <c r="C1004">
        <v>1056322</v>
      </c>
      <c r="E1004" t="s">
        <v>14</v>
      </c>
      <c r="F1004" t="s">
        <v>549</v>
      </c>
      <c r="H1004">
        <v>1018988</v>
      </c>
      <c r="I1004" t="s">
        <v>17</v>
      </c>
      <c r="K1004" t="s">
        <v>2878</v>
      </c>
      <c r="L1004">
        <v>179</v>
      </c>
      <c r="M1004" t="s">
        <v>2879</v>
      </c>
    </row>
    <row r="1005" spans="1:13">
      <c r="A1005" t="s">
        <v>13</v>
      </c>
      <c r="B1005">
        <v>1056319</v>
      </c>
      <c r="C1005">
        <v>1057200</v>
      </c>
      <c r="E1005" t="s">
        <v>38</v>
      </c>
      <c r="F1005" t="s">
        <v>2880</v>
      </c>
      <c r="H1005">
        <v>1018989</v>
      </c>
      <c r="I1005" t="s">
        <v>17</v>
      </c>
      <c r="K1005" t="s">
        <v>2881</v>
      </c>
      <c r="L1005">
        <v>293</v>
      </c>
      <c r="M1005" t="s">
        <v>2882</v>
      </c>
    </row>
    <row r="1006" spans="1:13">
      <c r="A1006" t="s">
        <v>13</v>
      </c>
      <c r="B1006">
        <v>1057197</v>
      </c>
      <c r="C1006">
        <v>1057850</v>
      </c>
      <c r="E1006" t="s">
        <v>38</v>
      </c>
      <c r="F1006" t="s">
        <v>2883</v>
      </c>
      <c r="H1006">
        <v>1018990</v>
      </c>
      <c r="I1006" t="s">
        <v>17</v>
      </c>
      <c r="K1006" t="s">
        <v>2884</v>
      </c>
      <c r="L1006">
        <v>217</v>
      </c>
      <c r="M1006" t="s">
        <v>2885</v>
      </c>
    </row>
    <row r="1007" spans="1:13">
      <c r="A1007" t="s">
        <v>13</v>
      </c>
      <c r="B1007">
        <v>1057840</v>
      </c>
      <c r="C1007">
        <v>1058598</v>
      </c>
      <c r="E1007" t="s">
        <v>38</v>
      </c>
      <c r="F1007" t="s">
        <v>2886</v>
      </c>
      <c r="H1007">
        <v>1018991</v>
      </c>
      <c r="I1007" t="s">
        <v>17</v>
      </c>
      <c r="K1007" t="s">
        <v>2887</v>
      </c>
      <c r="L1007">
        <v>252</v>
      </c>
      <c r="M1007" t="s">
        <v>2888</v>
      </c>
    </row>
    <row r="1008" spans="1:13">
      <c r="A1008" t="s">
        <v>13</v>
      </c>
      <c r="B1008">
        <v>1058621</v>
      </c>
      <c r="C1008">
        <v>1059931</v>
      </c>
      <c r="E1008" t="s">
        <v>38</v>
      </c>
      <c r="F1008" t="s">
        <v>2889</v>
      </c>
      <c r="H1008">
        <v>1018992</v>
      </c>
      <c r="I1008" t="s">
        <v>17</v>
      </c>
      <c r="K1008" t="s">
        <v>2890</v>
      </c>
      <c r="L1008">
        <v>436</v>
      </c>
      <c r="M1008" t="s">
        <v>2891</v>
      </c>
    </row>
    <row r="1009" spans="1:13">
      <c r="A1009" t="s">
        <v>13</v>
      </c>
      <c r="B1009">
        <v>1060142</v>
      </c>
      <c r="C1009">
        <v>1060795</v>
      </c>
      <c r="E1009" t="s">
        <v>14</v>
      </c>
      <c r="F1009" t="s">
        <v>1930</v>
      </c>
      <c r="H1009">
        <v>1018994</v>
      </c>
      <c r="I1009" t="s">
        <v>17</v>
      </c>
      <c r="K1009" t="s">
        <v>2892</v>
      </c>
      <c r="L1009">
        <v>217</v>
      </c>
      <c r="M1009" t="s">
        <v>2893</v>
      </c>
    </row>
    <row r="1010" spans="1:13">
      <c r="A1010" t="s">
        <v>13</v>
      </c>
      <c r="B1010">
        <v>1060905</v>
      </c>
      <c r="C1010">
        <v>1062149</v>
      </c>
      <c r="E1010" t="s">
        <v>14</v>
      </c>
      <c r="F1010" t="s">
        <v>49</v>
      </c>
      <c r="H1010">
        <v>1018995</v>
      </c>
      <c r="I1010" t="s">
        <v>17</v>
      </c>
      <c r="K1010" t="s">
        <v>2894</v>
      </c>
      <c r="L1010">
        <v>414</v>
      </c>
      <c r="M1010" t="s">
        <v>2895</v>
      </c>
    </row>
    <row r="1011" spans="1:13">
      <c r="A1011" t="s">
        <v>13</v>
      </c>
      <c r="B1011">
        <v>1062208</v>
      </c>
      <c r="C1011">
        <v>1063617</v>
      </c>
      <c r="E1011" t="s">
        <v>38</v>
      </c>
      <c r="F1011" t="s">
        <v>2896</v>
      </c>
      <c r="H1011">
        <v>1018996</v>
      </c>
      <c r="I1011" t="s">
        <v>17</v>
      </c>
      <c r="K1011" t="s">
        <v>2897</v>
      </c>
      <c r="L1011">
        <v>469</v>
      </c>
      <c r="M1011" t="s">
        <v>2898</v>
      </c>
    </row>
    <row r="1012" spans="1:13">
      <c r="A1012" t="s">
        <v>13</v>
      </c>
      <c r="B1012">
        <v>1063936</v>
      </c>
      <c r="C1012">
        <v>1064427</v>
      </c>
      <c r="E1012" t="s">
        <v>14</v>
      </c>
      <c r="F1012" t="s">
        <v>2899</v>
      </c>
      <c r="H1012">
        <v>1018997</v>
      </c>
      <c r="I1012" t="s">
        <v>17</v>
      </c>
      <c r="K1012" t="s">
        <v>2900</v>
      </c>
      <c r="L1012">
        <v>163</v>
      </c>
      <c r="M1012" t="s">
        <v>2901</v>
      </c>
    </row>
    <row r="1013" spans="1:13">
      <c r="A1013" t="s">
        <v>13</v>
      </c>
      <c r="B1013">
        <v>1064475</v>
      </c>
      <c r="C1013">
        <v>1064738</v>
      </c>
      <c r="E1013" t="s">
        <v>38</v>
      </c>
      <c r="F1013" t="s">
        <v>49</v>
      </c>
      <c r="H1013">
        <v>1018998</v>
      </c>
      <c r="I1013" t="s">
        <v>17</v>
      </c>
      <c r="K1013" t="s">
        <v>2902</v>
      </c>
      <c r="L1013">
        <v>87</v>
      </c>
      <c r="M1013" t="s">
        <v>2903</v>
      </c>
    </row>
    <row r="1014" spans="1:13">
      <c r="A1014" t="s">
        <v>13</v>
      </c>
      <c r="B1014">
        <v>1064751</v>
      </c>
      <c r="C1014">
        <v>1065200</v>
      </c>
      <c r="E1014" t="s">
        <v>38</v>
      </c>
      <c r="F1014" t="s">
        <v>49</v>
      </c>
      <c r="H1014">
        <v>1018999</v>
      </c>
      <c r="I1014" t="s">
        <v>17</v>
      </c>
      <c r="K1014" t="s">
        <v>2904</v>
      </c>
      <c r="L1014">
        <v>149</v>
      </c>
      <c r="M1014" t="s">
        <v>2905</v>
      </c>
    </row>
    <row r="1015" spans="1:13">
      <c r="A1015" t="s">
        <v>13</v>
      </c>
      <c r="B1015">
        <v>1065301</v>
      </c>
      <c r="C1015">
        <v>1065867</v>
      </c>
      <c r="E1015" t="s">
        <v>38</v>
      </c>
      <c r="F1015" t="s">
        <v>2906</v>
      </c>
      <c r="H1015">
        <v>1019000</v>
      </c>
      <c r="I1015" t="s">
        <v>17</v>
      </c>
      <c r="K1015" t="s">
        <v>2907</v>
      </c>
      <c r="L1015">
        <v>188</v>
      </c>
      <c r="M1015" t="s">
        <v>2908</v>
      </c>
    </row>
    <row r="1016" spans="1:13">
      <c r="A1016" t="s">
        <v>13</v>
      </c>
      <c r="B1016">
        <v>1066110</v>
      </c>
      <c r="C1016">
        <v>1067573</v>
      </c>
      <c r="E1016" t="s">
        <v>14</v>
      </c>
      <c r="F1016" t="s">
        <v>2071</v>
      </c>
      <c r="H1016">
        <v>1019001</v>
      </c>
      <c r="I1016" t="s">
        <v>17</v>
      </c>
      <c r="K1016" t="s">
        <v>2909</v>
      </c>
      <c r="L1016">
        <v>487</v>
      </c>
      <c r="M1016" t="s">
        <v>2910</v>
      </c>
    </row>
    <row r="1017" spans="1:13">
      <c r="A1017" t="s">
        <v>13</v>
      </c>
      <c r="B1017">
        <v>1067570</v>
      </c>
      <c r="C1017">
        <v>1068652</v>
      </c>
      <c r="E1017" t="s">
        <v>14</v>
      </c>
      <c r="F1017" t="s">
        <v>877</v>
      </c>
      <c r="H1017">
        <v>1019002</v>
      </c>
      <c r="I1017" t="s">
        <v>17</v>
      </c>
      <c r="K1017" t="s">
        <v>2911</v>
      </c>
      <c r="L1017">
        <v>360</v>
      </c>
      <c r="M1017" t="s">
        <v>2912</v>
      </c>
    </row>
    <row r="1018" spans="1:13">
      <c r="A1018" t="s">
        <v>13</v>
      </c>
      <c r="B1018">
        <v>1068649</v>
      </c>
      <c r="C1018">
        <v>1069848</v>
      </c>
      <c r="E1018" t="s">
        <v>14</v>
      </c>
      <c r="F1018" t="s">
        <v>877</v>
      </c>
      <c r="H1018">
        <v>1019003</v>
      </c>
      <c r="I1018" t="s">
        <v>17</v>
      </c>
      <c r="K1018" t="s">
        <v>2913</v>
      </c>
      <c r="L1018">
        <v>399</v>
      </c>
      <c r="M1018" t="s">
        <v>2914</v>
      </c>
    </row>
    <row r="1019" spans="1:13">
      <c r="A1019" t="s">
        <v>13</v>
      </c>
      <c r="B1019">
        <v>1069959</v>
      </c>
      <c r="C1019">
        <v>1071137</v>
      </c>
      <c r="E1019" t="s">
        <v>14</v>
      </c>
      <c r="F1019" t="s">
        <v>2071</v>
      </c>
      <c r="H1019">
        <v>1019004</v>
      </c>
      <c r="I1019" t="s">
        <v>17</v>
      </c>
      <c r="K1019" t="s">
        <v>2915</v>
      </c>
      <c r="L1019">
        <v>392</v>
      </c>
      <c r="M1019" t="s">
        <v>2916</v>
      </c>
    </row>
    <row r="1020" spans="1:13">
      <c r="A1020" t="s">
        <v>13</v>
      </c>
      <c r="B1020">
        <v>1071476</v>
      </c>
      <c r="C1020">
        <v>1072483</v>
      </c>
      <c r="E1020" t="s">
        <v>38</v>
      </c>
      <c r="F1020" t="s">
        <v>2917</v>
      </c>
      <c r="G1020" t="s">
        <v>2918</v>
      </c>
      <c r="H1020">
        <v>1019005</v>
      </c>
      <c r="I1020" t="s">
        <v>17</v>
      </c>
      <c r="K1020" t="s">
        <v>2919</v>
      </c>
      <c r="L1020">
        <v>335</v>
      </c>
      <c r="M1020" t="s">
        <v>2920</v>
      </c>
    </row>
    <row r="1021" spans="1:13">
      <c r="A1021" t="s">
        <v>13</v>
      </c>
      <c r="B1021">
        <v>1072676</v>
      </c>
      <c r="C1021">
        <v>1073248</v>
      </c>
      <c r="E1021" t="s">
        <v>14</v>
      </c>
      <c r="F1021" t="s">
        <v>2921</v>
      </c>
      <c r="H1021">
        <v>1019006</v>
      </c>
      <c r="I1021" t="s">
        <v>17</v>
      </c>
      <c r="K1021" t="s">
        <v>2922</v>
      </c>
      <c r="L1021">
        <v>190</v>
      </c>
      <c r="M1021" t="s">
        <v>2923</v>
      </c>
    </row>
    <row r="1022" spans="1:13">
      <c r="A1022" t="s">
        <v>13</v>
      </c>
      <c r="B1022">
        <v>1073337</v>
      </c>
      <c r="C1022">
        <v>1075241</v>
      </c>
      <c r="E1022" t="s">
        <v>38</v>
      </c>
      <c r="F1022" t="s">
        <v>2924</v>
      </c>
      <c r="H1022">
        <v>1019007</v>
      </c>
      <c r="I1022" t="s">
        <v>17</v>
      </c>
      <c r="K1022" t="s">
        <v>2925</v>
      </c>
      <c r="L1022">
        <v>634</v>
      </c>
      <c r="M1022" t="s">
        <v>2926</v>
      </c>
    </row>
    <row r="1023" spans="1:13">
      <c r="A1023" t="s">
        <v>13</v>
      </c>
      <c r="B1023">
        <v>1075326</v>
      </c>
      <c r="C1023">
        <v>1075553</v>
      </c>
      <c r="E1023" t="s">
        <v>38</v>
      </c>
      <c r="F1023" t="s">
        <v>49</v>
      </c>
      <c r="H1023">
        <v>1019008</v>
      </c>
      <c r="I1023" t="s">
        <v>17</v>
      </c>
      <c r="K1023" t="s">
        <v>2927</v>
      </c>
      <c r="L1023">
        <v>75</v>
      </c>
      <c r="M1023" t="s">
        <v>2928</v>
      </c>
    </row>
    <row r="1024" spans="1:13">
      <c r="A1024" t="s">
        <v>13</v>
      </c>
      <c r="B1024">
        <v>1075664</v>
      </c>
      <c r="C1024">
        <v>1075909</v>
      </c>
      <c r="E1024" t="s">
        <v>38</v>
      </c>
      <c r="F1024" t="s">
        <v>2929</v>
      </c>
      <c r="H1024">
        <v>1019009</v>
      </c>
      <c r="I1024" t="s">
        <v>17</v>
      </c>
      <c r="K1024" t="s">
        <v>2930</v>
      </c>
      <c r="L1024">
        <v>81</v>
      </c>
      <c r="M1024" t="s">
        <v>2931</v>
      </c>
    </row>
    <row r="1025" spans="1:13">
      <c r="A1025" t="s">
        <v>13</v>
      </c>
      <c r="B1025">
        <v>1075930</v>
      </c>
      <c r="C1025">
        <v>1077183</v>
      </c>
      <c r="E1025" t="s">
        <v>38</v>
      </c>
      <c r="F1025" t="s">
        <v>2932</v>
      </c>
      <c r="G1025" t="s">
        <v>2933</v>
      </c>
      <c r="H1025">
        <v>1019010</v>
      </c>
      <c r="I1025" t="s">
        <v>17</v>
      </c>
      <c r="K1025" t="s">
        <v>2934</v>
      </c>
      <c r="L1025">
        <v>417</v>
      </c>
      <c r="M1025" t="s">
        <v>2935</v>
      </c>
    </row>
    <row r="1026" spans="1:13">
      <c r="A1026" t="s">
        <v>13</v>
      </c>
      <c r="B1026">
        <v>1077297</v>
      </c>
      <c r="C1026">
        <v>1078274</v>
      </c>
      <c r="E1026" t="s">
        <v>14</v>
      </c>
      <c r="F1026" t="s">
        <v>2936</v>
      </c>
      <c r="H1026">
        <v>1019011</v>
      </c>
      <c r="I1026" t="s">
        <v>17</v>
      </c>
      <c r="K1026" t="s">
        <v>2937</v>
      </c>
      <c r="L1026">
        <v>325</v>
      </c>
      <c r="M1026" t="s">
        <v>2938</v>
      </c>
    </row>
    <row r="1027" spans="1:13">
      <c r="A1027" t="s">
        <v>13</v>
      </c>
      <c r="B1027">
        <v>1078316</v>
      </c>
      <c r="C1027">
        <v>1079146</v>
      </c>
      <c r="E1027" t="s">
        <v>38</v>
      </c>
      <c r="F1027" t="s">
        <v>2939</v>
      </c>
      <c r="H1027">
        <v>1019012</v>
      </c>
      <c r="I1027" t="s">
        <v>17</v>
      </c>
      <c r="K1027" t="s">
        <v>2940</v>
      </c>
      <c r="L1027">
        <v>276</v>
      </c>
      <c r="M1027" t="s">
        <v>2941</v>
      </c>
    </row>
    <row r="1028" spans="1:13">
      <c r="A1028" t="s">
        <v>13</v>
      </c>
      <c r="B1028">
        <v>1079218</v>
      </c>
      <c r="C1028">
        <v>1080690</v>
      </c>
      <c r="E1028" t="s">
        <v>38</v>
      </c>
      <c r="F1028" t="s">
        <v>2942</v>
      </c>
      <c r="H1028">
        <v>1019013</v>
      </c>
      <c r="I1028" t="s">
        <v>17</v>
      </c>
      <c r="K1028" t="s">
        <v>2943</v>
      </c>
      <c r="L1028">
        <v>490</v>
      </c>
      <c r="M1028" t="s">
        <v>2944</v>
      </c>
    </row>
    <row r="1029" spans="1:13">
      <c r="A1029" t="s">
        <v>13</v>
      </c>
      <c r="B1029">
        <v>1080783</v>
      </c>
      <c r="C1029">
        <v>1080965</v>
      </c>
      <c r="E1029" t="s">
        <v>38</v>
      </c>
      <c r="F1029" t="s">
        <v>2945</v>
      </c>
      <c r="G1029" t="s">
        <v>2946</v>
      </c>
      <c r="H1029">
        <v>1019014</v>
      </c>
      <c r="I1029" t="s">
        <v>17</v>
      </c>
      <c r="K1029" t="s">
        <v>2947</v>
      </c>
      <c r="L1029">
        <v>60</v>
      </c>
      <c r="M1029" t="s">
        <v>2948</v>
      </c>
    </row>
    <row r="1030" spans="1:13">
      <c r="A1030" t="s">
        <v>13</v>
      </c>
      <c r="B1030">
        <v>1080969</v>
      </c>
      <c r="C1030">
        <v>1082660</v>
      </c>
      <c r="E1030" t="s">
        <v>38</v>
      </c>
      <c r="F1030" t="s">
        <v>2949</v>
      </c>
      <c r="H1030">
        <v>1019015</v>
      </c>
      <c r="I1030" t="s">
        <v>17</v>
      </c>
      <c r="K1030" t="s">
        <v>2950</v>
      </c>
      <c r="L1030">
        <v>563</v>
      </c>
      <c r="M1030" t="s">
        <v>2951</v>
      </c>
    </row>
    <row r="1031" spans="1:13">
      <c r="A1031" t="s">
        <v>13</v>
      </c>
      <c r="B1031">
        <v>1082948</v>
      </c>
      <c r="C1031">
        <v>1084183</v>
      </c>
      <c r="E1031" t="s">
        <v>38</v>
      </c>
      <c r="F1031" t="s">
        <v>391</v>
      </c>
      <c r="H1031">
        <v>1019016</v>
      </c>
      <c r="I1031" t="s">
        <v>17</v>
      </c>
      <c r="K1031" t="s">
        <v>2952</v>
      </c>
      <c r="L1031">
        <v>411</v>
      </c>
      <c r="M1031" t="s">
        <v>2953</v>
      </c>
    </row>
    <row r="1032" spans="1:13">
      <c r="A1032" t="s">
        <v>13</v>
      </c>
      <c r="B1032">
        <v>1084380</v>
      </c>
      <c r="C1032">
        <v>1085465</v>
      </c>
      <c r="E1032" t="s">
        <v>14</v>
      </c>
      <c r="F1032" t="s">
        <v>2954</v>
      </c>
      <c r="G1032" t="s">
        <v>2955</v>
      </c>
      <c r="H1032">
        <v>1019017</v>
      </c>
      <c r="I1032" t="s">
        <v>17</v>
      </c>
      <c r="K1032" t="s">
        <v>2956</v>
      </c>
      <c r="L1032">
        <v>361</v>
      </c>
      <c r="M1032" t="s">
        <v>2957</v>
      </c>
    </row>
    <row r="1033" spans="1:13">
      <c r="A1033" t="s">
        <v>13</v>
      </c>
      <c r="B1033">
        <v>1085499</v>
      </c>
      <c r="C1033">
        <v>1085780</v>
      </c>
      <c r="E1033" t="s">
        <v>14</v>
      </c>
      <c r="F1033" t="s">
        <v>2958</v>
      </c>
      <c r="H1033">
        <v>18194959</v>
      </c>
      <c r="I1033" t="s">
        <v>17</v>
      </c>
      <c r="K1033" t="s">
        <v>2959</v>
      </c>
      <c r="L1033">
        <v>93</v>
      </c>
      <c r="M1033" t="s">
        <v>2960</v>
      </c>
    </row>
    <row r="1034" spans="1:13">
      <c r="A1034" t="s">
        <v>13</v>
      </c>
      <c r="B1034">
        <v>1085791</v>
      </c>
      <c r="C1034">
        <v>1086090</v>
      </c>
      <c r="E1034" t="s">
        <v>14</v>
      </c>
      <c r="F1034" t="s">
        <v>2961</v>
      </c>
      <c r="H1034">
        <v>1019018</v>
      </c>
      <c r="I1034" t="s">
        <v>17</v>
      </c>
      <c r="K1034" t="s">
        <v>2962</v>
      </c>
      <c r="L1034">
        <v>99</v>
      </c>
      <c r="M1034" t="s">
        <v>2963</v>
      </c>
    </row>
    <row r="1035" spans="1:13">
      <c r="A1035" t="s">
        <v>13</v>
      </c>
      <c r="B1035">
        <v>1086087</v>
      </c>
      <c r="C1035">
        <v>1086920</v>
      </c>
      <c r="E1035" t="s">
        <v>14</v>
      </c>
      <c r="F1035" t="s">
        <v>2964</v>
      </c>
      <c r="H1035">
        <v>1019019</v>
      </c>
      <c r="I1035" t="s">
        <v>17</v>
      </c>
      <c r="K1035" t="s">
        <v>2965</v>
      </c>
      <c r="L1035">
        <v>277</v>
      </c>
      <c r="M1035" t="s">
        <v>2966</v>
      </c>
    </row>
    <row r="1036" spans="1:13">
      <c r="A1036" t="s">
        <v>13</v>
      </c>
      <c r="B1036">
        <v>1087041</v>
      </c>
      <c r="C1036">
        <v>1087544</v>
      </c>
      <c r="E1036" t="s">
        <v>38</v>
      </c>
      <c r="F1036" t="s">
        <v>549</v>
      </c>
      <c r="H1036">
        <v>1019020</v>
      </c>
      <c r="I1036" t="s">
        <v>17</v>
      </c>
      <c r="K1036" t="s">
        <v>2967</v>
      </c>
      <c r="L1036">
        <v>167</v>
      </c>
      <c r="M1036" t="s">
        <v>2968</v>
      </c>
    </row>
    <row r="1037" spans="1:13">
      <c r="A1037" t="s">
        <v>13</v>
      </c>
      <c r="B1037">
        <v>1087661</v>
      </c>
      <c r="C1037">
        <v>1088218</v>
      </c>
      <c r="E1037" t="s">
        <v>38</v>
      </c>
      <c r="F1037" t="s">
        <v>871</v>
      </c>
      <c r="H1037">
        <v>1019021</v>
      </c>
      <c r="I1037" t="s">
        <v>17</v>
      </c>
      <c r="K1037" t="s">
        <v>2969</v>
      </c>
      <c r="L1037">
        <v>185</v>
      </c>
      <c r="M1037" t="s">
        <v>2970</v>
      </c>
    </row>
    <row r="1038" spans="1:13">
      <c r="A1038" t="s">
        <v>13</v>
      </c>
      <c r="B1038">
        <v>1088532</v>
      </c>
      <c r="C1038">
        <v>1089740</v>
      </c>
      <c r="E1038" t="s">
        <v>38</v>
      </c>
      <c r="F1038" t="s">
        <v>2971</v>
      </c>
      <c r="H1038">
        <v>1019022</v>
      </c>
      <c r="I1038" t="s">
        <v>17</v>
      </c>
      <c r="K1038" t="s">
        <v>2972</v>
      </c>
      <c r="L1038">
        <v>402</v>
      </c>
      <c r="M1038" t="s">
        <v>2973</v>
      </c>
    </row>
    <row r="1039" spans="1:13">
      <c r="A1039" t="s">
        <v>13</v>
      </c>
      <c r="B1039">
        <v>1090175</v>
      </c>
      <c r="C1039">
        <v>1093219</v>
      </c>
      <c r="E1039" t="s">
        <v>14</v>
      </c>
      <c r="F1039" t="s">
        <v>2974</v>
      </c>
      <c r="H1039">
        <v>1019023</v>
      </c>
      <c r="I1039" t="s">
        <v>17</v>
      </c>
      <c r="K1039" t="s">
        <v>2975</v>
      </c>
      <c r="L1039">
        <v>1014</v>
      </c>
      <c r="M1039" t="s">
        <v>2976</v>
      </c>
    </row>
    <row r="1040" spans="1:13">
      <c r="A1040" t="s">
        <v>13</v>
      </c>
      <c r="B1040">
        <v>1093227</v>
      </c>
      <c r="C1040">
        <v>1094696</v>
      </c>
      <c r="E1040" t="s">
        <v>14</v>
      </c>
      <c r="F1040" t="s">
        <v>977</v>
      </c>
      <c r="H1040">
        <v>1019024</v>
      </c>
      <c r="I1040" t="s">
        <v>17</v>
      </c>
      <c r="K1040" t="s">
        <v>2977</v>
      </c>
      <c r="L1040">
        <v>489</v>
      </c>
      <c r="M1040" t="s">
        <v>2978</v>
      </c>
    </row>
    <row r="1041" spans="1:13">
      <c r="A1041" t="s">
        <v>13</v>
      </c>
      <c r="B1041">
        <v>1094693</v>
      </c>
      <c r="C1041">
        <v>1094914</v>
      </c>
      <c r="E1041" t="s">
        <v>14</v>
      </c>
      <c r="F1041" t="s">
        <v>49</v>
      </c>
      <c r="H1041">
        <v>1019025</v>
      </c>
      <c r="I1041" t="s">
        <v>17</v>
      </c>
      <c r="K1041" t="s">
        <v>2979</v>
      </c>
      <c r="L1041">
        <v>73</v>
      </c>
      <c r="M1041" t="s">
        <v>2980</v>
      </c>
    </row>
    <row r="1042" spans="1:13">
      <c r="A1042" t="s">
        <v>13</v>
      </c>
      <c r="B1042">
        <v>1095052</v>
      </c>
      <c r="C1042">
        <v>1095387</v>
      </c>
      <c r="E1042" t="s">
        <v>14</v>
      </c>
      <c r="F1042" t="s">
        <v>49</v>
      </c>
      <c r="H1042">
        <v>1019026</v>
      </c>
      <c r="I1042" t="s">
        <v>17</v>
      </c>
      <c r="K1042" t="s">
        <v>2981</v>
      </c>
      <c r="L1042">
        <v>111</v>
      </c>
      <c r="M1042" t="s">
        <v>2982</v>
      </c>
    </row>
    <row r="1043" spans="1:13">
      <c r="A1043" t="s">
        <v>13</v>
      </c>
      <c r="B1043">
        <v>1095384</v>
      </c>
      <c r="C1043">
        <v>1096349</v>
      </c>
      <c r="E1043" t="s">
        <v>38</v>
      </c>
      <c r="F1043" t="s">
        <v>141</v>
      </c>
      <c r="H1043">
        <v>18194960</v>
      </c>
      <c r="I1043" t="s">
        <v>142</v>
      </c>
      <c r="M1043" t="s">
        <v>2983</v>
      </c>
    </row>
    <row r="1044" spans="1:13">
      <c r="A1044" t="s">
        <v>13</v>
      </c>
      <c r="B1044">
        <v>1096397</v>
      </c>
      <c r="C1044">
        <v>1096636</v>
      </c>
      <c r="E1044" t="s">
        <v>14</v>
      </c>
      <c r="F1044" t="s">
        <v>49</v>
      </c>
      <c r="H1044">
        <v>44144945</v>
      </c>
      <c r="I1044" t="s">
        <v>17</v>
      </c>
      <c r="K1044" t="s">
        <v>2984</v>
      </c>
      <c r="L1044">
        <v>79</v>
      </c>
      <c r="M1044" t="s">
        <v>2985</v>
      </c>
    </row>
    <row r="1045" spans="1:13">
      <c r="A1045" t="s">
        <v>13</v>
      </c>
      <c r="B1045">
        <v>1096743</v>
      </c>
      <c r="C1045">
        <v>1097111</v>
      </c>
      <c r="E1045" t="s">
        <v>38</v>
      </c>
      <c r="F1045" t="s">
        <v>72</v>
      </c>
      <c r="H1045">
        <v>1019030</v>
      </c>
      <c r="I1045" t="s">
        <v>17</v>
      </c>
      <c r="K1045" t="s">
        <v>2986</v>
      </c>
      <c r="L1045">
        <v>122</v>
      </c>
      <c r="M1045" t="s">
        <v>2987</v>
      </c>
    </row>
    <row r="1046" spans="1:13">
      <c r="A1046" t="s">
        <v>13</v>
      </c>
      <c r="B1046">
        <v>1097229</v>
      </c>
      <c r="C1046">
        <v>1097729</v>
      </c>
      <c r="E1046" t="s">
        <v>14</v>
      </c>
      <c r="F1046" t="s">
        <v>2988</v>
      </c>
      <c r="H1046">
        <v>1019031</v>
      </c>
      <c r="I1046" t="s">
        <v>17</v>
      </c>
      <c r="K1046" t="s">
        <v>2989</v>
      </c>
      <c r="L1046">
        <v>166</v>
      </c>
      <c r="M1046" t="s">
        <v>2990</v>
      </c>
    </row>
    <row r="1047" spans="1:13">
      <c r="A1047" t="s">
        <v>13</v>
      </c>
      <c r="B1047">
        <v>1097792</v>
      </c>
      <c r="C1047">
        <v>1098595</v>
      </c>
      <c r="E1047" t="s">
        <v>14</v>
      </c>
      <c r="F1047" t="s">
        <v>336</v>
      </c>
      <c r="H1047">
        <v>1019032</v>
      </c>
      <c r="I1047" t="s">
        <v>17</v>
      </c>
      <c r="K1047" t="s">
        <v>2991</v>
      </c>
      <c r="L1047">
        <v>267</v>
      </c>
      <c r="M1047" t="s">
        <v>2992</v>
      </c>
    </row>
    <row r="1048" spans="1:13">
      <c r="A1048" t="s">
        <v>13</v>
      </c>
      <c r="B1048">
        <v>1098609</v>
      </c>
      <c r="C1048">
        <v>1098932</v>
      </c>
      <c r="E1048" t="s">
        <v>14</v>
      </c>
      <c r="F1048" t="s">
        <v>2993</v>
      </c>
      <c r="H1048">
        <v>1019033</v>
      </c>
      <c r="I1048" t="s">
        <v>17</v>
      </c>
      <c r="K1048" t="s">
        <v>2994</v>
      </c>
      <c r="L1048">
        <v>107</v>
      </c>
      <c r="M1048" t="s">
        <v>2995</v>
      </c>
    </row>
    <row r="1049" spans="1:13">
      <c r="A1049" t="s">
        <v>13</v>
      </c>
      <c r="B1049">
        <v>1099112</v>
      </c>
      <c r="C1049">
        <v>1099768</v>
      </c>
      <c r="E1049" t="s">
        <v>38</v>
      </c>
      <c r="F1049" t="s">
        <v>1841</v>
      </c>
      <c r="H1049">
        <v>1019034</v>
      </c>
      <c r="I1049" t="s">
        <v>17</v>
      </c>
      <c r="K1049" t="s">
        <v>2996</v>
      </c>
      <c r="L1049">
        <v>218</v>
      </c>
      <c r="M1049" t="s">
        <v>2997</v>
      </c>
    </row>
    <row r="1050" spans="1:13">
      <c r="A1050" t="s">
        <v>13</v>
      </c>
      <c r="B1050">
        <v>1099959</v>
      </c>
      <c r="C1050">
        <v>1101656</v>
      </c>
      <c r="E1050" t="s">
        <v>14</v>
      </c>
      <c r="F1050" t="s">
        <v>2522</v>
      </c>
      <c r="H1050">
        <v>1019035</v>
      </c>
      <c r="I1050" t="s">
        <v>17</v>
      </c>
      <c r="K1050" t="s">
        <v>2998</v>
      </c>
      <c r="L1050">
        <v>565</v>
      </c>
      <c r="M1050" t="s">
        <v>2999</v>
      </c>
    </row>
    <row r="1051" spans="1:13">
      <c r="A1051" t="s">
        <v>13</v>
      </c>
      <c r="B1051">
        <v>1102163</v>
      </c>
      <c r="C1051">
        <v>1102642</v>
      </c>
      <c r="E1051" t="s">
        <v>14</v>
      </c>
      <c r="F1051" t="s">
        <v>49</v>
      </c>
      <c r="H1051">
        <v>44144946</v>
      </c>
      <c r="I1051" t="s">
        <v>17</v>
      </c>
      <c r="K1051" t="s">
        <v>3000</v>
      </c>
      <c r="L1051">
        <v>159</v>
      </c>
      <c r="M1051" t="s">
        <v>3001</v>
      </c>
    </row>
    <row r="1052" spans="1:13">
      <c r="A1052" t="s">
        <v>13</v>
      </c>
      <c r="B1052">
        <v>1102740</v>
      </c>
      <c r="C1052">
        <v>1103195</v>
      </c>
      <c r="E1052" t="s">
        <v>14</v>
      </c>
      <c r="F1052" t="s">
        <v>49</v>
      </c>
      <c r="H1052">
        <v>44144947</v>
      </c>
      <c r="I1052" t="s">
        <v>17</v>
      </c>
      <c r="K1052" t="s">
        <v>3002</v>
      </c>
      <c r="L1052">
        <v>151</v>
      </c>
      <c r="M1052" t="s">
        <v>3003</v>
      </c>
    </row>
    <row r="1053" spans="1:13">
      <c r="A1053" t="s">
        <v>13</v>
      </c>
      <c r="B1053">
        <v>1103192</v>
      </c>
      <c r="C1053">
        <v>1103527</v>
      </c>
      <c r="E1053" t="s">
        <v>14</v>
      </c>
      <c r="F1053" t="s">
        <v>49</v>
      </c>
      <c r="H1053">
        <v>1019038</v>
      </c>
      <c r="I1053" t="s">
        <v>17</v>
      </c>
      <c r="K1053" t="s">
        <v>3004</v>
      </c>
      <c r="L1053">
        <v>111</v>
      </c>
      <c r="M1053" t="s">
        <v>3005</v>
      </c>
    </row>
    <row r="1054" spans="1:13">
      <c r="A1054" t="s">
        <v>13</v>
      </c>
      <c r="B1054">
        <v>1103712</v>
      </c>
      <c r="C1054">
        <v>1103921</v>
      </c>
      <c r="E1054" t="s">
        <v>38</v>
      </c>
      <c r="F1054" t="s">
        <v>49</v>
      </c>
      <c r="H1054">
        <v>44144948</v>
      </c>
      <c r="I1054" t="s">
        <v>17</v>
      </c>
      <c r="K1054" t="s">
        <v>3006</v>
      </c>
      <c r="L1054">
        <v>69</v>
      </c>
      <c r="M1054" t="s">
        <v>3007</v>
      </c>
    </row>
    <row r="1055" spans="1:13">
      <c r="A1055" t="s">
        <v>13</v>
      </c>
      <c r="B1055">
        <v>1103951</v>
      </c>
      <c r="C1055">
        <v>1104106</v>
      </c>
      <c r="E1055" t="s">
        <v>14</v>
      </c>
      <c r="F1055" t="s">
        <v>49</v>
      </c>
      <c r="H1055">
        <v>44156731</v>
      </c>
      <c r="I1055" t="s">
        <v>17</v>
      </c>
      <c r="K1055" t="s">
        <v>3008</v>
      </c>
      <c r="L1055">
        <v>51</v>
      </c>
      <c r="M1055" t="s">
        <v>3009</v>
      </c>
    </row>
    <row r="1056" spans="1:13">
      <c r="A1056" t="s">
        <v>13</v>
      </c>
      <c r="B1056">
        <v>1104100</v>
      </c>
      <c r="C1056">
        <v>1106058</v>
      </c>
      <c r="E1056" t="s">
        <v>38</v>
      </c>
      <c r="F1056" t="s">
        <v>3010</v>
      </c>
      <c r="H1056">
        <v>1019040</v>
      </c>
      <c r="I1056" t="s">
        <v>17</v>
      </c>
      <c r="K1056" t="s">
        <v>3011</v>
      </c>
      <c r="L1056">
        <v>652</v>
      </c>
      <c r="M1056" t="s">
        <v>3012</v>
      </c>
    </row>
    <row r="1057" spans="1:13">
      <c r="A1057" t="s">
        <v>13</v>
      </c>
      <c r="B1057">
        <v>1106083</v>
      </c>
      <c r="C1057">
        <v>1107447</v>
      </c>
      <c r="E1057" t="s">
        <v>38</v>
      </c>
      <c r="F1057" t="s">
        <v>3013</v>
      </c>
      <c r="H1057">
        <v>1019041</v>
      </c>
      <c r="I1057" t="s">
        <v>17</v>
      </c>
      <c r="K1057" t="s">
        <v>3014</v>
      </c>
      <c r="L1057">
        <v>454</v>
      </c>
      <c r="M1057" t="s">
        <v>3015</v>
      </c>
    </row>
    <row r="1058" spans="1:13">
      <c r="A1058" t="s">
        <v>13</v>
      </c>
      <c r="B1058">
        <v>1107503</v>
      </c>
      <c r="C1058">
        <v>1108204</v>
      </c>
      <c r="E1058" t="s">
        <v>14</v>
      </c>
      <c r="F1058" t="s">
        <v>1279</v>
      </c>
      <c r="H1058">
        <v>1019042</v>
      </c>
      <c r="I1058" t="s">
        <v>17</v>
      </c>
      <c r="K1058" t="s">
        <v>3016</v>
      </c>
      <c r="L1058">
        <v>233</v>
      </c>
      <c r="M1058" t="s">
        <v>3017</v>
      </c>
    </row>
    <row r="1059" spans="1:13">
      <c r="A1059" t="s">
        <v>13</v>
      </c>
      <c r="B1059">
        <v>1108201</v>
      </c>
      <c r="C1059">
        <v>1108908</v>
      </c>
      <c r="E1059" t="s">
        <v>14</v>
      </c>
      <c r="F1059" t="s">
        <v>3018</v>
      </c>
      <c r="H1059">
        <v>1019043</v>
      </c>
      <c r="I1059" t="s">
        <v>17</v>
      </c>
      <c r="K1059" t="s">
        <v>3019</v>
      </c>
      <c r="L1059">
        <v>235</v>
      </c>
      <c r="M1059" t="s">
        <v>3020</v>
      </c>
    </row>
    <row r="1060" spans="1:13">
      <c r="A1060" t="s">
        <v>13</v>
      </c>
      <c r="B1060">
        <v>1108993</v>
      </c>
      <c r="C1060">
        <v>1109757</v>
      </c>
      <c r="E1060" t="s">
        <v>14</v>
      </c>
      <c r="F1060" t="s">
        <v>3021</v>
      </c>
      <c r="H1060">
        <v>1019044</v>
      </c>
      <c r="I1060" t="s">
        <v>17</v>
      </c>
      <c r="K1060" t="s">
        <v>3022</v>
      </c>
      <c r="L1060">
        <v>254</v>
      </c>
      <c r="M1060" t="s">
        <v>3023</v>
      </c>
    </row>
    <row r="1061" spans="1:13">
      <c r="A1061" t="s">
        <v>13</v>
      </c>
      <c r="B1061">
        <v>1109792</v>
      </c>
      <c r="C1061">
        <v>1111435</v>
      </c>
      <c r="E1061" t="s">
        <v>14</v>
      </c>
      <c r="F1061" t="s">
        <v>3024</v>
      </c>
      <c r="G1061" t="s">
        <v>3025</v>
      </c>
      <c r="H1061">
        <v>1019045</v>
      </c>
      <c r="I1061" t="s">
        <v>17</v>
      </c>
      <c r="K1061" t="s">
        <v>3026</v>
      </c>
      <c r="L1061">
        <v>547</v>
      </c>
      <c r="M1061" t="s">
        <v>3027</v>
      </c>
    </row>
    <row r="1062" spans="1:13">
      <c r="A1062" t="s">
        <v>13</v>
      </c>
      <c r="B1062">
        <v>1111422</v>
      </c>
      <c r="C1062">
        <v>1111820</v>
      </c>
      <c r="E1062" t="s">
        <v>38</v>
      </c>
      <c r="F1062" t="s">
        <v>3028</v>
      </c>
      <c r="H1062">
        <v>1019046</v>
      </c>
      <c r="I1062" t="s">
        <v>17</v>
      </c>
      <c r="K1062" t="s">
        <v>3029</v>
      </c>
      <c r="L1062">
        <v>132</v>
      </c>
      <c r="M1062" t="s">
        <v>3030</v>
      </c>
    </row>
    <row r="1063" spans="1:13">
      <c r="A1063" t="s">
        <v>13</v>
      </c>
      <c r="B1063">
        <v>1111889</v>
      </c>
      <c r="C1063">
        <v>1112233</v>
      </c>
      <c r="E1063" t="s">
        <v>14</v>
      </c>
      <c r="F1063" t="s">
        <v>3031</v>
      </c>
      <c r="H1063">
        <v>1019047</v>
      </c>
      <c r="I1063" t="s">
        <v>17</v>
      </c>
      <c r="K1063" t="s">
        <v>3032</v>
      </c>
      <c r="L1063">
        <v>114</v>
      </c>
      <c r="M1063" t="s">
        <v>3033</v>
      </c>
    </row>
    <row r="1064" spans="1:13">
      <c r="A1064" t="s">
        <v>13</v>
      </c>
      <c r="B1064">
        <v>1112481</v>
      </c>
      <c r="C1064">
        <v>1112957</v>
      </c>
      <c r="E1064" t="s">
        <v>38</v>
      </c>
      <c r="F1064" t="s">
        <v>285</v>
      </c>
      <c r="H1064">
        <v>1019048</v>
      </c>
      <c r="I1064" t="s">
        <v>17</v>
      </c>
      <c r="K1064" t="s">
        <v>3034</v>
      </c>
      <c r="L1064">
        <v>158</v>
      </c>
      <c r="M1064" t="s">
        <v>3035</v>
      </c>
    </row>
    <row r="1065" spans="1:13">
      <c r="A1065" t="s">
        <v>13</v>
      </c>
      <c r="B1065">
        <v>1113102</v>
      </c>
      <c r="C1065">
        <v>1114322</v>
      </c>
      <c r="E1065" t="s">
        <v>14</v>
      </c>
      <c r="F1065" t="s">
        <v>265</v>
      </c>
      <c r="H1065">
        <v>1019049</v>
      </c>
      <c r="I1065" t="s">
        <v>17</v>
      </c>
      <c r="K1065" t="s">
        <v>3036</v>
      </c>
      <c r="L1065">
        <v>406</v>
      </c>
      <c r="M1065" t="s">
        <v>3037</v>
      </c>
    </row>
    <row r="1066" spans="1:13">
      <c r="A1066" t="s">
        <v>13</v>
      </c>
      <c r="B1066">
        <v>1114486</v>
      </c>
      <c r="C1066">
        <v>1115796</v>
      </c>
      <c r="E1066" t="s">
        <v>14</v>
      </c>
      <c r="F1066" t="s">
        <v>3038</v>
      </c>
      <c r="H1066">
        <v>1019050</v>
      </c>
      <c r="I1066" t="s">
        <v>17</v>
      </c>
      <c r="K1066" t="s">
        <v>3039</v>
      </c>
      <c r="L1066">
        <v>436</v>
      </c>
      <c r="M1066" t="s">
        <v>3040</v>
      </c>
    </row>
    <row r="1067" spans="1:13">
      <c r="A1067" t="s">
        <v>13</v>
      </c>
      <c r="B1067">
        <v>1115829</v>
      </c>
      <c r="C1067">
        <v>1116905</v>
      </c>
      <c r="E1067" t="s">
        <v>38</v>
      </c>
      <c r="F1067" t="s">
        <v>3041</v>
      </c>
      <c r="H1067">
        <v>1019051</v>
      </c>
      <c r="I1067" t="s">
        <v>17</v>
      </c>
      <c r="K1067" t="s">
        <v>3042</v>
      </c>
      <c r="L1067">
        <v>358</v>
      </c>
      <c r="M1067" t="s">
        <v>3043</v>
      </c>
    </row>
    <row r="1068" spans="1:13">
      <c r="A1068" t="s">
        <v>13</v>
      </c>
      <c r="B1068">
        <v>1116905</v>
      </c>
      <c r="C1068">
        <v>1117744</v>
      </c>
      <c r="E1068" t="s">
        <v>38</v>
      </c>
      <c r="F1068" t="s">
        <v>3044</v>
      </c>
      <c r="G1068" t="s">
        <v>3045</v>
      </c>
      <c r="H1068">
        <v>1019052</v>
      </c>
      <c r="I1068" t="s">
        <v>17</v>
      </c>
      <c r="K1068" t="s">
        <v>3046</v>
      </c>
      <c r="L1068">
        <v>279</v>
      </c>
      <c r="M1068" t="s">
        <v>3047</v>
      </c>
    </row>
    <row r="1069" spans="1:13">
      <c r="A1069" t="s">
        <v>13</v>
      </c>
      <c r="B1069">
        <v>1117748</v>
      </c>
      <c r="C1069">
        <v>1119034</v>
      </c>
      <c r="E1069" t="s">
        <v>38</v>
      </c>
      <c r="F1069" t="s">
        <v>3048</v>
      </c>
      <c r="G1069" t="s">
        <v>3049</v>
      </c>
      <c r="H1069">
        <v>1019053</v>
      </c>
      <c r="I1069" t="s">
        <v>17</v>
      </c>
      <c r="K1069" t="s">
        <v>3050</v>
      </c>
      <c r="L1069">
        <v>428</v>
      </c>
      <c r="M1069" t="s">
        <v>3051</v>
      </c>
    </row>
    <row r="1070" spans="1:13">
      <c r="A1070" t="s">
        <v>13</v>
      </c>
      <c r="B1070">
        <v>1119083</v>
      </c>
      <c r="C1070">
        <v>1119727</v>
      </c>
      <c r="E1070" t="s">
        <v>38</v>
      </c>
      <c r="F1070" t="s">
        <v>898</v>
      </c>
      <c r="H1070">
        <v>1019054</v>
      </c>
      <c r="I1070" t="s">
        <v>17</v>
      </c>
      <c r="K1070" t="s">
        <v>3052</v>
      </c>
      <c r="L1070">
        <v>214</v>
      </c>
      <c r="M1070" t="s">
        <v>3053</v>
      </c>
    </row>
    <row r="1071" spans="1:13">
      <c r="A1071" t="s">
        <v>13</v>
      </c>
      <c r="B1071">
        <v>1119884</v>
      </c>
      <c r="C1071">
        <v>1120807</v>
      </c>
      <c r="E1071" t="s">
        <v>14</v>
      </c>
      <c r="F1071" t="s">
        <v>769</v>
      </c>
      <c r="H1071">
        <v>1019055</v>
      </c>
      <c r="I1071" t="s">
        <v>17</v>
      </c>
      <c r="K1071" t="s">
        <v>3054</v>
      </c>
      <c r="L1071">
        <v>307</v>
      </c>
      <c r="M1071" t="s">
        <v>3055</v>
      </c>
    </row>
    <row r="1072" spans="1:13">
      <c r="A1072" t="s">
        <v>13</v>
      </c>
      <c r="B1072">
        <v>1120830</v>
      </c>
      <c r="C1072">
        <v>1121432</v>
      </c>
      <c r="E1072" t="s">
        <v>38</v>
      </c>
      <c r="F1072" t="s">
        <v>191</v>
      </c>
      <c r="H1072">
        <v>1019056</v>
      </c>
      <c r="I1072" t="s">
        <v>17</v>
      </c>
      <c r="K1072" t="s">
        <v>3056</v>
      </c>
      <c r="L1072">
        <v>200</v>
      </c>
      <c r="M1072" t="s">
        <v>3057</v>
      </c>
    </row>
    <row r="1073" spans="1:13">
      <c r="A1073" t="s">
        <v>13</v>
      </c>
      <c r="B1073">
        <v>1121465</v>
      </c>
      <c r="C1073">
        <v>1121809</v>
      </c>
      <c r="E1073" t="s">
        <v>38</v>
      </c>
      <c r="F1073" t="s">
        <v>3058</v>
      </c>
      <c r="H1073">
        <v>1019057</v>
      </c>
      <c r="I1073" t="s">
        <v>17</v>
      </c>
      <c r="K1073" t="s">
        <v>3059</v>
      </c>
      <c r="L1073">
        <v>114</v>
      </c>
      <c r="M1073" t="s">
        <v>3060</v>
      </c>
    </row>
    <row r="1074" spans="1:13">
      <c r="A1074" t="s">
        <v>13</v>
      </c>
      <c r="B1074">
        <v>1121815</v>
      </c>
      <c r="C1074">
        <v>1122873</v>
      </c>
      <c r="E1074" t="s">
        <v>38</v>
      </c>
      <c r="F1074" t="s">
        <v>3061</v>
      </c>
      <c r="H1074">
        <v>1019059</v>
      </c>
      <c r="I1074" t="s">
        <v>17</v>
      </c>
      <c r="K1074" t="s">
        <v>3062</v>
      </c>
      <c r="L1074">
        <v>352</v>
      </c>
      <c r="M1074" t="s">
        <v>3063</v>
      </c>
    </row>
    <row r="1075" spans="1:13">
      <c r="A1075" t="s">
        <v>13</v>
      </c>
      <c r="B1075">
        <v>1122872</v>
      </c>
      <c r="C1075">
        <v>1123030</v>
      </c>
      <c r="E1075" t="s">
        <v>14</v>
      </c>
      <c r="F1075" t="s">
        <v>49</v>
      </c>
      <c r="H1075">
        <v>44144949</v>
      </c>
      <c r="I1075" t="s">
        <v>17</v>
      </c>
      <c r="K1075" t="s">
        <v>3064</v>
      </c>
      <c r="L1075">
        <v>52</v>
      </c>
      <c r="M1075" t="s">
        <v>3065</v>
      </c>
    </row>
    <row r="1076" spans="1:13">
      <c r="A1076" t="s">
        <v>13</v>
      </c>
      <c r="B1076">
        <v>1123051</v>
      </c>
      <c r="C1076">
        <v>1123464</v>
      </c>
      <c r="E1076" t="s">
        <v>14</v>
      </c>
      <c r="F1076" t="s">
        <v>356</v>
      </c>
      <c r="H1076">
        <v>1019060</v>
      </c>
      <c r="I1076" t="s">
        <v>17</v>
      </c>
      <c r="K1076" t="s">
        <v>3066</v>
      </c>
      <c r="L1076">
        <v>137</v>
      </c>
      <c r="M1076" t="s">
        <v>3067</v>
      </c>
    </row>
    <row r="1077" spans="1:13">
      <c r="A1077" t="s">
        <v>13</v>
      </c>
      <c r="B1077">
        <v>1123531</v>
      </c>
      <c r="C1077">
        <v>1124826</v>
      </c>
      <c r="E1077" t="s">
        <v>38</v>
      </c>
      <c r="F1077" t="s">
        <v>265</v>
      </c>
      <c r="H1077">
        <v>1019061</v>
      </c>
      <c r="I1077" t="s">
        <v>17</v>
      </c>
      <c r="K1077" t="s">
        <v>3068</v>
      </c>
      <c r="L1077">
        <v>431</v>
      </c>
      <c r="M1077" t="s">
        <v>3069</v>
      </c>
    </row>
    <row r="1078" spans="1:13">
      <c r="A1078" t="s">
        <v>13</v>
      </c>
      <c r="B1078">
        <v>1124833</v>
      </c>
      <c r="C1078">
        <v>1126020</v>
      </c>
      <c r="E1078" t="s">
        <v>38</v>
      </c>
      <c r="F1078" t="s">
        <v>3070</v>
      </c>
      <c r="H1078">
        <v>1019062</v>
      </c>
      <c r="I1078" t="s">
        <v>17</v>
      </c>
      <c r="K1078" t="s">
        <v>3071</v>
      </c>
      <c r="L1078">
        <v>395</v>
      </c>
      <c r="M1078" t="s">
        <v>3072</v>
      </c>
    </row>
    <row r="1079" spans="1:13">
      <c r="A1079" t="s">
        <v>13</v>
      </c>
      <c r="B1079">
        <v>1126407</v>
      </c>
      <c r="C1079">
        <v>1127012</v>
      </c>
      <c r="E1079" t="s">
        <v>14</v>
      </c>
      <c r="F1079" t="s">
        <v>1553</v>
      </c>
      <c r="H1079">
        <v>1019063</v>
      </c>
      <c r="I1079" t="s">
        <v>17</v>
      </c>
      <c r="K1079" t="s">
        <v>3073</v>
      </c>
      <c r="L1079">
        <v>201</v>
      </c>
      <c r="M1079" t="s">
        <v>3074</v>
      </c>
    </row>
    <row r="1080" spans="1:13">
      <c r="A1080" t="s">
        <v>13</v>
      </c>
      <c r="B1080">
        <v>1127013</v>
      </c>
      <c r="C1080">
        <v>1128353</v>
      </c>
      <c r="E1080" t="s">
        <v>14</v>
      </c>
      <c r="F1080" t="s">
        <v>147</v>
      </c>
      <c r="H1080">
        <v>1019064</v>
      </c>
      <c r="I1080" t="s">
        <v>17</v>
      </c>
      <c r="K1080" t="s">
        <v>3075</v>
      </c>
      <c r="L1080">
        <v>446</v>
      </c>
      <c r="M1080" t="s">
        <v>3076</v>
      </c>
    </row>
    <row r="1081" spans="1:13">
      <c r="A1081" t="s">
        <v>13</v>
      </c>
      <c r="B1081">
        <v>1128350</v>
      </c>
      <c r="C1081">
        <v>1129105</v>
      </c>
      <c r="E1081" t="s">
        <v>14</v>
      </c>
      <c r="F1081" t="s">
        <v>3077</v>
      </c>
      <c r="H1081">
        <v>1019065</v>
      </c>
      <c r="I1081" t="s">
        <v>17</v>
      </c>
      <c r="K1081" t="s">
        <v>3078</v>
      </c>
      <c r="L1081">
        <v>251</v>
      </c>
      <c r="M1081" t="s">
        <v>3079</v>
      </c>
    </row>
    <row r="1082" spans="1:13">
      <c r="A1082" t="s">
        <v>13</v>
      </c>
      <c r="B1082">
        <v>1129102</v>
      </c>
      <c r="C1082">
        <v>1129635</v>
      </c>
      <c r="E1082" t="s">
        <v>14</v>
      </c>
      <c r="F1082" t="s">
        <v>49</v>
      </c>
      <c r="H1082">
        <v>1019066</v>
      </c>
      <c r="I1082" t="s">
        <v>17</v>
      </c>
      <c r="K1082" t="s">
        <v>3080</v>
      </c>
      <c r="L1082">
        <v>177</v>
      </c>
      <c r="M1082" t="s">
        <v>3081</v>
      </c>
    </row>
    <row r="1083" spans="1:13">
      <c r="A1083" t="s">
        <v>13</v>
      </c>
      <c r="B1083">
        <v>1129655</v>
      </c>
      <c r="C1083">
        <v>1130707</v>
      </c>
      <c r="E1083" t="s">
        <v>14</v>
      </c>
      <c r="F1083" t="s">
        <v>3082</v>
      </c>
      <c r="H1083">
        <v>1019067</v>
      </c>
      <c r="I1083" t="s">
        <v>17</v>
      </c>
      <c r="K1083" t="s">
        <v>3083</v>
      </c>
      <c r="L1083">
        <v>350</v>
      </c>
      <c r="M1083" t="s">
        <v>3084</v>
      </c>
    </row>
    <row r="1084" spans="1:13">
      <c r="A1084" t="s">
        <v>13</v>
      </c>
      <c r="B1084">
        <v>1130727</v>
      </c>
      <c r="C1084">
        <v>1131431</v>
      </c>
      <c r="E1084" t="s">
        <v>14</v>
      </c>
      <c r="F1084" t="s">
        <v>3085</v>
      </c>
      <c r="H1084">
        <v>1019068</v>
      </c>
      <c r="I1084" t="s">
        <v>17</v>
      </c>
      <c r="K1084" t="s">
        <v>3086</v>
      </c>
      <c r="L1084">
        <v>234</v>
      </c>
      <c r="M1084" t="s">
        <v>3087</v>
      </c>
    </row>
    <row r="1085" spans="1:13">
      <c r="A1085" t="s">
        <v>13</v>
      </c>
      <c r="B1085">
        <v>1131398</v>
      </c>
      <c r="C1085">
        <v>1132123</v>
      </c>
      <c r="E1085" t="s">
        <v>38</v>
      </c>
      <c r="F1085" t="s">
        <v>3088</v>
      </c>
      <c r="H1085">
        <v>1019069</v>
      </c>
      <c r="I1085" t="s">
        <v>17</v>
      </c>
      <c r="K1085" t="s">
        <v>3089</v>
      </c>
      <c r="L1085">
        <v>241</v>
      </c>
      <c r="M1085" t="s">
        <v>3090</v>
      </c>
    </row>
    <row r="1086" spans="1:13">
      <c r="A1086" t="s">
        <v>13</v>
      </c>
      <c r="B1086">
        <v>1132130</v>
      </c>
      <c r="C1086">
        <v>1134472</v>
      </c>
      <c r="E1086" t="s">
        <v>38</v>
      </c>
      <c r="F1086" t="s">
        <v>127</v>
      </c>
      <c r="H1086">
        <v>1019070</v>
      </c>
      <c r="I1086" t="s">
        <v>17</v>
      </c>
      <c r="K1086" t="s">
        <v>3091</v>
      </c>
      <c r="L1086">
        <v>780</v>
      </c>
      <c r="M1086" t="s">
        <v>3092</v>
      </c>
    </row>
    <row r="1087" spans="1:13">
      <c r="A1087" t="s">
        <v>13</v>
      </c>
      <c r="B1087">
        <v>1134561</v>
      </c>
      <c r="C1087">
        <v>1135058</v>
      </c>
      <c r="E1087" t="s">
        <v>14</v>
      </c>
      <c r="F1087" t="s">
        <v>3093</v>
      </c>
      <c r="G1087" t="s">
        <v>3094</v>
      </c>
      <c r="H1087">
        <v>1019071</v>
      </c>
      <c r="I1087" t="s">
        <v>17</v>
      </c>
      <c r="K1087" t="s">
        <v>3095</v>
      </c>
      <c r="L1087">
        <v>165</v>
      </c>
      <c r="M1087" t="s">
        <v>3096</v>
      </c>
    </row>
    <row r="1088" spans="1:13">
      <c r="A1088" t="s">
        <v>13</v>
      </c>
      <c r="B1088">
        <v>1135055</v>
      </c>
      <c r="C1088">
        <v>1136833</v>
      </c>
      <c r="E1088" t="s">
        <v>38</v>
      </c>
      <c r="F1088" t="s">
        <v>49</v>
      </c>
      <c r="H1088">
        <v>1019072</v>
      </c>
      <c r="I1088" t="s">
        <v>17</v>
      </c>
      <c r="K1088" t="s">
        <v>3097</v>
      </c>
      <c r="L1088">
        <v>592</v>
      </c>
      <c r="M1088" t="s">
        <v>3098</v>
      </c>
    </row>
    <row r="1089" spans="1:13">
      <c r="A1089" t="s">
        <v>13</v>
      </c>
      <c r="B1089">
        <v>1136935</v>
      </c>
      <c r="C1089">
        <v>1137891</v>
      </c>
      <c r="E1089" t="s">
        <v>38</v>
      </c>
      <c r="F1089" t="s">
        <v>3099</v>
      </c>
      <c r="H1089">
        <v>1019073</v>
      </c>
      <c r="I1089" t="s">
        <v>17</v>
      </c>
      <c r="K1089" t="s">
        <v>3100</v>
      </c>
      <c r="L1089">
        <v>318</v>
      </c>
      <c r="M1089" t="s">
        <v>3101</v>
      </c>
    </row>
    <row r="1090" spans="1:13">
      <c r="A1090" t="s">
        <v>13</v>
      </c>
      <c r="B1090">
        <v>1137960</v>
      </c>
      <c r="C1090">
        <v>1138862</v>
      </c>
      <c r="E1090" t="s">
        <v>14</v>
      </c>
      <c r="F1090" t="s">
        <v>3102</v>
      </c>
      <c r="H1090">
        <v>1019074</v>
      </c>
      <c r="I1090" t="s">
        <v>17</v>
      </c>
      <c r="K1090" t="s">
        <v>3103</v>
      </c>
      <c r="L1090">
        <v>300</v>
      </c>
      <c r="M1090" t="s">
        <v>3104</v>
      </c>
    </row>
    <row r="1091" spans="1:13">
      <c r="A1091" t="s">
        <v>13</v>
      </c>
      <c r="B1091">
        <v>1138880</v>
      </c>
      <c r="C1091">
        <v>1139248</v>
      </c>
      <c r="E1091" t="s">
        <v>14</v>
      </c>
      <c r="F1091" t="s">
        <v>3105</v>
      </c>
      <c r="H1091">
        <v>1019075</v>
      </c>
      <c r="I1091" t="s">
        <v>17</v>
      </c>
      <c r="K1091" t="s">
        <v>3106</v>
      </c>
      <c r="L1091">
        <v>122</v>
      </c>
      <c r="M1091" t="s">
        <v>3107</v>
      </c>
    </row>
    <row r="1092" spans="1:13">
      <c r="A1092" t="s">
        <v>13</v>
      </c>
      <c r="B1092">
        <v>1139357</v>
      </c>
      <c r="C1092">
        <v>1139620</v>
      </c>
      <c r="E1092" t="s">
        <v>14</v>
      </c>
      <c r="F1092" t="s">
        <v>49</v>
      </c>
      <c r="H1092">
        <v>44144950</v>
      </c>
      <c r="I1092" t="s">
        <v>17</v>
      </c>
      <c r="K1092" t="s">
        <v>3108</v>
      </c>
      <c r="L1092">
        <v>87</v>
      </c>
      <c r="M1092" t="s">
        <v>3109</v>
      </c>
    </row>
    <row r="1093" spans="1:13">
      <c r="A1093" t="s">
        <v>13</v>
      </c>
      <c r="B1093">
        <v>1139632</v>
      </c>
      <c r="C1093">
        <v>1140021</v>
      </c>
      <c r="E1093" t="s">
        <v>38</v>
      </c>
      <c r="F1093" t="s">
        <v>1360</v>
      </c>
      <c r="H1093">
        <v>1019077</v>
      </c>
      <c r="I1093" t="s">
        <v>17</v>
      </c>
      <c r="K1093" t="s">
        <v>3110</v>
      </c>
      <c r="L1093">
        <v>129</v>
      </c>
      <c r="M1093" t="s">
        <v>3111</v>
      </c>
    </row>
    <row r="1094" spans="1:13">
      <c r="A1094" t="s">
        <v>13</v>
      </c>
      <c r="B1094">
        <v>1140025</v>
      </c>
      <c r="C1094">
        <v>1140861</v>
      </c>
      <c r="E1094" t="s">
        <v>38</v>
      </c>
      <c r="F1094" t="s">
        <v>2286</v>
      </c>
      <c r="H1094">
        <v>1019078</v>
      </c>
      <c r="I1094" t="s">
        <v>17</v>
      </c>
      <c r="K1094" t="s">
        <v>3112</v>
      </c>
      <c r="L1094">
        <v>278</v>
      </c>
      <c r="M1094" t="s">
        <v>3113</v>
      </c>
    </row>
    <row r="1095" spans="1:13">
      <c r="A1095" t="s">
        <v>13</v>
      </c>
      <c r="B1095">
        <v>1140898</v>
      </c>
      <c r="C1095">
        <v>1141245</v>
      </c>
      <c r="E1095" t="s">
        <v>38</v>
      </c>
      <c r="F1095" t="s">
        <v>3114</v>
      </c>
      <c r="G1095" t="s">
        <v>3115</v>
      </c>
      <c r="H1095">
        <v>1019079</v>
      </c>
      <c r="I1095" t="s">
        <v>17</v>
      </c>
      <c r="K1095" t="s">
        <v>3116</v>
      </c>
      <c r="L1095">
        <v>115</v>
      </c>
      <c r="M1095" t="s">
        <v>3117</v>
      </c>
    </row>
    <row r="1096" spans="1:13">
      <c r="A1096" t="s">
        <v>13</v>
      </c>
      <c r="B1096">
        <v>1141273</v>
      </c>
      <c r="C1096">
        <v>1142475</v>
      </c>
      <c r="E1096" t="s">
        <v>14</v>
      </c>
      <c r="F1096" t="s">
        <v>3118</v>
      </c>
      <c r="H1096">
        <v>1019080</v>
      </c>
      <c r="I1096" t="s">
        <v>17</v>
      </c>
      <c r="K1096" t="s">
        <v>3119</v>
      </c>
      <c r="L1096">
        <v>400</v>
      </c>
      <c r="M1096" t="s">
        <v>3120</v>
      </c>
    </row>
    <row r="1097" spans="1:13">
      <c r="A1097" t="s">
        <v>13</v>
      </c>
      <c r="B1097">
        <v>1142476</v>
      </c>
      <c r="C1097">
        <v>1143015</v>
      </c>
      <c r="E1097" t="s">
        <v>38</v>
      </c>
      <c r="F1097" t="s">
        <v>3121</v>
      </c>
      <c r="H1097">
        <v>1019081</v>
      </c>
      <c r="I1097" t="s">
        <v>17</v>
      </c>
      <c r="K1097" t="s">
        <v>3122</v>
      </c>
      <c r="L1097">
        <v>179</v>
      </c>
      <c r="M1097" t="s">
        <v>3123</v>
      </c>
    </row>
    <row r="1098" spans="1:13">
      <c r="A1098" t="s">
        <v>13</v>
      </c>
      <c r="B1098">
        <v>1143023</v>
      </c>
      <c r="C1098">
        <v>1143739</v>
      </c>
      <c r="E1098" t="s">
        <v>38</v>
      </c>
      <c r="F1098" t="s">
        <v>3124</v>
      </c>
      <c r="H1098">
        <v>1019082</v>
      </c>
      <c r="I1098" t="s">
        <v>17</v>
      </c>
      <c r="K1098" t="s">
        <v>3125</v>
      </c>
      <c r="L1098">
        <v>238</v>
      </c>
      <c r="M1098" t="s">
        <v>3126</v>
      </c>
    </row>
    <row r="1099" spans="1:13">
      <c r="A1099" t="s">
        <v>13</v>
      </c>
      <c r="B1099">
        <v>1144118</v>
      </c>
      <c r="C1099">
        <v>1146031</v>
      </c>
      <c r="E1099" t="s">
        <v>14</v>
      </c>
      <c r="F1099" t="s">
        <v>3127</v>
      </c>
      <c r="G1099" t="s">
        <v>3128</v>
      </c>
      <c r="H1099">
        <v>1019083</v>
      </c>
      <c r="I1099" t="s">
        <v>17</v>
      </c>
      <c r="K1099" t="s">
        <v>3129</v>
      </c>
      <c r="L1099">
        <v>637</v>
      </c>
      <c r="M1099" t="s">
        <v>3130</v>
      </c>
    </row>
    <row r="1100" spans="1:13">
      <c r="A1100" t="s">
        <v>13</v>
      </c>
      <c r="B1100">
        <v>1146154</v>
      </c>
      <c r="C1100">
        <v>1147605</v>
      </c>
      <c r="E1100" t="s">
        <v>14</v>
      </c>
      <c r="F1100" t="s">
        <v>3131</v>
      </c>
      <c r="H1100">
        <v>1019084</v>
      </c>
      <c r="I1100" t="s">
        <v>17</v>
      </c>
      <c r="K1100" t="s">
        <v>3132</v>
      </c>
      <c r="L1100">
        <v>483</v>
      </c>
      <c r="M1100" t="s">
        <v>3133</v>
      </c>
    </row>
    <row r="1101" spans="1:13">
      <c r="A1101" t="s">
        <v>13</v>
      </c>
      <c r="B1101">
        <v>1147592</v>
      </c>
      <c r="C1101">
        <v>1148464</v>
      </c>
      <c r="E1101" t="s">
        <v>14</v>
      </c>
      <c r="F1101" t="s">
        <v>3134</v>
      </c>
      <c r="G1101" t="s">
        <v>3135</v>
      </c>
      <c r="H1101">
        <v>1019085</v>
      </c>
      <c r="I1101" t="s">
        <v>17</v>
      </c>
      <c r="K1101" t="s">
        <v>3136</v>
      </c>
      <c r="L1101">
        <v>290</v>
      </c>
      <c r="M1101" t="s">
        <v>3137</v>
      </c>
    </row>
    <row r="1102" spans="1:13">
      <c r="A1102" t="s">
        <v>13</v>
      </c>
      <c r="B1102">
        <v>1148472</v>
      </c>
      <c r="C1102">
        <v>1148885</v>
      </c>
      <c r="E1102" t="s">
        <v>14</v>
      </c>
      <c r="F1102" t="s">
        <v>49</v>
      </c>
      <c r="H1102">
        <v>1019086</v>
      </c>
      <c r="I1102" t="s">
        <v>17</v>
      </c>
      <c r="K1102" t="s">
        <v>3138</v>
      </c>
      <c r="L1102">
        <v>137</v>
      </c>
      <c r="M1102" t="s">
        <v>3139</v>
      </c>
    </row>
    <row r="1103" spans="1:13">
      <c r="A1103" t="s">
        <v>13</v>
      </c>
      <c r="B1103">
        <v>1148953</v>
      </c>
      <c r="C1103">
        <v>1149270</v>
      </c>
      <c r="E1103" t="s">
        <v>14</v>
      </c>
      <c r="F1103" t="s">
        <v>3140</v>
      </c>
      <c r="G1103" t="s">
        <v>3141</v>
      </c>
      <c r="H1103">
        <v>1019087</v>
      </c>
      <c r="I1103" t="s">
        <v>17</v>
      </c>
      <c r="K1103" t="s">
        <v>3142</v>
      </c>
      <c r="L1103">
        <v>105</v>
      </c>
      <c r="M1103" t="s">
        <v>3143</v>
      </c>
    </row>
    <row r="1104" spans="1:13">
      <c r="A1104" t="s">
        <v>13</v>
      </c>
      <c r="B1104">
        <v>1149279</v>
      </c>
      <c r="C1104">
        <v>1150382</v>
      </c>
      <c r="E1104" t="s">
        <v>14</v>
      </c>
      <c r="F1104" t="s">
        <v>3144</v>
      </c>
      <c r="G1104" t="s">
        <v>3145</v>
      </c>
      <c r="H1104">
        <v>1019088</v>
      </c>
      <c r="I1104" t="s">
        <v>17</v>
      </c>
      <c r="K1104" t="s">
        <v>3146</v>
      </c>
      <c r="L1104">
        <v>367</v>
      </c>
      <c r="M1104" t="s">
        <v>3147</v>
      </c>
    </row>
    <row r="1105" spans="1:13">
      <c r="A1105" t="s">
        <v>13</v>
      </c>
      <c r="B1105">
        <v>1150441</v>
      </c>
      <c r="C1105">
        <v>1151031</v>
      </c>
      <c r="E1105" t="s">
        <v>14</v>
      </c>
      <c r="F1105" t="s">
        <v>595</v>
      </c>
      <c r="H1105">
        <v>1019089</v>
      </c>
      <c r="I1105" t="s">
        <v>17</v>
      </c>
      <c r="K1105" t="s">
        <v>3148</v>
      </c>
      <c r="L1105">
        <v>196</v>
      </c>
      <c r="M1105" t="s">
        <v>3149</v>
      </c>
    </row>
    <row r="1106" spans="1:13">
      <c r="A1106" t="s">
        <v>13</v>
      </c>
      <c r="B1106">
        <v>1151207</v>
      </c>
      <c r="C1106">
        <v>1152373</v>
      </c>
      <c r="E1106" t="s">
        <v>14</v>
      </c>
      <c r="F1106" t="s">
        <v>2205</v>
      </c>
      <c r="H1106">
        <v>1019090</v>
      </c>
      <c r="I1106" t="s">
        <v>17</v>
      </c>
      <c r="K1106" t="s">
        <v>3150</v>
      </c>
      <c r="L1106">
        <v>388</v>
      </c>
      <c r="M1106" t="s">
        <v>3151</v>
      </c>
    </row>
    <row r="1107" spans="1:13">
      <c r="A1107" t="s">
        <v>13</v>
      </c>
      <c r="B1107">
        <v>1152370</v>
      </c>
      <c r="C1107">
        <v>1153263</v>
      </c>
      <c r="E1107" t="s">
        <v>38</v>
      </c>
      <c r="F1107" t="s">
        <v>3152</v>
      </c>
      <c r="G1107" t="s">
        <v>3153</v>
      </c>
      <c r="H1107">
        <v>1019091</v>
      </c>
      <c r="I1107" t="s">
        <v>17</v>
      </c>
      <c r="K1107" t="s">
        <v>3154</v>
      </c>
      <c r="L1107">
        <v>297</v>
      </c>
      <c r="M1107" t="s">
        <v>3155</v>
      </c>
    </row>
    <row r="1108" spans="1:13">
      <c r="A1108" t="s">
        <v>13</v>
      </c>
      <c r="B1108">
        <v>1153292</v>
      </c>
      <c r="C1108">
        <v>1154683</v>
      </c>
      <c r="E1108" t="s">
        <v>38</v>
      </c>
      <c r="F1108" t="s">
        <v>3156</v>
      </c>
      <c r="G1108" t="s">
        <v>3157</v>
      </c>
      <c r="H1108">
        <v>1019092</v>
      </c>
      <c r="I1108" t="s">
        <v>17</v>
      </c>
      <c r="K1108" t="s">
        <v>3158</v>
      </c>
      <c r="L1108">
        <v>463</v>
      </c>
      <c r="M1108" t="s">
        <v>3159</v>
      </c>
    </row>
    <row r="1109" spans="1:13">
      <c r="A1109" t="s">
        <v>13</v>
      </c>
      <c r="B1109">
        <v>1154726</v>
      </c>
      <c r="C1109">
        <v>1155676</v>
      </c>
      <c r="E1109" t="s">
        <v>38</v>
      </c>
      <c r="F1109" t="s">
        <v>3160</v>
      </c>
      <c r="H1109">
        <v>1019093</v>
      </c>
      <c r="I1109" t="s">
        <v>17</v>
      </c>
      <c r="K1109" t="s">
        <v>3161</v>
      </c>
      <c r="L1109">
        <v>316</v>
      </c>
      <c r="M1109" t="s">
        <v>3162</v>
      </c>
    </row>
    <row r="1110" spans="1:13">
      <c r="A1110" t="s">
        <v>13</v>
      </c>
      <c r="B1110">
        <v>1155731</v>
      </c>
      <c r="C1110">
        <v>1156840</v>
      </c>
      <c r="E1110" t="s">
        <v>14</v>
      </c>
      <c r="F1110" t="s">
        <v>3163</v>
      </c>
      <c r="G1110" t="s">
        <v>3164</v>
      </c>
      <c r="H1110">
        <v>1019094</v>
      </c>
      <c r="I1110" t="s">
        <v>17</v>
      </c>
      <c r="K1110" t="s">
        <v>3165</v>
      </c>
      <c r="L1110">
        <v>369</v>
      </c>
      <c r="M1110" t="s">
        <v>3166</v>
      </c>
    </row>
    <row r="1111" spans="1:13">
      <c r="A1111" t="s">
        <v>13</v>
      </c>
      <c r="B1111">
        <v>1156902</v>
      </c>
      <c r="C1111">
        <v>1157672</v>
      </c>
      <c r="E1111" t="s">
        <v>14</v>
      </c>
      <c r="F1111" t="s">
        <v>3167</v>
      </c>
      <c r="H1111">
        <v>1019095</v>
      </c>
      <c r="I1111" t="s">
        <v>17</v>
      </c>
      <c r="K1111" t="s">
        <v>3168</v>
      </c>
      <c r="L1111">
        <v>256</v>
      </c>
      <c r="M1111" t="s">
        <v>3169</v>
      </c>
    </row>
    <row r="1112" spans="1:13">
      <c r="A1112" t="s">
        <v>13</v>
      </c>
      <c r="B1112">
        <v>1157694</v>
      </c>
      <c r="C1112">
        <v>1158527</v>
      </c>
      <c r="E1112" t="s">
        <v>14</v>
      </c>
      <c r="F1112" t="s">
        <v>3170</v>
      </c>
      <c r="G1112" t="s">
        <v>3171</v>
      </c>
      <c r="H1112">
        <v>1019096</v>
      </c>
      <c r="I1112" t="s">
        <v>17</v>
      </c>
      <c r="K1112" t="s">
        <v>3172</v>
      </c>
      <c r="L1112">
        <v>277</v>
      </c>
      <c r="M1112" t="s">
        <v>3173</v>
      </c>
    </row>
    <row r="1113" spans="1:13">
      <c r="A1113" t="s">
        <v>13</v>
      </c>
      <c r="B1113">
        <v>1158539</v>
      </c>
      <c r="C1113">
        <v>1159255</v>
      </c>
      <c r="E1113" t="s">
        <v>14</v>
      </c>
      <c r="F1113" t="s">
        <v>3174</v>
      </c>
      <c r="H1113">
        <v>1019097</v>
      </c>
      <c r="I1113" t="s">
        <v>17</v>
      </c>
      <c r="K1113" t="s">
        <v>3175</v>
      </c>
      <c r="L1113">
        <v>238</v>
      </c>
      <c r="M1113" t="s">
        <v>3176</v>
      </c>
    </row>
    <row r="1114" spans="1:13">
      <c r="A1114" t="s">
        <v>13</v>
      </c>
      <c r="B1114">
        <v>1159267</v>
      </c>
      <c r="C1114">
        <v>1159575</v>
      </c>
      <c r="E1114" t="s">
        <v>14</v>
      </c>
      <c r="F1114" t="s">
        <v>49</v>
      </c>
      <c r="H1114">
        <v>1019098</v>
      </c>
      <c r="I1114" t="s">
        <v>17</v>
      </c>
      <c r="K1114" t="s">
        <v>3177</v>
      </c>
      <c r="L1114">
        <v>102</v>
      </c>
      <c r="M1114" t="s">
        <v>3178</v>
      </c>
    </row>
    <row r="1115" spans="1:13">
      <c r="A1115" t="s">
        <v>13</v>
      </c>
      <c r="B1115">
        <v>1159635</v>
      </c>
      <c r="C1115">
        <v>1159802</v>
      </c>
      <c r="E1115" t="s">
        <v>14</v>
      </c>
      <c r="F1115" t="s">
        <v>3179</v>
      </c>
      <c r="H1115">
        <v>1019099</v>
      </c>
      <c r="I1115" t="s">
        <v>17</v>
      </c>
      <c r="K1115" t="s">
        <v>3180</v>
      </c>
      <c r="L1115">
        <v>55</v>
      </c>
      <c r="M1115" t="s">
        <v>3181</v>
      </c>
    </row>
    <row r="1116" spans="1:13">
      <c r="A1116" t="s">
        <v>13</v>
      </c>
      <c r="B1116">
        <v>1159865</v>
      </c>
      <c r="C1116">
        <v>1160731</v>
      </c>
      <c r="E1116" t="s">
        <v>14</v>
      </c>
      <c r="F1116" t="s">
        <v>3182</v>
      </c>
      <c r="H1116">
        <v>1019100</v>
      </c>
      <c r="I1116" t="s">
        <v>17</v>
      </c>
      <c r="K1116" t="s">
        <v>3183</v>
      </c>
      <c r="L1116">
        <v>288</v>
      </c>
      <c r="M1116" t="s">
        <v>3184</v>
      </c>
    </row>
    <row r="1117" spans="1:13">
      <c r="A1117" t="s">
        <v>13</v>
      </c>
      <c r="B1117">
        <v>1160735</v>
      </c>
      <c r="C1117">
        <v>1162231</v>
      </c>
      <c r="E1117" t="s">
        <v>38</v>
      </c>
      <c r="F1117" t="s">
        <v>3185</v>
      </c>
      <c r="H1117">
        <v>1019101</v>
      </c>
      <c r="I1117" t="s">
        <v>17</v>
      </c>
      <c r="K1117" t="s">
        <v>3186</v>
      </c>
      <c r="L1117">
        <v>498</v>
      </c>
      <c r="M1117" t="s">
        <v>3187</v>
      </c>
    </row>
    <row r="1118" spans="1:13">
      <c r="A1118" t="s">
        <v>13</v>
      </c>
      <c r="B1118">
        <v>1162376</v>
      </c>
      <c r="C1118">
        <v>1163548</v>
      </c>
      <c r="E1118" t="s">
        <v>38</v>
      </c>
      <c r="F1118" t="s">
        <v>3188</v>
      </c>
      <c r="G1118" t="s">
        <v>3189</v>
      </c>
      <c r="H1118">
        <v>1019102</v>
      </c>
      <c r="I1118" t="s">
        <v>17</v>
      </c>
      <c r="K1118" t="s">
        <v>3190</v>
      </c>
      <c r="L1118">
        <v>390</v>
      </c>
      <c r="M1118" t="s">
        <v>3191</v>
      </c>
    </row>
    <row r="1119" spans="1:13">
      <c r="A1119" t="s">
        <v>13</v>
      </c>
      <c r="B1119">
        <v>1163690</v>
      </c>
      <c r="C1119">
        <v>1164919</v>
      </c>
      <c r="E1119" t="s">
        <v>14</v>
      </c>
      <c r="F1119" t="s">
        <v>3192</v>
      </c>
      <c r="G1119" t="s">
        <v>3193</v>
      </c>
      <c r="H1119">
        <v>1019103</v>
      </c>
      <c r="I1119" t="s">
        <v>17</v>
      </c>
      <c r="K1119" t="s">
        <v>3194</v>
      </c>
      <c r="L1119">
        <v>409</v>
      </c>
      <c r="M1119" t="s">
        <v>3195</v>
      </c>
    </row>
    <row r="1120" spans="1:13">
      <c r="A1120" t="s">
        <v>13</v>
      </c>
      <c r="B1120">
        <v>1164971</v>
      </c>
      <c r="C1120">
        <v>1165612</v>
      </c>
      <c r="E1120" t="s">
        <v>38</v>
      </c>
      <c r="F1120" t="s">
        <v>546</v>
      </c>
      <c r="H1120">
        <v>1019104</v>
      </c>
      <c r="I1120" t="s">
        <v>17</v>
      </c>
      <c r="K1120" t="s">
        <v>3196</v>
      </c>
      <c r="L1120">
        <v>213</v>
      </c>
      <c r="M1120" t="s">
        <v>3197</v>
      </c>
    </row>
    <row r="1121" spans="1:13">
      <c r="A1121" t="s">
        <v>13</v>
      </c>
      <c r="B1121">
        <v>1165746</v>
      </c>
      <c r="C1121">
        <v>1166387</v>
      </c>
      <c r="E1121" t="s">
        <v>14</v>
      </c>
      <c r="F1121" t="s">
        <v>3198</v>
      </c>
      <c r="G1121" t="s">
        <v>3199</v>
      </c>
      <c r="H1121">
        <v>1019105</v>
      </c>
      <c r="I1121" t="s">
        <v>17</v>
      </c>
      <c r="K1121" t="s">
        <v>3200</v>
      </c>
      <c r="L1121">
        <v>213</v>
      </c>
      <c r="M1121" t="s">
        <v>3201</v>
      </c>
    </row>
    <row r="1122" spans="1:13">
      <c r="A1122" t="s">
        <v>13</v>
      </c>
      <c r="B1122">
        <v>1166576</v>
      </c>
      <c r="C1122">
        <v>1167070</v>
      </c>
      <c r="E1122" t="s">
        <v>14</v>
      </c>
      <c r="F1122" t="s">
        <v>49</v>
      </c>
      <c r="H1122">
        <v>1019106</v>
      </c>
      <c r="I1122" t="s">
        <v>17</v>
      </c>
      <c r="K1122" t="s">
        <v>3202</v>
      </c>
      <c r="L1122">
        <v>164</v>
      </c>
      <c r="M1122" t="s">
        <v>3203</v>
      </c>
    </row>
    <row r="1123" spans="1:13">
      <c r="A1123" t="s">
        <v>13</v>
      </c>
      <c r="B1123">
        <v>1167110</v>
      </c>
      <c r="C1123">
        <v>1167580</v>
      </c>
      <c r="E1123" t="s">
        <v>14</v>
      </c>
      <c r="F1123" t="s">
        <v>3204</v>
      </c>
      <c r="G1123" t="s">
        <v>3205</v>
      </c>
      <c r="H1123">
        <v>1019107</v>
      </c>
      <c r="I1123" t="s">
        <v>17</v>
      </c>
      <c r="K1123" t="s">
        <v>3206</v>
      </c>
      <c r="L1123">
        <v>156</v>
      </c>
      <c r="M1123" t="s">
        <v>3207</v>
      </c>
    </row>
    <row r="1124" spans="1:13">
      <c r="A1124" t="s">
        <v>13</v>
      </c>
      <c r="B1124">
        <v>1167584</v>
      </c>
      <c r="C1124">
        <v>1168708</v>
      </c>
      <c r="E1124" t="s">
        <v>38</v>
      </c>
      <c r="F1124" t="s">
        <v>3208</v>
      </c>
      <c r="H1124">
        <v>1019108</v>
      </c>
      <c r="I1124" t="s">
        <v>17</v>
      </c>
      <c r="K1124" t="s">
        <v>3209</v>
      </c>
      <c r="L1124">
        <v>374</v>
      </c>
      <c r="M1124" t="s">
        <v>3210</v>
      </c>
    </row>
    <row r="1125" spans="1:13">
      <c r="A1125" t="s">
        <v>13</v>
      </c>
      <c r="B1125">
        <v>1168744</v>
      </c>
      <c r="C1125">
        <v>1169325</v>
      </c>
      <c r="E1125" t="s">
        <v>38</v>
      </c>
      <c r="F1125" t="s">
        <v>3211</v>
      </c>
      <c r="H1125">
        <v>1019109</v>
      </c>
      <c r="I1125" t="s">
        <v>17</v>
      </c>
      <c r="K1125" t="s">
        <v>3212</v>
      </c>
      <c r="L1125">
        <v>193</v>
      </c>
      <c r="M1125" t="s">
        <v>3213</v>
      </c>
    </row>
    <row r="1126" spans="1:13">
      <c r="A1126" t="s">
        <v>13</v>
      </c>
      <c r="B1126">
        <v>1169318</v>
      </c>
      <c r="C1126">
        <v>1170610</v>
      </c>
      <c r="E1126" t="s">
        <v>38</v>
      </c>
      <c r="F1126" t="s">
        <v>3214</v>
      </c>
      <c r="H1126">
        <v>1019110</v>
      </c>
      <c r="I1126" t="s">
        <v>17</v>
      </c>
      <c r="K1126" t="s">
        <v>3215</v>
      </c>
      <c r="L1126">
        <v>430</v>
      </c>
      <c r="M1126" t="s">
        <v>3216</v>
      </c>
    </row>
    <row r="1127" spans="1:13">
      <c r="A1127" t="s">
        <v>13</v>
      </c>
      <c r="B1127">
        <v>1170693</v>
      </c>
      <c r="C1127">
        <v>1171190</v>
      </c>
      <c r="E1127" t="s">
        <v>14</v>
      </c>
      <c r="F1127" t="s">
        <v>3217</v>
      </c>
      <c r="H1127">
        <v>1019111</v>
      </c>
      <c r="I1127" t="s">
        <v>17</v>
      </c>
      <c r="K1127" t="s">
        <v>3218</v>
      </c>
      <c r="L1127">
        <v>165</v>
      </c>
      <c r="M1127" t="s">
        <v>3219</v>
      </c>
    </row>
    <row r="1128" spans="1:13">
      <c r="A1128" t="s">
        <v>13</v>
      </c>
      <c r="B1128">
        <v>1171206</v>
      </c>
      <c r="C1128">
        <v>1171874</v>
      </c>
      <c r="E1128" t="s">
        <v>14</v>
      </c>
      <c r="F1128" t="s">
        <v>49</v>
      </c>
      <c r="H1128">
        <v>1019112</v>
      </c>
      <c r="I1128" t="s">
        <v>17</v>
      </c>
      <c r="K1128" t="s">
        <v>3220</v>
      </c>
      <c r="L1128">
        <v>222</v>
      </c>
      <c r="M1128" t="s">
        <v>3221</v>
      </c>
    </row>
    <row r="1129" spans="1:13">
      <c r="A1129" t="s">
        <v>13</v>
      </c>
      <c r="B1129">
        <v>1171866</v>
      </c>
      <c r="C1129">
        <v>1172399</v>
      </c>
      <c r="E1129" t="s">
        <v>38</v>
      </c>
      <c r="F1129" t="s">
        <v>3222</v>
      </c>
      <c r="H1129">
        <v>1019113</v>
      </c>
      <c r="I1129" t="s">
        <v>17</v>
      </c>
      <c r="K1129" t="s">
        <v>3223</v>
      </c>
      <c r="L1129">
        <v>177</v>
      </c>
      <c r="M1129" t="s">
        <v>3224</v>
      </c>
    </row>
    <row r="1130" spans="1:13">
      <c r="A1130" t="s">
        <v>13</v>
      </c>
      <c r="B1130">
        <v>1172498</v>
      </c>
      <c r="C1130">
        <v>1176163</v>
      </c>
      <c r="E1130" t="s">
        <v>38</v>
      </c>
      <c r="F1130" t="s">
        <v>3225</v>
      </c>
      <c r="H1130">
        <v>1019114</v>
      </c>
      <c r="I1130" t="s">
        <v>17</v>
      </c>
      <c r="K1130" t="s">
        <v>3226</v>
      </c>
      <c r="L1130">
        <v>1221</v>
      </c>
      <c r="M1130" t="s">
        <v>3227</v>
      </c>
    </row>
    <row r="1131" spans="1:13">
      <c r="A1131" t="s">
        <v>13</v>
      </c>
      <c r="B1131">
        <v>1176305</v>
      </c>
      <c r="C1131">
        <v>1180048</v>
      </c>
      <c r="E1131" t="s">
        <v>38</v>
      </c>
      <c r="F1131" t="s">
        <v>147</v>
      </c>
      <c r="H1131">
        <v>1019115</v>
      </c>
      <c r="I1131" t="s">
        <v>17</v>
      </c>
      <c r="K1131" t="s">
        <v>3228</v>
      </c>
      <c r="L1131">
        <v>1247</v>
      </c>
      <c r="M1131" t="s">
        <v>3229</v>
      </c>
    </row>
    <row r="1132" spans="1:13">
      <c r="A1132" t="s">
        <v>13</v>
      </c>
      <c r="B1132">
        <v>1180118</v>
      </c>
      <c r="C1132">
        <v>1180837</v>
      </c>
      <c r="E1132" t="s">
        <v>38</v>
      </c>
      <c r="F1132" t="s">
        <v>49</v>
      </c>
      <c r="H1132">
        <v>1019116</v>
      </c>
      <c r="I1132" t="s">
        <v>17</v>
      </c>
      <c r="K1132" t="s">
        <v>3230</v>
      </c>
      <c r="L1132">
        <v>239</v>
      </c>
      <c r="M1132" t="s">
        <v>3231</v>
      </c>
    </row>
    <row r="1133" spans="1:13">
      <c r="A1133" t="s">
        <v>13</v>
      </c>
      <c r="B1133">
        <v>1180869</v>
      </c>
      <c r="C1133">
        <v>1181675</v>
      </c>
      <c r="E1133" t="s">
        <v>38</v>
      </c>
      <c r="F1133" t="s">
        <v>3232</v>
      </c>
      <c r="H1133">
        <v>1019117</v>
      </c>
      <c r="I1133" t="s">
        <v>17</v>
      </c>
      <c r="K1133" t="s">
        <v>3233</v>
      </c>
      <c r="L1133">
        <v>268</v>
      </c>
      <c r="M1133" t="s">
        <v>3234</v>
      </c>
    </row>
    <row r="1134" spans="1:13">
      <c r="A1134" t="s">
        <v>13</v>
      </c>
      <c r="B1134">
        <v>1181966</v>
      </c>
      <c r="C1134">
        <v>1183606</v>
      </c>
      <c r="E1134" t="s">
        <v>14</v>
      </c>
      <c r="F1134" t="s">
        <v>3235</v>
      </c>
      <c r="H1134">
        <v>1019118</v>
      </c>
      <c r="I1134" t="s">
        <v>17</v>
      </c>
      <c r="K1134" t="s">
        <v>3236</v>
      </c>
      <c r="L1134">
        <v>546</v>
      </c>
      <c r="M1134" t="s">
        <v>3237</v>
      </c>
    </row>
    <row r="1135" spans="1:13">
      <c r="A1135" t="s">
        <v>13</v>
      </c>
      <c r="B1135">
        <v>1183607</v>
      </c>
      <c r="C1135">
        <v>1184260</v>
      </c>
      <c r="E1135" t="s">
        <v>14</v>
      </c>
      <c r="F1135" t="s">
        <v>3238</v>
      </c>
      <c r="H1135">
        <v>1019119</v>
      </c>
      <c r="I1135" t="s">
        <v>17</v>
      </c>
      <c r="K1135" t="s">
        <v>3239</v>
      </c>
      <c r="L1135">
        <v>217</v>
      </c>
      <c r="M1135" t="s">
        <v>3240</v>
      </c>
    </row>
    <row r="1136" spans="1:13">
      <c r="A1136" t="s">
        <v>13</v>
      </c>
      <c r="B1136">
        <v>1184355</v>
      </c>
      <c r="C1136">
        <v>1185158</v>
      </c>
      <c r="E1136" t="s">
        <v>14</v>
      </c>
      <c r="F1136" t="s">
        <v>49</v>
      </c>
      <c r="H1136">
        <v>1019120</v>
      </c>
      <c r="I1136" t="s">
        <v>17</v>
      </c>
      <c r="K1136" t="s">
        <v>3241</v>
      </c>
      <c r="L1136">
        <v>267</v>
      </c>
      <c r="M1136" t="s">
        <v>3242</v>
      </c>
    </row>
    <row r="1137" spans="1:13">
      <c r="A1137" t="s">
        <v>13</v>
      </c>
      <c r="B1137">
        <v>1185215</v>
      </c>
      <c r="C1137">
        <v>1185712</v>
      </c>
      <c r="E1137" t="s">
        <v>38</v>
      </c>
      <c r="F1137" t="s">
        <v>49</v>
      </c>
      <c r="H1137">
        <v>1019121</v>
      </c>
      <c r="I1137" t="s">
        <v>17</v>
      </c>
      <c r="K1137" t="s">
        <v>3243</v>
      </c>
      <c r="L1137">
        <v>165</v>
      </c>
      <c r="M1137" t="s">
        <v>3244</v>
      </c>
    </row>
    <row r="1138" spans="1:13">
      <c r="A1138" t="s">
        <v>13</v>
      </c>
      <c r="B1138">
        <v>1185825</v>
      </c>
      <c r="C1138">
        <v>1187042</v>
      </c>
      <c r="E1138" t="s">
        <v>14</v>
      </c>
      <c r="F1138" t="s">
        <v>265</v>
      </c>
      <c r="H1138">
        <v>1019122</v>
      </c>
      <c r="I1138" t="s">
        <v>17</v>
      </c>
      <c r="K1138" t="s">
        <v>3245</v>
      </c>
      <c r="L1138">
        <v>405</v>
      </c>
      <c r="M1138" t="s">
        <v>3246</v>
      </c>
    </row>
    <row r="1139" spans="1:13">
      <c r="A1139" t="s">
        <v>13</v>
      </c>
      <c r="B1139">
        <v>1187043</v>
      </c>
      <c r="C1139">
        <v>1188392</v>
      </c>
      <c r="E1139" t="s">
        <v>14</v>
      </c>
      <c r="F1139" t="s">
        <v>3247</v>
      </c>
      <c r="H1139">
        <v>1019123</v>
      </c>
      <c r="I1139" t="s">
        <v>17</v>
      </c>
      <c r="K1139" t="s">
        <v>3248</v>
      </c>
      <c r="L1139">
        <v>449</v>
      </c>
      <c r="M1139" t="s">
        <v>3249</v>
      </c>
    </row>
    <row r="1140" spans="1:13">
      <c r="A1140" t="s">
        <v>13</v>
      </c>
      <c r="B1140">
        <v>1188385</v>
      </c>
      <c r="C1140">
        <v>1190622</v>
      </c>
      <c r="E1140" t="s">
        <v>38</v>
      </c>
      <c r="F1140" t="s">
        <v>3250</v>
      </c>
      <c r="G1140" t="s">
        <v>3251</v>
      </c>
      <c r="H1140">
        <v>1019124</v>
      </c>
      <c r="I1140" t="s">
        <v>17</v>
      </c>
      <c r="K1140" t="s">
        <v>3252</v>
      </c>
      <c r="L1140">
        <v>745</v>
      </c>
      <c r="M1140" t="s">
        <v>3253</v>
      </c>
    </row>
    <row r="1141" spans="1:13">
      <c r="A1141" t="s">
        <v>13</v>
      </c>
      <c r="B1141">
        <v>1191198</v>
      </c>
      <c r="C1141">
        <v>1191545</v>
      </c>
      <c r="E1141" t="s">
        <v>14</v>
      </c>
      <c r="F1141" t="s">
        <v>49</v>
      </c>
      <c r="H1141">
        <v>1019125</v>
      </c>
      <c r="I1141" t="s">
        <v>17</v>
      </c>
      <c r="K1141" t="s">
        <v>3254</v>
      </c>
      <c r="L1141">
        <v>115</v>
      </c>
      <c r="M1141" t="s">
        <v>3255</v>
      </c>
    </row>
    <row r="1142" spans="1:13">
      <c r="A1142" t="s">
        <v>13</v>
      </c>
      <c r="B1142">
        <v>1192398</v>
      </c>
      <c r="C1142">
        <v>1193810</v>
      </c>
      <c r="E1142" t="s">
        <v>14</v>
      </c>
      <c r="F1142" t="s">
        <v>3256</v>
      </c>
      <c r="H1142">
        <v>1019126</v>
      </c>
      <c r="I1142" t="s">
        <v>17</v>
      </c>
      <c r="K1142" t="s">
        <v>3257</v>
      </c>
      <c r="L1142">
        <v>470</v>
      </c>
      <c r="M1142" t="s">
        <v>3258</v>
      </c>
    </row>
    <row r="1143" spans="1:13">
      <c r="A1143" t="s">
        <v>13</v>
      </c>
      <c r="B1143">
        <v>1193867</v>
      </c>
      <c r="C1143">
        <v>1194193</v>
      </c>
      <c r="E1143" t="s">
        <v>14</v>
      </c>
      <c r="F1143" t="s">
        <v>49</v>
      </c>
      <c r="H1143">
        <v>1019127</v>
      </c>
      <c r="I1143" t="s">
        <v>17</v>
      </c>
      <c r="K1143" t="s">
        <v>3259</v>
      </c>
      <c r="L1143">
        <v>108</v>
      </c>
      <c r="M1143" t="s">
        <v>3260</v>
      </c>
    </row>
    <row r="1144" spans="1:13">
      <c r="A1144" t="s">
        <v>13</v>
      </c>
      <c r="B1144">
        <v>1194216</v>
      </c>
      <c r="C1144">
        <v>1195112</v>
      </c>
      <c r="E1144" t="s">
        <v>14</v>
      </c>
      <c r="F1144" t="s">
        <v>3261</v>
      </c>
      <c r="H1144">
        <v>1019128</v>
      </c>
      <c r="I1144" t="s">
        <v>17</v>
      </c>
      <c r="K1144" t="s">
        <v>3262</v>
      </c>
      <c r="L1144">
        <v>298</v>
      </c>
      <c r="M1144" t="s">
        <v>3263</v>
      </c>
    </row>
    <row r="1145" spans="1:13">
      <c r="A1145" t="s">
        <v>13</v>
      </c>
      <c r="B1145">
        <v>1195122</v>
      </c>
      <c r="C1145">
        <v>1195916</v>
      </c>
      <c r="E1145" t="s">
        <v>38</v>
      </c>
      <c r="F1145" t="s">
        <v>35</v>
      </c>
      <c r="H1145">
        <v>1019129</v>
      </c>
      <c r="I1145" t="s">
        <v>17</v>
      </c>
      <c r="K1145" t="s">
        <v>3264</v>
      </c>
      <c r="L1145">
        <v>264</v>
      </c>
      <c r="M1145" t="s">
        <v>3265</v>
      </c>
    </row>
    <row r="1146" spans="1:13">
      <c r="A1146" t="s">
        <v>13</v>
      </c>
      <c r="B1146">
        <v>1196121</v>
      </c>
      <c r="C1146">
        <v>1197623</v>
      </c>
      <c r="E1146" t="s">
        <v>14</v>
      </c>
      <c r="F1146" t="s">
        <v>3266</v>
      </c>
      <c r="H1146">
        <v>1019130</v>
      </c>
      <c r="I1146" t="s">
        <v>17</v>
      </c>
      <c r="K1146" t="s">
        <v>3267</v>
      </c>
      <c r="L1146">
        <v>500</v>
      </c>
      <c r="M1146" t="s">
        <v>3268</v>
      </c>
    </row>
    <row r="1147" spans="1:13">
      <c r="A1147" t="s">
        <v>13</v>
      </c>
      <c r="B1147">
        <v>1197987</v>
      </c>
      <c r="C1147">
        <v>1199543</v>
      </c>
      <c r="E1147" t="s">
        <v>38</v>
      </c>
      <c r="F1147" t="s">
        <v>3269</v>
      </c>
      <c r="G1147" t="s">
        <v>3270</v>
      </c>
      <c r="H1147">
        <v>1019131</v>
      </c>
      <c r="I1147" t="s">
        <v>17</v>
      </c>
      <c r="K1147" t="s">
        <v>3271</v>
      </c>
      <c r="L1147">
        <v>518</v>
      </c>
      <c r="M1147" t="s">
        <v>3272</v>
      </c>
    </row>
    <row r="1148" spans="1:13">
      <c r="A1148" t="s">
        <v>13</v>
      </c>
      <c r="B1148">
        <v>1199540</v>
      </c>
      <c r="C1148">
        <v>1201075</v>
      </c>
      <c r="E1148" t="s">
        <v>38</v>
      </c>
      <c r="F1148" t="s">
        <v>3273</v>
      </c>
      <c r="H1148">
        <v>1019132</v>
      </c>
      <c r="I1148" t="s">
        <v>17</v>
      </c>
      <c r="K1148" t="s">
        <v>3274</v>
      </c>
      <c r="L1148">
        <v>511</v>
      </c>
      <c r="M1148" t="s">
        <v>3275</v>
      </c>
    </row>
    <row r="1149" spans="1:13">
      <c r="A1149" t="s">
        <v>13</v>
      </c>
      <c r="B1149">
        <v>1201087</v>
      </c>
      <c r="C1149">
        <v>1202088</v>
      </c>
      <c r="E1149" t="s">
        <v>38</v>
      </c>
      <c r="F1149" t="s">
        <v>3276</v>
      </c>
      <c r="G1149" t="s">
        <v>3277</v>
      </c>
      <c r="H1149">
        <v>1019133</v>
      </c>
      <c r="I1149" t="s">
        <v>17</v>
      </c>
      <c r="K1149" t="s">
        <v>3278</v>
      </c>
      <c r="L1149">
        <v>333</v>
      </c>
      <c r="M1149" t="s">
        <v>3279</v>
      </c>
    </row>
    <row r="1150" spans="1:13">
      <c r="A1150" t="s">
        <v>13</v>
      </c>
      <c r="B1150">
        <v>1202091</v>
      </c>
      <c r="C1150">
        <v>1203632</v>
      </c>
      <c r="E1150" t="s">
        <v>38</v>
      </c>
      <c r="F1150" t="s">
        <v>3280</v>
      </c>
      <c r="H1150">
        <v>1019134</v>
      </c>
      <c r="I1150" t="s">
        <v>17</v>
      </c>
      <c r="K1150" t="s">
        <v>3281</v>
      </c>
      <c r="L1150">
        <v>513</v>
      </c>
      <c r="M1150" t="s">
        <v>3282</v>
      </c>
    </row>
    <row r="1151" spans="1:13">
      <c r="A1151" t="s">
        <v>13</v>
      </c>
      <c r="B1151">
        <v>1203913</v>
      </c>
      <c r="C1151">
        <v>1206828</v>
      </c>
      <c r="E1151" t="s">
        <v>38</v>
      </c>
      <c r="F1151" t="s">
        <v>3283</v>
      </c>
      <c r="H1151">
        <v>1019135</v>
      </c>
      <c r="I1151" t="s">
        <v>17</v>
      </c>
      <c r="K1151" t="s">
        <v>3284</v>
      </c>
      <c r="L1151">
        <v>971</v>
      </c>
      <c r="M1151" t="s">
        <v>3285</v>
      </c>
    </row>
    <row r="1152" spans="1:13">
      <c r="A1152" t="s">
        <v>13</v>
      </c>
      <c r="B1152">
        <v>1206828</v>
      </c>
      <c r="C1152">
        <v>1207223</v>
      </c>
      <c r="E1152" t="s">
        <v>38</v>
      </c>
      <c r="F1152" t="s">
        <v>3286</v>
      </c>
      <c r="H1152">
        <v>1019136</v>
      </c>
      <c r="I1152" t="s">
        <v>17</v>
      </c>
      <c r="K1152" t="s">
        <v>3287</v>
      </c>
      <c r="L1152">
        <v>131</v>
      </c>
      <c r="M1152" t="s">
        <v>3288</v>
      </c>
    </row>
    <row r="1153" spans="1:13">
      <c r="A1153" t="s">
        <v>13</v>
      </c>
      <c r="B1153">
        <v>1207452</v>
      </c>
      <c r="C1153">
        <v>1208141</v>
      </c>
      <c r="E1153" t="s">
        <v>14</v>
      </c>
      <c r="F1153" t="s">
        <v>49</v>
      </c>
      <c r="H1153">
        <v>1019137</v>
      </c>
      <c r="I1153" t="s">
        <v>17</v>
      </c>
      <c r="K1153" t="s">
        <v>3289</v>
      </c>
      <c r="L1153">
        <v>229</v>
      </c>
      <c r="M1153" t="s">
        <v>3290</v>
      </c>
    </row>
    <row r="1154" spans="1:13">
      <c r="A1154" t="s">
        <v>13</v>
      </c>
      <c r="B1154">
        <v>1208209</v>
      </c>
      <c r="C1154">
        <v>1209615</v>
      </c>
      <c r="E1154" t="s">
        <v>38</v>
      </c>
      <c r="F1154" t="s">
        <v>2786</v>
      </c>
      <c r="H1154">
        <v>1019138</v>
      </c>
      <c r="I1154" t="s">
        <v>17</v>
      </c>
      <c r="K1154" t="s">
        <v>3291</v>
      </c>
      <c r="L1154">
        <v>468</v>
      </c>
      <c r="M1154" t="s">
        <v>3292</v>
      </c>
    </row>
    <row r="1155" spans="1:13">
      <c r="A1155" t="s">
        <v>13</v>
      </c>
      <c r="B1155">
        <v>1209934</v>
      </c>
      <c r="C1155">
        <v>1212132</v>
      </c>
      <c r="E1155" t="s">
        <v>14</v>
      </c>
      <c r="F1155" t="s">
        <v>930</v>
      </c>
      <c r="H1155">
        <v>1019139</v>
      </c>
      <c r="I1155" t="s">
        <v>17</v>
      </c>
      <c r="K1155" t="s">
        <v>3293</v>
      </c>
      <c r="L1155">
        <v>732</v>
      </c>
      <c r="M1155" t="s">
        <v>3294</v>
      </c>
    </row>
    <row r="1156" spans="1:13">
      <c r="A1156" t="s">
        <v>13</v>
      </c>
      <c r="B1156">
        <v>1212426</v>
      </c>
      <c r="C1156">
        <v>1213115</v>
      </c>
      <c r="E1156" t="s">
        <v>38</v>
      </c>
      <c r="F1156" t="s">
        <v>1126</v>
      </c>
      <c r="H1156">
        <v>1019140</v>
      </c>
      <c r="I1156" t="s">
        <v>17</v>
      </c>
      <c r="K1156" t="s">
        <v>3295</v>
      </c>
      <c r="L1156">
        <v>229</v>
      </c>
      <c r="M1156" t="s">
        <v>3296</v>
      </c>
    </row>
    <row r="1157" spans="1:13">
      <c r="A1157" t="s">
        <v>13</v>
      </c>
      <c r="B1157">
        <v>1213269</v>
      </c>
      <c r="C1157">
        <v>1214861</v>
      </c>
      <c r="E1157" t="s">
        <v>14</v>
      </c>
      <c r="F1157" t="s">
        <v>3297</v>
      </c>
      <c r="H1157">
        <v>1019141</v>
      </c>
      <c r="I1157" t="s">
        <v>17</v>
      </c>
      <c r="K1157" t="s">
        <v>3298</v>
      </c>
      <c r="L1157">
        <v>530</v>
      </c>
      <c r="M1157" t="s">
        <v>3299</v>
      </c>
    </row>
    <row r="1158" spans="1:13">
      <c r="A1158" t="s">
        <v>13</v>
      </c>
      <c r="B1158">
        <v>1214871</v>
      </c>
      <c r="C1158">
        <v>1215941</v>
      </c>
      <c r="E1158" t="s">
        <v>14</v>
      </c>
      <c r="F1158" t="s">
        <v>3300</v>
      </c>
      <c r="H1158">
        <v>1019142</v>
      </c>
      <c r="I1158" t="s">
        <v>17</v>
      </c>
      <c r="K1158" t="s">
        <v>3301</v>
      </c>
      <c r="L1158">
        <v>356</v>
      </c>
      <c r="M1158" t="s">
        <v>3302</v>
      </c>
    </row>
    <row r="1159" spans="1:13">
      <c r="A1159" t="s">
        <v>13</v>
      </c>
      <c r="B1159">
        <v>1215952</v>
      </c>
      <c r="C1159">
        <v>1216839</v>
      </c>
      <c r="E1159" t="s">
        <v>14</v>
      </c>
      <c r="F1159" t="s">
        <v>3303</v>
      </c>
      <c r="H1159">
        <v>1019143</v>
      </c>
      <c r="I1159" t="s">
        <v>17</v>
      </c>
      <c r="K1159" t="s">
        <v>3304</v>
      </c>
      <c r="L1159">
        <v>295</v>
      </c>
      <c r="M1159" t="s">
        <v>3305</v>
      </c>
    </row>
    <row r="1160" spans="1:13">
      <c r="A1160" t="s">
        <v>13</v>
      </c>
      <c r="B1160">
        <v>1216901</v>
      </c>
      <c r="C1160">
        <v>1217374</v>
      </c>
      <c r="E1160" t="s">
        <v>38</v>
      </c>
      <c r="F1160" t="s">
        <v>49</v>
      </c>
      <c r="H1160">
        <v>1019144</v>
      </c>
      <c r="I1160" t="s">
        <v>17</v>
      </c>
      <c r="K1160" t="s">
        <v>3306</v>
      </c>
      <c r="L1160">
        <v>157</v>
      </c>
      <c r="M1160" t="s">
        <v>3307</v>
      </c>
    </row>
    <row r="1161" spans="1:13">
      <c r="A1161" t="s">
        <v>13</v>
      </c>
      <c r="B1161">
        <v>1217440</v>
      </c>
      <c r="C1161">
        <v>1217982</v>
      </c>
      <c r="E1161" t="s">
        <v>38</v>
      </c>
      <c r="F1161" t="s">
        <v>3308</v>
      </c>
      <c r="H1161">
        <v>1019145</v>
      </c>
      <c r="I1161" t="s">
        <v>17</v>
      </c>
      <c r="K1161" t="s">
        <v>3309</v>
      </c>
      <c r="L1161">
        <v>180</v>
      </c>
      <c r="M1161" t="s">
        <v>3310</v>
      </c>
    </row>
    <row r="1162" spans="1:13">
      <c r="A1162" t="s">
        <v>13</v>
      </c>
      <c r="B1162">
        <v>1218028</v>
      </c>
      <c r="C1162">
        <v>1219602</v>
      </c>
      <c r="E1162" t="s">
        <v>38</v>
      </c>
      <c r="F1162" t="s">
        <v>3311</v>
      </c>
      <c r="G1162" t="s">
        <v>3312</v>
      </c>
      <c r="H1162">
        <v>1019146</v>
      </c>
      <c r="I1162" t="s">
        <v>17</v>
      </c>
      <c r="K1162" t="s">
        <v>3313</v>
      </c>
      <c r="L1162">
        <v>524</v>
      </c>
      <c r="M1162" t="s">
        <v>3314</v>
      </c>
    </row>
    <row r="1163" spans="1:13">
      <c r="A1163" t="s">
        <v>13</v>
      </c>
      <c r="B1163">
        <v>1219895</v>
      </c>
      <c r="C1163">
        <v>1222999</v>
      </c>
      <c r="E1163" t="s">
        <v>14</v>
      </c>
      <c r="F1163" t="s">
        <v>930</v>
      </c>
      <c r="H1163">
        <v>1019147</v>
      </c>
      <c r="I1163" t="s">
        <v>17</v>
      </c>
      <c r="K1163" t="s">
        <v>3315</v>
      </c>
      <c r="L1163">
        <v>1034</v>
      </c>
      <c r="M1163" t="s">
        <v>3316</v>
      </c>
    </row>
    <row r="1164" spans="1:13">
      <c r="A1164" t="s">
        <v>13</v>
      </c>
      <c r="B1164">
        <v>1222992</v>
      </c>
      <c r="C1164">
        <v>1223846</v>
      </c>
      <c r="E1164" t="s">
        <v>14</v>
      </c>
      <c r="F1164" t="s">
        <v>3317</v>
      </c>
      <c r="H1164">
        <v>1019148</v>
      </c>
      <c r="I1164" t="s">
        <v>17</v>
      </c>
      <c r="K1164" t="s">
        <v>3318</v>
      </c>
      <c r="L1164">
        <v>284</v>
      </c>
      <c r="M1164" t="s">
        <v>3319</v>
      </c>
    </row>
    <row r="1165" spans="1:13">
      <c r="A1165" t="s">
        <v>13</v>
      </c>
      <c r="B1165">
        <v>1223887</v>
      </c>
      <c r="C1165">
        <v>1225062</v>
      </c>
      <c r="E1165" t="s">
        <v>14</v>
      </c>
      <c r="F1165" t="s">
        <v>3320</v>
      </c>
      <c r="H1165">
        <v>1019149</v>
      </c>
      <c r="I1165" t="s">
        <v>17</v>
      </c>
      <c r="K1165" t="s">
        <v>3321</v>
      </c>
      <c r="L1165">
        <v>391</v>
      </c>
      <c r="M1165" t="s">
        <v>3322</v>
      </c>
    </row>
    <row r="1166" spans="1:13">
      <c r="A1166" t="s">
        <v>13</v>
      </c>
      <c r="B1166">
        <v>1225066</v>
      </c>
      <c r="C1166">
        <v>1227696</v>
      </c>
      <c r="E1166" t="s">
        <v>14</v>
      </c>
      <c r="F1166" t="s">
        <v>3013</v>
      </c>
      <c r="H1166">
        <v>1019150</v>
      </c>
      <c r="I1166" t="s">
        <v>17</v>
      </c>
      <c r="K1166" t="s">
        <v>3323</v>
      </c>
      <c r="L1166">
        <v>876</v>
      </c>
      <c r="M1166" t="s">
        <v>3324</v>
      </c>
    </row>
    <row r="1167" spans="1:13">
      <c r="A1167" t="s">
        <v>13</v>
      </c>
      <c r="B1167">
        <v>1227890</v>
      </c>
      <c r="C1167">
        <v>1229098</v>
      </c>
      <c r="E1167" t="s">
        <v>14</v>
      </c>
      <c r="F1167" t="s">
        <v>141</v>
      </c>
      <c r="H1167">
        <v>92792291</v>
      </c>
      <c r="I1167" t="s">
        <v>142</v>
      </c>
      <c r="M1167" t="s">
        <v>3325</v>
      </c>
    </row>
    <row r="1168" spans="1:13">
      <c r="A1168" t="s">
        <v>13</v>
      </c>
      <c r="B1168">
        <v>1229177</v>
      </c>
      <c r="C1168">
        <v>1229716</v>
      </c>
      <c r="E1168" t="s">
        <v>38</v>
      </c>
      <c r="F1168" t="s">
        <v>3326</v>
      </c>
      <c r="H1168">
        <v>1019153</v>
      </c>
      <c r="I1168" t="s">
        <v>17</v>
      </c>
      <c r="K1168" t="s">
        <v>3327</v>
      </c>
      <c r="L1168">
        <v>179</v>
      </c>
      <c r="M1168" t="s">
        <v>3328</v>
      </c>
    </row>
    <row r="1169" spans="1:13">
      <c r="A1169" t="s">
        <v>13</v>
      </c>
      <c r="B1169">
        <v>1229995</v>
      </c>
      <c r="C1169">
        <v>1230483</v>
      </c>
      <c r="E1169" t="s">
        <v>14</v>
      </c>
      <c r="F1169" t="s">
        <v>3329</v>
      </c>
      <c r="G1169" t="s">
        <v>3330</v>
      </c>
      <c r="H1169">
        <v>1019154</v>
      </c>
      <c r="I1169" t="s">
        <v>17</v>
      </c>
      <c r="K1169" t="s">
        <v>3331</v>
      </c>
      <c r="L1169">
        <v>162</v>
      </c>
      <c r="M1169" t="s">
        <v>3332</v>
      </c>
    </row>
    <row r="1170" spans="1:13">
      <c r="A1170" t="s">
        <v>13</v>
      </c>
      <c r="B1170">
        <v>1230619</v>
      </c>
      <c r="C1170">
        <v>1230834</v>
      </c>
      <c r="E1170" t="s">
        <v>14</v>
      </c>
      <c r="F1170" t="s">
        <v>2825</v>
      </c>
      <c r="H1170">
        <v>1019155</v>
      </c>
      <c r="I1170" t="s">
        <v>17</v>
      </c>
      <c r="K1170" t="s">
        <v>3333</v>
      </c>
      <c r="L1170">
        <v>71</v>
      </c>
      <c r="M1170" t="s">
        <v>3334</v>
      </c>
    </row>
    <row r="1171" spans="1:13">
      <c r="A1171" t="s">
        <v>13</v>
      </c>
      <c r="B1171">
        <v>1230911</v>
      </c>
      <c r="C1171">
        <v>1231333</v>
      </c>
      <c r="E1171" t="s">
        <v>38</v>
      </c>
      <c r="F1171" t="s">
        <v>49</v>
      </c>
      <c r="H1171">
        <v>1019156</v>
      </c>
      <c r="I1171" t="s">
        <v>17</v>
      </c>
      <c r="K1171" t="s">
        <v>3335</v>
      </c>
      <c r="L1171">
        <v>140</v>
      </c>
      <c r="M1171" t="s">
        <v>3336</v>
      </c>
    </row>
    <row r="1172" spans="1:13">
      <c r="A1172" t="s">
        <v>13</v>
      </c>
      <c r="B1172">
        <v>1231811</v>
      </c>
      <c r="C1172">
        <v>1232482</v>
      </c>
      <c r="E1172" t="s">
        <v>14</v>
      </c>
      <c r="F1172" t="s">
        <v>3337</v>
      </c>
      <c r="H1172">
        <v>1019157</v>
      </c>
      <c r="I1172" t="s">
        <v>17</v>
      </c>
      <c r="K1172" t="s">
        <v>3338</v>
      </c>
      <c r="L1172">
        <v>223</v>
      </c>
      <c r="M1172" t="s">
        <v>3339</v>
      </c>
    </row>
    <row r="1173" spans="1:13">
      <c r="A1173" t="s">
        <v>13</v>
      </c>
      <c r="B1173">
        <v>1232603</v>
      </c>
      <c r="C1173">
        <v>1232839</v>
      </c>
      <c r="E1173" t="s">
        <v>14</v>
      </c>
      <c r="F1173" t="s">
        <v>3340</v>
      </c>
      <c r="H1173">
        <v>1019158</v>
      </c>
      <c r="I1173" t="s">
        <v>17</v>
      </c>
      <c r="K1173" t="s">
        <v>3341</v>
      </c>
      <c r="L1173">
        <v>78</v>
      </c>
      <c r="M1173" t="s">
        <v>3342</v>
      </c>
    </row>
    <row r="1174" spans="1:13">
      <c r="A1174" t="s">
        <v>13</v>
      </c>
      <c r="B1174">
        <v>1233007</v>
      </c>
      <c r="C1174">
        <v>1234884</v>
      </c>
      <c r="E1174" t="s">
        <v>14</v>
      </c>
      <c r="F1174" t="s">
        <v>1146</v>
      </c>
      <c r="H1174">
        <v>1019159</v>
      </c>
      <c r="I1174" t="s">
        <v>17</v>
      </c>
      <c r="K1174" t="s">
        <v>3343</v>
      </c>
      <c r="L1174">
        <v>625</v>
      </c>
      <c r="M1174" t="s">
        <v>3344</v>
      </c>
    </row>
    <row r="1175" spans="1:13">
      <c r="A1175" t="s">
        <v>13</v>
      </c>
      <c r="B1175">
        <v>1234983</v>
      </c>
      <c r="C1175">
        <v>1235615</v>
      </c>
      <c r="E1175" t="s">
        <v>14</v>
      </c>
      <c r="F1175" t="s">
        <v>3345</v>
      </c>
      <c r="H1175">
        <v>1019160</v>
      </c>
      <c r="I1175" t="s">
        <v>17</v>
      </c>
      <c r="K1175" t="s">
        <v>3346</v>
      </c>
      <c r="L1175">
        <v>210</v>
      </c>
      <c r="M1175" t="s">
        <v>3347</v>
      </c>
    </row>
    <row r="1176" spans="1:13">
      <c r="A1176" t="s">
        <v>13</v>
      </c>
      <c r="B1176">
        <v>1236396</v>
      </c>
      <c r="C1176">
        <v>1236468</v>
      </c>
      <c r="E1176" t="s">
        <v>38</v>
      </c>
      <c r="F1176" t="s">
        <v>669</v>
      </c>
      <c r="H1176">
        <v>2745344</v>
      </c>
      <c r="I1176" t="s">
        <v>62</v>
      </c>
      <c r="M1176" t="s">
        <v>3348</v>
      </c>
    </row>
    <row r="1177" spans="1:13">
      <c r="A1177" t="s">
        <v>13</v>
      </c>
      <c r="B1177">
        <v>1236542</v>
      </c>
      <c r="C1177">
        <v>1238050</v>
      </c>
      <c r="E1177" t="s">
        <v>38</v>
      </c>
      <c r="F1177" t="s">
        <v>391</v>
      </c>
      <c r="H1177">
        <v>1019161</v>
      </c>
      <c r="I1177" t="s">
        <v>17</v>
      </c>
      <c r="K1177" t="s">
        <v>3349</v>
      </c>
      <c r="L1177">
        <v>502</v>
      </c>
      <c r="M1177" t="s">
        <v>3350</v>
      </c>
    </row>
    <row r="1178" spans="1:13">
      <c r="A1178" t="s">
        <v>13</v>
      </c>
      <c r="B1178">
        <v>1238274</v>
      </c>
      <c r="C1178">
        <v>1239926</v>
      </c>
      <c r="E1178" t="s">
        <v>14</v>
      </c>
      <c r="F1178" t="s">
        <v>3351</v>
      </c>
      <c r="G1178" t="s">
        <v>3352</v>
      </c>
      <c r="H1178">
        <v>1019162</v>
      </c>
      <c r="I1178" t="s">
        <v>17</v>
      </c>
      <c r="K1178" t="s">
        <v>3353</v>
      </c>
      <c r="L1178">
        <v>550</v>
      </c>
      <c r="M1178" t="s">
        <v>3354</v>
      </c>
    </row>
    <row r="1179" spans="1:13">
      <c r="A1179" t="s">
        <v>13</v>
      </c>
      <c r="B1179">
        <v>1239929</v>
      </c>
      <c r="C1179">
        <v>1241266</v>
      </c>
      <c r="E1179" t="s">
        <v>14</v>
      </c>
      <c r="F1179" t="s">
        <v>3355</v>
      </c>
      <c r="G1179" t="s">
        <v>3356</v>
      </c>
      <c r="H1179">
        <v>1019163</v>
      </c>
      <c r="I1179" t="s">
        <v>17</v>
      </c>
      <c r="K1179" t="s">
        <v>3357</v>
      </c>
      <c r="L1179">
        <v>445</v>
      </c>
      <c r="M1179" t="s">
        <v>3358</v>
      </c>
    </row>
    <row r="1180" spans="1:13">
      <c r="A1180" t="s">
        <v>13</v>
      </c>
      <c r="B1180">
        <v>1241551</v>
      </c>
      <c r="C1180">
        <v>1242156</v>
      </c>
      <c r="E1180" t="s">
        <v>38</v>
      </c>
      <c r="F1180" t="s">
        <v>49</v>
      </c>
      <c r="H1180">
        <v>1019164</v>
      </c>
      <c r="I1180" t="s">
        <v>17</v>
      </c>
      <c r="K1180" t="s">
        <v>3359</v>
      </c>
      <c r="L1180">
        <v>201</v>
      </c>
      <c r="M1180" t="s">
        <v>3360</v>
      </c>
    </row>
    <row r="1181" spans="1:13">
      <c r="A1181" t="s">
        <v>13</v>
      </c>
      <c r="B1181">
        <v>1242507</v>
      </c>
      <c r="C1181">
        <v>1243844</v>
      </c>
      <c r="E1181" t="s">
        <v>14</v>
      </c>
      <c r="F1181" t="s">
        <v>3361</v>
      </c>
      <c r="H1181">
        <v>1019166</v>
      </c>
      <c r="I1181" t="s">
        <v>17</v>
      </c>
      <c r="K1181" t="s">
        <v>3362</v>
      </c>
      <c r="L1181">
        <v>445</v>
      </c>
      <c r="M1181" t="s">
        <v>3363</v>
      </c>
    </row>
    <row r="1182" spans="1:13">
      <c r="A1182" t="s">
        <v>13</v>
      </c>
      <c r="B1182">
        <v>1243855</v>
      </c>
      <c r="C1182">
        <v>1244784</v>
      </c>
      <c r="E1182" t="s">
        <v>14</v>
      </c>
      <c r="F1182" t="s">
        <v>3364</v>
      </c>
      <c r="G1182" t="s">
        <v>3365</v>
      </c>
      <c r="H1182">
        <v>1019167</v>
      </c>
      <c r="I1182" t="s">
        <v>17</v>
      </c>
      <c r="K1182" t="s">
        <v>3366</v>
      </c>
      <c r="L1182">
        <v>309</v>
      </c>
      <c r="M1182" t="s">
        <v>3367</v>
      </c>
    </row>
    <row r="1183" spans="1:13">
      <c r="A1183" t="s">
        <v>13</v>
      </c>
      <c r="B1183">
        <v>1244840</v>
      </c>
      <c r="C1183">
        <v>1245532</v>
      </c>
      <c r="E1183" t="s">
        <v>38</v>
      </c>
      <c r="F1183" t="s">
        <v>3368</v>
      </c>
      <c r="H1183">
        <v>1019168</v>
      </c>
      <c r="I1183" t="s">
        <v>17</v>
      </c>
      <c r="K1183" t="s">
        <v>3369</v>
      </c>
      <c r="L1183">
        <v>230</v>
      </c>
      <c r="M1183" t="s">
        <v>3370</v>
      </c>
    </row>
    <row r="1184" spans="1:13">
      <c r="A1184" t="s">
        <v>13</v>
      </c>
      <c r="B1184">
        <v>1245717</v>
      </c>
      <c r="C1184">
        <v>1246496</v>
      </c>
      <c r="E1184" t="s">
        <v>38</v>
      </c>
      <c r="F1184" t="s">
        <v>3371</v>
      </c>
      <c r="G1184" t="s">
        <v>3372</v>
      </c>
      <c r="H1184">
        <v>1019169</v>
      </c>
      <c r="I1184" t="s">
        <v>17</v>
      </c>
      <c r="K1184" t="s">
        <v>3373</v>
      </c>
      <c r="L1184">
        <v>259</v>
      </c>
      <c r="M1184" t="s">
        <v>3374</v>
      </c>
    </row>
    <row r="1185" spans="1:13">
      <c r="A1185" t="s">
        <v>13</v>
      </c>
      <c r="B1185">
        <v>1246505</v>
      </c>
      <c r="C1185">
        <v>1247191</v>
      </c>
      <c r="E1185" t="s">
        <v>38</v>
      </c>
      <c r="F1185" t="s">
        <v>3375</v>
      </c>
      <c r="G1185" t="s">
        <v>3376</v>
      </c>
      <c r="H1185">
        <v>1019170</v>
      </c>
      <c r="I1185" t="s">
        <v>17</v>
      </c>
      <c r="K1185" t="s">
        <v>3377</v>
      </c>
      <c r="L1185">
        <v>228</v>
      </c>
      <c r="M1185" t="s">
        <v>3378</v>
      </c>
    </row>
    <row r="1186" spans="1:13">
      <c r="A1186" t="s">
        <v>13</v>
      </c>
      <c r="B1186">
        <v>1247196</v>
      </c>
      <c r="C1186">
        <v>1248791</v>
      </c>
      <c r="E1186" t="s">
        <v>38</v>
      </c>
      <c r="F1186" t="s">
        <v>3379</v>
      </c>
      <c r="G1186" t="s">
        <v>3380</v>
      </c>
      <c r="H1186">
        <v>1019171</v>
      </c>
      <c r="I1186" t="s">
        <v>17</v>
      </c>
      <c r="K1186" t="s">
        <v>3381</v>
      </c>
      <c r="L1186">
        <v>531</v>
      </c>
      <c r="M1186" t="s">
        <v>3382</v>
      </c>
    </row>
    <row r="1187" spans="1:13">
      <c r="A1187" t="s">
        <v>13</v>
      </c>
      <c r="B1187">
        <v>1248791</v>
      </c>
      <c r="C1187">
        <v>1252537</v>
      </c>
      <c r="E1187" t="s">
        <v>38</v>
      </c>
      <c r="F1187" t="s">
        <v>3383</v>
      </c>
      <c r="H1187">
        <v>1019172</v>
      </c>
      <c r="I1187" t="s">
        <v>17</v>
      </c>
      <c r="K1187" t="s">
        <v>3384</v>
      </c>
      <c r="L1187">
        <v>1248</v>
      </c>
      <c r="M1187" t="s">
        <v>3385</v>
      </c>
    </row>
    <row r="1188" spans="1:13">
      <c r="A1188" t="s">
        <v>13</v>
      </c>
      <c r="B1188">
        <v>1252554</v>
      </c>
      <c r="C1188">
        <v>1253891</v>
      </c>
      <c r="E1188" t="s">
        <v>38</v>
      </c>
      <c r="F1188" t="s">
        <v>3386</v>
      </c>
      <c r="H1188">
        <v>1019173</v>
      </c>
      <c r="I1188" t="s">
        <v>17</v>
      </c>
      <c r="K1188" t="s">
        <v>3387</v>
      </c>
      <c r="L1188">
        <v>445</v>
      </c>
      <c r="M1188" t="s">
        <v>3388</v>
      </c>
    </row>
    <row r="1189" spans="1:13">
      <c r="A1189" t="s">
        <v>13</v>
      </c>
      <c r="B1189">
        <v>1254149</v>
      </c>
      <c r="C1189">
        <v>1254637</v>
      </c>
      <c r="E1189" t="s">
        <v>14</v>
      </c>
      <c r="F1189" t="s">
        <v>639</v>
      </c>
      <c r="H1189">
        <v>1019174</v>
      </c>
      <c r="I1189" t="s">
        <v>17</v>
      </c>
      <c r="K1189" t="s">
        <v>3389</v>
      </c>
      <c r="L1189">
        <v>162</v>
      </c>
      <c r="M1189" t="s">
        <v>3390</v>
      </c>
    </row>
    <row r="1190" spans="1:13">
      <c r="A1190" t="s">
        <v>13</v>
      </c>
      <c r="B1190">
        <v>1254734</v>
      </c>
      <c r="C1190">
        <v>1256602</v>
      </c>
      <c r="E1190" t="s">
        <v>38</v>
      </c>
      <c r="F1190" t="s">
        <v>3391</v>
      </c>
      <c r="H1190">
        <v>1019175</v>
      </c>
      <c r="I1190" t="s">
        <v>17</v>
      </c>
      <c r="K1190" t="s">
        <v>3392</v>
      </c>
      <c r="L1190">
        <v>622</v>
      </c>
      <c r="M1190" t="s">
        <v>3393</v>
      </c>
    </row>
    <row r="1191" spans="1:13">
      <c r="A1191" t="s">
        <v>13</v>
      </c>
      <c r="B1191">
        <v>1256848</v>
      </c>
      <c r="C1191">
        <v>1257858</v>
      </c>
      <c r="E1191" t="s">
        <v>38</v>
      </c>
      <c r="F1191" t="s">
        <v>3394</v>
      </c>
      <c r="H1191">
        <v>1019176</v>
      </c>
      <c r="I1191" t="s">
        <v>17</v>
      </c>
      <c r="K1191" t="s">
        <v>3395</v>
      </c>
      <c r="L1191">
        <v>336</v>
      </c>
      <c r="M1191" t="s">
        <v>3396</v>
      </c>
    </row>
    <row r="1192" spans="1:13">
      <c r="A1192" t="s">
        <v>13</v>
      </c>
      <c r="B1192">
        <v>1257862</v>
      </c>
      <c r="C1192">
        <v>1259265</v>
      </c>
      <c r="E1192" t="s">
        <v>38</v>
      </c>
      <c r="F1192" t="s">
        <v>3397</v>
      </c>
      <c r="H1192">
        <v>1019177</v>
      </c>
      <c r="I1192" t="s">
        <v>17</v>
      </c>
      <c r="K1192" t="s">
        <v>3398</v>
      </c>
      <c r="L1192">
        <v>467</v>
      </c>
      <c r="M1192" t="s">
        <v>3399</v>
      </c>
    </row>
    <row r="1193" spans="1:13">
      <c r="A1193" t="s">
        <v>13</v>
      </c>
      <c r="B1193">
        <v>1259426</v>
      </c>
      <c r="C1193">
        <v>1259989</v>
      </c>
      <c r="E1193" t="s">
        <v>38</v>
      </c>
      <c r="F1193" t="s">
        <v>3400</v>
      </c>
      <c r="H1193">
        <v>1019178</v>
      </c>
      <c r="I1193" t="s">
        <v>17</v>
      </c>
      <c r="K1193" t="s">
        <v>3401</v>
      </c>
      <c r="L1193">
        <v>187</v>
      </c>
      <c r="M1193" t="s">
        <v>3402</v>
      </c>
    </row>
    <row r="1194" spans="1:13">
      <c r="A1194" t="s">
        <v>13</v>
      </c>
      <c r="B1194">
        <v>1259990</v>
      </c>
      <c r="C1194">
        <v>1261201</v>
      </c>
      <c r="E1194" t="s">
        <v>38</v>
      </c>
      <c r="F1194" t="s">
        <v>646</v>
      </c>
      <c r="H1194">
        <v>1019179</v>
      </c>
      <c r="I1194" t="s">
        <v>17</v>
      </c>
      <c r="K1194" t="s">
        <v>3403</v>
      </c>
      <c r="L1194">
        <v>403</v>
      </c>
      <c r="M1194" t="s">
        <v>3404</v>
      </c>
    </row>
    <row r="1195" spans="1:13">
      <c r="A1195" t="s">
        <v>13</v>
      </c>
      <c r="B1195">
        <v>1261685</v>
      </c>
      <c r="C1195">
        <v>1262818</v>
      </c>
      <c r="E1195" t="s">
        <v>38</v>
      </c>
      <c r="F1195" t="s">
        <v>3405</v>
      </c>
      <c r="G1195" t="s">
        <v>3406</v>
      </c>
      <c r="H1195">
        <v>1019180</v>
      </c>
      <c r="I1195" t="s">
        <v>17</v>
      </c>
      <c r="K1195" t="s">
        <v>3407</v>
      </c>
      <c r="L1195">
        <v>377</v>
      </c>
      <c r="M1195" t="s">
        <v>3408</v>
      </c>
    </row>
    <row r="1196" spans="1:13">
      <c r="A1196" t="s">
        <v>13</v>
      </c>
      <c r="B1196">
        <v>1262883</v>
      </c>
      <c r="C1196">
        <v>1264610</v>
      </c>
      <c r="E1196" t="s">
        <v>38</v>
      </c>
      <c r="F1196" t="s">
        <v>3409</v>
      </c>
      <c r="H1196">
        <v>1019181</v>
      </c>
      <c r="I1196" t="s">
        <v>17</v>
      </c>
      <c r="K1196" t="s">
        <v>3410</v>
      </c>
      <c r="L1196">
        <v>575</v>
      </c>
      <c r="M1196" t="s">
        <v>3411</v>
      </c>
    </row>
    <row r="1197" spans="1:13">
      <c r="A1197" t="s">
        <v>13</v>
      </c>
      <c r="B1197">
        <v>1265142</v>
      </c>
      <c r="C1197">
        <v>1267430</v>
      </c>
      <c r="E1197" t="s">
        <v>14</v>
      </c>
      <c r="F1197" t="s">
        <v>3412</v>
      </c>
      <c r="G1197" t="s">
        <v>3413</v>
      </c>
      <c r="H1197">
        <v>1019182</v>
      </c>
      <c r="I1197" t="s">
        <v>17</v>
      </c>
      <c r="K1197" t="s">
        <v>3414</v>
      </c>
      <c r="L1197">
        <v>762</v>
      </c>
      <c r="M1197" t="s">
        <v>3415</v>
      </c>
    </row>
    <row r="1198" spans="1:13">
      <c r="A1198" t="s">
        <v>13</v>
      </c>
      <c r="B1198">
        <v>1267430</v>
      </c>
      <c r="C1198">
        <v>1268506</v>
      </c>
      <c r="E1198" t="s">
        <v>14</v>
      </c>
      <c r="F1198" t="s">
        <v>3416</v>
      </c>
      <c r="G1198" t="s">
        <v>3417</v>
      </c>
      <c r="H1198">
        <v>1019183</v>
      </c>
      <c r="I1198" t="s">
        <v>17</v>
      </c>
      <c r="K1198" t="s">
        <v>3418</v>
      </c>
      <c r="L1198">
        <v>358</v>
      </c>
      <c r="M1198" t="s">
        <v>3419</v>
      </c>
    </row>
    <row r="1199" spans="1:13">
      <c r="A1199" t="s">
        <v>13</v>
      </c>
      <c r="B1199">
        <v>1268507</v>
      </c>
      <c r="C1199">
        <v>1269346</v>
      </c>
      <c r="E1199" t="s">
        <v>14</v>
      </c>
      <c r="F1199" t="s">
        <v>3420</v>
      </c>
      <c r="G1199" t="s">
        <v>3421</v>
      </c>
      <c r="H1199">
        <v>1019184</v>
      </c>
      <c r="I1199" t="s">
        <v>17</v>
      </c>
      <c r="K1199" t="s">
        <v>3422</v>
      </c>
      <c r="L1199">
        <v>279</v>
      </c>
      <c r="M1199" t="s">
        <v>3423</v>
      </c>
    </row>
    <row r="1200" spans="1:13">
      <c r="A1200" t="s">
        <v>13</v>
      </c>
      <c r="B1200">
        <v>1269396</v>
      </c>
      <c r="C1200">
        <v>1270046</v>
      </c>
      <c r="E1200" t="s">
        <v>14</v>
      </c>
      <c r="F1200" t="s">
        <v>3424</v>
      </c>
      <c r="H1200">
        <v>1019185</v>
      </c>
      <c r="I1200" t="s">
        <v>17</v>
      </c>
      <c r="K1200" t="s">
        <v>3425</v>
      </c>
      <c r="L1200">
        <v>216</v>
      </c>
      <c r="M1200" t="s">
        <v>3426</v>
      </c>
    </row>
    <row r="1201" spans="1:13">
      <c r="A1201" t="s">
        <v>13</v>
      </c>
      <c r="B1201">
        <v>1270047</v>
      </c>
      <c r="C1201">
        <v>1271195</v>
      </c>
      <c r="E1201" t="s">
        <v>14</v>
      </c>
      <c r="F1201" t="s">
        <v>3427</v>
      </c>
      <c r="H1201">
        <v>1019186</v>
      </c>
      <c r="I1201" t="s">
        <v>17</v>
      </c>
      <c r="K1201" t="s">
        <v>3428</v>
      </c>
      <c r="L1201">
        <v>382</v>
      </c>
      <c r="M1201" t="s">
        <v>3429</v>
      </c>
    </row>
    <row r="1202" spans="1:13">
      <c r="A1202" t="s">
        <v>13</v>
      </c>
      <c r="B1202">
        <v>1271252</v>
      </c>
      <c r="C1202">
        <v>1271701</v>
      </c>
      <c r="E1202" t="s">
        <v>14</v>
      </c>
      <c r="F1202" t="s">
        <v>49</v>
      </c>
      <c r="H1202">
        <v>1019187</v>
      </c>
      <c r="I1202" t="s">
        <v>17</v>
      </c>
      <c r="K1202" t="s">
        <v>3430</v>
      </c>
      <c r="L1202">
        <v>149</v>
      </c>
      <c r="M1202" t="s">
        <v>3431</v>
      </c>
    </row>
    <row r="1203" spans="1:13">
      <c r="A1203" t="s">
        <v>13</v>
      </c>
      <c r="B1203">
        <v>1272340</v>
      </c>
      <c r="C1203">
        <v>1273152</v>
      </c>
      <c r="E1203" t="s">
        <v>14</v>
      </c>
      <c r="F1203" t="s">
        <v>3432</v>
      </c>
      <c r="G1203" t="s">
        <v>3433</v>
      </c>
      <c r="H1203">
        <v>1019189</v>
      </c>
      <c r="I1203" t="s">
        <v>17</v>
      </c>
      <c r="K1203" t="s">
        <v>3434</v>
      </c>
      <c r="L1203">
        <v>270</v>
      </c>
      <c r="M1203" t="s">
        <v>3435</v>
      </c>
    </row>
    <row r="1204" spans="1:13">
      <c r="A1204" t="s">
        <v>13</v>
      </c>
      <c r="B1204">
        <v>1273286</v>
      </c>
      <c r="C1204">
        <v>1273528</v>
      </c>
      <c r="E1204" t="s">
        <v>14</v>
      </c>
      <c r="F1204" t="s">
        <v>3436</v>
      </c>
      <c r="H1204">
        <v>1019190</v>
      </c>
      <c r="I1204" t="s">
        <v>17</v>
      </c>
      <c r="K1204" t="s">
        <v>3437</v>
      </c>
      <c r="L1204">
        <v>80</v>
      </c>
      <c r="M1204" t="s">
        <v>3438</v>
      </c>
    </row>
    <row r="1205" spans="1:13">
      <c r="A1205" t="s">
        <v>13</v>
      </c>
      <c r="B1205">
        <v>1273559</v>
      </c>
      <c r="C1205">
        <v>1274125</v>
      </c>
      <c r="E1205" t="s">
        <v>14</v>
      </c>
      <c r="F1205" t="s">
        <v>3439</v>
      </c>
      <c r="H1205">
        <v>1019191</v>
      </c>
      <c r="I1205" t="s">
        <v>17</v>
      </c>
      <c r="K1205" t="s">
        <v>3440</v>
      </c>
      <c r="L1205">
        <v>188</v>
      </c>
      <c r="M1205" t="s">
        <v>3441</v>
      </c>
    </row>
    <row r="1206" spans="1:13">
      <c r="A1206" t="s">
        <v>13</v>
      </c>
      <c r="B1206">
        <v>1274131</v>
      </c>
      <c r="C1206">
        <v>1274946</v>
      </c>
      <c r="E1206" t="s">
        <v>14</v>
      </c>
      <c r="F1206" t="s">
        <v>3442</v>
      </c>
      <c r="H1206">
        <v>1019192</v>
      </c>
      <c r="I1206" t="s">
        <v>17</v>
      </c>
      <c r="K1206" t="s">
        <v>3443</v>
      </c>
      <c r="L1206">
        <v>271</v>
      </c>
      <c r="M1206" t="s">
        <v>3444</v>
      </c>
    </row>
    <row r="1207" spans="1:13">
      <c r="A1207" t="s">
        <v>13</v>
      </c>
      <c r="B1207">
        <v>1275008</v>
      </c>
      <c r="C1207">
        <v>1276651</v>
      </c>
      <c r="E1207" t="s">
        <v>14</v>
      </c>
      <c r="F1207" t="s">
        <v>3445</v>
      </c>
      <c r="G1207" t="s">
        <v>3446</v>
      </c>
      <c r="H1207">
        <v>1019193</v>
      </c>
      <c r="I1207" t="s">
        <v>17</v>
      </c>
      <c r="K1207" t="s">
        <v>3447</v>
      </c>
      <c r="L1207">
        <v>547</v>
      </c>
      <c r="M1207" t="s">
        <v>3448</v>
      </c>
    </row>
    <row r="1208" spans="1:13">
      <c r="A1208" t="s">
        <v>13</v>
      </c>
      <c r="B1208">
        <v>1276708</v>
      </c>
      <c r="C1208">
        <v>1277685</v>
      </c>
      <c r="E1208" t="s">
        <v>14</v>
      </c>
      <c r="F1208" t="s">
        <v>3449</v>
      </c>
      <c r="H1208">
        <v>1019194</v>
      </c>
      <c r="I1208" t="s">
        <v>17</v>
      </c>
      <c r="K1208" t="s">
        <v>3450</v>
      </c>
      <c r="L1208">
        <v>325</v>
      </c>
      <c r="M1208" t="s">
        <v>3451</v>
      </c>
    </row>
    <row r="1209" spans="1:13">
      <c r="A1209" t="s">
        <v>13</v>
      </c>
      <c r="B1209">
        <v>1277688</v>
      </c>
      <c r="C1209">
        <v>1279139</v>
      </c>
      <c r="E1209" t="s">
        <v>14</v>
      </c>
      <c r="F1209" t="s">
        <v>3452</v>
      </c>
      <c r="G1209" t="s">
        <v>3453</v>
      </c>
      <c r="H1209">
        <v>1019195</v>
      </c>
      <c r="I1209" t="s">
        <v>17</v>
      </c>
      <c r="K1209" t="s">
        <v>3454</v>
      </c>
      <c r="L1209">
        <v>483</v>
      </c>
      <c r="M1209" t="s">
        <v>3455</v>
      </c>
    </row>
    <row r="1210" spans="1:13">
      <c r="A1210" t="s">
        <v>13</v>
      </c>
      <c r="B1210">
        <v>1279151</v>
      </c>
      <c r="C1210">
        <v>1279525</v>
      </c>
      <c r="E1210" t="s">
        <v>14</v>
      </c>
      <c r="F1210" t="s">
        <v>3456</v>
      </c>
      <c r="H1210">
        <v>1019196</v>
      </c>
      <c r="I1210" t="s">
        <v>17</v>
      </c>
      <c r="K1210" t="s">
        <v>3457</v>
      </c>
      <c r="L1210">
        <v>124</v>
      </c>
      <c r="M1210" t="s">
        <v>3458</v>
      </c>
    </row>
    <row r="1211" spans="1:13">
      <c r="A1211" t="s">
        <v>13</v>
      </c>
      <c r="B1211">
        <v>1279770</v>
      </c>
      <c r="C1211">
        <v>1280243</v>
      </c>
      <c r="E1211" t="s">
        <v>14</v>
      </c>
      <c r="F1211" t="s">
        <v>3459</v>
      </c>
      <c r="H1211">
        <v>1019197</v>
      </c>
      <c r="I1211" t="s">
        <v>17</v>
      </c>
      <c r="K1211" t="s">
        <v>3460</v>
      </c>
      <c r="L1211">
        <v>157</v>
      </c>
      <c r="M1211" t="s">
        <v>3461</v>
      </c>
    </row>
    <row r="1212" spans="1:13">
      <c r="A1212" t="s">
        <v>13</v>
      </c>
      <c r="B1212">
        <v>1280270</v>
      </c>
      <c r="C1212">
        <v>1280962</v>
      </c>
      <c r="E1212" t="s">
        <v>14</v>
      </c>
      <c r="F1212" t="s">
        <v>3462</v>
      </c>
      <c r="G1212" t="s">
        <v>3463</v>
      </c>
      <c r="H1212">
        <v>1019198</v>
      </c>
      <c r="I1212" t="s">
        <v>17</v>
      </c>
      <c r="K1212" t="s">
        <v>3464</v>
      </c>
      <c r="L1212">
        <v>230</v>
      </c>
      <c r="M1212" t="s">
        <v>3465</v>
      </c>
    </row>
    <row r="1213" spans="1:13">
      <c r="A1213" t="s">
        <v>13</v>
      </c>
      <c r="B1213">
        <v>1280967</v>
      </c>
      <c r="C1213">
        <v>1281254</v>
      </c>
      <c r="E1213" t="s">
        <v>14</v>
      </c>
      <c r="F1213" t="s">
        <v>49</v>
      </c>
      <c r="H1213">
        <v>92792292</v>
      </c>
      <c r="I1213" t="s">
        <v>17</v>
      </c>
      <c r="K1213" t="s">
        <v>3466</v>
      </c>
      <c r="L1213">
        <v>95</v>
      </c>
      <c r="M1213" t="s">
        <v>3467</v>
      </c>
    </row>
    <row r="1214" spans="1:13">
      <c r="A1214" t="s">
        <v>13</v>
      </c>
      <c r="B1214">
        <v>1281259</v>
      </c>
      <c r="C1214">
        <v>1281714</v>
      </c>
      <c r="E1214" t="s">
        <v>38</v>
      </c>
      <c r="F1214" t="s">
        <v>3468</v>
      </c>
      <c r="G1214" t="s">
        <v>3469</v>
      </c>
      <c r="H1214">
        <v>1019200</v>
      </c>
      <c r="I1214" t="s">
        <v>17</v>
      </c>
      <c r="K1214" t="s">
        <v>3470</v>
      </c>
      <c r="L1214">
        <v>151</v>
      </c>
      <c r="M1214" t="s">
        <v>3471</v>
      </c>
    </row>
    <row r="1215" spans="1:13">
      <c r="A1215" t="s">
        <v>13</v>
      </c>
      <c r="B1215">
        <v>1281803</v>
      </c>
      <c r="C1215">
        <v>1282108</v>
      </c>
      <c r="E1215" t="s">
        <v>14</v>
      </c>
      <c r="F1215" t="s">
        <v>3472</v>
      </c>
      <c r="H1215">
        <v>1019201</v>
      </c>
      <c r="I1215" t="s">
        <v>17</v>
      </c>
      <c r="K1215" t="s">
        <v>3473</v>
      </c>
      <c r="L1215">
        <v>101</v>
      </c>
      <c r="M1215" t="s">
        <v>3474</v>
      </c>
    </row>
    <row r="1216" spans="1:13">
      <c r="A1216" t="s">
        <v>13</v>
      </c>
      <c r="B1216">
        <v>1282194</v>
      </c>
      <c r="C1216">
        <v>1283117</v>
      </c>
      <c r="E1216" t="s">
        <v>14</v>
      </c>
      <c r="F1216" t="s">
        <v>3475</v>
      </c>
      <c r="H1216">
        <v>1019202</v>
      </c>
      <c r="I1216" t="s">
        <v>17</v>
      </c>
      <c r="K1216" t="s">
        <v>3476</v>
      </c>
      <c r="L1216">
        <v>307</v>
      </c>
      <c r="M1216" t="s">
        <v>3477</v>
      </c>
    </row>
    <row r="1217" spans="1:13">
      <c r="A1217" t="s">
        <v>13</v>
      </c>
      <c r="B1217">
        <v>1283324</v>
      </c>
      <c r="C1217">
        <v>1284469</v>
      </c>
      <c r="E1217" t="s">
        <v>14</v>
      </c>
      <c r="F1217" t="s">
        <v>2071</v>
      </c>
      <c r="H1217">
        <v>1019203</v>
      </c>
      <c r="I1217" t="s">
        <v>17</v>
      </c>
      <c r="K1217" t="s">
        <v>3478</v>
      </c>
      <c r="L1217">
        <v>381</v>
      </c>
      <c r="M1217" t="s">
        <v>3479</v>
      </c>
    </row>
    <row r="1218" spans="1:13">
      <c r="A1218" t="s">
        <v>13</v>
      </c>
      <c r="B1218">
        <v>1284517</v>
      </c>
      <c r="C1218">
        <v>1285287</v>
      </c>
      <c r="E1218" t="s">
        <v>14</v>
      </c>
      <c r="F1218" t="s">
        <v>124</v>
      </c>
      <c r="H1218">
        <v>1019204</v>
      </c>
      <c r="I1218" t="s">
        <v>17</v>
      </c>
      <c r="K1218" t="s">
        <v>3480</v>
      </c>
      <c r="L1218">
        <v>256</v>
      </c>
      <c r="M1218" t="s">
        <v>3481</v>
      </c>
    </row>
    <row r="1219" spans="1:13">
      <c r="A1219" t="s">
        <v>13</v>
      </c>
      <c r="B1219">
        <v>1285302</v>
      </c>
      <c r="C1219">
        <v>1286033</v>
      </c>
      <c r="E1219" t="s">
        <v>14</v>
      </c>
      <c r="F1219" t="s">
        <v>147</v>
      </c>
      <c r="H1219">
        <v>1019205</v>
      </c>
      <c r="I1219" t="s">
        <v>17</v>
      </c>
      <c r="K1219" t="s">
        <v>3482</v>
      </c>
      <c r="L1219">
        <v>243</v>
      </c>
      <c r="M1219" t="s">
        <v>3483</v>
      </c>
    </row>
    <row r="1220" spans="1:13">
      <c r="A1220" t="s">
        <v>13</v>
      </c>
      <c r="B1220">
        <v>1286043</v>
      </c>
      <c r="C1220">
        <v>1287002</v>
      </c>
      <c r="E1220" t="s">
        <v>14</v>
      </c>
      <c r="F1220" t="s">
        <v>1008</v>
      </c>
      <c r="H1220">
        <v>1019206</v>
      </c>
      <c r="I1220" t="s">
        <v>17</v>
      </c>
      <c r="K1220" t="s">
        <v>3484</v>
      </c>
      <c r="L1220">
        <v>319</v>
      </c>
      <c r="M1220" t="s">
        <v>3485</v>
      </c>
    </row>
    <row r="1221" spans="1:13">
      <c r="A1221" t="s">
        <v>13</v>
      </c>
      <c r="B1221">
        <v>1287278</v>
      </c>
      <c r="C1221">
        <v>1289473</v>
      </c>
      <c r="E1221" t="s">
        <v>38</v>
      </c>
      <c r="F1221" t="s">
        <v>3486</v>
      </c>
      <c r="G1221" t="s">
        <v>3487</v>
      </c>
      <c r="H1221">
        <v>1019207</v>
      </c>
      <c r="I1221" t="s">
        <v>17</v>
      </c>
      <c r="K1221" t="s">
        <v>3488</v>
      </c>
      <c r="L1221">
        <v>731</v>
      </c>
      <c r="M1221" t="s">
        <v>3489</v>
      </c>
    </row>
    <row r="1222" spans="1:13">
      <c r="A1222" t="s">
        <v>13</v>
      </c>
      <c r="B1222">
        <v>1289511</v>
      </c>
      <c r="C1222">
        <v>1291538</v>
      </c>
      <c r="E1222" t="s">
        <v>38</v>
      </c>
      <c r="F1222" t="s">
        <v>3490</v>
      </c>
      <c r="H1222">
        <v>1019208</v>
      </c>
      <c r="I1222" t="s">
        <v>17</v>
      </c>
      <c r="K1222" t="s">
        <v>3491</v>
      </c>
      <c r="L1222">
        <v>675</v>
      </c>
      <c r="M1222" t="s">
        <v>3492</v>
      </c>
    </row>
    <row r="1223" spans="1:13">
      <c r="A1223" t="s">
        <v>13</v>
      </c>
      <c r="B1223">
        <v>1291699</v>
      </c>
      <c r="C1223">
        <v>1292580</v>
      </c>
      <c r="E1223" t="s">
        <v>14</v>
      </c>
      <c r="F1223" t="s">
        <v>147</v>
      </c>
      <c r="H1223">
        <v>1019209</v>
      </c>
      <c r="I1223" t="s">
        <v>17</v>
      </c>
      <c r="K1223" t="s">
        <v>3493</v>
      </c>
      <c r="L1223">
        <v>293</v>
      </c>
      <c r="M1223" t="s">
        <v>3494</v>
      </c>
    </row>
    <row r="1224" spans="1:13">
      <c r="A1224" t="s">
        <v>13</v>
      </c>
      <c r="B1224">
        <v>1293228</v>
      </c>
      <c r="C1224">
        <v>1294028</v>
      </c>
      <c r="E1224" t="s">
        <v>14</v>
      </c>
      <c r="F1224" t="s">
        <v>898</v>
      </c>
      <c r="H1224">
        <v>1019210</v>
      </c>
      <c r="I1224" t="s">
        <v>17</v>
      </c>
      <c r="K1224" t="s">
        <v>3495</v>
      </c>
      <c r="L1224">
        <v>266</v>
      </c>
      <c r="M1224" t="s">
        <v>3496</v>
      </c>
    </row>
    <row r="1225" spans="1:13">
      <c r="A1225" t="s">
        <v>13</v>
      </c>
      <c r="B1225">
        <v>1294046</v>
      </c>
      <c r="C1225">
        <v>1295209</v>
      </c>
      <c r="E1225" t="s">
        <v>14</v>
      </c>
      <c r="F1225" t="s">
        <v>3497</v>
      </c>
      <c r="H1225">
        <v>1019211</v>
      </c>
      <c r="I1225" t="s">
        <v>17</v>
      </c>
      <c r="K1225" t="s">
        <v>3498</v>
      </c>
      <c r="L1225">
        <v>387</v>
      </c>
      <c r="M1225" t="s">
        <v>3499</v>
      </c>
    </row>
    <row r="1226" spans="1:13">
      <c r="A1226" t="s">
        <v>13</v>
      </c>
      <c r="B1226">
        <v>1295435</v>
      </c>
      <c r="C1226">
        <v>1296223</v>
      </c>
      <c r="E1226" t="s">
        <v>14</v>
      </c>
      <c r="F1226" t="s">
        <v>3500</v>
      </c>
      <c r="H1226">
        <v>1019212</v>
      </c>
      <c r="I1226" t="s">
        <v>17</v>
      </c>
      <c r="K1226" t="s">
        <v>3501</v>
      </c>
      <c r="L1226">
        <v>262</v>
      </c>
      <c r="M1226" t="s">
        <v>3502</v>
      </c>
    </row>
    <row r="1227" spans="1:13">
      <c r="A1227" t="s">
        <v>13</v>
      </c>
      <c r="B1227">
        <v>1296253</v>
      </c>
      <c r="C1227">
        <v>1297206</v>
      </c>
      <c r="E1227" t="s">
        <v>14</v>
      </c>
      <c r="F1227" t="s">
        <v>3503</v>
      </c>
      <c r="H1227">
        <v>1019213</v>
      </c>
      <c r="I1227" t="s">
        <v>17</v>
      </c>
      <c r="K1227" t="s">
        <v>3504</v>
      </c>
      <c r="L1227">
        <v>317</v>
      </c>
      <c r="M1227" t="s">
        <v>3505</v>
      </c>
    </row>
    <row r="1228" spans="1:13">
      <c r="A1228" t="s">
        <v>13</v>
      </c>
      <c r="B1228">
        <v>1297212</v>
      </c>
      <c r="C1228">
        <v>1298342</v>
      </c>
      <c r="E1228" t="s">
        <v>14</v>
      </c>
      <c r="F1228" t="s">
        <v>3041</v>
      </c>
      <c r="H1228">
        <v>1019214</v>
      </c>
      <c r="I1228" t="s">
        <v>17</v>
      </c>
      <c r="K1228" t="s">
        <v>3506</v>
      </c>
      <c r="L1228">
        <v>376</v>
      </c>
      <c r="M1228" t="s">
        <v>3507</v>
      </c>
    </row>
    <row r="1229" spans="1:13">
      <c r="A1229" t="s">
        <v>13</v>
      </c>
      <c r="B1229">
        <v>1298339</v>
      </c>
      <c r="C1229">
        <v>1298620</v>
      </c>
      <c r="E1229" t="s">
        <v>38</v>
      </c>
      <c r="F1229" t="s">
        <v>49</v>
      </c>
      <c r="H1229">
        <v>1019215</v>
      </c>
      <c r="I1229" t="s">
        <v>17</v>
      </c>
      <c r="K1229" t="s">
        <v>3508</v>
      </c>
      <c r="L1229">
        <v>93</v>
      </c>
      <c r="M1229" t="s">
        <v>3509</v>
      </c>
    </row>
    <row r="1230" spans="1:13">
      <c r="A1230" t="s">
        <v>13</v>
      </c>
      <c r="B1230">
        <v>1298997</v>
      </c>
      <c r="C1230">
        <v>1300145</v>
      </c>
      <c r="E1230" t="s">
        <v>38</v>
      </c>
      <c r="F1230" t="s">
        <v>3510</v>
      </c>
      <c r="H1230">
        <v>1019216</v>
      </c>
      <c r="I1230" t="s">
        <v>17</v>
      </c>
      <c r="K1230" t="s">
        <v>3511</v>
      </c>
      <c r="L1230">
        <v>382</v>
      </c>
      <c r="M1230" t="s">
        <v>3512</v>
      </c>
    </row>
    <row r="1231" spans="1:13">
      <c r="A1231" t="s">
        <v>13</v>
      </c>
      <c r="B1231">
        <v>1300142</v>
      </c>
      <c r="C1231">
        <v>1300363</v>
      </c>
      <c r="E1231" t="s">
        <v>38</v>
      </c>
      <c r="F1231" t="s">
        <v>3368</v>
      </c>
      <c r="H1231">
        <v>1019217</v>
      </c>
      <c r="I1231" t="s">
        <v>17</v>
      </c>
      <c r="K1231" t="s">
        <v>3513</v>
      </c>
      <c r="L1231">
        <v>73</v>
      </c>
      <c r="M1231" t="s">
        <v>3514</v>
      </c>
    </row>
    <row r="1232" spans="1:13">
      <c r="A1232" t="s">
        <v>13</v>
      </c>
      <c r="B1232">
        <v>1300552</v>
      </c>
      <c r="C1232">
        <v>1301058</v>
      </c>
      <c r="E1232" t="s">
        <v>14</v>
      </c>
      <c r="F1232" t="s">
        <v>549</v>
      </c>
      <c r="H1232">
        <v>1019218</v>
      </c>
      <c r="I1232" t="s">
        <v>17</v>
      </c>
      <c r="K1232" t="s">
        <v>3515</v>
      </c>
      <c r="L1232">
        <v>168</v>
      </c>
      <c r="M1232" t="s">
        <v>3516</v>
      </c>
    </row>
    <row r="1233" spans="1:13">
      <c r="A1233" t="s">
        <v>13</v>
      </c>
      <c r="B1233">
        <v>1300985</v>
      </c>
      <c r="C1233">
        <v>1301929</v>
      </c>
      <c r="E1233" t="s">
        <v>38</v>
      </c>
      <c r="F1233" t="s">
        <v>3517</v>
      </c>
      <c r="H1233">
        <v>1019219</v>
      </c>
      <c r="I1233" t="s">
        <v>17</v>
      </c>
      <c r="K1233" t="s">
        <v>3518</v>
      </c>
      <c r="L1233">
        <v>314</v>
      </c>
      <c r="M1233" t="s">
        <v>3519</v>
      </c>
    </row>
    <row r="1234" spans="1:13">
      <c r="A1234" t="s">
        <v>13</v>
      </c>
      <c r="B1234">
        <v>1301972</v>
      </c>
      <c r="C1234">
        <v>1303114</v>
      </c>
      <c r="E1234" t="s">
        <v>38</v>
      </c>
      <c r="F1234" t="s">
        <v>3013</v>
      </c>
      <c r="H1234">
        <v>1019220</v>
      </c>
      <c r="I1234" t="s">
        <v>17</v>
      </c>
      <c r="K1234" t="s">
        <v>3520</v>
      </c>
      <c r="L1234">
        <v>380</v>
      </c>
      <c r="M1234" t="s">
        <v>3521</v>
      </c>
    </row>
    <row r="1235" spans="1:13">
      <c r="A1235" t="s">
        <v>13</v>
      </c>
      <c r="B1235">
        <v>1303299</v>
      </c>
      <c r="C1235">
        <v>1303697</v>
      </c>
      <c r="E1235" t="s">
        <v>14</v>
      </c>
      <c r="F1235" t="s">
        <v>49</v>
      </c>
      <c r="H1235">
        <v>1019221</v>
      </c>
      <c r="I1235" t="s">
        <v>17</v>
      </c>
      <c r="K1235" t="s">
        <v>3522</v>
      </c>
      <c r="L1235">
        <v>132</v>
      </c>
      <c r="M1235" t="s">
        <v>3523</v>
      </c>
    </row>
    <row r="1236" spans="1:13">
      <c r="A1236" t="s">
        <v>13</v>
      </c>
      <c r="B1236">
        <v>1303829</v>
      </c>
      <c r="C1236">
        <v>1304926</v>
      </c>
      <c r="E1236" t="s">
        <v>14</v>
      </c>
      <c r="F1236" t="s">
        <v>3524</v>
      </c>
      <c r="G1236" t="s">
        <v>3525</v>
      </c>
      <c r="H1236">
        <v>1019222</v>
      </c>
      <c r="I1236" t="s">
        <v>17</v>
      </c>
      <c r="K1236" t="s">
        <v>3526</v>
      </c>
      <c r="L1236">
        <v>365</v>
      </c>
      <c r="M1236" t="s">
        <v>3527</v>
      </c>
    </row>
    <row r="1237" spans="1:13">
      <c r="A1237" t="s">
        <v>13</v>
      </c>
      <c r="B1237">
        <v>1304932</v>
      </c>
      <c r="C1237">
        <v>1305924</v>
      </c>
      <c r="E1237" t="s">
        <v>14</v>
      </c>
      <c r="F1237" t="s">
        <v>49</v>
      </c>
      <c r="H1237">
        <v>1019223</v>
      </c>
      <c r="I1237" t="s">
        <v>17</v>
      </c>
      <c r="K1237" t="s">
        <v>3528</v>
      </c>
      <c r="L1237">
        <v>330</v>
      </c>
      <c r="M1237" t="s">
        <v>3529</v>
      </c>
    </row>
    <row r="1238" spans="1:13">
      <c r="A1238" t="s">
        <v>13</v>
      </c>
      <c r="B1238">
        <v>1305921</v>
      </c>
      <c r="C1238">
        <v>1307384</v>
      </c>
      <c r="E1238" t="s">
        <v>38</v>
      </c>
      <c r="F1238" t="s">
        <v>3247</v>
      </c>
      <c r="H1238">
        <v>1019224</v>
      </c>
      <c r="I1238" t="s">
        <v>17</v>
      </c>
      <c r="K1238" t="s">
        <v>3530</v>
      </c>
      <c r="L1238">
        <v>487</v>
      </c>
      <c r="M1238" t="s">
        <v>3531</v>
      </c>
    </row>
    <row r="1239" spans="1:13">
      <c r="A1239" t="s">
        <v>13</v>
      </c>
      <c r="B1239">
        <v>1307459</v>
      </c>
      <c r="C1239">
        <v>1308172</v>
      </c>
      <c r="E1239" t="s">
        <v>38</v>
      </c>
      <c r="F1239" t="s">
        <v>2114</v>
      </c>
      <c r="H1239">
        <v>1019225</v>
      </c>
      <c r="I1239" t="s">
        <v>17</v>
      </c>
      <c r="K1239" t="s">
        <v>3532</v>
      </c>
      <c r="L1239">
        <v>237</v>
      </c>
      <c r="M1239" t="s">
        <v>3533</v>
      </c>
    </row>
    <row r="1240" spans="1:13">
      <c r="A1240" t="s">
        <v>13</v>
      </c>
      <c r="B1240">
        <v>1308330</v>
      </c>
      <c r="C1240">
        <v>1310372</v>
      </c>
      <c r="E1240" t="s">
        <v>14</v>
      </c>
      <c r="F1240" t="s">
        <v>3534</v>
      </c>
      <c r="G1240" t="s">
        <v>3535</v>
      </c>
      <c r="H1240">
        <v>1019226</v>
      </c>
      <c r="I1240" t="s">
        <v>17</v>
      </c>
      <c r="K1240" t="s">
        <v>3536</v>
      </c>
      <c r="L1240">
        <v>680</v>
      </c>
      <c r="M1240" t="s">
        <v>3537</v>
      </c>
    </row>
    <row r="1241" spans="1:13">
      <c r="A1241" t="s">
        <v>13</v>
      </c>
      <c r="B1241">
        <v>1310432</v>
      </c>
      <c r="C1241">
        <v>1311097</v>
      </c>
      <c r="E1241" t="s">
        <v>38</v>
      </c>
      <c r="F1241" t="s">
        <v>49</v>
      </c>
      <c r="H1241">
        <v>1019227</v>
      </c>
      <c r="I1241" t="s">
        <v>17</v>
      </c>
      <c r="K1241" t="s">
        <v>3538</v>
      </c>
      <c r="L1241">
        <v>221</v>
      </c>
      <c r="M1241" t="s">
        <v>3539</v>
      </c>
    </row>
    <row r="1242" spans="1:13">
      <c r="A1242" t="s">
        <v>13</v>
      </c>
      <c r="B1242">
        <v>1311320</v>
      </c>
      <c r="C1242">
        <v>1311619</v>
      </c>
      <c r="E1242" t="s">
        <v>14</v>
      </c>
      <c r="F1242" t="s">
        <v>3540</v>
      </c>
      <c r="G1242" t="s">
        <v>3541</v>
      </c>
      <c r="H1242">
        <v>1019228</v>
      </c>
      <c r="I1242" t="s">
        <v>17</v>
      </c>
      <c r="K1242" t="s">
        <v>3542</v>
      </c>
      <c r="L1242">
        <v>99</v>
      </c>
      <c r="M1242" t="s">
        <v>3543</v>
      </c>
    </row>
    <row r="1243" spans="1:13">
      <c r="A1243" t="s">
        <v>13</v>
      </c>
      <c r="B1243">
        <v>1311625</v>
      </c>
      <c r="C1243">
        <v>1313118</v>
      </c>
      <c r="E1243" t="s">
        <v>14</v>
      </c>
      <c r="F1243" t="s">
        <v>3544</v>
      </c>
      <c r="G1243" t="s">
        <v>3545</v>
      </c>
      <c r="H1243">
        <v>1019229</v>
      </c>
      <c r="I1243" t="s">
        <v>17</v>
      </c>
      <c r="K1243" t="s">
        <v>3546</v>
      </c>
      <c r="L1243">
        <v>497</v>
      </c>
      <c r="M1243" t="s">
        <v>3547</v>
      </c>
    </row>
    <row r="1244" spans="1:13">
      <c r="A1244" t="s">
        <v>13</v>
      </c>
      <c r="B1244">
        <v>1313270</v>
      </c>
      <c r="C1244">
        <v>1314121</v>
      </c>
      <c r="E1244" t="s">
        <v>14</v>
      </c>
      <c r="F1244" t="s">
        <v>150</v>
      </c>
      <c r="H1244">
        <v>1019230</v>
      </c>
      <c r="I1244" t="s">
        <v>17</v>
      </c>
      <c r="K1244" t="s">
        <v>3548</v>
      </c>
      <c r="L1244">
        <v>283</v>
      </c>
      <c r="M1244" t="s">
        <v>3549</v>
      </c>
    </row>
    <row r="1245" spans="1:13">
      <c r="A1245" t="s">
        <v>13</v>
      </c>
      <c r="B1245">
        <v>1314467</v>
      </c>
      <c r="C1245">
        <v>1314787</v>
      </c>
      <c r="E1245" t="s">
        <v>38</v>
      </c>
      <c r="F1245" t="s">
        <v>49</v>
      </c>
      <c r="H1245">
        <v>1019231</v>
      </c>
      <c r="I1245" t="s">
        <v>17</v>
      </c>
      <c r="K1245" t="s">
        <v>3550</v>
      </c>
      <c r="L1245">
        <v>106</v>
      </c>
      <c r="M1245" t="s">
        <v>3551</v>
      </c>
    </row>
    <row r="1246" spans="1:13">
      <c r="A1246" t="s">
        <v>13</v>
      </c>
      <c r="B1246">
        <v>1315055</v>
      </c>
      <c r="C1246">
        <v>1316086</v>
      </c>
      <c r="E1246" t="s">
        <v>14</v>
      </c>
      <c r="F1246" t="s">
        <v>3552</v>
      </c>
      <c r="H1246">
        <v>1019232</v>
      </c>
      <c r="I1246" t="s">
        <v>17</v>
      </c>
      <c r="K1246" t="s">
        <v>3553</v>
      </c>
      <c r="L1246">
        <v>343</v>
      </c>
      <c r="M1246" t="s">
        <v>3554</v>
      </c>
    </row>
    <row r="1247" spans="1:13">
      <c r="A1247" t="s">
        <v>13</v>
      </c>
      <c r="B1247">
        <v>1316338</v>
      </c>
      <c r="C1247">
        <v>1317447</v>
      </c>
      <c r="E1247" t="s">
        <v>14</v>
      </c>
      <c r="F1247" t="s">
        <v>532</v>
      </c>
      <c r="H1247">
        <v>1019233</v>
      </c>
      <c r="I1247" t="s">
        <v>17</v>
      </c>
      <c r="K1247" t="s">
        <v>3555</v>
      </c>
      <c r="L1247">
        <v>369</v>
      </c>
      <c r="M1247" t="s">
        <v>3556</v>
      </c>
    </row>
    <row r="1248" spans="1:13">
      <c r="A1248" t="s">
        <v>13</v>
      </c>
      <c r="B1248">
        <v>1317434</v>
      </c>
      <c r="C1248">
        <v>1319008</v>
      </c>
      <c r="E1248" t="s">
        <v>14</v>
      </c>
      <c r="F1248" t="s">
        <v>3557</v>
      </c>
      <c r="H1248">
        <v>1019234</v>
      </c>
      <c r="I1248" t="s">
        <v>17</v>
      </c>
      <c r="K1248" t="s">
        <v>3558</v>
      </c>
      <c r="L1248">
        <v>524</v>
      </c>
      <c r="M1248" t="s">
        <v>3559</v>
      </c>
    </row>
    <row r="1249" spans="1:13">
      <c r="A1249" t="s">
        <v>13</v>
      </c>
      <c r="B1249">
        <v>1319065</v>
      </c>
      <c r="C1249">
        <v>1319979</v>
      </c>
      <c r="E1249" t="s">
        <v>14</v>
      </c>
      <c r="F1249" t="s">
        <v>124</v>
      </c>
      <c r="H1249">
        <v>1019235</v>
      </c>
      <c r="I1249" t="s">
        <v>17</v>
      </c>
      <c r="K1249" t="s">
        <v>3560</v>
      </c>
      <c r="L1249">
        <v>304</v>
      </c>
      <c r="M1249" t="s">
        <v>3561</v>
      </c>
    </row>
    <row r="1250" spans="1:13">
      <c r="A1250" t="s">
        <v>13</v>
      </c>
      <c r="B1250">
        <v>1320001</v>
      </c>
      <c r="C1250">
        <v>1320945</v>
      </c>
      <c r="E1250" t="s">
        <v>14</v>
      </c>
      <c r="F1250" t="s">
        <v>3562</v>
      </c>
      <c r="H1250">
        <v>1019236</v>
      </c>
      <c r="I1250" t="s">
        <v>17</v>
      </c>
      <c r="K1250" t="s">
        <v>3563</v>
      </c>
      <c r="L1250">
        <v>314</v>
      </c>
      <c r="M1250" t="s">
        <v>3564</v>
      </c>
    </row>
    <row r="1251" spans="1:13">
      <c r="A1251" t="s">
        <v>13</v>
      </c>
      <c r="B1251">
        <v>1320952</v>
      </c>
      <c r="C1251">
        <v>1321323</v>
      </c>
      <c r="E1251" t="s">
        <v>14</v>
      </c>
      <c r="F1251" t="s">
        <v>3565</v>
      </c>
      <c r="G1251" t="s">
        <v>3566</v>
      </c>
      <c r="H1251">
        <v>1019237</v>
      </c>
      <c r="I1251" t="s">
        <v>17</v>
      </c>
      <c r="K1251" t="s">
        <v>3567</v>
      </c>
      <c r="L1251">
        <v>123</v>
      </c>
      <c r="M1251" t="s">
        <v>3568</v>
      </c>
    </row>
    <row r="1252" spans="1:13">
      <c r="A1252" t="s">
        <v>13</v>
      </c>
      <c r="B1252">
        <v>1321476</v>
      </c>
      <c r="C1252">
        <v>1322114</v>
      </c>
      <c r="E1252" t="s">
        <v>14</v>
      </c>
      <c r="F1252" t="s">
        <v>549</v>
      </c>
      <c r="H1252">
        <v>1019238</v>
      </c>
      <c r="I1252" t="s">
        <v>17</v>
      </c>
      <c r="K1252" t="s">
        <v>3569</v>
      </c>
      <c r="L1252">
        <v>212</v>
      </c>
      <c r="M1252" t="s">
        <v>3570</v>
      </c>
    </row>
    <row r="1253" spans="1:13">
      <c r="A1253" t="s">
        <v>13</v>
      </c>
      <c r="B1253">
        <v>1322393</v>
      </c>
      <c r="C1253">
        <v>1323409</v>
      </c>
      <c r="E1253" t="s">
        <v>14</v>
      </c>
      <c r="F1253" t="s">
        <v>1885</v>
      </c>
      <c r="H1253">
        <v>1019239</v>
      </c>
      <c r="I1253" t="s">
        <v>17</v>
      </c>
      <c r="K1253" t="s">
        <v>3571</v>
      </c>
      <c r="L1253">
        <v>338</v>
      </c>
      <c r="M1253" t="s">
        <v>3572</v>
      </c>
    </row>
    <row r="1254" spans="1:13">
      <c r="A1254" t="s">
        <v>13</v>
      </c>
      <c r="B1254">
        <v>1323533</v>
      </c>
      <c r="C1254">
        <v>1324540</v>
      </c>
      <c r="E1254" t="s">
        <v>14</v>
      </c>
      <c r="F1254" t="s">
        <v>3573</v>
      </c>
      <c r="H1254">
        <v>1019240</v>
      </c>
      <c r="I1254" t="s">
        <v>17</v>
      </c>
      <c r="K1254" t="s">
        <v>3574</v>
      </c>
      <c r="L1254">
        <v>335</v>
      </c>
      <c r="M1254" t="s">
        <v>3575</v>
      </c>
    </row>
    <row r="1255" spans="1:13">
      <c r="A1255" t="s">
        <v>13</v>
      </c>
      <c r="B1255">
        <v>1324754</v>
      </c>
      <c r="C1255">
        <v>1326259</v>
      </c>
      <c r="E1255" t="s">
        <v>14</v>
      </c>
      <c r="F1255" t="s">
        <v>3576</v>
      </c>
      <c r="G1255" t="s">
        <v>3577</v>
      </c>
      <c r="H1255">
        <v>1019241</v>
      </c>
      <c r="I1255" t="s">
        <v>17</v>
      </c>
      <c r="K1255" t="s">
        <v>3578</v>
      </c>
      <c r="L1255">
        <v>501</v>
      </c>
      <c r="M1255" t="s">
        <v>3579</v>
      </c>
    </row>
    <row r="1256" spans="1:13">
      <c r="A1256" t="s">
        <v>13</v>
      </c>
      <c r="B1256">
        <v>1326474</v>
      </c>
      <c r="C1256">
        <v>1327052</v>
      </c>
      <c r="E1256" t="s">
        <v>14</v>
      </c>
      <c r="F1256" t="s">
        <v>3580</v>
      </c>
      <c r="H1256">
        <v>1019242</v>
      </c>
      <c r="I1256" t="s">
        <v>17</v>
      </c>
      <c r="K1256" t="s">
        <v>3581</v>
      </c>
      <c r="L1256">
        <v>192</v>
      </c>
      <c r="M1256" t="s">
        <v>3582</v>
      </c>
    </row>
    <row r="1257" spans="1:13">
      <c r="A1257" t="s">
        <v>13</v>
      </c>
      <c r="B1257">
        <v>1327161</v>
      </c>
      <c r="C1257">
        <v>1328246</v>
      </c>
      <c r="E1257" t="s">
        <v>14</v>
      </c>
      <c r="F1257" t="s">
        <v>3583</v>
      </c>
      <c r="G1257" t="s">
        <v>3584</v>
      </c>
      <c r="H1257">
        <v>1019243</v>
      </c>
      <c r="I1257" t="s">
        <v>17</v>
      </c>
      <c r="K1257" t="s">
        <v>3585</v>
      </c>
      <c r="L1257">
        <v>361</v>
      </c>
      <c r="M1257" t="s">
        <v>3586</v>
      </c>
    </row>
    <row r="1258" spans="1:13">
      <c r="A1258" t="s">
        <v>13</v>
      </c>
      <c r="B1258">
        <v>1328243</v>
      </c>
      <c r="C1258">
        <v>1328953</v>
      </c>
      <c r="E1258" t="s">
        <v>38</v>
      </c>
      <c r="F1258" t="s">
        <v>3587</v>
      </c>
      <c r="G1258" t="s">
        <v>3588</v>
      </c>
      <c r="H1258">
        <v>1019244</v>
      </c>
      <c r="I1258" t="s">
        <v>17</v>
      </c>
      <c r="K1258" t="s">
        <v>3589</v>
      </c>
      <c r="L1258">
        <v>236</v>
      </c>
      <c r="M1258" t="s">
        <v>3590</v>
      </c>
    </row>
    <row r="1259" spans="1:13">
      <c r="A1259" t="s">
        <v>13</v>
      </c>
      <c r="B1259">
        <v>1329015</v>
      </c>
      <c r="C1259">
        <v>1329887</v>
      </c>
      <c r="E1259" t="s">
        <v>14</v>
      </c>
      <c r="F1259" t="s">
        <v>3591</v>
      </c>
      <c r="H1259">
        <v>1019245</v>
      </c>
      <c r="I1259" t="s">
        <v>17</v>
      </c>
      <c r="K1259" t="s">
        <v>3592</v>
      </c>
      <c r="L1259">
        <v>290</v>
      </c>
      <c r="M1259" t="s">
        <v>3593</v>
      </c>
    </row>
    <row r="1260" spans="1:13">
      <c r="A1260" t="s">
        <v>13</v>
      </c>
      <c r="B1260">
        <v>1329888</v>
      </c>
      <c r="C1260">
        <v>1330967</v>
      </c>
      <c r="E1260" t="s">
        <v>38</v>
      </c>
      <c r="F1260" t="s">
        <v>3594</v>
      </c>
      <c r="H1260">
        <v>1019246</v>
      </c>
      <c r="I1260" t="s">
        <v>17</v>
      </c>
      <c r="K1260" t="s">
        <v>3595</v>
      </c>
      <c r="L1260">
        <v>359</v>
      </c>
      <c r="M1260" t="s">
        <v>3596</v>
      </c>
    </row>
    <row r="1261" spans="1:13">
      <c r="A1261" t="s">
        <v>13</v>
      </c>
      <c r="B1261">
        <v>1331102</v>
      </c>
      <c r="C1261">
        <v>1331878</v>
      </c>
      <c r="E1261" t="s">
        <v>14</v>
      </c>
      <c r="F1261" t="s">
        <v>3308</v>
      </c>
      <c r="H1261">
        <v>1019247</v>
      </c>
      <c r="I1261" t="s">
        <v>17</v>
      </c>
      <c r="K1261" t="s">
        <v>3597</v>
      </c>
      <c r="L1261">
        <v>258</v>
      </c>
      <c r="M1261" t="s">
        <v>3598</v>
      </c>
    </row>
    <row r="1262" spans="1:13">
      <c r="A1262" t="s">
        <v>13</v>
      </c>
      <c r="B1262">
        <v>1331953</v>
      </c>
      <c r="C1262">
        <v>1333011</v>
      </c>
      <c r="E1262" t="s">
        <v>14</v>
      </c>
      <c r="F1262" t="s">
        <v>1315</v>
      </c>
      <c r="H1262">
        <v>1019248</v>
      </c>
      <c r="I1262" t="s">
        <v>17</v>
      </c>
      <c r="K1262" t="s">
        <v>3599</v>
      </c>
      <c r="L1262">
        <v>352</v>
      </c>
      <c r="M1262" t="s">
        <v>3600</v>
      </c>
    </row>
    <row r="1263" spans="1:13">
      <c r="A1263" t="s">
        <v>13</v>
      </c>
      <c r="B1263">
        <v>1333439</v>
      </c>
      <c r="C1263">
        <v>1335280</v>
      </c>
      <c r="E1263" t="s">
        <v>38</v>
      </c>
      <c r="F1263" t="s">
        <v>3601</v>
      </c>
      <c r="G1263" t="s">
        <v>3602</v>
      </c>
      <c r="H1263">
        <v>1019249</v>
      </c>
      <c r="I1263" t="s">
        <v>17</v>
      </c>
      <c r="K1263" t="s">
        <v>3603</v>
      </c>
      <c r="L1263">
        <v>613</v>
      </c>
      <c r="M1263" t="s">
        <v>3604</v>
      </c>
    </row>
    <row r="1264" spans="1:13">
      <c r="A1264" t="s">
        <v>13</v>
      </c>
      <c r="B1264">
        <v>1335409</v>
      </c>
      <c r="C1264">
        <v>1336044</v>
      </c>
      <c r="E1264" t="s">
        <v>38</v>
      </c>
      <c r="F1264" t="s">
        <v>1868</v>
      </c>
      <c r="H1264">
        <v>1019250</v>
      </c>
      <c r="I1264" t="s">
        <v>17</v>
      </c>
      <c r="K1264" t="s">
        <v>3605</v>
      </c>
      <c r="L1264">
        <v>211</v>
      </c>
      <c r="M1264" t="s">
        <v>3606</v>
      </c>
    </row>
    <row r="1265" spans="1:13">
      <c r="A1265" t="s">
        <v>13</v>
      </c>
      <c r="B1265">
        <v>1336092</v>
      </c>
      <c r="C1265">
        <v>1337693</v>
      </c>
      <c r="E1265" t="s">
        <v>38</v>
      </c>
      <c r="F1265" t="s">
        <v>3607</v>
      </c>
      <c r="H1265">
        <v>1019251</v>
      </c>
      <c r="I1265" t="s">
        <v>17</v>
      </c>
      <c r="K1265" t="s">
        <v>3608</v>
      </c>
      <c r="L1265">
        <v>533</v>
      </c>
      <c r="M1265" t="s">
        <v>3609</v>
      </c>
    </row>
    <row r="1266" spans="1:13">
      <c r="A1266" t="s">
        <v>13</v>
      </c>
      <c r="B1266">
        <v>1338131</v>
      </c>
      <c r="C1266">
        <v>1340011</v>
      </c>
      <c r="E1266" t="s">
        <v>14</v>
      </c>
      <c r="F1266" t="s">
        <v>3610</v>
      </c>
      <c r="H1266">
        <v>1019252</v>
      </c>
      <c r="I1266" t="s">
        <v>17</v>
      </c>
      <c r="K1266" t="s">
        <v>3611</v>
      </c>
      <c r="L1266">
        <v>626</v>
      </c>
      <c r="M1266" t="s">
        <v>3612</v>
      </c>
    </row>
    <row r="1267" spans="1:13">
      <c r="A1267" t="s">
        <v>13</v>
      </c>
      <c r="B1267">
        <v>1340025</v>
      </c>
      <c r="C1267">
        <v>1340543</v>
      </c>
      <c r="E1267" t="s">
        <v>14</v>
      </c>
      <c r="F1267" t="s">
        <v>3613</v>
      </c>
      <c r="G1267" t="s">
        <v>3614</v>
      </c>
      <c r="H1267">
        <v>1019253</v>
      </c>
      <c r="I1267" t="s">
        <v>17</v>
      </c>
      <c r="K1267" t="s">
        <v>3615</v>
      </c>
      <c r="L1267">
        <v>172</v>
      </c>
      <c r="M1267" t="s">
        <v>3616</v>
      </c>
    </row>
    <row r="1268" spans="1:13">
      <c r="A1268" t="s">
        <v>13</v>
      </c>
      <c r="B1268">
        <v>1340724</v>
      </c>
      <c r="C1268">
        <v>1341740</v>
      </c>
      <c r="E1268" t="s">
        <v>14</v>
      </c>
      <c r="F1268" t="s">
        <v>3617</v>
      </c>
      <c r="G1268" t="s">
        <v>3618</v>
      </c>
      <c r="H1268">
        <v>1019254</v>
      </c>
      <c r="I1268" t="s">
        <v>17</v>
      </c>
      <c r="K1268" t="s">
        <v>3619</v>
      </c>
      <c r="L1268">
        <v>338</v>
      </c>
      <c r="M1268" t="s">
        <v>3620</v>
      </c>
    </row>
    <row r="1269" spans="1:13">
      <c r="A1269" t="s">
        <v>13</v>
      </c>
      <c r="B1269">
        <v>1341957</v>
      </c>
      <c r="C1269">
        <v>1342727</v>
      </c>
      <c r="E1269" t="s">
        <v>38</v>
      </c>
      <c r="F1269" t="s">
        <v>141</v>
      </c>
      <c r="H1269">
        <v>44144953</v>
      </c>
      <c r="I1269" t="s">
        <v>142</v>
      </c>
      <c r="M1269" t="s">
        <v>3621</v>
      </c>
    </row>
    <row r="1270" spans="1:13">
      <c r="A1270" t="s">
        <v>13</v>
      </c>
      <c r="B1270">
        <v>1342797</v>
      </c>
      <c r="C1270">
        <v>1343675</v>
      </c>
      <c r="E1270" t="s">
        <v>38</v>
      </c>
      <c r="F1270" t="s">
        <v>141</v>
      </c>
      <c r="H1270">
        <v>1019258</v>
      </c>
      <c r="I1270" t="s">
        <v>142</v>
      </c>
      <c r="M1270" t="s">
        <v>3622</v>
      </c>
    </row>
    <row r="1271" spans="1:13">
      <c r="A1271" t="s">
        <v>13</v>
      </c>
      <c r="B1271">
        <v>1343773</v>
      </c>
      <c r="C1271">
        <v>1344036</v>
      </c>
      <c r="E1271" t="s">
        <v>14</v>
      </c>
      <c r="F1271" t="s">
        <v>49</v>
      </c>
      <c r="H1271">
        <v>44144954</v>
      </c>
      <c r="I1271" t="s">
        <v>17</v>
      </c>
      <c r="K1271" t="s">
        <v>3623</v>
      </c>
      <c r="L1271">
        <v>87</v>
      </c>
      <c r="M1271" t="s">
        <v>3624</v>
      </c>
    </row>
    <row r="1272" spans="1:13">
      <c r="A1272" t="s">
        <v>13</v>
      </c>
      <c r="B1272">
        <v>1344033</v>
      </c>
      <c r="C1272">
        <v>1344467</v>
      </c>
      <c r="E1272" t="s">
        <v>14</v>
      </c>
      <c r="F1272" t="s">
        <v>3625</v>
      </c>
      <c r="H1272">
        <v>1019259</v>
      </c>
      <c r="I1272" t="s">
        <v>17</v>
      </c>
      <c r="K1272" t="s">
        <v>3626</v>
      </c>
      <c r="L1272">
        <v>144</v>
      </c>
      <c r="M1272" t="s">
        <v>3627</v>
      </c>
    </row>
    <row r="1273" spans="1:13">
      <c r="A1273" t="s">
        <v>13</v>
      </c>
      <c r="B1273">
        <v>1344464</v>
      </c>
      <c r="C1273">
        <v>1344811</v>
      </c>
      <c r="E1273" t="s">
        <v>14</v>
      </c>
      <c r="F1273" t="s">
        <v>49</v>
      </c>
      <c r="H1273">
        <v>1019260</v>
      </c>
      <c r="I1273" t="s">
        <v>17</v>
      </c>
      <c r="K1273" t="s">
        <v>3628</v>
      </c>
      <c r="L1273">
        <v>115</v>
      </c>
      <c r="M1273" t="s">
        <v>3629</v>
      </c>
    </row>
    <row r="1274" spans="1:13">
      <c r="A1274" t="s">
        <v>13</v>
      </c>
      <c r="B1274">
        <v>1344935</v>
      </c>
      <c r="C1274">
        <v>1345423</v>
      </c>
      <c r="E1274" t="s">
        <v>14</v>
      </c>
      <c r="F1274" t="s">
        <v>2899</v>
      </c>
      <c r="H1274">
        <v>1019261</v>
      </c>
      <c r="I1274" t="s">
        <v>17</v>
      </c>
      <c r="K1274" t="s">
        <v>3630</v>
      </c>
      <c r="L1274">
        <v>162</v>
      </c>
      <c r="M1274" t="s">
        <v>3631</v>
      </c>
    </row>
    <row r="1275" spans="1:13">
      <c r="A1275" t="s">
        <v>13</v>
      </c>
      <c r="B1275">
        <v>1345486</v>
      </c>
      <c r="C1275">
        <v>1346442</v>
      </c>
      <c r="E1275" t="s">
        <v>14</v>
      </c>
      <c r="F1275" t="s">
        <v>3632</v>
      </c>
      <c r="H1275">
        <v>1019262</v>
      </c>
      <c r="I1275" t="s">
        <v>17</v>
      </c>
      <c r="K1275" t="s">
        <v>3633</v>
      </c>
      <c r="L1275">
        <v>318</v>
      </c>
      <c r="M1275" t="s">
        <v>3634</v>
      </c>
    </row>
    <row r="1276" spans="1:13">
      <c r="A1276" t="s">
        <v>13</v>
      </c>
      <c r="B1276">
        <v>1346458</v>
      </c>
      <c r="C1276">
        <v>1348275</v>
      </c>
      <c r="E1276" t="s">
        <v>14</v>
      </c>
      <c r="F1276" t="s">
        <v>3635</v>
      </c>
      <c r="H1276">
        <v>1019263</v>
      </c>
      <c r="I1276" t="s">
        <v>17</v>
      </c>
      <c r="K1276" t="s">
        <v>3636</v>
      </c>
      <c r="L1276">
        <v>605</v>
      </c>
      <c r="M1276" t="s">
        <v>3637</v>
      </c>
    </row>
    <row r="1277" spans="1:13">
      <c r="A1277" t="s">
        <v>13</v>
      </c>
      <c r="B1277">
        <v>1348334</v>
      </c>
      <c r="C1277">
        <v>1350079</v>
      </c>
      <c r="E1277" t="s">
        <v>14</v>
      </c>
      <c r="F1277" t="s">
        <v>49</v>
      </c>
      <c r="H1277">
        <v>1019264</v>
      </c>
      <c r="I1277" t="s">
        <v>17</v>
      </c>
      <c r="K1277" t="s">
        <v>3638</v>
      </c>
      <c r="L1277">
        <v>581</v>
      </c>
      <c r="M1277" t="s">
        <v>3639</v>
      </c>
    </row>
    <row r="1278" spans="1:13">
      <c r="A1278" t="s">
        <v>13</v>
      </c>
      <c r="B1278">
        <v>1350855</v>
      </c>
      <c r="C1278">
        <v>1352447</v>
      </c>
      <c r="E1278" t="s">
        <v>14</v>
      </c>
      <c r="F1278" t="s">
        <v>3640</v>
      </c>
      <c r="G1278" t="s">
        <v>3641</v>
      </c>
      <c r="H1278">
        <v>1019265</v>
      </c>
      <c r="I1278" t="s">
        <v>17</v>
      </c>
      <c r="K1278" t="s">
        <v>3642</v>
      </c>
      <c r="L1278">
        <v>530</v>
      </c>
      <c r="M1278" t="s">
        <v>3643</v>
      </c>
    </row>
    <row r="1279" spans="1:13">
      <c r="A1279" t="s">
        <v>13</v>
      </c>
      <c r="B1279">
        <v>1352585</v>
      </c>
      <c r="C1279">
        <v>1353454</v>
      </c>
      <c r="E1279" t="s">
        <v>14</v>
      </c>
      <c r="F1279" t="s">
        <v>3644</v>
      </c>
      <c r="H1279">
        <v>1019266</v>
      </c>
      <c r="I1279" t="s">
        <v>17</v>
      </c>
      <c r="K1279" t="s">
        <v>3645</v>
      </c>
      <c r="L1279">
        <v>289</v>
      </c>
      <c r="M1279" t="s">
        <v>3646</v>
      </c>
    </row>
    <row r="1280" spans="1:13">
      <c r="A1280" t="s">
        <v>13</v>
      </c>
      <c r="B1280">
        <v>1353489</v>
      </c>
      <c r="C1280">
        <v>1354511</v>
      </c>
      <c r="E1280" t="s">
        <v>14</v>
      </c>
      <c r="F1280" t="s">
        <v>3647</v>
      </c>
      <c r="H1280">
        <v>1019267</v>
      </c>
      <c r="I1280" t="s">
        <v>17</v>
      </c>
      <c r="K1280" t="s">
        <v>3648</v>
      </c>
      <c r="L1280">
        <v>340</v>
      </c>
      <c r="M1280" t="s">
        <v>3649</v>
      </c>
    </row>
    <row r="1281" spans="1:13">
      <c r="A1281" t="s">
        <v>13</v>
      </c>
      <c r="B1281">
        <v>1354537</v>
      </c>
      <c r="C1281">
        <v>1355553</v>
      </c>
      <c r="E1281" t="s">
        <v>38</v>
      </c>
      <c r="F1281" t="s">
        <v>1008</v>
      </c>
      <c r="H1281">
        <v>1019268</v>
      </c>
      <c r="I1281" t="s">
        <v>17</v>
      </c>
      <c r="K1281" t="s">
        <v>3650</v>
      </c>
      <c r="L1281">
        <v>338</v>
      </c>
      <c r="M1281" t="s">
        <v>3651</v>
      </c>
    </row>
    <row r="1282" spans="1:13">
      <c r="A1282" t="s">
        <v>13</v>
      </c>
      <c r="B1282">
        <v>1355689</v>
      </c>
      <c r="C1282">
        <v>1357557</v>
      </c>
      <c r="E1282" t="s">
        <v>14</v>
      </c>
      <c r="F1282" t="s">
        <v>3652</v>
      </c>
      <c r="H1282">
        <v>1019269</v>
      </c>
      <c r="I1282" t="s">
        <v>17</v>
      </c>
      <c r="K1282" t="s">
        <v>3653</v>
      </c>
      <c r="L1282">
        <v>622</v>
      </c>
      <c r="M1282" t="s">
        <v>3654</v>
      </c>
    </row>
    <row r="1283" spans="1:13">
      <c r="A1283" t="s">
        <v>13</v>
      </c>
      <c r="B1283">
        <v>1357557</v>
      </c>
      <c r="C1283">
        <v>1358213</v>
      </c>
      <c r="E1283" t="s">
        <v>14</v>
      </c>
      <c r="F1283" t="s">
        <v>3655</v>
      </c>
      <c r="H1283">
        <v>1019270</v>
      </c>
      <c r="I1283" t="s">
        <v>17</v>
      </c>
      <c r="K1283" t="s">
        <v>3656</v>
      </c>
      <c r="L1283">
        <v>218</v>
      </c>
      <c r="M1283" t="s">
        <v>3657</v>
      </c>
    </row>
    <row r="1284" spans="1:13">
      <c r="A1284" t="s">
        <v>13</v>
      </c>
      <c r="B1284">
        <v>1358259</v>
      </c>
      <c r="C1284">
        <v>1359065</v>
      </c>
      <c r="E1284" t="s">
        <v>14</v>
      </c>
      <c r="F1284" t="s">
        <v>3658</v>
      </c>
      <c r="H1284">
        <v>1019271</v>
      </c>
      <c r="I1284" t="s">
        <v>17</v>
      </c>
      <c r="K1284" t="s">
        <v>3659</v>
      </c>
      <c r="L1284">
        <v>268</v>
      </c>
      <c r="M1284" t="s">
        <v>3660</v>
      </c>
    </row>
    <row r="1285" spans="1:13">
      <c r="A1285" t="s">
        <v>13</v>
      </c>
      <c r="B1285">
        <v>1359067</v>
      </c>
      <c r="C1285">
        <v>1359672</v>
      </c>
      <c r="E1285" t="s">
        <v>14</v>
      </c>
      <c r="F1285" t="s">
        <v>1169</v>
      </c>
      <c r="H1285">
        <v>1019272</v>
      </c>
      <c r="I1285" t="s">
        <v>17</v>
      </c>
      <c r="K1285" t="s">
        <v>3661</v>
      </c>
      <c r="L1285">
        <v>201</v>
      </c>
      <c r="M1285" t="s">
        <v>3662</v>
      </c>
    </row>
    <row r="1286" spans="1:13">
      <c r="A1286" t="s">
        <v>13</v>
      </c>
      <c r="B1286">
        <v>1360165</v>
      </c>
      <c r="C1286">
        <v>1361295</v>
      </c>
      <c r="E1286" t="s">
        <v>38</v>
      </c>
      <c r="F1286" t="s">
        <v>3663</v>
      </c>
      <c r="H1286">
        <v>1019273</v>
      </c>
      <c r="I1286" t="s">
        <v>17</v>
      </c>
      <c r="K1286" t="s">
        <v>3664</v>
      </c>
      <c r="L1286">
        <v>376</v>
      </c>
      <c r="M1286" t="s">
        <v>3665</v>
      </c>
    </row>
    <row r="1287" spans="1:13">
      <c r="A1287" t="s">
        <v>13</v>
      </c>
      <c r="B1287">
        <v>1361361</v>
      </c>
      <c r="C1287">
        <v>1362851</v>
      </c>
      <c r="E1287" t="s">
        <v>14</v>
      </c>
      <c r="F1287" t="s">
        <v>3666</v>
      </c>
      <c r="G1287" t="s">
        <v>3667</v>
      </c>
      <c r="H1287">
        <v>1019274</v>
      </c>
      <c r="I1287" t="s">
        <v>17</v>
      </c>
      <c r="K1287" t="s">
        <v>3668</v>
      </c>
      <c r="L1287">
        <v>496</v>
      </c>
      <c r="M1287" t="s">
        <v>3669</v>
      </c>
    </row>
    <row r="1288" spans="1:13">
      <c r="A1288" t="s">
        <v>13</v>
      </c>
      <c r="B1288">
        <v>1362923</v>
      </c>
      <c r="C1288">
        <v>1363138</v>
      </c>
      <c r="E1288" t="s">
        <v>38</v>
      </c>
      <c r="F1288" t="s">
        <v>138</v>
      </c>
      <c r="H1288">
        <v>1019275</v>
      </c>
      <c r="I1288" t="s">
        <v>17</v>
      </c>
      <c r="K1288" t="s">
        <v>3670</v>
      </c>
      <c r="L1288">
        <v>71</v>
      </c>
      <c r="M1288" t="s">
        <v>3671</v>
      </c>
    </row>
    <row r="1289" spans="1:13">
      <c r="A1289" t="s">
        <v>13</v>
      </c>
      <c r="B1289">
        <v>1363139</v>
      </c>
      <c r="C1289">
        <v>1363612</v>
      </c>
      <c r="E1289" t="s">
        <v>38</v>
      </c>
      <c r="F1289" t="s">
        <v>3672</v>
      </c>
      <c r="H1289">
        <v>1019276</v>
      </c>
      <c r="I1289" t="s">
        <v>17</v>
      </c>
      <c r="K1289" t="s">
        <v>3673</v>
      </c>
      <c r="L1289">
        <v>157</v>
      </c>
      <c r="M1289" t="s">
        <v>3674</v>
      </c>
    </row>
    <row r="1290" spans="1:13">
      <c r="A1290" t="s">
        <v>13</v>
      </c>
      <c r="B1290">
        <v>1363729</v>
      </c>
      <c r="C1290">
        <v>1364253</v>
      </c>
      <c r="E1290" t="s">
        <v>38</v>
      </c>
      <c r="F1290" t="s">
        <v>2094</v>
      </c>
      <c r="H1290">
        <v>1019277</v>
      </c>
      <c r="I1290" t="s">
        <v>17</v>
      </c>
      <c r="K1290" t="s">
        <v>3675</v>
      </c>
      <c r="L1290">
        <v>174</v>
      </c>
      <c r="M1290" t="s">
        <v>3676</v>
      </c>
    </row>
    <row r="1291" spans="1:13">
      <c r="A1291" t="s">
        <v>13</v>
      </c>
      <c r="B1291">
        <v>1364337</v>
      </c>
      <c r="C1291">
        <v>1364786</v>
      </c>
      <c r="E1291" t="s">
        <v>38</v>
      </c>
      <c r="F1291" t="s">
        <v>1126</v>
      </c>
      <c r="H1291">
        <v>1019278</v>
      </c>
      <c r="I1291" t="s">
        <v>17</v>
      </c>
      <c r="K1291" t="s">
        <v>3677</v>
      </c>
      <c r="L1291">
        <v>149</v>
      </c>
      <c r="M1291" t="s">
        <v>3678</v>
      </c>
    </row>
    <row r="1292" spans="1:13">
      <c r="A1292" t="s">
        <v>13</v>
      </c>
      <c r="B1292">
        <v>1364875</v>
      </c>
      <c r="C1292">
        <v>1365165</v>
      </c>
      <c r="E1292" t="s">
        <v>38</v>
      </c>
      <c r="F1292" t="s">
        <v>49</v>
      </c>
      <c r="H1292">
        <v>1019279</v>
      </c>
      <c r="I1292" t="s">
        <v>17</v>
      </c>
      <c r="K1292" t="s">
        <v>3679</v>
      </c>
      <c r="L1292">
        <v>96</v>
      </c>
      <c r="M1292" t="s">
        <v>3680</v>
      </c>
    </row>
    <row r="1293" spans="1:13">
      <c r="A1293" t="s">
        <v>13</v>
      </c>
      <c r="B1293">
        <v>1365214</v>
      </c>
      <c r="C1293">
        <v>1365396</v>
      </c>
      <c r="E1293" t="s">
        <v>38</v>
      </c>
      <c r="F1293" t="s">
        <v>2094</v>
      </c>
      <c r="H1293">
        <v>1019280</v>
      </c>
      <c r="I1293" t="s">
        <v>17</v>
      </c>
      <c r="K1293" t="s">
        <v>3681</v>
      </c>
      <c r="L1293">
        <v>60</v>
      </c>
      <c r="M1293" t="s">
        <v>3682</v>
      </c>
    </row>
    <row r="1294" spans="1:13">
      <c r="A1294" t="s">
        <v>13</v>
      </c>
      <c r="B1294">
        <v>1365593</v>
      </c>
      <c r="C1294">
        <v>1365664</v>
      </c>
      <c r="E1294" t="s">
        <v>14</v>
      </c>
      <c r="F1294" t="s">
        <v>3683</v>
      </c>
      <c r="H1294">
        <v>2745310</v>
      </c>
      <c r="I1294" t="s">
        <v>62</v>
      </c>
      <c r="M1294" t="s">
        <v>3684</v>
      </c>
    </row>
    <row r="1295" spans="1:13">
      <c r="A1295" t="s">
        <v>13</v>
      </c>
      <c r="B1295">
        <v>1365703</v>
      </c>
      <c r="C1295">
        <v>1365775</v>
      </c>
      <c r="E1295" t="s">
        <v>14</v>
      </c>
      <c r="F1295" t="s">
        <v>3685</v>
      </c>
      <c r="H1295">
        <v>2745308</v>
      </c>
      <c r="I1295" t="s">
        <v>62</v>
      </c>
      <c r="M1295" t="s">
        <v>3686</v>
      </c>
    </row>
    <row r="1296" spans="1:13">
      <c r="A1296" t="s">
        <v>13</v>
      </c>
      <c r="B1296">
        <v>1365842</v>
      </c>
      <c r="C1296">
        <v>1365913</v>
      </c>
      <c r="E1296" t="s">
        <v>14</v>
      </c>
      <c r="F1296" t="s">
        <v>3683</v>
      </c>
      <c r="H1296">
        <v>2745376</v>
      </c>
      <c r="I1296" t="s">
        <v>62</v>
      </c>
      <c r="M1296" t="s">
        <v>3687</v>
      </c>
    </row>
    <row r="1297" spans="1:13">
      <c r="A1297" t="s">
        <v>13</v>
      </c>
      <c r="B1297">
        <v>1365951</v>
      </c>
      <c r="C1297">
        <v>1366023</v>
      </c>
      <c r="E1297" t="s">
        <v>14</v>
      </c>
      <c r="F1297" t="s">
        <v>3685</v>
      </c>
      <c r="H1297">
        <v>2745307</v>
      </c>
      <c r="I1297" t="s">
        <v>62</v>
      </c>
      <c r="M1297" t="s">
        <v>3688</v>
      </c>
    </row>
    <row r="1298" spans="1:13">
      <c r="A1298" t="s">
        <v>13</v>
      </c>
      <c r="B1298">
        <v>1367167</v>
      </c>
      <c r="C1298">
        <v>1367289</v>
      </c>
      <c r="E1298" t="s">
        <v>14</v>
      </c>
      <c r="F1298" t="s">
        <v>49</v>
      </c>
      <c r="H1298">
        <v>92792324</v>
      </c>
      <c r="I1298" t="s">
        <v>17</v>
      </c>
      <c r="K1298" t="s">
        <v>3689</v>
      </c>
      <c r="L1298">
        <v>40</v>
      </c>
      <c r="M1298" t="s">
        <v>3690</v>
      </c>
    </row>
    <row r="1299" spans="1:13">
      <c r="A1299" t="s">
        <v>13</v>
      </c>
      <c r="B1299">
        <v>1367573</v>
      </c>
      <c r="C1299">
        <v>1367645</v>
      </c>
      <c r="E1299" t="s">
        <v>14</v>
      </c>
      <c r="F1299" t="s">
        <v>3685</v>
      </c>
      <c r="H1299">
        <v>2745306</v>
      </c>
      <c r="I1299" t="s">
        <v>62</v>
      </c>
      <c r="M1299" t="s">
        <v>3691</v>
      </c>
    </row>
    <row r="1300" spans="1:13">
      <c r="A1300" t="s">
        <v>13</v>
      </c>
      <c r="B1300">
        <v>1367885</v>
      </c>
      <c r="C1300">
        <v>1368070</v>
      </c>
      <c r="E1300" t="s">
        <v>38</v>
      </c>
      <c r="F1300" t="s">
        <v>1315</v>
      </c>
      <c r="H1300">
        <v>92792330</v>
      </c>
      <c r="I1300" t="s">
        <v>17</v>
      </c>
      <c r="K1300" t="s">
        <v>3692</v>
      </c>
      <c r="L1300">
        <v>61</v>
      </c>
      <c r="M1300" t="s">
        <v>3693</v>
      </c>
    </row>
    <row r="1301" spans="1:13">
      <c r="A1301" t="s">
        <v>13</v>
      </c>
      <c r="B1301">
        <v>1368400</v>
      </c>
      <c r="C1301">
        <v>1369554</v>
      </c>
      <c r="E1301" t="s">
        <v>14</v>
      </c>
      <c r="F1301" t="s">
        <v>3694</v>
      </c>
      <c r="H1301">
        <v>1019281</v>
      </c>
      <c r="I1301" t="s">
        <v>17</v>
      </c>
      <c r="K1301" t="s">
        <v>3695</v>
      </c>
      <c r="L1301">
        <v>384</v>
      </c>
      <c r="M1301" t="s">
        <v>3696</v>
      </c>
    </row>
    <row r="1302" spans="1:13">
      <c r="A1302" t="s">
        <v>13</v>
      </c>
      <c r="B1302">
        <v>1369551</v>
      </c>
      <c r="C1302">
        <v>1369877</v>
      </c>
      <c r="E1302" t="s">
        <v>14</v>
      </c>
      <c r="F1302" t="s">
        <v>49</v>
      </c>
      <c r="H1302">
        <v>1019282</v>
      </c>
      <c r="I1302" t="s">
        <v>17</v>
      </c>
      <c r="K1302" t="s">
        <v>3697</v>
      </c>
      <c r="L1302">
        <v>108</v>
      </c>
      <c r="M1302" t="s">
        <v>3698</v>
      </c>
    </row>
    <row r="1303" spans="1:13">
      <c r="A1303" t="s">
        <v>13</v>
      </c>
      <c r="B1303">
        <v>1369874</v>
      </c>
      <c r="C1303">
        <v>1371637</v>
      </c>
      <c r="E1303" t="s">
        <v>38</v>
      </c>
      <c r="F1303" t="s">
        <v>3699</v>
      </c>
      <c r="G1303" t="s">
        <v>3700</v>
      </c>
      <c r="H1303">
        <v>1019283</v>
      </c>
      <c r="I1303" t="s">
        <v>17</v>
      </c>
      <c r="K1303" t="s">
        <v>3701</v>
      </c>
      <c r="L1303">
        <v>587</v>
      </c>
      <c r="M1303" t="s">
        <v>3702</v>
      </c>
    </row>
    <row r="1304" spans="1:13">
      <c r="A1304" t="s">
        <v>13</v>
      </c>
      <c r="B1304">
        <v>1371976</v>
      </c>
      <c r="C1304">
        <v>1372326</v>
      </c>
      <c r="E1304" t="s">
        <v>38</v>
      </c>
      <c r="F1304" t="s">
        <v>3703</v>
      </c>
      <c r="H1304">
        <v>44144956</v>
      </c>
      <c r="I1304" t="s">
        <v>17</v>
      </c>
      <c r="K1304" t="s">
        <v>3704</v>
      </c>
      <c r="L1304">
        <v>116</v>
      </c>
      <c r="M1304" t="s">
        <v>3705</v>
      </c>
    </row>
    <row r="1305" spans="1:13">
      <c r="A1305" t="s">
        <v>13</v>
      </c>
      <c r="B1305">
        <v>1372673</v>
      </c>
      <c r="C1305">
        <v>1373134</v>
      </c>
      <c r="E1305" t="s">
        <v>14</v>
      </c>
      <c r="F1305" t="s">
        <v>49</v>
      </c>
      <c r="H1305">
        <v>1019284</v>
      </c>
      <c r="I1305" t="s">
        <v>17</v>
      </c>
      <c r="K1305" t="s">
        <v>3706</v>
      </c>
      <c r="L1305">
        <v>153</v>
      </c>
      <c r="M1305" t="s">
        <v>3707</v>
      </c>
    </row>
    <row r="1306" spans="1:13">
      <c r="A1306" t="s">
        <v>13</v>
      </c>
      <c r="B1306">
        <v>1373347</v>
      </c>
      <c r="C1306">
        <v>1375734</v>
      </c>
      <c r="E1306" t="s">
        <v>38</v>
      </c>
      <c r="F1306" t="s">
        <v>3708</v>
      </c>
      <c r="G1306" t="s">
        <v>3709</v>
      </c>
      <c r="H1306">
        <v>1019285</v>
      </c>
      <c r="I1306" t="s">
        <v>17</v>
      </c>
      <c r="K1306" t="s">
        <v>3710</v>
      </c>
      <c r="L1306">
        <v>795</v>
      </c>
      <c r="M1306" t="s">
        <v>3711</v>
      </c>
    </row>
    <row r="1307" spans="1:13">
      <c r="A1307" t="s">
        <v>13</v>
      </c>
      <c r="B1307">
        <v>1376146</v>
      </c>
      <c r="C1307">
        <v>1377555</v>
      </c>
      <c r="E1307" t="s">
        <v>38</v>
      </c>
      <c r="F1307" t="s">
        <v>191</v>
      </c>
      <c r="H1307">
        <v>1019287</v>
      </c>
      <c r="I1307" t="s">
        <v>17</v>
      </c>
      <c r="K1307" t="s">
        <v>3712</v>
      </c>
      <c r="L1307">
        <v>469</v>
      </c>
      <c r="M1307" t="s">
        <v>3713</v>
      </c>
    </row>
    <row r="1308" spans="1:13">
      <c r="A1308" t="s">
        <v>13</v>
      </c>
      <c r="B1308">
        <v>1377663</v>
      </c>
      <c r="C1308">
        <v>1378367</v>
      </c>
      <c r="E1308" t="s">
        <v>38</v>
      </c>
      <c r="F1308" t="s">
        <v>194</v>
      </c>
      <c r="H1308">
        <v>1019288</v>
      </c>
      <c r="I1308" t="s">
        <v>17</v>
      </c>
      <c r="K1308" t="s">
        <v>3714</v>
      </c>
      <c r="L1308">
        <v>234</v>
      </c>
      <c r="M1308" t="s">
        <v>3715</v>
      </c>
    </row>
    <row r="1309" spans="1:13">
      <c r="A1309" t="s">
        <v>13</v>
      </c>
      <c r="B1309">
        <v>1378463</v>
      </c>
      <c r="C1309">
        <v>1378942</v>
      </c>
      <c r="E1309" t="s">
        <v>38</v>
      </c>
      <c r="F1309" t="s">
        <v>49</v>
      </c>
      <c r="H1309">
        <v>1019289</v>
      </c>
      <c r="I1309" t="s">
        <v>17</v>
      </c>
      <c r="K1309" t="s">
        <v>3716</v>
      </c>
      <c r="L1309">
        <v>159</v>
      </c>
      <c r="M1309" t="s">
        <v>3717</v>
      </c>
    </row>
    <row r="1310" spans="1:13">
      <c r="A1310" t="s">
        <v>13</v>
      </c>
      <c r="B1310">
        <v>1379003</v>
      </c>
      <c r="C1310">
        <v>1379569</v>
      </c>
      <c r="E1310" t="s">
        <v>14</v>
      </c>
      <c r="F1310" t="s">
        <v>1599</v>
      </c>
      <c r="H1310">
        <v>1019290</v>
      </c>
      <c r="I1310" t="s">
        <v>17</v>
      </c>
      <c r="K1310" t="s">
        <v>3718</v>
      </c>
      <c r="L1310">
        <v>188</v>
      </c>
      <c r="M1310" t="s">
        <v>3719</v>
      </c>
    </row>
    <row r="1311" spans="1:13">
      <c r="A1311" t="s">
        <v>13</v>
      </c>
      <c r="B1311">
        <v>1379552</v>
      </c>
      <c r="C1311">
        <v>1380259</v>
      </c>
      <c r="E1311" t="s">
        <v>38</v>
      </c>
      <c r="F1311" t="s">
        <v>1618</v>
      </c>
      <c r="H1311">
        <v>1019291</v>
      </c>
      <c r="I1311" t="s">
        <v>17</v>
      </c>
      <c r="K1311" t="s">
        <v>3720</v>
      </c>
      <c r="L1311">
        <v>235</v>
      </c>
      <c r="M1311" t="s">
        <v>3721</v>
      </c>
    </row>
    <row r="1312" spans="1:13">
      <c r="A1312" t="s">
        <v>13</v>
      </c>
      <c r="B1312">
        <v>1380440</v>
      </c>
      <c r="C1312">
        <v>1381885</v>
      </c>
      <c r="E1312" t="s">
        <v>14</v>
      </c>
      <c r="F1312" t="s">
        <v>3722</v>
      </c>
      <c r="G1312" t="s">
        <v>3723</v>
      </c>
      <c r="H1312">
        <v>1019292</v>
      </c>
      <c r="I1312" t="s">
        <v>17</v>
      </c>
      <c r="K1312" t="s">
        <v>3724</v>
      </c>
      <c r="L1312">
        <v>481</v>
      </c>
      <c r="M1312" t="s">
        <v>3725</v>
      </c>
    </row>
    <row r="1313" spans="1:13">
      <c r="A1313" t="s">
        <v>13</v>
      </c>
      <c r="B1313">
        <v>1381902</v>
      </c>
      <c r="C1313">
        <v>1382495</v>
      </c>
      <c r="E1313" t="s">
        <v>14</v>
      </c>
      <c r="F1313" t="s">
        <v>3726</v>
      </c>
      <c r="G1313" t="s">
        <v>3727</v>
      </c>
      <c r="H1313">
        <v>1019293</v>
      </c>
      <c r="I1313" t="s">
        <v>17</v>
      </c>
      <c r="K1313" t="s">
        <v>3728</v>
      </c>
      <c r="L1313">
        <v>197</v>
      </c>
      <c r="M1313" t="s">
        <v>3729</v>
      </c>
    </row>
    <row r="1314" spans="1:13">
      <c r="A1314" t="s">
        <v>13</v>
      </c>
      <c r="B1314">
        <v>1382842</v>
      </c>
      <c r="C1314">
        <v>1383852</v>
      </c>
      <c r="E1314" t="s">
        <v>38</v>
      </c>
      <c r="F1314" t="s">
        <v>898</v>
      </c>
      <c r="H1314">
        <v>1019294</v>
      </c>
      <c r="I1314" t="s">
        <v>17</v>
      </c>
      <c r="K1314" t="s">
        <v>3730</v>
      </c>
      <c r="L1314">
        <v>336</v>
      </c>
      <c r="M1314" t="s">
        <v>3731</v>
      </c>
    </row>
    <row r="1315" spans="1:13">
      <c r="A1315" t="s">
        <v>13</v>
      </c>
      <c r="B1315">
        <v>1384130</v>
      </c>
      <c r="C1315">
        <v>1385128</v>
      </c>
      <c r="E1315" t="s">
        <v>14</v>
      </c>
      <c r="F1315" t="s">
        <v>3732</v>
      </c>
      <c r="H1315">
        <v>1019296</v>
      </c>
      <c r="I1315" t="s">
        <v>17</v>
      </c>
      <c r="K1315" t="s">
        <v>3733</v>
      </c>
      <c r="L1315">
        <v>332</v>
      </c>
      <c r="M1315" t="s">
        <v>3734</v>
      </c>
    </row>
    <row r="1316" spans="1:13">
      <c r="A1316" t="s">
        <v>13</v>
      </c>
      <c r="B1316">
        <v>1385153</v>
      </c>
      <c r="C1316">
        <v>1386235</v>
      </c>
      <c r="E1316" t="s">
        <v>14</v>
      </c>
      <c r="F1316" t="s">
        <v>3735</v>
      </c>
      <c r="H1316">
        <v>1019297</v>
      </c>
      <c r="I1316" t="s">
        <v>17</v>
      </c>
      <c r="K1316" t="s">
        <v>3736</v>
      </c>
      <c r="L1316">
        <v>360</v>
      </c>
      <c r="M1316" t="s">
        <v>3737</v>
      </c>
    </row>
    <row r="1317" spans="1:13">
      <c r="A1317" t="s">
        <v>13</v>
      </c>
      <c r="B1317">
        <v>1386290</v>
      </c>
      <c r="C1317">
        <v>1387270</v>
      </c>
      <c r="E1317" t="s">
        <v>38</v>
      </c>
      <c r="F1317" t="s">
        <v>3738</v>
      </c>
      <c r="H1317">
        <v>1019298</v>
      </c>
      <c r="I1317" t="s">
        <v>17</v>
      </c>
      <c r="K1317" t="s">
        <v>3739</v>
      </c>
      <c r="L1317">
        <v>326</v>
      </c>
      <c r="M1317" t="s">
        <v>3740</v>
      </c>
    </row>
    <row r="1318" spans="1:13">
      <c r="A1318" t="s">
        <v>13</v>
      </c>
      <c r="B1318">
        <v>1387338</v>
      </c>
      <c r="C1318">
        <v>1388327</v>
      </c>
      <c r="E1318" t="s">
        <v>14</v>
      </c>
      <c r="F1318" t="s">
        <v>3741</v>
      </c>
      <c r="H1318">
        <v>1019299</v>
      </c>
      <c r="I1318" t="s">
        <v>17</v>
      </c>
      <c r="K1318" t="s">
        <v>3742</v>
      </c>
      <c r="L1318">
        <v>329</v>
      </c>
      <c r="M1318" t="s">
        <v>3743</v>
      </c>
    </row>
    <row r="1319" spans="1:13">
      <c r="A1319" t="s">
        <v>13</v>
      </c>
      <c r="B1319">
        <v>1388327</v>
      </c>
      <c r="C1319">
        <v>1389076</v>
      </c>
      <c r="E1319" t="s">
        <v>14</v>
      </c>
      <c r="F1319" t="s">
        <v>3744</v>
      </c>
      <c r="H1319">
        <v>1019300</v>
      </c>
      <c r="I1319" t="s">
        <v>17</v>
      </c>
      <c r="K1319" t="s">
        <v>3745</v>
      </c>
      <c r="L1319">
        <v>249</v>
      </c>
      <c r="M1319" t="s">
        <v>3746</v>
      </c>
    </row>
    <row r="1320" spans="1:13">
      <c r="A1320" t="s">
        <v>13</v>
      </c>
      <c r="B1320">
        <v>1389088</v>
      </c>
      <c r="C1320">
        <v>1390791</v>
      </c>
      <c r="E1320" t="s">
        <v>14</v>
      </c>
      <c r="F1320" t="s">
        <v>3747</v>
      </c>
      <c r="H1320">
        <v>1019301</v>
      </c>
      <c r="I1320" t="s">
        <v>17</v>
      </c>
      <c r="K1320" t="s">
        <v>3748</v>
      </c>
      <c r="L1320">
        <v>567</v>
      </c>
      <c r="M1320" t="s">
        <v>3749</v>
      </c>
    </row>
    <row r="1321" spans="1:13">
      <c r="A1321" t="s">
        <v>13</v>
      </c>
      <c r="B1321">
        <v>1390796</v>
      </c>
      <c r="C1321">
        <v>1392919</v>
      </c>
      <c r="E1321" t="s">
        <v>14</v>
      </c>
      <c r="F1321" t="s">
        <v>3750</v>
      </c>
      <c r="H1321">
        <v>1019302</v>
      </c>
      <c r="I1321" t="s">
        <v>17</v>
      </c>
      <c r="K1321" t="s">
        <v>3751</v>
      </c>
      <c r="L1321">
        <v>707</v>
      </c>
      <c r="M1321" t="s">
        <v>3752</v>
      </c>
    </row>
    <row r="1322" spans="1:13">
      <c r="A1322" t="s">
        <v>13</v>
      </c>
      <c r="B1322">
        <v>1392939</v>
      </c>
      <c r="C1322">
        <v>1393154</v>
      </c>
      <c r="E1322" t="s">
        <v>14</v>
      </c>
      <c r="F1322" t="s">
        <v>3753</v>
      </c>
      <c r="H1322">
        <v>1019303</v>
      </c>
      <c r="I1322" t="s">
        <v>17</v>
      </c>
      <c r="K1322" t="s">
        <v>3754</v>
      </c>
      <c r="L1322">
        <v>71</v>
      </c>
      <c r="M1322" t="s">
        <v>3755</v>
      </c>
    </row>
    <row r="1323" spans="1:13">
      <c r="A1323" t="s">
        <v>13</v>
      </c>
      <c r="B1323">
        <v>1393154</v>
      </c>
      <c r="C1323">
        <v>1393738</v>
      </c>
      <c r="E1323" t="s">
        <v>14</v>
      </c>
      <c r="F1323" t="s">
        <v>3756</v>
      </c>
      <c r="G1323" t="s">
        <v>3757</v>
      </c>
      <c r="H1323">
        <v>1019304</v>
      </c>
      <c r="I1323" t="s">
        <v>17</v>
      </c>
      <c r="K1323" t="s">
        <v>3758</v>
      </c>
      <c r="L1323">
        <v>194</v>
      </c>
      <c r="M1323" t="s">
        <v>3759</v>
      </c>
    </row>
    <row r="1324" spans="1:13">
      <c r="A1324" t="s">
        <v>13</v>
      </c>
      <c r="B1324">
        <v>1393742</v>
      </c>
      <c r="C1324">
        <v>1394224</v>
      </c>
      <c r="E1324" t="s">
        <v>14</v>
      </c>
      <c r="F1324" t="s">
        <v>3760</v>
      </c>
      <c r="G1324" t="s">
        <v>3761</v>
      </c>
      <c r="H1324">
        <v>1019305</v>
      </c>
      <c r="I1324" t="s">
        <v>17</v>
      </c>
      <c r="K1324" t="s">
        <v>3762</v>
      </c>
      <c r="L1324">
        <v>160</v>
      </c>
      <c r="M1324" t="s">
        <v>3763</v>
      </c>
    </row>
    <row r="1325" spans="1:13">
      <c r="A1325" t="s">
        <v>13</v>
      </c>
      <c r="B1325">
        <v>1394297</v>
      </c>
      <c r="C1325">
        <v>1394536</v>
      </c>
      <c r="E1325" t="s">
        <v>14</v>
      </c>
      <c r="F1325" t="s">
        <v>49</v>
      </c>
      <c r="H1325">
        <v>92792293</v>
      </c>
      <c r="I1325" t="s">
        <v>17</v>
      </c>
      <c r="K1325" t="s">
        <v>3764</v>
      </c>
      <c r="L1325">
        <v>79</v>
      </c>
      <c r="M1325" t="s">
        <v>3765</v>
      </c>
    </row>
    <row r="1326" spans="1:13">
      <c r="A1326" t="s">
        <v>13</v>
      </c>
      <c r="B1326">
        <v>1394797</v>
      </c>
      <c r="C1326">
        <v>1395561</v>
      </c>
      <c r="E1326" t="s">
        <v>38</v>
      </c>
      <c r="F1326" t="s">
        <v>3766</v>
      </c>
      <c r="H1326">
        <v>1019306</v>
      </c>
      <c r="I1326" t="s">
        <v>17</v>
      </c>
      <c r="K1326" t="s">
        <v>3767</v>
      </c>
      <c r="L1326">
        <v>254</v>
      </c>
      <c r="M1326" t="s">
        <v>3768</v>
      </c>
    </row>
    <row r="1327" spans="1:13">
      <c r="A1327" t="s">
        <v>13</v>
      </c>
      <c r="B1327">
        <v>1395565</v>
      </c>
      <c r="C1327">
        <v>1396515</v>
      </c>
      <c r="E1327" t="s">
        <v>38</v>
      </c>
      <c r="F1327" t="s">
        <v>3769</v>
      </c>
      <c r="H1327">
        <v>1019307</v>
      </c>
      <c r="I1327" t="s">
        <v>17</v>
      </c>
      <c r="K1327" t="s">
        <v>3770</v>
      </c>
      <c r="L1327">
        <v>316</v>
      </c>
      <c r="M1327" t="s">
        <v>3771</v>
      </c>
    </row>
    <row r="1328" spans="1:13">
      <c r="A1328" t="s">
        <v>13</v>
      </c>
      <c r="B1328">
        <v>1396558</v>
      </c>
      <c r="C1328">
        <v>1397562</v>
      </c>
      <c r="E1328" t="s">
        <v>38</v>
      </c>
      <c r="F1328" t="s">
        <v>1008</v>
      </c>
      <c r="H1328">
        <v>1019308</v>
      </c>
      <c r="I1328" t="s">
        <v>17</v>
      </c>
      <c r="K1328" t="s">
        <v>3772</v>
      </c>
      <c r="L1328">
        <v>334</v>
      </c>
      <c r="M1328" t="s">
        <v>3773</v>
      </c>
    </row>
    <row r="1329" spans="1:13">
      <c r="A1329" t="s">
        <v>13</v>
      </c>
      <c r="B1329">
        <v>1397662</v>
      </c>
      <c r="C1329">
        <v>1398471</v>
      </c>
      <c r="E1329" t="s">
        <v>14</v>
      </c>
      <c r="F1329" t="s">
        <v>3774</v>
      </c>
      <c r="H1329">
        <v>1019309</v>
      </c>
      <c r="I1329" t="s">
        <v>17</v>
      </c>
      <c r="K1329" t="s">
        <v>3775</v>
      </c>
      <c r="L1329">
        <v>269</v>
      </c>
      <c r="M1329" t="s">
        <v>3776</v>
      </c>
    </row>
    <row r="1330" spans="1:13">
      <c r="A1330" t="s">
        <v>13</v>
      </c>
      <c r="B1330">
        <v>1398554</v>
      </c>
      <c r="C1330">
        <v>1399534</v>
      </c>
      <c r="E1330" t="s">
        <v>38</v>
      </c>
      <c r="F1330" t="s">
        <v>3777</v>
      </c>
      <c r="H1330">
        <v>1019310</v>
      </c>
      <c r="I1330" t="s">
        <v>17</v>
      </c>
      <c r="K1330" t="s">
        <v>3778</v>
      </c>
      <c r="L1330">
        <v>326</v>
      </c>
      <c r="M1330" t="s">
        <v>3779</v>
      </c>
    </row>
    <row r="1331" spans="1:13">
      <c r="A1331" t="s">
        <v>13</v>
      </c>
      <c r="B1331">
        <v>1400182</v>
      </c>
      <c r="C1331">
        <v>1400871</v>
      </c>
      <c r="E1331" t="s">
        <v>38</v>
      </c>
      <c r="F1331" t="s">
        <v>3780</v>
      </c>
      <c r="H1331">
        <v>1019311</v>
      </c>
      <c r="I1331" t="s">
        <v>17</v>
      </c>
      <c r="K1331" t="s">
        <v>3781</v>
      </c>
      <c r="L1331">
        <v>229</v>
      </c>
      <c r="M1331" t="s">
        <v>3782</v>
      </c>
    </row>
    <row r="1332" spans="1:13">
      <c r="A1332" t="s">
        <v>13</v>
      </c>
      <c r="B1332">
        <v>1401333</v>
      </c>
      <c r="C1332">
        <v>1402079</v>
      </c>
      <c r="E1332" t="s">
        <v>14</v>
      </c>
      <c r="F1332" t="s">
        <v>49</v>
      </c>
      <c r="H1332">
        <v>1019313</v>
      </c>
      <c r="I1332" t="s">
        <v>17</v>
      </c>
      <c r="K1332" t="s">
        <v>3783</v>
      </c>
      <c r="L1332">
        <v>248</v>
      </c>
      <c r="M1332" t="s">
        <v>3784</v>
      </c>
    </row>
    <row r="1333" spans="1:13">
      <c r="A1333" t="s">
        <v>13</v>
      </c>
      <c r="B1333">
        <v>1402272</v>
      </c>
      <c r="C1333">
        <v>1402706</v>
      </c>
      <c r="E1333" t="s">
        <v>14</v>
      </c>
      <c r="F1333" t="s">
        <v>3785</v>
      </c>
      <c r="H1333">
        <v>1019314</v>
      </c>
      <c r="I1333" t="s">
        <v>17</v>
      </c>
      <c r="K1333" t="s">
        <v>3786</v>
      </c>
      <c r="L1333">
        <v>144</v>
      </c>
      <c r="M1333" t="s">
        <v>3787</v>
      </c>
    </row>
    <row r="1334" spans="1:13">
      <c r="A1334" t="s">
        <v>13</v>
      </c>
      <c r="B1334">
        <v>1403128</v>
      </c>
      <c r="C1334">
        <v>1403994</v>
      </c>
      <c r="E1334" t="s">
        <v>14</v>
      </c>
      <c r="F1334" t="s">
        <v>3788</v>
      </c>
      <c r="H1334">
        <v>1019315</v>
      </c>
      <c r="I1334" t="s">
        <v>17</v>
      </c>
      <c r="K1334" t="s">
        <v>3789</v>
      </c>
      <c r="L1334">
        <v>288</v>
      </c>
      <c r="M1334" t="s">
        <v>3790</v>
      </c>
    </row>
    <row r="1335" spans="1:13">
      <c r="A1335" t="s">
        <v>13</v>
      </c>
      <c r="B1335">
        <v>1403997</v>
      </c>
      <c r="C1335">
        <v>1404218</v>
      </c>
      <c r="E1335" t="s">
        <v>14</v>
      </c>
      <c r="F1335" t="s">
        <v>3791</v>
      </c>
      <c r="H1335">
        <v>1019316</v>
      </c>
      <c r="I1335" t="s">
        <v>17</v>
      </c>
      <c r="K1335" t="s">
        <v>3792</v>
      </c>
      <c r="L1335">
        <v>73</v>
      </c>
      <c r="M1335" t="s">
        <v>3793</v>
      </c>
    </row>
    <row r="1336" spans="1:13">
      <c r="A1336" t="s">
        <v>13</v>
      </c>
      <c r="B1336">
        <v>1405317</v>
      </c>
      <c r="C1336">
        <v>1406123</v>
      </c>
      <c r="E1336" t="s">
        <v>38</v>
      </c>
      <c r="F1336" t="s">
        <v>3794</v>
      </c>
      <c r="H1336">
        <v>92792294</v>
      </c>
      <c r="I1336" t="s">
        <v>17</v>
      </c>
      <c r="K1336" t="s">
        <v>3795</v>
      </c>
      <c r="L1336">
        <v>268</v>
      </c>
      <c r="M1336" t="s">
        <v>3796</v>
      </c>
    </row>
    <row r="1337" spans="1:13">
      <c r="A1337" t="s">
        <v>13</v>
      </c>
      <c r="B1337">
        <v>1406864</v>
      </c>
      <c r="C1337">
        <v>1407115</v>
      </c>
      <c r="E1337" t="s">
        <v>38</v>
      </c>
      <c r="F1337" t="s">
        <v>141</v>
      </c>
      <c r="H1337">
        <v>44144960</v>
      </c>
      <c r="I1337" t="s">
        <v>142</v>
      </c>
      <c r="M1337" t="s">
        <v>3797</v>
      </c>
    </row>
    <row r="1338" spans="1:13">
      <c r="A1338" t="s">
        <v>13</v>
      </c>
      <c r="B1338">
        <v>1407164</v>
      </c>
      <c r="C1338">
        <v>1407535</v>
      </c>
      <c r="E1338" t="s">
        <v>38</v>
      </c>
      <c r="F1338" t="s">
        <v>49</v>
      </c>
      <c r="H1338">
        <v>1019320</v>
      </c>
      <c r="I1338" t="s">
        <v>17</v>
      </c>
      <c r="K1338" t="s">
        <v>3798</v>
      </c>
      <c r="L1338">
        <v>123</v>
      </c>
      <c r="M1338" t="s">
        <v>3799</v>
      </c>
    </row>
    <row r="1339" spans="1:13">
      <c r="A1339" t="s">
        <v>13</v>
      </c>
      <c r="B1339">
        <v>1407556</v>
      </c>
      <c r="C1339">
        <v>1407861</v>
      </c>
      <c r="E1339" t="s">
        <v>38</v>
      </c>
      <c r="F1339" t="s">
        <v>49</v>
      </c>
      <c r="H1339">
        <v>92792275</v>
      </c>
      <c r="I1339" t="s">
        <v>17</v>
      </c>
      <c r="K1339" t="s">
        <v>3800</v>
      </c>
      <c r="L1339">
        <v>101</v>
      </c>
      <c r="M1339" t="s">
        <v>3801</v>
      </c>
    </row>
    <row r="1340" spans="1:13">
      <c r="A1340" t="s">
        <v>13</v>
      </c>
      <c r="B1340">
        <v>1409425</v>
      </c>
      <c r="C1340">
        <v>1409802</v>
      </c>
      <c r="E1340" t="s">
        <v>38</v>
      </c>
      <c r="F1340" t="s">
        <v>49</v>
      </c>
      <c r="H1340">
        <v>1019323</v>
      </c>
      <c r="I1340" t="s">
        <v>17</v>
      </c>
      <c r="K1340" t="s">
        <v>3802</v>
      </c>
      <c r="L1340">
        <v>125</v>
      </c>
      <c r="M1340" t="s">
        <v>3803</v>
      </c>
    </row>
    <row r="1341" spans="1:13">
      <c r="A1341" t="s">
        <v>13</v>
      </c>
      <c r="B1341">
        <v>1410061</v>
      </c>
      <c r="C1341">
        <v>1410963</v>
      </c>
      <c r="E1341" t="s">
        <v>38</v>
      </c>
      <c r="F1341" t="s">
        <v>3804</v>
      </c>
      <c r="H1341">
        <v>1019324</v>
      </c>
      <c r="I1341" t="s">
        <v>17</v>
      </c>
      <c r="K1341" t="s">
        <v>3805</v>
      </c>
      <c r="L1341">
        <v>300</v>
      </c>
      <c r="M1341" t="s">
        <v>3806</v>
      </c>
    </row>
    <row r="1342" spans="1:13">
      <c r="A1342" t="s">
        <v>13</v>
      </c>
      <c r="B1342">
        <v>1411116</v>
      </c>
      <c r="C1342">
        <v>1411424</v>
      </c>
      <c r="E1342" t="s">
        <v>38</v>
      </c>
      <c r="F1342" t="s">
        <v>49</v>
      </c>
      <c r="H1342">
        <v>1019325</v>
      </c>
      <c r="I1342" t="s">
        <v>17</v>
      </c>
      <c r="K1342" t="s">
        <v>3807</v>
      </c>
      <c r="L1342">
        <v>102</v>
      </c>
      <c r="M1342" t="s">
        <v>3808</v>
      </c>
    </row>
    <row r="1343" spans="1:13">
      <c r="A1343" t="s">
        <v>13</v>
      </c>
      <c r="B1343">
        <v>1411434</v>
      </c>
      <c r="C1343">
        <v>1412000</v>
      </c>
      <c r="E1343" t="s">
        <v>38</v>
      </c>
      <c r="F1343" t="s">
        <v>49</v>
      </c>
      <c r="H1343">
        <v>1019326</v>
      </c>
      <c r="I1343" t="s">
        <v>17</v>
      </c>
      <c r="K1343" t="s">
        <v>3809</v>
      </c>
      <c r="L1343">
        <v>188</v>
      </c>
      <c r="M1343" t="s">
        <v>3810</v>
      </c>
    </row>
    <row r="1344" spans="1:13">
      <c r="A1344" t="s">
        <v>13</v>
      </c>
      <c r="B1344">
        <v>1412360</v>
      </c>
      <c r="C1344">
        <v>1412575</v>
      </c>
      <c r="E1344" t="s">
        <v>14</v>
      </c>
      <c r="F1344" t="s">
        <v>49</v>
      </c>
      <c r="H1344">
        <v>44144962</v>
      </c>
      <c r="I1344" t="s">
        <v>17</v>
      </c>
      <c r="K1344" t="s">
        <v>3811</v>
      </c>
      <c r="L1344">
        <v>71</v>
      </c>
      <c r="M1344" t="s">
        <v>3812</v>
      </c>
    </row>
    <row r="1345" spans="1:13">
      <c r="A1345" t="s">
        <v>13</v>
      </c>
      <c r="B1345">
        <v>1412623</v>
      </c>
      <c r="C1345">
        <v>1412883</v>
      </c>
      <c r="E1345" t="s">
        <v>38</v>
      </c>
      <c r="F1345" t="s">
        <v>49</v>
      </c>
      <c r="H1345">
        <v>1019328</v>
      </c>
      <c r="I1345" t="s">
        <v>17</v>
      </c>
      <c r="K1345" t="s">
        <v>3813</v>
      </c>
      <c r="L1345">
        <v>86</v>
      </c>
      <c r="M1345" t="s">
        <v>3814</v>
      </c>
    </row>
    <row r="1346" spans="1:13">
      <c r="A1346" t="s">
        <v>13</v>
      </c>
      <c r="B1346">
        <v>1413565</v>
      </c>
      <c r="C1346">
        <v>1413641</v>
      </c>
      <c r="E1346" t="s">
        <v>38</v>
      </c>
      <c r="F1346" t="s">
        <v>179</v>
      </c>
      <c r="H1346">
        <v>2745362</v>
      </c>
      <c r="I1346" t="s">
        <v>62</v>
      </c>
      <c r="M1346" t="s">
        <v>3815</v>
      </c>
    </row>
    <row r="1347" spans="1:13">
      <c r="A1347" t="s">
        <v>13</v>
      </c>
      <c r="B1347">
        <v>1413820</v>
      </c>
      <c r="C1347">
        <v>1416462</v>
      </c>
      <c r="E1347" t="s">
        <v>14</v>
      </c>
      <c r="F1347" t="s">
        <v>3816</v>
      </c>
      <c r="G1347" t="s">
        <v>3817</v>
      </c>
      <c r="H1347">
        <v>1019329</v>
      </c>
      <c r="I1347" t="s">
        <v>17</v>
      </c>
      <c r="K1347" t="s">
        <v>3818</v>
      </c>
      <c r="L1347">
        <v>880</v>
      </c>
      <c r="M1347" t="s">
        <v>3819</v>
      </c>
    </row>
    <row r="1348" spans="1:13">
      <c r="A1348" t="s">
        <v>13</v>
      </c>
      <c r="B1348">
        <v>1416459</v>
      </c>
      <c r="C1348">
        <v>1417859</v>
      </c>
      <c r="E1348" t="s">
        <v>38</v>
      </c>
      <c r="F1348" t="s">
        <v>265</v>
      </c>
      <c r="H1348">
        <v>1019330</v>
      </c>
      <c r="I1348" t="s">
        <v>17</v>
      </c>
      <c r="K1348" t="s">
        <v>3820</v>
      </c>
      <c r="L1348">
        <v>466</v>
      </c>
      <c r="M1348" t="s">
        <v>3821</v>
      </c>
    </row>
    <row r="1349" spans="1:13">
      <c r="A1349" t="s">
        <v>13</v>
      </c>
      <c r="B1349">
        <v>1417896</v>
      </c>
      <c r="C1349">
        <v>1418873</v>
      </c>
      <c r="E1349" t="s">
        <v>14</v>
      </c>
      <c r="F1349" t="s">
        <v>3368</v>
      </c>
      <c r="H1349">
        <v>1019331</v>
      </c>
      <c r="I1349" t="s">
        <v>17</v>
      </c>
      <c r="K1349" t="s">
        <v>3822</v>
      </c>
      <c r="L1349">
        <v>325</v>
      </c>
      <c r="M1349" t="s">
        <v>3823</v>
      </c>
    </row>
    <row r="1350" spans="1:13">
      <c r="A1350" t="s">
        <v>13</v>
      </c>
      <c r="B1350">
        <v>1418876</v>
      </c>
      <c r="C1350">
        <v>1419751</v>
      </c>
      <c r="E1350" t="s">
        <v>14</v>
      </c>
      <c r="F1350" t="s">
        <v>336</v>
      </c>
      <c r="H1350">
        <v>1019332</v>
      </c>
      <c r="I1350" t="s">
        <v>17</v>
      </c>
      <c r="K1350" t="s">
        <v>3824</v>
      </c>
      <c r="L1350">
        <v>291</v>
      </c>
      <c r="M1350" t="s">
        <v>3825</v>
      </c>
    </row>
    <row r="1351" spans="1:13">
      <c r="A1351" t="s">
        <v>13</v>
      </c>
      <c r="B1351">
        <v>1420068</v>
      </c>
      <c r="C1351">
        <v>1420847</v>
      </c>
      <c r="E1351" t="s">
        <v>38</v>
      </c>
      <c r="F1351" t="s">
        <v>1169</v>
      </c>
      <c r="H1351">
        <v>1019333</v>
      </c>
      <c r="I1351" t="s">
        <v>17</v>
      </c>
      <c r="K1351" t="s">
        <v>3826</v>
      </c>
      <c r="L1351">
        <v>259</v>
      </c>
      <c r="M1351" t="s">
        <v>3827</v>
      </c>
    </row>
    <row r="1352" spans="1:13">
      <c r="A1352" t="s">
        <v>13</v>
      </c>
      <c r="B1352">
        <v>1421099</v>
      </c>
      <c r="C1352">
        <v>1422559</v>
      </c>
      <c r="E1352" t="s">
        <v>14</v>
      </c>
      <c r="F1352" t="s">
        <v>3828</v>
      </c>
      <c r="G1352" t="s">
        <v>3829</v>
      </c>
      <c r="H1352">
        <v>1019334</v>
      </c>
      <c r="I1352" t="s">
        <v>17</v>
      </c>
      <c r="K1352" t="s">
        <v>3830</v>
      </c>
      <c r="L1352">
        <v>486</v>
      </c>
      <c r="M1352" t="s">
        <v>3831</v>
      </c>
    </row>
    <row r="1353" spans="1:13">
      <c r="A1353" t="s">
        <v>13</v>
      </c>
      <c r="B1353">
        <v>1423217</v>
      </c>
      <c r="C1353">
        <v>1425268</v>
      </c>
      <c r="E1353" t="s">
        <v>14</v>
      </c>
      <c r="F1353" t="s">
        <v>3832</v>
      </c>
      <c r="H1353">
        <v>1019335</v>
      </c>
      <c r="I1353" t="s">
        <v>17</v>
      </c>
      <c r="K1353" t="s">
        <v>3833</v>
      </c>
      <c r="L1353">
        <v>683</v>
      </c>
      <c r="M1353" t="s">
        <v>3834</v>
      </c>
    </row>
    <row r="1354" spans="1:13">
      <c r="A1354" t="s">
        <v>13</v>
      </c>
      <c r="B1354">
        <v>1425279</v>
      </c>
      <c r="C1354">
        <v>1425881</v>
      </c>
      <c r="E1354" t="s">
        <v>14</v>
      </c>
      <c r="F1354" t="s">
        <v>3835</v>
      </c>
      <c r="G1354" t="s">
        <v>3836</v>
      </c>
      <c r="H1354">
        <v>1019336</v>
      </c>
      <c r="I1354" t="s">
        <v>17</v>
      </c>
      <c r="K1354" t="s">
        <v>3837</v>
      </c>
      <c r="L1354">
        <v>200</v>
      </c>
      <c r="M1354" t="s">
        <v>3838</v>
      </c>
    </row>
    <row r="1355" spans="1:13">
      <c r="A1355" t="s">
        <v>13</v>
      </c>
      <c r="B1355">
        <v>1426257</v>
      </c>
      <c r="C1355">
        <v>1427357</v>
      </c>
      <c r="E1355" t="s">
        <v>14</v>
      </c>
      <c r="F1355" t="s">
        <v>49</v>
      </c>
      <c r="H1355">
        <v>1019337</v>
      </c>
      <c r="I1355" t="s">
        <v>17</v>
      </c>
      <c r="K1355" t="s">
        <v>3839</v>
      </c>
      <c r="L1355">
        <v>366</v>
      </c>
      <c r="M1355" t="s">
        <v>3840</v>
      </c>
    </row>
    <row r="1356" spans="1:13">
      <c r="A1356" t="s">
        <v>13</v>
      </c>
      <c r="B1356">
        <v>1427373</v>
      </c>
      <c r="C1356">
        <v>1427810</v>
      </c>
      <c r="E1356" t="s">
        <v>38</v>
      </c>
      <c r="F1356" t="s">
        <v>49</v>
      </c>
      <c r="H1356">
        <v>1019338</v>
      </c>
      <c r="I1356" t="s">
        <v>17</v>
      </c>
      <c r="K1356" t="s">
        <v>3841</v>
      </c>
      <c r="L1356">
        <v>145</v>
      </c>
      <c r="M1356" t="s">
        <v>3842</v>
      </c>
    </row>
    <row r="1357" spans="1:13">
      <c r="A1357" t="s">
        <v>13</v>
      </c>
      <c r="B1357">
        <v>1427801</v>
      </c>
      <c r="C1357">
        <v>1428037</v>
      </c>
      <c r="E1357" t="s">
        <v>38</v>
      </c>
      <c r="F1357" t="s">
        <v>49</v>
      </c>
      <c r="H1357">
        <v>44144964</v>
      </c>
      <c r="I1357" t="s">
        <v>17</v>
      </c>
      <c r="K1357" t="s">
        <v>3843</v>
      </c>
      <c r="L1357">
        <v>78</v>
      </c>
      <c r="M1357" t="s">
        <v>3844</v>
      </c>
    </row>
    <row r="1358" spans="1:13">
      <c r="A1358" t="s">
        <v>13</v>
      </c>
      <c r="B1358">
        <v>1428221</v>
      </c>
      <c r="C1358">
        <v>1429159</v>
      </c>
      <c r="E1358" t="s">
        <v>38</v>
      </c>
      <c r="F1358" t="s">
        <v>3845</v>
      </c>
      <c r="H1358">
        <v>1019339</v>
      </c>
      <c r="I1358" t="s">
        <v>17</v>
      </c>
      <c r="K1358" t="s">
        <v>3846</v>
      </c>
      <c r="L1358">
        <v>312</v>
      </c>
      <c r="M1358" t="s">
        <v>3847</v>
      </c>
    </row>
    <row r="1359" spans="1:13">
      <c r="A1359" t="s">
        <v>13</v>
      </c>
      <c r="B1359">
        <v>1429191</v>
      </c>
      <c r="C1359">
        <v>1430642</v>
      </c>
      <c r="E1359" t="s">
        <v>38</v>
      </c>
      <c r="F1359" t="s">
        <v>265</v>
      </c>
      <c r="H1359">
        <v>1019340</v>
      </c>
      <c r="I1359" t="s">
        <v>17</v>
      </c>
      <c r="K1359" t="s">
        <v>3848</v>
      </c>
      <c r="L1359">
        <v>483</v>
      </c>
      <c r="M1359" t="s">
        <v>3849</v>
      </c>
    </row>
    <row r="1360" spans="1:13">
      <c r="A1360" t="s">
        <v>13</v>
      </c>
      <c r="B1360">
        <v>1430656</v>
      </c>
      <c r="C1360">
        <v>1431579</v>
      </c>
      <c r="E1360" t="s">
        <v>38</v>
      </c>
      <c r="F1360" t="s">
        <v>3850</v>
      </c>
      <c r="H1360">
        <v>1019341</v>
      </c>
      <c r="I1360" t="s">
        <v>17</v>
      </c>
      <c r="K1360" t="s">
        <v>3851</v>
      </c>
      <c r="L1360">
        <v>307</v>
      </c>
      <c r="M1360" t="s">
        <v>3852</v>
      </c>
    </row>
    <row r="1361" spans="1:13">
      <c r="A1361" t="s">
        <v>13</v>
      </c>
      <c r="B1361">
        <v>1431572</v>
      </c>
      <c r="C1361">
        <v>1432612</v>
      </c>
      <c r="E1361" t="s">
        <v>38</v>
      </c>
      <c r="F1361" t="s">
        <v>532</v>
      </c>
      <c r="H1361">
        <v>1019342</v>
      </c>
      <c r="I1361" t="s">
        <v>17</v>
      </c>
      <c r="K1361" t="s">
        <v>3853</v>
      </c>
      <c r="L1361">
        <v>346</v>
      </c>
      <c r="M1361" t="s">
        <v>3854</v>
      </c>
    </row>
    <row r="1362" spans="1:13">
      <c r="A1362" t="s">
        <v>13</v>
      </c>
      <c r="B1362">
        <v>1432891</v>
      </c>
      <c r="C1362">
        <v>1433550</v>
      </c>
      <c r="E1362" t="s">
        <v>14</v>
      </c>
      <c r="F1362" t="s">
        <v>49</v>
      </c>
      <c r="H1362">
        <v>1019343</v>
      </c>
      <c r="I1362" t="s">
        <v>17</v>
      </c>
      <c r="K1362" t="s">
        <v>3855</v>
      </c>
      <c r="L1362">
        <v>219</v>
      </c>
      <c r="M1362" t="s">
        <v>3856</v>
      </c>
    </row>
    <row r="1363" spans="1:13">
      <c r="A1363" t="s">
        <v>13</v>
      </c>
      <c r="B1363">
        <v>1433600</v>
      </c>
      <c r="C1363">
        <v>1433932</v>
      </c>
      <c r="E1363" t="s">
        <v>14</v>
      </c>
      <c r="F1363" t="s">
        <v>49</v>
      </c>
      <c r="H1363">
        <v>1019344</v>
      </c>
      <c r="I1363" t="s">
        <v>17</v>
      </c>
      <c r="K1363" t="s">
        <v>3857</v>
      </c>
      <c r="L1363">
        <v>110</v>
      </c>
      <c r="M1363" t="s">
        <v>3858</v>
      </c>
    </row>
    <row r="1364" spans="1:13">
      <c r="A1364" t="s">
        <v>13</v>
      </c>
      <c r="B1364">
        <v>1434105</v>
      </c>
      <c r="C1364">
        <v>1436204</v>
      </c>
      <c r="E1364" t="s">
        <v>14</v>
      </c>
      <c r="F1364" t="s">
        <v>3859</v>
      </c>
      <c r="G1364" t="s">
        <v>3860</v>
      </c>
      <c r="H1364">
        <v>1019345</v>
      </c>
      <c r="I1364" t="s">
        <v>17</v>
      </c>
      <c r="K1364" t="s">
        <v>3861</v>
      </c>
      <c r="L1364">
        <v>699</v>
      </c>
      <c r="M1364" t="s">
        <v>3862</v>
      </c>
    </row>
    <row r="1365" spans="1:13">
      <c r="A1365" t="s">
        <v>13</v>
      </c>
      <c r="B1365">
        <v>1436335</v>
      </c>
      <c r="C1365">
        <v>1436778</v>
      </c>
      <c r="E1365" t="s">
        <v>14</v>
      </c>
      <c r="F1365" t="s">
        <v>3863</v>
      </c>
      <c r="H1365">
        <v>1019346</v>
      </c>
      <c r="I1365" t="s">
        <v>17</v>
      </c>
      <c r="K1365" t="s">
        <v>3864</v>
      </c>
      <c r="L1365">
        <v>147</v>
      </c>
      <c r="M1365" t="s">
        <v>3865</v>
      </c>
    </row>
    <row r="1366" spans="1:13">
      <c r="A1366" t="s">
        <v>13</v>
      </c>
      <c r="B1366">
        <v>1436866</v>
      </c>
      <c r="C1366">
        <v>1437249</v>
      </c>
      <c r="E1366" t="s">
        <v>38</v>
      </c>
      <c r="F1366" t="s">
        <v>3866</v>
      </c>
      <c r="H1366">
        <v>1019347</v>
      </c>
      <c r="I1366" t="s">
        <v>17</v>
      </c>
      <c r="K1366" t="s">
        <v>3867</v>
      </c>
      <c r="L1366">
        <v>127</v>
      </c>
      <c r="M1366" t="s">
        <v>3868</v>
      </c>
    </row>
    <row r="1367" spans="1:13">
      <c r="A1367" t="s">
        <v>13</v>
      </c>
      <c r="B1367">
        <v>1437356</v>
      </c>
      <c r="C1367">
        <v>1438204</v>
      </c>
      <c r="E1367" t="s">
        <v>14</v>
      </c>
      <c r="F1367" t="s">
        <v>1841</v>
      </c>
      <c r="H1367">
        <v>1019348</v>
      </c>
      <c r="I1367" t="s">
        <v>17</v>
      </c>
      <c r="K1367" t="s">
        <v>3869</v>
      </c>
      <c r="L1367">
        <v>282</v>
      </c>
      <c r="M1367" t="s">
        <v>3870</v>
      </c>
    </row>
    <row r="1368" spans="1:13">
      <c r="A1368" t="s">
        <v>13</v>
      </c>
      <c r="B1368">
        <v>1438209</v>
      </c>
      <c r="C1368">
        <v>1440476</v>
      </c>
      <c r="E1368" t="s">
        <v>38</v>
      </c>
      <c r="F1368" t="s">
        <v>3871</v>
      </c>
      <c r="H1368">
        <v>1019349</v>
      </c>
      <c r="I1368" t="s">
        <v>17</v>
      </c>
      <c r="K1368" t="s">
        <v>3872</v>
      </c>
      <c r="L1368">
        <v>755</v>
      </c>
      <c r="M1368" t="s">
        <v>3873</v>
      </c>
    </row>
    <row r="1369" spans="1:13">
      <c r="A1369" t="s">
        <v>13</v>
      </c>
      <c r="B1369">
        <v>1440672</v>
      </c>
      <c r="C1369">
        <v>1441586</v>
      </c>
      <c r="E1369" t="s">
        <v>38</v>
      </c>
      <c r="F1369" t="s">
        <v>1315</v>
      </c>
      <c r="H1369">
        <v>1019350</v>
      </c>
      <c r="I1369" t="s">
        <v>17</v>
      </c>
      <c r="K1369" t="s">
        <v>3874</v>
      </c>
      <c r="L1369">
        <v>304</v>
      </c>
      <c r="M1369" t="s">
        <v>3875</v>
      </c>
    </row>
    <row r="1370" spans="1:13">
      <c r="A1370" t="s">
        <v>13</v>
      </c>
      <c r="B1370">
        <v>1441790</v>
      </c>
      <c r="C1370">
        <v>1442392</v>
      </c>
      <c r="E1370" t="s">
        <v>38</v>
      </c>
      <c r="F1370" t="s">
        <v>191</v>
      </c>
      <c r="H1370">
        <v>1019351</v>
      </c>
      <c r="I1370" t="s">
        <v>17</v>
      </c>
      <c r="K1370" t="s">
        <v>3876</v>
      </c>
      <c r="L1370">
        <v>200</v>
      </c>
      <c r="M1370" t="s">
        <v>3877</v>
      </c>
    </row>
    <row r="1371" spans="1:13">
      <c r="A1371" t="s">
        <v>13</v>
      </c>
      <c r="B1371">
        <v>1442487</v>
      </c>
      <c r="C1371">
        <v>1445336</v>
      </c>
      <c r="E1371" t="s">
        <v>14</v>
      </c>
      <c r="F1371" t="s">
        <v>3878</v>
      </c>
      <c r="G1371" t="s">
        <v>3879</v>
      </c>
      <c r="H1371">
        <v>1019352</v>
      </c>
      <c r="I1371" t="s">
        <v>17</v>
      </c>
      <c r="K1371" t="s">
        <v>3880</v>
      </c>
      <c r="L1371">
        <v>949</v>
      </c>
      <c r="M1371" t="s">
        <v>3881</v>
      </c>
    </row>
    <row r="1372" spans="1:13">
      <c r="A1372" t="s">
        <v>13</v>
      </c>
      <c r="B1372">
        <v>1445320</v>
      </c>
      <c r="C1372">
        <v>1447446</v>
      </c>
      <c r="E1372" t="s">
        <v>38</v>
      </c>
      <c r="F1372" t="s">
        <v>409</v>
      </c>
      <c r="H1372">
        <v>1019353</v>
      </c>
      <c r="I1372" t="s">
        <v>17</v>
      </c>
      <c r="K1372" t="s">
        <v>3882</v>
      </c>
      <c r="L1372">
        <v>708</v>
      </c>
      <c r="M1372" t="s">
        <v>3883</v>
      </c>
    </row>
    <row r="1373" spans="1:13">
      <c r="A1373" t="s">
        <v>13</v>
      </c>
      <c r="B1373">
        <v>1447792</v>
      </c>
      <c r="C1373">
        <v>1448361</v>
      </c>
      <c r="E1373" t="s">
        <v>14</v>
      </c>
      <c r="F1373" t="s">
        <v>3884</v>
      </c>
      <c r="G1373" t="s">
        <v>3885</v>
      </c>
      <c r="H1373">
        <v>1019354</v>
      </c>
      <c r="I1373" t="s">
        <v>17</v>
      </c>
      <c r="K1373" t="s">
        <v>3886</v>
      </c>
      <c r="L1373">
        <v>189</v>
      </c>
      <c r="M1373" t="s">
        <v>3887</v>
      </c>
    </row>
    <row r="1374" spans="1:13">
      <c r="A1374" t="s">
        <v>13</v>
      </c>
      <c r="B1374">
        <v>1448390</v>
      </c>
      <c r="C1374">
        <v>1448584</v>
      </c>
      <c r="E1374" t="s">
        <v>14</v>
      </c>
      <c r="F1374" t="s">
        <v>3888</v>
      </c>
      <c r="G1374" t="s">
        <v>3889</v>
      </c>
      <c r="H1374">
        <v>1019355</v>
      </c>
      <c r="I1374" t="s">
        <v>17</v>
      </c>
      <c r="K1374" t="s">
        <v>3890</v>
      </c>
      <c r="L1374">
        <v>64</v>
      </c>
      <c r="M1374" t="s">
        <v>3891</v>
      </c>
    </row>
    <row r="1375" spans="1:13">
      <c r="A1375" t="s">
        <v>13</v>
      </c>
      <c r="B1375">
        <v>1448645</v>
      </c>
      <c r="C1375">
        <v>1449028</v>
      </c>
      <c r="E1375" t="s">
        <v>14</v>
      </c>
      <c r="F1375" t="s">
        <v>3892</v>
      </c>
      <c r="G1375" t="s">
        <v>3893</v>
      </c>
      <c r="H1375">
        <v>1019356</v>
      </c>
      <c r="I1375" t="s">
        <v>17</v>
      </c>
      <c r="K1375" t="s">
        <v>3894</v>
      </c>
      <c r="L1375">
        <v>127</v>
      </c>
      <c r="M1375" t="s">
        <v>3895</v>
      </c>
    </row>
    <row r="1376" spans="1:13">
      <c r="A1376" t="s">
        <v>13</v>
      </c>
      <c r="B1376">
        <v>1449116</v>
      </c>
      <c r="C1376">
        <v>1449928</v>
      </c>
      <c r="E1376" t="s">
        <v>38</v>
      </c>
      <c r="F1376" t="s">
        <v>3896</v>
      </c>
      <c r="H1376">
        <v>1019357</v>
      </c>
      <c r="I1376" t="s">
        <v>17</v>
      </c>
      <c r="K1376" t="s">
        <v>3897</v>
      </c>
      <c r="L1376">
        <v>270</v>
      </c>
      <c r="M1376" t="s">
        <v>3898</v>
      </c>
    </row>
    <row r="1377" spans="1:13">
      <c r="A1377" t="s">
        <v>13</v>
      </c>
      <c r="B1377">
        <v>1450204</v>
      </c>
      <c r="C1377">
        <v>1450695</v>
      </c>
      <c r="E1377" t="s">
        <v>14</v>
      </c>
      <c r="F1377" t="s">
        <v>3899</v>
      </c>
      <c r="H1377">
        <v>1019358</v>
      </c>
      <c r="I1377" t="s">
        <v>17</v>
      </c>
      <c r="K1377" t="s">
        <v>3900</v>
      </c>
      <c r="L1377">
        <v>163</v>
      </c>
      <c r="M1377" t="s">
        <v>3901</v>
      </c>
    </row>
    <row r="1378" spans="1:13">
      <c r="A1378" t="s">
        <v>13</v>
      </c>
      <c r="B1378">
        <v>1450891</v>
      </c>
      <c r="C1378">
        <v>1451823</v>
      </c>
      <c r="E1378" t="s">
        <v>14</v>
      </c>
      <c r="F1378" t="s">
        <v>2089</v>
      </c>
      <c r="H1378">
        <v>1019359</v>
      </c>
      <c r="I1378" t="s">
        <v>17</v>
      </c>
      <c r="K1378" t="s">
        <v>3902</v>
      </c>
      <c r="L1378">
        <v>310</v>
      </c>
      <c r="M1378" t="s">
        <v>3903</v>
      </c>
    </row>
    <row r="1379" spans="1:13">
      <c r="A1379" t="s">
        <v>13</v>
      </c>
      <c r="B1379">
        <v>1451820</v>
      </c>
      <c r="C1379">
        <v>1452656</v>
      </c>
      <c r="E1379" t="s">
        <v>14</v>
      </c>
      <c r="F1379" t="s">
        <v>2089</v>
      </c>
      <c r="H1379">
        <v>1019360</v>
      </c>
      <c r="I1379" t="s">
        <v>17</v>
      </c>
      <c r="K1379" t="s">
        <v>3904</v>
      </c>
      <c r="L1379">
        <v>278</v>
      </c>
      <c r="M1379" t="s">
        <v>3905</v>
      </c>
    </row>
    <row r="1380" spans="1:13">
      <c r="A1380" t="s">
        <v>13</v>
      </c>
      <c r="B1380">
        <v>1452758</v>
      </c>
      <c r="C1380">
        <v>1454074</v>
      </c>
      <c r="E1380" t="s">
        <v>14</v>
      </c>
      <c r="F1380" t="s">
        <v>1008</v>
      </c>
      <c r="H1380">
        <v>1019361</v>
      </c>
      <c r="I1380" t="s">
        <v>17</v>
      </c>
      <c r="K1380" t="s">
        <v>3906</v>
      </c>
      <c r="L1380">
        <v>438</v>
      </c>
      <c r="M1380" t="s">
        <v>3907</v>
      </c>
    </row>
    <row r="1381" spans="1:13">
      <c r="A1381" t="s">
        <v>13</v>
      </c>
      <c r="B1381">
        <v>1454115</v>
      </c>
      <c r="C1381">
        <v>1455341</v>
      </c>
      <c r="E1381" t="s">
        <v>14</v>
      </c>
      <c r="F1381" t="s">
        <v>147</v>
      </c>
      <c r="H1381">
        <v>1019362</v>
      </c>
      <c r="I1381" t="s">
        <v>17</v>
      </c>
      <c r="K1381" t="s">
        <v>3908</v>
      </c>
      <c r="L1381">
        <v>408</v>
      </c>
      <c r="M1381" t="s">
        <v>3909</v>
      </c>
    </row>
    <row r="1382" spans="1:13">
      <c r="A1382" t="s">
        <v>13</v>
      </c>
      <c r="B1382">
        <v>1455347</v>
      </c>
      <c r="C1382">
        <v>1456054</v>
      </c>
      <c r="E1382" t="s">
        <v>38</v>
      </c>
      <c r="F1382" t="s">
        <v>3910</v>
      </c>
      <c r="H1382">
        <v>1019363</v>
      </c>
      <c r="I1382" t="s">
        <v>17</v>
      </c>
      <c r="K1382" t="s">
        <v>3911</v>
      </c>
      <c r="L1382">
        <v>235</v>
      </c>
      <c r="M1382" t="s">
        <v>3912</v>
      </c>
    </row>
    <row r="1383" spans="1:13">
      <c r="A1383" t="s">
        <v>13</v>
      </c>
      <c r="B1383">
        <v>1456136</v>
      </c>
      <c r="C1383">
        <v>1456951</v>
      </c>
      <c r="E1383" t="s">
        <v>14</v>
      </c>
      <c r="F1383" t="s">
        <v>2387</v>
      </c>
      <c r="H1383">
        <v>1019364</v>
      </c>
      <c r="I1383" t="s">
        <v>17</v>
      </c>
      <c r="K1383" t="s">
        <v>3913</v>
      </c>
      <c r="L1383">
        <v>271</v>
      </c>
      <c r="M1383" t="s">
        <v>3914</v>
      </c>
    </row>
    <row r="1384" spans="1:13">
      <c r="A1384" t="s">
        <v>13</v>
      </c>
      <c r="B1384">
        <v>1457008</v>
      </c>
      <c r="C1384">
        <v>1458069</v>
      </c>
      <c r="E1384" t="s">
        <v>14</v>
      </c>
      <c r="F1384" t="s">
        <v>3915</v>
      </c>
      <c r="G1384" t="s">
        <v>3916</v>
      </c>
      <c r="H1384">
        <v>1019365</v>
      </c>
      <c r="I1384" t="s">
        <v>17</v>
      </c>
      <c r="K1384" t="s">
        <v>3917</v>
      </c>
      <c r="L1384">
        <v>353</v>
      </c>
      <c r="M1384" t="s">
        <v>3918</v>
      </c>
    </row>
    <row r="1385" spans="1:13">
      <c r="A1385" t="s">
        <v>13</v>
      </c>
      <c r="B1385">
        <v>1458112</v>
      </c>
      <c r="C1385">
        <v>1460619</v>
      </c>
      <c r="E1385" t="s">
        <v>14</v>
      </c>
      <c r="F1385" t="s">
        <v>3919</v>
      </c>
      <c r="G1385" t="s">
        <v>3920</v>
      </c>
      <c r="H1385">
        <v>1019366</v>
      </c>
      <c r="I1385" t="s">
        <v>17</v>
      </c>
      <c r="K1385" t="s">
        <v>3921</v>
      </c>
      <c r="L1385">
        <v>835</v>
      </c>
      <c r="M1385" t="s">
        <v>3922</v>
      </c>
    </row>
    <row r="1386" spans="1:13">
      <c r="A1386" t="s">
        <v>13</v>
      </c>
      <c r="B1386">
        <v>1461157</v>
      </c>
      <c r="C1386">
        <v>1462131</v>
      </c>
      <c r="E1386" t="s">
        <v>14</v>
      </c>
      <c r="F1386" t="s">
        <v>1533</v>
      </c>
      <c r="H1386">
        <v>1019367</v>
      </c>
      <c r="I1386" t="s">
        <v>17</v>
      </c>
      <c r="K1386" t="s">
        <v>3923</v>
      </c>
      <c r="L1386">
        <v>324</v>
      </c>
      <c r="M1386" t="s">
        <v>3924</v>
      </c>
    </row>
    <row r="1387" spans="1:13">
      <c r="A1387" t="s">
        <v>13</v>
      </c>
      <c r="B1387">
        <v>1462134</v>
      </c>
      <c r="C1387">
        <v>1463519</v>
      </c>
      <c r="E1387" t="s">
        <v>14</v>
      </c>
      <c r="F1387" t="s">
        <v>1071</v>
      </c>
      <c r="H1387">
        <v>1019368</v>
      </c>
      <c r="I1387" t="s">
        <v>17</v>
      </c>
      <c r="K1387" t="s">
        <v>3925</v>
      </c>
      <c r="L1387">
        <v>461</v>
      </c>
      <c r="M1387" t="s">
        <v>3926</v>
      </c>
    </row>
    <row r="1388" spans="1:13">
      <c r="A1388" t="s">
        <v>13</v>
      </c>
      <c r="B1388">
        <v>1463533</v>
      </c>
      <c r="C1388">
        <v>1463937</v>
      </c>
      <c r="E1388" t="s">
        <v>14</v>
      </c>
      <c r="F1388" t="s">
        <v>49</v>
      </c>
      <c r="H1388">
        <v>1019369</v>
      </c>
      <c r="I1388" t="s">
        <v>17</v>
      </c>
      <c r="K1388" t="s">
        <v>3927</v>
      </c>
      <c r="L1388">
        <v>134</v>
      </c>
      <c r="M1388" t="s">
        <v>3928</v>
      </c>
    </row>
    <row r="1389" spans="1:13">
      <c r="A1389" t="s">
        <v>13</v>
      </c>
      <c r="B1389">
        <v>1464083</v>
      </c>
      <c r="C1389">
        <v>1465126</v>
      </c>
      <c r="E1389" t="s">
        <v>14</v>
      </c>
      <c r="F1389" t="s">
        <v>3929</v>
      </c>
      <c r="G1389" t="s">
        <v>3930</v>
      </c>
      <c r="H1389">
        <v>1019370</v>
      </c>
      <c r="I1389" t="s">
        <v>17</v>
      </c>
      <c r="K1389" t="s">
        <v>3931</v>
      </c>
      <c r="L1389">
        <v>347</v>
      </c>
      <c r="M1389" t="s">
        <v>3932</v>
      </c>
    </row>
    <row r="1390" spans="1:13">
      <c r="A1390" t="s">
        <v>13</v>
      </c>
      <c r="B1390">
        <v>1465210</v>
      </c>
      <c r="C1390">
        <v>1466376</v>
      </c>
      <c r="E1390" t="s">
        <v>14</v>
      </c>
      <c r="F1390" t="s">
        <v>3933</v>
      </c>
      <c r="G1390" t="s">
        <v>3934</v>
      </c>
      <c r="H1390">
        <v>1019371</v>
      </c>
      <c r="I1390" t="s">
        <v>17</v>
      </c>
      <c r="K1390" t="s">
        <v>3935</v>
      </c>
      <c r="L1390">
        <v>388</v>
      </c>
      <c r="M1390" t="s">
        <v>3936</v>
      </c>
    </row>
    <row r="1391" spans="1:13">
      <c r="A1391" t="s">
        <v>13</v>
      </c>
      <c r="B1391">
        <v>1466422</v>
      </c>
      <c r="C1391">
        <v>1467375</v>
      </c>
      <c r="E1391" t="s">
        <v>14</v>
      </c>
      <c r="F1391" t="s">
        <v>3937</v>
      </c>
      <c r="G1391" t="s">
        <v>3938</v>
      </c>
      <c r="H1391">
        <v>1019372</v>
      </c>
      <c r="I1391" t="s">
        <v>17</v>
      </c>
      <c r="K1391" t="s">
        <v>3939</v>
      </c>
      <c r="L1391">
        <v>317</v>
      </c>
      <c r="M1391" t="s">
        <v>3940</v>
      </c>
    </row>
    <row r="1392" spans="1:13">
      <c r="A1392" t="s">
        <v>13</v>
      </c>
      <c r="B1392">
        <v>1467376</v>
      </c>
      <c r="C1392">
        <v>1468551</v>
      </c>
      <c r="E1392" t="s">
        <v>14</v>
      </c>
      <c r="F1392" t="s">
        <v>3941</v>
      </c>
      <c r="H1392">
        <v>1019373</v>
      </c>
      <c r="I1392" t="s">
        <v>17</v>
      </c>
      <c r="K1392" t="s">
        <v>3942</v>
      </c>
      <c r="L1392">
        <v>391</v>
      </c>
      <c r="M1392" t="s">
        <v>3943</v>
      </c>
    </row>
    <row r="1393" spans="1:13">
      <c r="A1393" t="s">
        <v>13</v>
      </c>
      <c r="B1393">
        <v>1468565</v>
      </c>
      <c r="C1393">
        <v>1469524</v>
      </c>
      <c r="E1393" t="s">
        <v>14</v>
      </c>
      <c r="F1393" t="s">
        <v>2964</v>
      </c>
      <c r="G1393" t="s">
        <v>3944</v>
      </c>
      <c r="H1393">
        <v>1019374</v>
      </c>
      <c r="I1393" t="s">
        <v>17</v>
      </c>
      <c r="K1393" t="s">
        <v>3945</v>
      </c>
      <c r="L1393">
        <v>319</v>
      </c>
      <c r="M1393" t="s">
        <v>3946</v>
      </c>
    </row>
    <row r="1394" spans="1:13">
      <c r="A1394" t="s">
        <v>13</v>
      </c>
      <c r="B1394">
        <v>1469528</v>
      </c>
      <c r="C1394">
        <v>1470043</v>
      </c>
      <c r="E1394" t="s">
        <v>14</v>
      </c>
      <c r="F1394" t="s">
        <v>3947</v>
      </c>
      <c r="H1394">
        <v>1019375</v>
      </c>
      <c r="I1394" t="s">
        <v>17</v>
      </c>
      <c r="K1394" t="s">
        <v>3948</v>
      </c>
      <c r="L1394">
        <v>171</v>
      </c>
      <c r="M1394" t="s">
        <v>3949</v>
      </c>
    </row>
    <row r="1395" spans="1:13">
      <c r="A1395" t="s">
        <v>13</v>
      </c>
      <c r="B1395">
        <v>1470211</v>
      </c>
      <c r="C1395">
        <v>1471416</v>
      </c>
      <c r="E1395" t="s">
        <v>14</v>
      </c>
      <c r="F1395" t="s">
        <v>3950</v>
      </c>
      <c r="H1395">
        <v>1019376</v>
      </c>
      <c r="I1395" t="s">
        <v>17</v>
      </c>
      <c r="K1395" t="s">
        <v>3951</v>
      </c>
      <c r="L1395">
        <v>401</v>
      </c>
      <c r="M1395" t="s">
        <v>3952</v>
      </c>
    </row>
    <row r="1396" spans="1:13">
      <c r="A1396" t="s">
        <v>13</v>
      </c>
      <c r="B1396">
        <v>1471477</v>
      </c>
      <c r="C1396">
        <v>1472910</v>
      </c>
      <c r="E1396" t="s">
        <v>14</v>
      </c>
      <c r="F1396" t="s">
        <v>3953</v>
      </c>
      <c r="G1396" t="s">
        <v>3954</v>
      </c>
      <c r="H1396">
        <v>1019377</v>
      </c>
      <c r="I1396" t="s">
        <v>17</v>
      </c>
      <c r="K1396" t="s">
        <v>3955</v>
      </c>
      <c r="L1396">
        <v>477</v>
      </c>
      <c r="M1396" t="s">
        <v>3956</v>
      </c>
    </row>
    <row r="1397" spans="1:13">
      <c r="A1397" t="s">
        <v>13</v>
      </c>
      <c r="B1397">
        <v>1472977</v>
      </c>
      <c r="C1397">
        <v>1474122</v>
      </c>
      <c r="E1397" t="s">
        <v>14</v>
      </c>
      <c r="F1397" t="s">
        <v>49</v>
      </c>
      <c r="H1397">
        <v>1019378</v>
      </c>
      <c r="I1397" t="s">
        <v>17</v>
      </c>
      <c r="K1397" t="s">
        <v>3957</v>
      </c>
      <c r="L1397">
        <v>381</v>
      </c>
      <c r="M1397" t="s">
        <v>3958</v>
      </c>
    </row>
    <row r="1398" spans="1:13">
      <c r="A1398" t="s">
        <v>13</v>
      </c>
      <c r="B1398">
        <v>1474119</v>
      </c>
      <c r="C1398">
        <v>1475696</v>
      </c>
      <c r="E1398" t="s">
        <v>14</v>
      </c>
      <c r="F1398" t="s">
        <v>121</v>
      </c>
      <c r="H1398">
        <v>1019379</v>
      </c>
      <c r="I1398" t="s">
        <v>17</v>
      </c>
      <c r="K1398" t="s">
        <v>3959</v>
      </c>
      <c r="L1398">
        <v>525</v>
      </c>
      <c r="M1398" t="s">
        <v>3960</v>
      </c>
    </row>
    <row r="1399" spans="1:13">
      <c r="A1399" t="s">
        <v>13</v>
      </c>
      <c r="B1399">
        <v>1475683</v>
      </c>
      <c r="C1399">
        <v>1476297</v>
      </c>
      <c r="E1399" t="s">
        <v>14</v>
      </c>
      <c r="F1399" t="s">
        <v>49</v>
      </c>
      <c r="H1399">
        <v>1019380</v>
      </c>
      <c r="I1399" t="s">
        <v>17</v>
      </c>
      <c r="K1399" t="s">
        <v>3961</v>
      </c>
      <c r="L1399">
        <v>204</v>
      </c>
      <c r="M1399" t="s">
        <v>3962</v>
      </c>
    </row>
    <row r="1400" spans="1:13">
      <c r="A1400" t="s">
        <v>13</v>
      </c>
      <c r="B1400">
        <v>1476343</v>
      </c>
      <c r="C1400">
        <v>1476522</v>
      </c>
      <c r="E1400" t="s">
        <v>14</v>
      </c>
      <c r="F1400" t="s">
        <v>3963</v>
      </c>
      <c r="H1400">
        <v>1019381</v>
      </c>
      <c r="I1400" t="s">
        <v>17</v>
      </c>
      <c r="K1400" t="s">
        <v>3964</v>
      </c>
      <c r="L1400">
        <v>59</v>
      </c>
      <c r="M1400" t="s">
        <v>3965</v>
      </c>
    </row>
    <row r="1401" spans="1:13">
      <c r="A1401" t="s">
        <v>13</v>
      </c>
      <c r="B1401">
        <v>1476550</v>
      </c>
      <c r="C1401">
        <v>1477812</v>
      </c>
      <c r="E1401" t="s">
        <v>14</v>
      </c>
      <c r="F1401" t="s">
        <v>3966</v>
      </c>
      <c r="G1401" t="s">
        <v>3967</v>
      </c>
      <c r="H1401">
        <v>1019382</v>
      </c>
      <c r="I1401" t="s">
        <v>17</v>
      </c>
      <c r="K1401" t="s">
        <v>3968</v>
      </c>
      <c r="L1401">
        <v>420</v>
      </c>
      <c r="M1401" t="s">
        <v>3969</v>
      </c>
    </row>
    <row r="1402" spans="1:13">
      <c r="A1402" t="s">
        <v>13</v>
      </c>
      <c r="B1402">
        <v>1477926</v>
      </c>
      <c r="C1402">
        <v>1478393</v>
      </c>
      <c r="E1402" t="s">
        <v>38</v>
      </c>
      <c r="F1402" t="s">
        <v>3863</v>
      </c>
      <c r="H1402">
        <v>1019383</v>
      </c>
      <c r="I1402" t="s">
        <v>17</v>
      </c>
      <c r="K1402" t="s">
        <v>3970</v>
      </c>
      <c r="L1402">
        <v>155</v>
      </c>
      <c r="M1402" t="s">
        <v>3971</v>
      </c>
    </row>
    <row r="1403" spans="1:13">
      <c r="A1403" t="s">
        <v>13</v>
      </c>
      <c r="B1403">
        <v>1479362</v>
      </c>
      <c r="C1403">
        <v>1480885</v>
      </c>
      <c r="E1403" t="s">
        <v>14</v>
      </c>
      <c r="F1403" t="s">
        <v>257</v>
      </c>
      <c r="H1403">
        <v>2745366</v>
      </c>
      <c r="I1403" t="s">
        <v>258</v>
      </c>
      <c r="M1403" t="s">
        <v>3972</v>
      </c>
    </row>
    <row r="1404" spans="1:13">
      <c r="A1404" t="s">
        <v>13</v>
      </c>
      <c r="B1404">
        <v>1481277</v>
      </c>
      <c r="C1404">
        <v>1484363</v>
      </c>
      <c r="E1404" t="s">
        <v>14</v>
      </c>
      <c r="F1404" t="s">
        <v>260</v>
      </c>
      <c r="H1404">
        <v>2745364</v>
      </c>
      <c r="I1404" t="s">
        <v>258</v>
      </c>
      <c r="M1404" t="s">
        <v>3973</v>
      </c>
    </row>
    <row r="1405" spans="1:13">
      <c r="A1405" t="s">
        <v>13</v>
      </c>
      <c r="B1405">
        <v>1484479</v>
      </c>
      <c r="C1405">
        <v>1484595</v>
      </c>
      <c r="E1405" t="s">
        <v>14</v>
      </c>
      <c r="F1405" t="s">
        <v>262</v>
      </c>
      <c r="G1405" t="s">
        <v>263</v>
      </c>
      <c r="H1405">
        <v>2745352</v>
      </c>
      <c r="I1405" t="s">
        <v>258</v>
      </c>
      <c r="M1405" t="s">
        <v>3974</v>
      </c>
    </row>
    <row r="1406" spans="1:13">
      <c r="A1406" t="s">
        <v>13</v>
      </c>
      <c r="B1406">
        <v>1484726</v>
      </c>
      <c r="C1406">
        <v>1486030</v>
      </c>
      <c r="E1406" t="s">
        <v>14</v>
      </c>
      <c r="F1406" t="s">
        <v>3975</v>
      </c>
      <c r="H1406">
        <v>1019384</v>
      </c>
      <c r="I1406" t="s">
        <v>17</v>
      </c>
      <c r="K1406" t="s">
        <v>3976</v>
      </c>
      <c r="L1406">
        <v>434</v>
      </c>
      <c r="M1406" t="s">
        <v>3977</v>
      </c>
    </row>
    <row r="1407" spans="1:13">
      <c r="A1407" t="s">
        <v>13</v>
      </c>
      <c r="B1407">
        <v>1486042</v>
      </c>
      <c r="C1407">
        <v>1487028</v>
      </c>
      <c r="E1407" t="s">
        <v>14</v>
      </c>
      <c r="F1407" t="s">
        <v>3978</v>
      </c>
      <c r="H1407">
        <v>1019385</v>
      </c>
      <c r="I1407" t="s">
        <v>17</v>
      </c>
      <c r="K1407" t="s">
        <v>3979</v>
      </c>
      <c r="L1407">
        <v>328</v>
      </c>
      <c r="M1407" t="s">
        <v>3980</v>
      </c>
    </row>
    <row r="1408" spans="1:13">
      <c r="A1408" t="s">
        <v>13</v>
      </c>
      <c r="B1408">
        <v>1487032</v>
      </c>
      <c r="C1408">
        <v>1487196</v>
      </c>
      <c r="E1408" t="s">
        <v>14</v>
      </c>
      <c r="F1408" t="s">
        <v>49</v>
      </c>
      <c r="H1408">
        <v>44156732</v>
      </c>
      <c r="I1408" t="s">
        <v>17</v>
      </c>
      <c r="K1408" t="s">
        <v>3981</v>
      </c>
      <c r="L1408">
        <v>54</v>
      </c>
      <c r="M1408" t="s">
        <v>3982</v>
      </c>
    </row>
    <row r="1409" spans="1:13">
      <c r="A1409" t="s">
        <v>13</v>
      </c>
      <c r="B1409">
        <v>1487238</v>
      </c>
      <c r="C1409">
        <v>1488059</v>
      </c>
      <c r="E1409" t="s">
        <v>14</v>
      </c>
      <c r="F1409" t="s">
        <v>3983</v>
      </c>
      <c r="H1409">
        <v>1019387</v>
      </c>
      <c r="I1409" t="s">
        <v>17</v>
      </c>
      <c r="K1409" t="s">
        <v>3984</v>
      </c>
      <c r="L1409">
        <v>273</v>
      </c>
      <c r="M1409" t="s">
        <v>3985</v>
      </c>
    </row>
    <row r="1410" spans="1:13">
      <c r="A1410" t="s">
        <v>13</v>
      </c>
      <c r="B1410">
        <v>1488059</v>
      </c>
      <c r="C1410">
        <v>1489021</v>
      </c>
      <c r="E1410" t="s">
        <v>14</v>
      </c>
      <c r="F1410" t="s">
        <v>3986</v>
      </c>
      <c r="H1410">
        <v>1019388</v>
      </c>
      <c r="I1410" t="s">
        <v>17</v>
      </c>
      <c r="K1410" t="s">
        <v>3987</v>
      </c>
      <c r="L1410">
        <v>320</v>
      </c>
      <c r="M1410" t="s">
        <v>3988</v>
      </c>
    </row>
    <row r="1411" spans="1:13">
      <c r="A1411" t="s">
        <v>13</v>
      </c>
      <c r="B1411">
        <v>1489103</v>
      </c>
      <c r="C1411">
        <v>1490884</v>
      </c>
      <c r="E1411" t="s">
        <v>14</v>
      </c>
      <c r="F1411" t="s">
        <v>3989</v>
      </c>
      <c r="G1411" t="s">
        <v>3990</v>
      </c>
      <c r="H1411">
        <v>1019389</v>
      </c>
      <c r="I1411" t="s">
        <v>17</v>
      </c>
      <c r="K1411" t="s">
        <v>3991</v>
      </c>
      <c r="L1411">
        <v>593</v>
      </c>
      <c r="M1411" t="s">
        <v>3992</v>
      </c>
    </row>
    <row r="1412" spans="1:13">
      <c r="A1412" t="s">
        <v>13</v>
      </c>
      <c r="B1412">
        <v>1490944</v>
      </c>
      <c r="C1412">
        <v>1492137</v>
      </c>
      <c r="E1412" t="s">
        <v>14</v>
      </c>
      <c r="F1412" t="s">
        <v>3993</v>
      </c>
      <c r="G1412" t="s">
        <v>3994</v>
      </c>
      <c r="H1412">
        <v>1019390</v>
      </c>
      <c r="I1412" t="s">
        <v>17</v>
      </c>
      <c r="K1412" t="s">
        <v>3995</v>
      </c>
      <c r="L1412">
        <v>397</v>
      </c>
      <c r="M1412" t="s">
        <v>3996</v>
      </c>
    </row>
    <row r="1413" spans="1:13">
      <c r="A1413" t="s">
        <v>13</v>
      </c>
      <c r="B1413">
        <v>1492147</v>
      </c>
      <c r="C1413">
        <v>1493112</v>
      </c>
      <c r="E1413" t="s">
        <v>14</v>
      </c>
      <c r="F1413" t="s">
        <v>3997</v>
      </c>
      <c r="H1413">
        <v>1019391</v>
      </c>
      <c r="I1413" t="s">
        <v>17</v>
      </c>
      <c r="K1413" t="s">
        <v>3998</v>
      </c>
      <c r="L1413">
        <v>321</v>
      </c>
      <c r="M1413" t="s">
        <v>3999</v>
      </c>
    </row>
    <row r="1414" spans="1:13">
      <c r="A1414" t="s">
        <v>13</v>
      </c>
      <c r="B1414">
        <v>1493513</v>
      </c>
      <c r="C1414">
        <v>1495177</v>
      </c>
      <c r="E1414" t="s">
        <v>14</v>
      </c>
      <c r="F1414" t="s">
        <v>4000</v>
      </c>
      <c r="H1414">
        <v>1019392</v>
      </c>
      <c r="I1414" t="s">
        <v>17</v>
      </c>
      <c r="K1414" t="s">
        <v>4001</v>
      </c>
      <c r="L1414">
        <v>554</v>
      </c>
      <c r="M1414" t="s">
        <v>4002</v>
      </c>
    </row>
    <row r="1415" spans="1:13">
      <c r="A1415" t="s">
        <v>13</v>
      </c>
      <c r="B1415">
        <v>1495193</v>
      </c>
      <c r="C1415">
        <v>1495864</v>
      </c>
      <c r="E1415" t="s">
        <v>14</v>
      </c>
      <c r="F1415" t="s">
        <v>2245</v>
      </c>
      <c r="H1415">
        <v>1019393</v>
      </c>
      <c r="I1415" t="s">
        <v>17</v>
      </c>
      <c r="K1415" t="s">
        <v>4003</v>
      </c>
      <c r="L1415">
        <v>223</v>
      </c>
      <c r="M1415" t="s">
        <v>4004</v>
      </c>
    </row>
    <row r="1416" spans="1:13">
      <c r="A1416" t="s">
        <v>13</v>
      </c>
      <c r="B1416">
        <v>1495861</v>
      </c>
      <c r="C1416">
        <v>1496775</v>
      </c>
      <c r="E1416" t="s">
        <v>14</v>
      </c>
      <c r="F1416" t="s">
        <v>4005</v>
      </c>
      <c r="G1416" t="s">
        <v>4006</v>
      </c>
      <c r="H1416">
        <v>1019394</v>
      </c>
      <c r="I1416" t="s">
        <v>17</v>
      </c>
      <c r="K1416" t="s">
        <v>4007</v>
      </c>
      <c r="L1416">
        <v>304</v>
      </c>
      <c r="M1416" t="s">
        <v>4008</v>
      </c>
    </row>
    <row r="1417" spans="1:13">
      <c r="A1417" t="s">
        <v>13</v>
      </c>
      <c r="B1417">
        <v>1496792</v>
      </c>
      <c r="C1417">
        <v>1498324</v>
      </c>
      <c r="E1417" t="s">
        <v>38</v>
      </c>
      <c r="F1417" t="s">
        <v>127</v>
      </c>
      <c r="H1417">
        <v>1019395</v>
      </c>
      <c r="I1417" t="s">
        <v>17</v>
      </c>
      <c r="K1417" t="s">
        <v>4009</v>
      </c>
      <c r="L1417">
        <v>510</v>
      </c>
      <c r="M1417" t="s">
        <v>4010</v>
      </c>
    </row>
    <row r="1418" spans="1:13">
      <c r="A1418" t="s">
        <v>13</v>
      </c>
      <c r="B1418">
        <v>1498776</v>
      </c>
      <c r="C1418">
        <v>1499648</v>
      </c>
      <c r="E1418" t="s">
        <v>14</v>
      </c>
      <c r="F1418" t="s">
        <v>4011</v>
      </c>
      <c r="H1418">
        <v>1019396</v>
      </c>
      <c r="I1418" t="s">
        <v>17</v>
      </c>
      <c r="K1418" t="s">
        <v>4012</v>
      </c>
      <c r="L1418">
        <v>290</v>
      </c>
      <c r="M1418" t="s">
        <v>4013</v>
      </c>
    </row>
    <row r="1419" spans="1:13">
      <c r="A1419" t="s">
        <v>13</v>
      </c>
      <c r="B1419">
        <v>1499733</v>
      </c>
      <c r="C1419">
        <v>1500698</v>
      </c>
      <c r="E1419" t="s">
        <v>14</v>
      </c>
      <c r="F1419" t="s">
        <v>4014</v>
      </c>
      <c r="H1419">
        <v>1019397</v>
      </c>
      <c r="I1419" t="s">
        <v>17</v>
      </c>
      <c r="K1419" t="s">
        <v>4015</v>
      </c>
      <c r="L1419">
        <v>321</v>
      </c>
      <c r="M1419" t="s">
        <v>4016</v>
      </c>
    </row>
    <row r="1420" spans="1:13">
      <c r="A1420" t="s">
        <v>13</v>
      </c>
      <c r="B1420">
        <v>1500908</v>
      </c>
      <c r="C1420">
        <v>1501471</v>
      </c>
      <c r="E1420" t="s">
        <v>38</v>
      </c>
      <c r="F1420" t="s">
        <v>549</v>
      </c>
      <c r="H1420">
        <v>1019398</v>
      </c>
      <c r="I1420" t="s">
        <v>17</v>
      </c>
      <c r="K1420" t="s">
        <v>4017</v>
      </c>
      <c r="L1420">
        <v>187</v>
      </c>
      <c r="M1420" t="s">
        <v>4018</v>
      </c>
    </row>
    <row r="1421" spans="1:13">
      <c r="A1421" t="s">
        <v>13</v>
      </c>
      <c r="B1421">
        <v>1501710</v>
      </c>
      <c r="C1421">
        <v>1502579</v>
      </c>
      <c r="E1421" t="s">
        <v>14</v>
      </c>
      <c r="F1421" t="s">
        <v>2027</v>
      </c>
      <c r="H1421">
        <v>1019399</v>
      </c>
      <c r="I1421" t="s">
        <v>17</v>
      </c>
      <c r="K1421" t="s">
        <v>4019</v>
      </c>
      <c r="L1421">
        <v>289</v>
      </c>
      <c r="M1421" t="s">
        <v>4020</v>
      </c>
    </row>
    <row r="1422" spans="1:13">
      <c r="A1422" t="s">
        <v>13</v>
      </c>
      <c r="B1422">
        <v>1502601</v>
      </c>
      <c r="C1422">
        <v>1503179</v>
      </c>
      <c r="E1422" t="s">
        <v>14</v>
      </c>
      <c r="F1422" t="s">
        <v>4021</v>
      </c>
      <c r="G1422" t="s">
        <v>4022</v>
      </c>
      <c r="H1422">
        <v>1019400</v>
      </c>
      <c r="I1422" t="s">
        <v>17</v>
      </c>
      <c r="K1422" t="s">
        <v>4023</v>
      </c>
      <c r="L1422">
        <v>192</v>
      </c>
      <c r="M1422" t="s">
        <v>4024</v>
      </c>
    </row>
    <row r="1423" spans="1:13">
      <c r="A1423" t="s">
        <v>13</v>
      </c>
      <c r="B1423">
        <v>1503279</v>
      </c>
      <c r="C1423">
        <v>1504241</v>
      </c>
      <c r="E1423" t="s">
        <v>14</v>
      </c>
      <c r="F1423" t="s">
        <v>4025</v>
      </c>
      <c r="H1423">
        <v>1019401</v>
      </c>
      <c r="I1423" t="s">
        <v>17</v>
      </c>
      <c r="K1423" t="s">
        <v>4026</v>
      </c>
      <c r="L1423">
        <v>320</v>
      </c>
      <c r="M1423" t="s">
        <v>4027</v>
      </c>
    </row>
    <row r="1424" spans="1:13">
      <c r="A1424" t="s">
        <v>13</v>
      </c>
      <c r="B1424">
        <v>1504238</v>
      </c>
      <c r="C1424">
        <v>1504948</v>
      </c>
      <c r="E1424" t="s">
        <v>14</v>
      </c>
      <c r="F1424" t="s">
        <v>4028</v>
      </c>
      <c r="G1424" t="s">
        <v>4029</v>
      </c>
      <c r="H1424">
        <v>1019402</v>
      </c>
      <c r="I1424" t="s">
        <v>17</v>
      </c>
      <c r="K1424" t="s">
        <v>4030</v>
      </c>
      <c r="L1424">
        <v>236</v>
      </c>
      <c r="M1424" t="s">
        <v>4031</v>
      </c>
    </row>
    <row r="1425" spans="1:13">
      <c r="A1425" t="s">
        <v>13</v>
      </c>
      <c r="B1425">
        <v>1504963</v>
      </c>
      <c r="C1425">
        <v>1506576</v>
      </c>
      <c r="E1425" t="s">
        <v>14</v>
      </c>
      <c r="F1425" t="s">
        <v>4032</v>
      </c>
      <c r="G1425" t="s">
        <v>4033</v>
      </c>
      <c r="H1425">
        <v>1019403</v>
      </c>
      <c r="I1425" t="s">
        <v>17</v>
      </c>
      <c r="K1425" t="s">
        <v>4034</v>
      </c>
      <c r="L1425">
        <v>537</v>
      </c>
      <c r="M1425" t="s">
        <v>4035</v>
      </c>
    </row>
    <row r="1426" spans="1:13">
      <c r="A1426" t="s">
        <v>13</v>
      </c>
      <c r="B1426">
        <v>1506659</v>
      </c>
      <c r="C1426">
        <v>1507327</v>
      </c>
      <c r="E1426" t="s">
        <v>38</v>
      </c>
      <c r="F1426" t="s">
        <v>4036</v>
      </c>
      <c r="H1426">
        <v>1019404</v>
      </c>
      <c r="I1426" t="s">
        <v>17</v>
      </c>
      <c r="K1426" t="s">
        <v>4037</v>
      </c>
      <c r="L1426">
        <v>222</v>
      </c>
      <c r="M1426" t="s">
        <v>4038</v>
      </c>
    </row>
    <row r="1427" spans="1:13">
      <c r="A1427" t="s">
        <v>13</v>
      </c>
      <c r="B1427">
        <v>1507402</v>
      </c>
      <c r="C1427">
        <v>1507902</v>
      </c>
      <c r="E1427" t="s">
        <v>38</v>
      </c>
      <c r="F1427" t="s">
        <v>4039</v>
      </c>
      <c r="H1427">
        <v>1019405</v>
      </c>
      <c r="I1427" t="s">
        <v>17</v>
      </c>
      <c r="K1427" t="s">
        <v>4040</v>
      </c>
      <c r="L1427">
        <v>166</v>
      </c>
      <c r="M1427" t="s">
        <v>4041</v>
      </c>
    </row>
    <row r="1428" spans="1:13">
      <c r="A1428" t="s">
        <v>13</v>
      </c>
      <c r="B1428">
        <v>1507914</v>
      </c>
      <c r="C1428">
        <v>1508729</v>
      </c>
      <c r="E1428" t="s">
        <v>38</v>
      </c>
      <c r="F1428" t="s">
        <v>1169</v>
      </c>
      <c r="H1428">
        <v>1019406</v>
      </c>
      <c r="I1428" t="s">
        <v>17</v>
      </c>
      <c r="K1428" t="s">
        <v>4042</v>
      </c>
      <c r="L1428">
        <v>271</v>
      </c>
      <c r="M1428" t="s">
        <v>4043</v>
      </c>
    </row>
    <row r="1429" spans="1:13">
      <c r="A1429" t="s">
        <v>13</v>
      </c>
      <c r="B1429">
        <v>1508813</v>
      </c>
      <c r="C1429">
        <v>1510369</v>
      </c>
      <c r="E1429" t="s">
        <v>14</v>
      </c>
      <c r="F1429" t="s">
        <v>721</v>
      </c>
      <c r="H1429">
        <v>1019407</v>
      </c>
      <c r="I1429" t="s">
        <v>17</v>
      </c>
      <c r="K1429" t="s">
        <v>4044</v>
      </c>
      <c r="L1429">
        <v>518</v>
      </c>
      <c r="M1429" t="s">
        <v>4045</v>
      </c>
    </row>
    <row r="1430" spans="1:13">
      <c r="A1430" t="s">
        <v>13</v>
      </c>
      <c r="B1430">
        <v>1510390</v>
      </c>
      <c r="C1430">
        <v>1512135</v>
      </c>
      <c r="E1430" t="s">
        <v>14</v>
      </c>
      <c r="F1430" t="s">
        <v>147</v>
      </c>
      <c r="H1430">
        <v>1019408</v>
      </c>
      <c r="I1430" t="s">
        <v>17</v>
      </c>
      <c r="K1430" t="s">
        <v>4046</v>
      </c>
      <c r="L1430">
        <v>581</v>
      </c>
      <c r="M1430" t="s">
        <v>4047</v>
      </c>
    </row>
    <row r="1431" spans="1:13">
      <c r="A1431" t="s">
        <v>13</v>
      </c>
      <c r="B1431">
        <v>1512174</v>
      </c>
      <c r="C1431">
        <v>1512980</v>
      </c>
      <c r="E1431" t="s">
        <v>14</v>
      </c>
      <c r="F1431" t="s">
        <v>4048</v>
      </c>
      <c r="G1431" t="s">
        <v>4049</v>
      </c>
      <c r="H1431">
        <v>1019409</v>
      </c>
      <c r="I1431" t="s">
        <v>17</v>
      </c>
      <c r="K1431" t="s">
        <v>4050</v>
      </c>
      <c r="L1431">
        <v>268</v>
      </c>
      <c r="M1431" t="s">
        <v>4051</v>
      </c>
    </row>
    <row r="1432" spans="1:13">
      <c r="A1432" t="s">
        <v>13</v>
      </c>
      <c r="B1432">
        <v>1512977</v>
      </c>
      <c r="C1432">
        <v>1514527</v>
      </c>
      <c r="E1432" t="s">
        <v>38</v>
      </c>
      <c r="F1432" t="s">
        <v>814</v>
      </c>
      <c r="H1432">
        <v>1019410</v>
      </c>
      <c r="I1432" t="s">
        <v>17</v>
      </c>
      <c r="K1432" t="s">
        <v>4052</v>
      </c>
      <c r="L1432">
        <v>516</v>
      </c>
      <c r="M1432" t="s">
        <v>4053</v>
      </c>
    </row>
    <row r="1433" spans="1:13">
      <c r="A1433" t="s">
        <v>13</v>
      </c>
      <c r="B1433">
        <v>1514971</v>
      </c>
      <c r="C1433">
        <v>1515159</v>
      </c>
      <c r="E1433" t="s">
        <v>38</v>
      </c>
      <c r="F1433" t="s">
        <v>49</v>
      </c>
      <c r="H1433">
        <v>1019411</v>
      </c>
      <c r="I1433" t="s">
        <v>17</v>
      </c>
      <c r="K1433" t="s">
        <v>4054</v>
      </c>
      <c r="L1433">
        <v>62</v>
      </c>
      <c r="M1433" t="s">
        <v>4055</v>
      </c>
    </row>
    <row r="1434" spans="1:13">
      <c r="A1434" t="s">
        <v>13</v>
      </c>
      <c r="B1434">
        <v>1515226</v>
      </c>
      <c r="C1434">
        <v>1515299</v>
      </c>
      <c r="E1434" t="s">
        <v>38</v>
      </c>
      <c r="F1434" t="s">
        <v>845</v>
      </c>
      <c r="H1434">
        <v>2745298</v>
      </c>
      <c r="I1434" t="s">
        <v>62</v>
      </c>
      <c r="M1434" t="s">
        <v>4056</v>
      </c>
    </row>
    <row r="1435" spans="1:13">
      <c r="A1435" t="s">
        <v>13</v>
      </c>
      <c r="B1435">
        <v>1515405</v>
      </c>
      <c r="C1435">
        <v>1515794</v>
      </c>
      <c r="E1435" t="s">
        <v>38</v>
      </c>
      <c r="F1435" t="s">
        <v>4057</v>
      </c>
      <c r="H1435">
        <v>1019412</v>
      </c>
      <c r="I1435" t="s">
        <v>17</v>
      </c>
      <c r="K1435" t="s">
        <v>4058</v>
      </c>
      <c r="L1435">
        <v>129</v>
      </c>
      <c r="M1435" t="s">
        <v>4059</v>
      </c>
    </row>
    <row r="1436" spans="1:13">
      <c r="A1436" t="s">
        <v>13</v>
      </c>
      <c r="B1436">
        <v>1515796</v>
      </c>
      <c r="C1436">
        <v>1516935</v>
      </c>
      <c r="E1436" t="s">
        <v>38</v>
      </c>
      <c r="F1436" t="s">
        <v>4060</v>
      </c>
      <c r="H1436">
        <v>1019413</v>
      </c>
      <c r="I1436" t="s">
        <v>17</v>
      </c>
      <c r="K1436" t="s">
        <v>4061</v>
      </c>
      <c r="L1436">
        <v>379</v>
      </c>
      <c r="M1436" t="s">
        <v>4062</v>
      </c>
    </row>
    <row r="1437" spans="1:13">
      <c r="A1437" t="s">
        <v>13</v>
      </c>
      <c r="B1437">
        <v>1517170</v>
      </c>
      <c r="C1437">
        <v>1519461</v>
      </c>
      <c r="E1437" t="s">
        <v>14</v>
      </c>
      <c r="F1437" t="s">
        <v>4063</v>
      </c>
      <c r="G1437" t="s">
        <v>4064</v>
      </c>
      <c r="H1437">
        <v>1019414</v>
      </c>
      <c r="I1437" t="s">
        <v>17</v>
      </c>
      <c r="K1437" t="s">
        <v>4065</v>
      </c>
      <c r="L1437">
        <v>763</v>
      </c>
      <c r="M1437" t="s">
        <v>4066</v>
      </c>
    </row>
    <row r="1438" spans="1:13">
      <c r="A1438" t="s">
        <v>13</v>
      </c>
      <c r="B1438">
        <v>1519601</v>
      </c>
      <c r="C1438">
        <v>1520032</v>
      </c>
      <c r="E1438" t="s">
        <v>14</v>
      </c>
      <c r="F1438" t="s">
        <v>4067</v>
      </c>
      <c r="G1438" t="s">
        <v>4068</v>
      </c>
      <c r="H1438">
        <v>1019415</v>
      </c>
      <c r="I1438" t="s">
        <v>17</v>
      </c>
      <c r="K1438" t="s">
        <v>4069</v>
      </c>
      <c r="L1438">
        <v>143</v>
      </c>
      <c r="M1438" t="s">
        <v>4070</v>
      </c>
    </row>
    <row r="1439" spans="1:13">
      <c r="A1439" t="s">
        <v>13</v>
      </c>
      <c r="B1439">
        <v>1520190</v>
      </c>
      <c r="C1439">
        <v>1520948</v>
      </c>
      <c r="E1439" t="s">
        <v>14</v>
      </c>
      <c r="F1439" t="s">
        <v>4071</v>
      </c>
      <c r="H1439">
        <v>1019416</v>
      </c>
      <c r="I1439" t="s">
        <v>17</v>
      </c>
      <c r="K1439" t="s">
        <v>4072</v>
      </c>
      <c r="L1439">
        <v>252</v>
      </c>
      <c r="M1439" t="s">
        <v>4073</v>
      </c>
    </row>
    <row r="1440" spans="1:13">
      <c r="A1440" t="s">
        <v>13</v>
      </c>
      <c r="B1440">
        <v>1520957</v>
      </c>
      <c r="C1440">
        <v>1521592</v>
      </c>
      <c r="E1440" t="s">
        <v>14</v>
      </c>
      <c r="F1440" t="s">
        <v>4074</v>
      </c>
      <c r="H1440">
        <v>1019417</v>
      </c>
      <c r="I1440" t="s">
        <v>17</v>
      </c>
      <c r="K1440" t="s">
        <v>4075</v>
      </c>
      <c r="L1440">
        <v>211</v>
      </c>
      <c r="M1440" t="s">
        <v>4076</v>
      </c>
    </row>
    <row r="1441" spans="1:13">
      <c r="A1441" t="s">
        <v>13</v>
      </c>
      <c r="B1441">
        <v>1521771</v>
      </c>
      <c r="C1441">
        <v>1522346</v>
      </c>
      <c r="E1441" t="s">
        <v>14</v>
      </c>
      <c r="F1441" t="s">
        <v>4077</v>
      </c>
      <c r="H1441">
        <v>1019418</v>
      </c>
      <c r="I1441" t="s">
        <v>17</v>
      </c>
      <c r="K1441" t="s">
        <v>4078</v>
      </c>
      <c r="L1441">
        <v>191</v>
      </c>
      <c r="M1441" t="s">
        <v>4079</v>
      </c>
    </row>
    <row r="1442" spans="1:13">
      <c r="A1442" t="s">
        <v>13</v>
      </c>
      <c r="B1442">
        <v>1522429</v>
      </c>
      <c r="C1442">
        <v>1522941</v>
      </c>
      <c r="E1442" t="s">
        <v>38</v>
      </c>
      <c r="F1442" t="s">
        <v>1443</v>
      </c>
      <c r="H1442">
        <v>1019419</v>
      </c>
      <c r="I1442" t="s">
        <v>17</v>
      </c>
      <c r="K1442" t="s">
        <v>4080</v>
      </c>
      <c r="L1442">
        <v>170</v>
      </c>
      <c r="M1442" t="s">
        <v>4081</v>
      </c>
    </row>
    <row r="1443" spans="1:13">
      <c r="A1443" t="s">
        <v>13</v>
      </c>
      <c r="B1443">
        <v>1523049</v>
      </c>
      <c r="C1443">
        <v>1524440</v>
      </c>
      <c r="E1443" t="s">
        <v>38</v>
      </c>
      <c r="F1443" t="s">
        <v>49</v>
      </c>
      <c r="H1443">
        <v>1019420</v>
      </c>
      <c r="I1443" t="s">
        <v>17</v>
      </c>
      <c r="K1443" t="s">
        <v>4082</v>
      </c>
      <c r="L1443">
        <v>463</v>
      </c>
      <c r="M1443" t="s">
        <v>4083</v>
      </c>
    </row>
    <row r="1444" spans="1:13">
      <c r="A1444" t="s">
        <v>13</v>
      </c>
      <c r="B1444">
        <v>1524565</v>
      </c>
      <c r="C1444">
        <v>1525413</v>
      </c>
      <c r="E1444" t="s">
        <v>38</v>
      </c>
      <c r="F1444" t="s">
        <v>49</v>
      </c>
      <c r="H1444">
        <v>1019421</v>
      </c>
      <c r="I1444" t="s">
        <v>17</v>
      </c>
      <c r="K1444" t="s">
        <v>4084</v>
      </c>
      <c r="L1444">
        <v>282</v>
      </c>
      <c r="M1444" t="s">
        <v>4085</v>
      </c>
    </row>
    <row r="1445" spans="1:13">
      <c r="A1445" t="s">
        <v>13</v>
      </c>
      <c r="B1445">
        <v>1525470</v>
      </c>
      <c r="C1445">
        <v>1526534</v>
      </c>
      <c r="E1445" t="s">
        <v>38</v>
      </c>
      <c r="F1445" t="s">
        <v>3397</v>
      </c>
      <c r="H1445">
        <v>1019422</v>
      </c>
      <c r="I1445" t="s">
        <v>17</v>
      </c>
      <c r="K1445" t="s">
        <v>4086</v>
      </c>
      <c r="L1445">
        <v>354</v>
      </c>
      <c r="M1445" t="s">
        <v>4087</v>
      </c>
    </row>
    <row r="1446" spans="1:13">
      <c r="A1446" t="s">
        <v>13</v>
      </c>
      <c r="B1446">
        <v>1526531</v>
      </c>
      <c r="C1446">
        <v>1527913</v>
      </c>
      <c r="E1446" t="s">
        <v>38</v>
      </c>
      <c r="F1446" t="s">
        <v>3397</v>
      </c>
      <c r="H1446">
        <v>1019423</v>
      </c>
      <c r="I1446" t="s">
        <v>17</v>
      </c>
      <c r="K1446" t="s">
        <v>4088</v>
      </c>
      <c r="L1446">
        <v>460</v>
      </c>
      <c r="M1446" t="s">
        <v>4089</v>
      </c>
    </row>
    <row r="1447" spans="1:13">
      <c r="A1447" t="s">
        <v>13</v>
      </c>
      <c r="B1447">
        <v>1527984</v>
      </c>
      <c r="C1447">
        <v>1529330</v>
      </c>
      <c r="E1447" t="s">
        <v>38</v>
      </c>
      <c r="F1447" t="s">
        <v>930</v>
      </c>
      <c r="H1447">
        <v>1019424</v>
      </c>
      <c r="I1447" t="s">
        <v>17</v>
      </c>
      <c r="K1447" t="s">
        <v>4090</v>
      </c>
      <c r="L1447">
        <v>448</v>
      </c>
      <c r="M1447" t="s">
        <v>4091</v>
      </c>
    </row>
    <row r="1448" spans="1:13">
      <c r="A1448" t="s">
        <v>13</v>
      </c>
      <c r="B1448">
        <v>1529486</v>
      </c>
      <c r="C1448">
        <v>1530223</v>
      </c>
      <c r="E1448" t="s">
        <v>14</v>
      </c>
      <c r="F1448" t="s">
        <v>150</v>
      </c>
      <c r="H1448">
        <v>1019425</v>
      </c>
      <c r="I1448" t="s">
        <v>17</v>
      </c>
      <c r="K1448" t="s">
        <v>4092</v>
      </c>
      <c r="L1448">
        <v>245</v>
      </c>
      <c r="M1448" t="s">
        <v>4093</v>
      </c>
    </row>
    <row r="1449" spans="1:13">
      <c r="A1449" t="s">
        <v>13</v>
      </c>
      <c r="B1449">
        <v>1530338</v>
      </c>
      <c r="C1449">
        <v>1531792</v>
      </c>
      <c r="E1449" t="s">
        <v>38</v>
      </c>
      <c r="F1449" t="s">
        <v>4094</v>
      </c>
      <c r="G1449" t="s">
        <v>4095</v>
      </c>
      <c r="H1449">
        <v>1019426</v>
      </c>
      <c r="I1449" t="s">
        <v>17</v>
      </c>
      <c r="K1449" t="s">
        <v>4096</v>
      </c>
      <c r="L1449">
        <v>484</v>
      </c>
      <c r="M1449" t="s">
        <v>4097</v>
      </c>
    </row>
    <row r="1450" spans="1:13">
      <c r="A1450" t="s">
        <v>13</v>
      </c>
      <c r="B1450">
        <v>1531933</v>
      </c>
      <c r="C1450">
        <v>1532397</v>
      </c>
      <c r="E1450" t="s">
        <v>14</v>
      </c>
      <c r="F1450" t="s">
        <v>4098</v>
      </c>
      <c r="H1450">
        <v>1019427</v>
      </c>
      <c r="I1450" t="s">
        <v>17</v>
      </c>
      <c r="K1450" t="s">
        <v>4099</v>
      </c>
      <c r="L1450">
        <v>154</v>
      </c>
      <c r="M1450" t="s">
        <v>4100</v>
      </c>
    </row>
    <row r="1451" spans="1:13">
      <c r="A1451" t="s">
        <v>13</v>
      </c>
      <c r="B1451">
        <v>1532415</v>
      </c>
      <c r="C1451">
        <v>1532999</v>
      </c>
      <c r="E1451" t="s">
        <v>14</v>
      </c>
      <c r="F1451" t="s">
        <v>1169</v>
      </c>
      <c r="H1451">
        <v>1019428</v>
      </c>
      <c r="I1451" t="s">
        <v>17</v>
      </c>
      <c r="K1451" t="s">
        <v>4101</v>
      </c>
      <c r="L1451">
        <v>194</v>
      </c>
      <c r="M1451" t="s">
        <v>4102</v>
      </c>
    </row>
    <row r="1452" spans="1:13">
      <c r="A1452" t="s">
        <v>13</v>
      </c>
      <c r="B1452">
        <v>1533041</v>
      </c>
      <c r="C1452">
        <v>1533784</v>
      </c>
      <c r="E1452" t="s">
        <v>14</v>
      </c>
      <c r="F1452" t="s">
        <v>147</v>
      </c>
      <c r="H1452">
        <v>1019429</v>
      </c>
      <c r="I1452" t="s">
        <v>17</v>
      </c>
      <c r="K1452" t="s">
        <v>4103</v>
      </c>
      <c r="L1452">
        <v>247</v>
      </c>
      <c r="M1452" t="s">
        <v>4104</v>
      </c>
    </row>
    <row r="1453" spans="1:13">
      <c r="A1453" t="s">
        <v>13</v>
      </c>
      <c r="B1453">
        <v>1533781</v>
      </c>
      <c r="C1453">
        <v>1534524</v>
      </c>
      <c r="E1453" t="s">
        <v>14</v>
      </c>
      <c r="F1453" t="s">
        <v>124</v>
      </c>
      <c r="H1453">
        <v>1019430</v>
      </c>
      <c r="I1453" t="s">
        <v>17</v>
      </c>
      <c r="K1453" t="s">
        <v>4105</v>
      </c>
      <c r="L1453">
        <v>247</v>
      </c>
      <c r="M1453" t="s">
        <v>4106</v>
      </c>
    </row>
    <row r="1454" spans="1:13">
      <c r="A1454" t="s">
        <v>13</v>
      </c>
      <c r="B1454">
        <v>1534526</v>
      </c>
      <c r="C1454">
        <v>1535401</v>
      </c>
      <c r="E1454" t="s">
        <v>38</v>
      </c>
      <c r="F1454" t="s">
        <v>4107</v>
      </c>
      <c r="H1454">
        <v>1019431</v>
      </c>
      <c r="I1454" t="s">
        <v>17</v>
      </c>
      <c r="K1454" t="s">
        <v>4108</v>
      </c>
      <c r="L1454">
        <v>291</v>
      </c>
      <c r="M1454" t="s">
        <v>4109</v>
      </c>
    </row>
    <row r="1455" spans="1:13">
      <c r="A1455" t="s">
        <v>13</v>
      </c>
      <c r="B1455">
        <v>1535379</v>
      </c>
      <c r="C1455">
        <v>1536227</v>
      </c>
      <c r="E1455" t="s">
        <v>38</v>
      </c>
      <c r="F1455" t="s">
        <v>4110</v>
      </c>
      <c r="G1455" t="s">
        <v>4111</v>
      </c>
      <c r="H1455">
        <v>1019432</v>
      </c>
      <c r="I1455" t="s">
        <v>17</v>
      </c>
      <c r="K1455" t="s">
        <v>4112</v>
      </c>
      <c r="L1455">
        <v>282</v>
      </c>
      <c r="M1455" t="s">
        <v>4113</v>
      </c>
    </row>
    <row r="1456" spans="1:13">
      <c r="A1456" t="s">
        <v>13</v>
      </c>
      <c r="B1456">
        <v>1536224</v>
      </c>
      <c r="C1456">
        <v>1537030</v>
      </c>
      <c r="E1456" t="s">
        <v>38</v>
      </c>
      <c r="F1456" t="s">
        <v>4110</v>
      </c>
      <c r="G1456" t="s">
        <v>4111</v>
      </c>
      <c r="H1456">
        <v>1019433</v>
      </c>
      <c r="I1456" t="s">
        <v>17</v>
      </c>
      <c r="K1456" t="s">
        <v>4114</v>
      </c>
      <c r="L1456">
        <v>268</v>
      </c>
      <c r="M1456" t="s">
        <v>4115</v>
      </c>
    </row>
    <row r="1457" spans="1:13">
      <c r="A1457" t="s">
        <v>13</v>
      </c>
      <c r="B1457">
        <v>1537027</v>
      </c>
      <c r="C1457">
        <v>1537833</v>
      </c>
      <c r="E1457" t="s">
        <v>38</v>
      </c>
      <c r="F1457" t="s">
        <v>4116</v>
      </c>
      <c r="G1457" t="s">
        <v>4117</v>
      </c>
      <c r="H1457">
        <v>1019434</v>
      </c>
      <c r="I1457" t="s">
        <v>17</v>
      </c>
      <c r="K1457" t="s">
        <v>4118</v>
      </c>
      <c r="L1457">
        <v>268</v>
      </c>
      <c r="M1457" t="s">
        <v>4119</v>
      </c>
    </row>
    <row r="1458" spans="1:13">
      <c r="A1458" t="s">
        <v>13</v>
      </c>
      <c r="B1458">
        <v>1537867</v>
      </c>
      <c r="C1458">
        <v>1538919</v>
      </c>
      <c r="E1458" t="s">
        <v>38</v>
      </c>
      <c r="F1458" t="s">
        <v>4120</v>
      </c>
      <c r="G1458" t="s">
        <v>4121</v>
      </c>
      <c r="H1458">
        <v>1019435</v>
      </c>
      <c r="I1458" t="s">
        <v>17</v>
      </c>
      <c r="K1458" t="s">
        <v>4122</v>
      </c>
      <c r="L1458">
        <v>350</v>
      </c>
      <c r="M1458" t="s">
        <v>4123</v>
      </c>
    </row>
    <row r="1459" spans="1:13">
      <c r="A1459" t="s">
        <v>13</v>
      </c>
      <c r="B1459">
        <v>1538960</v>
      </c>
      <c r="C1459">
        <v>1539619</v>
      </c>
      <c r="E1459" t="s">
        <v>38</v>
      </c>
      <c r="F1459" t="s">
        <v>394</v>
      </c>
      <c r="H1459">
        <v>1019436</v>
      </c>
      <c r="I1459" t="s">
        <v>17</v>
      </c>
      <c r="K1459" t="s">
        <v>4124</v>
      </c>
      <c r="L1459">
        <v>219</v>
      </c>
      <c r="M1459" t="s">
        <v>4125</v>
      </c>
    </row>
    <row r="1460" spans="1:13">
      <c r="A1460" t="s">
        <v>13</v>
      </c>
      <c r="B1460">
        <v>1539817</v>
      </c>
      <c r="C1460">
        <v>1542108</v>
      </c>
      <c r="E1460" t="s">
        <v>38</v>
      </c>
      <c r="F1460" t="s">
        <v>4126</v>
      </c>
      <c r="H1460">
        <v>1019437</v>
      </c>
      <c r="I1460" t="s">
        <v>17</v>
      </c>
      <c r="K1460" t="s">
        <v>4127</v>
      </c>
      <c r="L1460">
        <v>763</v>
      </c>
      <c r="M1460" t="s">
        <v>4128</v>
      </c>
    </row>
    <row r="1461" spans="1:13">
      <c r="A1461" t="s">
        <v>13</v>
      </c>
      <c r="B1461">
        <v>1542116</v>
      </c>
      <c r="C1461">
        <v>1542922</v>
      </c>
      <c r="E1461" t="s">
        <v>38</v>
      </c>
      <c r="F1461" t="s">
        <v>4129</v>
      </c>
      <c r="G1461" t="s">
        <v>4130</v>
      </c>
      <c r="H1461">
        <v>1019438</v>
      </c>
      <c r="I1461" t="s">
        <v>17</v>
      </c>
      <c r="K1461" t="s">
        <v>4131</v>
      </c>
      <c r="L1461">
        <v>268</v>
      </c>
      <c r="M1461" t="s">
        <v>4132</v>
      </c>
    </row>
    <row r="1462" spans="1:13">
      <c r="A1462" t="s">
        <v>13</v>
      </c>
      <c r="B1462">
        <v>1543151</v>
      </c>
      <c r="C1462">
        <v>1544554</v>
      </c>
      <c r="E1462" t="s">
        <v>38</v>
      </c>
      <c r="F1462" t="s">
        <v>1602</v>
      </c>
      <c r="H1462">
        <v>1019439</v>
      </c>
      <c r="I1462" t="s">
        <v>17</v>
      </c>
      <c r="K1462" t="s">
        <v>4133</v>
      </c>
      <c r="L1462">
        <v>467</v>
      </c>
      <c r="M1462" t="s">
        <v>4134</v>
      </c>
    </row>
    <row r="1463" spans="1:13">
      <c r="A1463" t="s">
        <v>13</v>
      </c>
      <c r="B1463">
        <v>1544976</v>
      </c>
      <c r="C1463">
        <v>1546292</v>
      </c>
      <c r="E1463" t="s">
        <v>14</v>
      </c>
      <c r="F1463" t="s">
        <v>1674</v>
      </c>
      <c r="H1463">
        <v>1019440</v>
      </c>
      <c r="I1463" t="s">
        <v>17</v>
      </c>
      <c r="K1463" t="s">
        <v>4135</v>
      </c>
      <c r="L1463">
        <v>438</v>
      </c>
      <c r="M1463" t="s">
        <v>4136</v>
      </c>
    </row>
    <row r="1464" spans="1:13">
      <c r="A1464" t="s">
        <v>13</v>
      </c>
      <c r="B1464">
        <v>1546304</v>
      </c>
      <c r="C1464">
        <v>1547692</v>
      </c>
      <c r="E1464" t="s">
        <v>38</v>
      </c>
      <c r="F1464" t="s">
        <v>265</v>
      </c>
      <c r="H1464">
        <v>1019441</v>
      </c>
      <c r="I1464" t="s">
        <v>17</v>
      </c>
      <c r="K1464" t="s">
        <v>4137</v>
      </c>
      <c r="L1464">
        <v>462</v>
      </c>
      <c r="M1464" t="s">
        <v>4138</v>
      </c>
    </row>
    <row r="1465" spans="1:13">
      <c r="A1465" t="s">
        <v>13</v>
      </c>
      <c r="B1465">
        <v>1547964</v>
      </c>
      <c r="C1465">
        <v>1548440</v>
      </c>
      <c r="E1465" t="s">
        <v>38</v>
      </c>
      <c r="F1465" t="s">
        <v>4139</v>
      </c>
      <c r="H1465">
        <v>1019442</v>
      </c>
      <c r="I1465" t="s">
        <v>17</v>
      </c>
      <c r="K1465" t="s">
        <v>4140</v>
      </c>
      <c r="L1465">
        <v>158</v>
      </c>
      <c r="M1465" t="s">
        <v>4141</v>
      </c>
    </row>
    <row r="1466" spans="1:13">
      <c r="A1466" t="s">
        <v>13</v>
      </c>
      <c r="B1466">
        <v>1548780</v>
      </c>
      <c r="C1466">
        <v>1549352</v>
      </c>
      <c r="E1466" t="s">
        <v>14</v>
      </c>
      <c r="F1466" t="s">
        <v>4142</v>
      </c>
      <c r="H1466">
        <v>1019443</v>
      </c>
      <c r="I1466" t="s">
        <v>17</v>
      </c>
      <c r="K1466" t="s">
        <v>4143</v>
      </c>
      <c r="L1466">
        <v>190</v>
      </c>
      <c r="M1466" t="s">
        <v>4144</v>
      </c>
    </row>
    <row r="1467" spans="1:13">
      <c r="A1467" t="s">
        <v>13</v>
      </c>
      <c r="B1467">
        <v>1549403</v>
      </c>
      <c r="C1467">
        <v>1550401</v>
      </c>
      <c r="E1467" t="s">
        <v>14</v>
      </c>
      <c r="F1467" t="s">
        <v>4145</v>
      </c>
      <c r="H1467">
        <v>1019444</v>
      </c>
      <c r="I1467" t="s">
        <v>17</v>
      </c>
      <c r="K1467" t="s">
        <v>4146</v>
      </c>
      <c r="L1467">
        <v>332</v>
      </c>
      <c r="M1467" t="s">
        <v>4147</v>
      </c>
    </row>
    <row r="1468" spans="1:13">
      <c r="A1468" t="s">
        <v>13</v>
      </c>
      <c r="B1468">
        <v>1550469</v>
      </c>
      <c r="C1468">
        <v>1550954</v>
      </c>
      <c r="E1468" t="s">
        <v>14</v>
      </c>
      <c r="F1468" t="s">
        <v>49</v>
      </c>
      <c r="H1468">
        <v>1019445</v>
      </c>
      <c r="I1468" t="s">
        <v>17</v>
      </c>
      <c r="K1468" t="s">
        <v>4148</v>
      </c>
      <c r="L1468">
        <v>161</v>
      </c>
      <c r="M1468" t="s">
        <v>4149</v>
      </c>
    </row>
    <row r="1469" spans="1:13">
      <c r="A1469" t="s">
        <v>13</v>
      </c>
      <c r="B1469">
        <v>1551575</v>
      </c>
      <c r="C1469">
        <v>1552240</v>
      </c>
      <c r="E1469" t="s">
        <v>14</v>
      </c>
      <c r="F1469" t="s">
        <v>2721</v>
      </c>
      <c r="H1469">
        <v>1019446</v>
      </c>
      <c r="I1469" t="s">
        <v>17</v>
      </c>
      <c r="K1469" t="s">
        <v>4150</v>
      </c>
      <c r="L1469">
        <v>221</v>
      </c>
      <c r="M1469" t="s">
        <v>4151</v>
      </c>
    </row>
    <row r="1470" spans="1:13">
      <c r="A1470" t="s">
        <v>13</v>
      </c>
      <c r="B1470">
        <v>1552587</v>
      </c>
      <c r="C1470">
        <v>1553975</v>
      </c>
      <c r="E1470" t="s">
        <v>14</v>
      </c>
      <c r="F1470" t="s">
        <v>2522</v>
      </c>
      <c r="H1470">
        <v>1019447</v>
      </c>
      <c r="I1470" t="s">
        <v>17</v>
      </c>
      <c r="K1470" t="s">
        <v>4152</v>
      </c>
      <c r="L1470">
        <v>462</v>
      </c>
      <c r="M1470" t="s">
        <v>4153</v>
      </c>
    </row>
    <row r="1471" spans="1:13">
      <c r="A1471" t="s">
        <v>13</v>
      </c>
      <c r="B1471">
        <v>1554067</v>
      </c>
      <c r="C1471">
        <v>1554684</v>
      </c>
      <c r="E1471" t="s">
        <v>38</v>
      </c>
      <c r="F1471" t="s">
        <v>49</v>
      </c>
      <c r="H1471">
        <v>1019448</v>
      </c>
      <c r="I1471" t="s">
        <v>17</v>
      </c>
      <c r="K1471" t="s">
        <v>4154</v>
      </c>
      <c r="L1471">
        <v>205</v>
      </c>
      <c r="M1471" t="s">
        <v>4155</v>
      </c>
    </row>
    <row r="1472" spans="1:13">
      <c r="A1472" t="s">
        <v>13</v>
      </c>
      <c r="B1472">
        <v>1554888</v>
      </c>
      <c r="C1472">
        <v>1555079</v>
      </c>
      <c r="E1472" t="s">
        <v>38</v>
      </c>
      <c r="F1472" t="s">
        <v>49</v>
      </c>
      <c r="H1472">
        <v>1019449</v>
      </c>
      <c r="I1472" t="s">
        <v>17</v>
      </c>
      <c r="K1472" t="s">
        <v>4156</v>
      </c>
      <c r="L1472">
        <v>63</v>
      </c>
      <c r="M1472" t="s">
        <v>4157</v>
      </c>
    </row>
    <row r="1473" spans="1:13">
      <c r="A1473" t="s">
        <v>13</v>
      </c>
      <c r="B1473">
        <v>1555083</v>
      </c>
      <c r="C1473">
        <v>1555835</v>
      </c>
      <c r="E1473" t="s">
        <v>38</v>
      </c>
      <c r="F1473" t="s">
        <v>3326</v>
      </c>
      <c r="H1473">
        <v>1019450</v>
      </c>
      <c r="I1473" t="s">
        <v>17</v>
      </c>
      <c r="K1473" t="s">
        <v>4158</v>
      </c>
      <c r="L1473">
        <v>250</v>
      </c>
      <c r="M1473" t="s">
        <v>4159</v>
      </c>
    </row>
    <row r="1474" spans="1:13">
      <c r="A1474" t="s">
        <v>13</v>
      </c>
      <c r="B1474">
        <v>1555835</v>
      </c>
      <c r="C1474">
        <v>1556182</v>
      </c>
      <c r="E1474" t="s">
        <v>38</v>
      </c>
      <c r="F1474" t="s">
        <v>49</v>
      </c>
      <c r="H1474">
        <v>44144966</v>
      </c>
      <c r="I1474" t="s">
        <v>17</v>
      </c>
      <c r="K1474" t="s">
        <v>4160</v>
      </c>
      <c r="L1474">
        <v>115</v>
      </c>
      <c r="M1474" t="s">
        <v>4161</v>
      </c>
    </row>
    <row r="1475" spans="1:13">
      <c r="A1475" t="s">
        <v>13</v>
      </c>
      <c r="B1475">
        <v>1556376</v>
      </c>
      <c r="C1475">
        <v>1556774</v>
      </c>
      <c r="E1475" t="s">
        <v>14</v>
      </c>
      <c r="F1475" t="s">
        <v>4162</v>
      </c>
      <c r="H1475">
        <v>1019452</v>
      </c>
      <c r="I1475" t="s">
        <v>17</v>
      </c>
      <c r="K1475" t="s">
        <v>4163</v>
      </c>
      <c r="L1475">
        <v>132</v>
      </c>
      <c r="M1475" t="s">
        <v>4164</v>
      </c>
    </row>
    <row r="1476" spans="1:13">
      <c r="A1476" t="s">
        <v>13</v>
      </c>
      <c r="B1476">
        <v>1557011</v>
      </c>
      <c r="C1476">
        <v>1557823</v>
      </c>
      <c r="E1476" t="s">
        <v>38</v>
      </c>
      <c r="F1476" t="s">
        <v>4165</v>
      </c>
      <c r="H1476">
        <v>1019453</v>
      </c>
      <c r="I1476" t="s">
        <v>17</v>
      </c>
      <c r="K1476" t="s">
        <v>4166</v>
      </c>
      <c r="L1476">
        <v>270</v>
      </c>
      <c r="M1476" t="s">
        <v>4167</v>
      </c>
    </row>
    <row r="1477" spans="1:13">
      <c r="A1477" t="s">
        <v>13</v>
      </c>
      <c r="B1477">
        <v>1557856</v>
      </c>
      <c r="C1477">
        <v>1559493</v>
      </c>
      <c r="E1477" t="s">
        <v>38</v>
      </c>
      <c r="F1477" t="s">
        <v>4168</v>
      </c>
      <c r="G1477" t="s">
        <v>4169</v>
      </c>
      <c r="H1477">
        <v>1019454</v>
      </c>
      <c r="I1477" t="s">
        <v>17</v>
      </c>
      <c r="K1477" t="s">
        <v>4170</v>
      </c>
      <c r="L1477">
        <v>545</v>
      </c>
      <c r="M1477" t="s">
        <v>4171</v>
      </c>
    </row>
    <row r="1478" spans="1:13">
      <c r="A1478" t="s">
        <v>13</v>
      </c>
      <c r="B1478">
        <v>1559494</v>
      </c>
      <c r="C1478">
        <v>1560057</v>
      </c>
      <c r="E1478" t="s">
        <v>38</v>
      </c>
      <c r="F1478" t="s">
        <v>4172</v>
      </c>
      <c r="H1478">
        <v>1019455</v>
      </c>
      <c r="I1478" t="s">
        <v>17</v>
      </c>
      <c r="K1478" t="s">
        <v>4173</v>
      </c>
      <c r="L1478">
        <v>187</v>
      </c>
      <c r="M1478" t="s">
        <v>4174</v>
      </c>
    </row>
    <row r="1479" spans="1:13">
      <c r="A1479" t="s">
        <v>13</v>
      </c>
      <c r="B1479">
        <v>1560434</v>
      </c>
      <c r="C1479">
        <v>1561741</v>
      </c>
      <c r="E1479" t="s">
        <v>38</v>
      </c>
      <c r="F1479" t="s">
        <v>4175</v>
      </c>
      <c r="H1479">
        <v>1019456</v>
      </c>
      <c r="I1479" t="s">
        <v>17</v>
      </c>
      <c r="K1479" t="s">
        <v>4176</v>
      </c>
      <c r="L1479">
        <v>435</v>
      </c>
      <c r="M1479" t="s">
        <v>4177</v>
      </c>
    </row>
    <row r="1480" spans="1:13">
      <c r="A1480" t="s">
        <v>13</v>
      </c>
      <c r="B1480">
        <v>1561780</v>
      </c>
      <c r="C1480">
        <v>1562556</v>
      </c>
      <c r="E1480" t="s">
        <v>14</v>
      </c>
      <c r="F1480" t="s">
        <v>4178</v>
      </c>
      <c r="H1480">
        <v>1019457</v>
      </c>
      <c r="I1480" t="s">
        <v>17</v>
      </c>
      <c r="K1480" t="s">
        <v>4179</v>
      </c>
      <c r="L1480">
        <v>258</v>
      </c>
      <c r="M1480" t="s">
        <v>4180</v>
      </c>
    </row>
    <row r="1481" spans="1:13">
      <c r="A1481" t="s">
        <v>13</v>
      </c>
      <c r="B1481">
        <v>1562522</v>
      </c>
      <c r="C1481">
        <v>1563802</v>
      </c>
      <c r="E1481" t="s">
        <v>38</v>
      </c>
      <c r="F1481" t="s">
        <v>4181</v>
      </c>
      <c r="G1481" t="s">
        <v>4182</v>
      </c>
      <c r="H1481">
        <v>1019458</v>
      </c>
      <c r="I1481" t="s">
        <v>17</v>
      </c>
      <c r="K1481" t="s">
        <v>4183</v>
      </c>
      <c r="L1481">
        <v>426</v>
      </c>
      <c r="M1481" t="s">
        <v>4184</v>
      </c>
    </row>
    <row r="1482" spans="1:13">
      <c r="A1482" t="s">
        <v>13</v>
      </c>
      <c r="B1482">
        <v>1563878</v>
      </c>
      <c r="C1482">
        <v>1564240</v>
      </c>
      <c r="E1482" t="s">
        <v>14</v>
      </c>
      <c r="F1482" t="s">
        <v>49</v>
      </c>
      <c r="H1482">
        <v>44144967</v>
      </c>
      <c r="I1482" t="s">
        <v>17</v>
      </c>
      <c r="K1482" t="s">
        <v>4185</v>
      </c>
      <c r="L1482">
        <v>120</v>
      </c>
      <c r="M1482" t="s">
        <v>4186</v>
      </c>
    </row>
    <row r="1483" spans="1:13">
      <c r="A1483" t="s">
        <v>13</v>
      </c>
      <c r="B1483">
        <v>1564237</v>
      </c>
      <c r="C1483">
        <v>1564485</v>
      </c>
      <c r="E1483" t="s">
        <v>14</v>
      </c>
      <c r="F1483" t="s">
        <v>382</v>
      </c>
      <c r="H1483">
        <v>44144968</v>
      </c>
      <c r="I1483" t="s">
        <v>17</v>
      </c>
      <c r="K1483" t="s">
        <v>4187</v>
      </c>
      <c r="L1483">
        <v>82</v>
      </c>
      <c r="M1483" t="s">
        <v>4188</v>
      </c>
    </row>
    <row r="1484" spans="1:13">
      <c r="A1484" t="s">
        <v>13</v>
      </c>
      <c r="B1484">
        <v>1564562</v>
      </c>
      <c r="C1484">
        <v>1565302</v>
      </c>
      <c r="E1484" t="s">
        <v>38</v>
      </c>
      <c r="F1484" t="s">
        <v>1841</v>
      </c>
      <c r="H1484">
        <v>1019459</v>
      </c>
      <c r="I1484" t="s">
        <v>17</v>
      </c>
      <c r="K1484" t="s">
        <v>4189</v>
      </c>
      <c r="L1484">
        <v>246</v>
      </c>
      <c r="M1484" t="s">
        <v>4190</v>
      </c>
    </row>
    <row r="1485" spans="1:13">
      <c r="A1485" t="s">
        <v>13</v>
      </c>
      <c r="B1485">
        <v>1565299</v>
      </c>
      <c r="C1485">
        <v>1566438</v>
      </c>
      <c r="E1485" t="s">
        <v>38</v>
      </c>
      <c r="F1485" t="s">
        <v>1294</v>
      </c>
      <c r="H1485">
        <v>1019460</v>
      </c>
      <c r="I1485" t="s">
        <v>17</v>
      </c>
      <c r="K1485" t="s">
        <v>4191</v>
      </c>
      <c r="L1485">
        <v>379</v>
      </c>
      <c r="M1485" t="s">
        <v>4192</v>
      </c>
    </row>
    <row r="1486" spans="1:13">
      <c r="A1486" t="s">
        <v>13</v>
      </c>
      <c r="B1486">
        <v>1566468</v>
      </c>
      <c r="C1486">
        <v>1567109</v>
      </c>
      <c r="E1486" t="s">
        <v>14</v>
      </c>
      <c r="F1486" t="s">
        <v>3804</v>
      </c>
      <c r="H1486">
        <v>1019461</v>
      </c>
      <c r="I1486" t="s">
        <v>17</v>
      </c>
      <c r="K1486" t="s">
        <v>4193</v>
      </c>
      <c r="L1486">
        <v>213</v>
      </c>
      <c r="M1486" t="s">
        <v>4194</v>
      </c>
    </row>
    <row r="1487" spans="1:13">
      <c r="A1487" t="s">
        <v>13</v>
      </c>
      <c r="B1487">
        <v>1567114</v>
      </c>
      <c r="C1487">
        <v>1569903</v>
      </c>
      <c r="E1487" t="s">
        <v>38</v>
      </c>
      <c r="F1487" t="s">
        <v>930</v>
      </c>
      <c r="H1487">
        <v>1019462</v>
      </c>
      <c r="I1487" t="s">
        <v>17</v>
      </c>
      <c r="K1487" t="s">
        <v>4195</v>
      </c>
      <c r="L1487">
        <v>929</v>
      </c>
      <c r="M1487" t="s">
        <v>4196</v>
      </c>
    </row>
    <row r="1488" spans="1:13">
      <c r="A1488" t="s">
        <v>13</v>
      </c>
      <c r="B1488">
        <v>1569929</v>
      </c>
      <c r="C1488">
        <v>1570873</v>
      </c>
      <c r="E1488" t="s">
        <v>38</v>
      </c>
      <c r="F1488" t="s">
        <v>4197</v>
      </c>
      <c r="G1488" t="s">
        <v>4198</v>
      </c>
      <c r="H1488">
        <v>1019463</v>
      </c>
      <c r="I1488" t="s">
        <v>17</v>
      </c>
      <c r="K1488" t="s">
        <v>4199</v>
      </c>
      <c r="L1488">
        <v>314</v>
      </c>
      <c r="M1488" t="s">
        <v>4200</v>
      </c>
    </row>
    <row r="1489" spans="1:13">
      <c r="A1489" t="s">
        <v>13</v>
      </c>
      <c r="B1489">
        <v>1571065</v>
      </c>
      <c r="C1489">
        <v>1571382</v>
      </c>
      <c r="E1489" t="s">
        <v>38</v>
      </c>
      <c r="F1489" t="s">
        <v>4201</v>
      </c>
      <c r="G1489" t="s">
        <v>4202</v>
      </c>
      <c r="H1489">
        <v>1019464</v>
      </c>
      <c r="I1489" t="s">
        <v>17</v>
      </c>
      <c r="K1489" t="s">
        <v>4203</v>
      </c>
      <c r="L1489">
        <v>105</v>
      </c>
      <c r="M1489" t="s">
        <v>4204</v>
      </c>
    </row>
    <row r="1490" spans="1:13">
      <c r="A1490" t="s">
        <v>13</v>
      </c>
      <c r="B1490">
        <v>1571503</v>
      </c>
      <c r="C1490">
        <v>1572486</v>
      </c>
      <c r="E1490" t="s">
        <v>38</v>
      </c>
      <c r="F1490" t="s">
        <v>3368</v>
      </c>
      <c r="H1490">
        <v>1019465</v>
      </c>
      <c r="I1490" t="s">
        <v>17</v>
      </c>
      <c r="K1490" t="s">
        <v>4205</v>
      </c>
      <c r="L1490">
        <v>327</v>
      </c>
      <c r="M1490" t="s">
        <v>4206</v>
      </c>
    </row>
    <row r="1491" spans="1:13">
      <c r="A1491" t="s">
        <v>13</v>
      </c>
      <c r="B1491">
        <v>1572489</v>
      </c>
      <c r="C1491">
        <v>1573463</v>
      </c>
      <c r="E1491" t="s">
        <v>38</v>
      </c>
      <c r="F1491" t="s">
        <v>3368</v>
      </c>
      <c r="H1491">
        <v>1019466</v>
      </c>
      <c r="I1491" t="s">
        <v>17</v>
      </c>
      <c r="K1491" t="s">
        <v>4207</v>
      </c>
      <c r="L1491">
        <v>324</v>
      </c>
      <c r="M1491" t="s">
        <v>4208</v>
      </c>
    </row>
    <row r="1492" spans="1:13">
      <c r="A1492" t="s">
        <v>13</v>
      </c>
      <c r="B1492">
        <v>1573488</v>
      </c>
      <c r="C1492">
        <v>1574900</v>
      </c>
      <c r="E1492" t="s">
        <v>38</v>
      </c>
      <c r="F1492" t="s">
        <v>4209</v>
      </c>
      <c r="G1492" t="s">
        <v>4210</v>
      </c>
      <c r="H1492">
        <v>1019467</v>
      </c>
      <c r="I1492" t="s">
        <v>17</v>
      </c>
      <c r="K1492" t="s">
        <v>4211</v>
      </c>
      <c r="L1492">
        <v>470</v>
      </c>
      <c r="M1492" t="s">
        <v>4212</v>
      </c>
    </row>
    <row r="1493" spans="1:13">
      <c r="A1493" t="s">
        <v>13</v>
      </c>
      <c r="B1493">
        <v>1574942</v>
      </c>
      <c r="C1493">
        <v>1575136</v>
      </c>
      <c r="E1493" t="s">
        <v>38</v>
      </c>
      <c r="F1493" t="s">
        <v>4213</v>
      </c>
      <c r="H1493">
        <v>1019468</v>
      </c>
      <c r="I1493" t="s">
        <v>17</v>
      </c>
      <c r="K1493" t="s">
        <v>4214</v>
      </c>
      <c r="L1493">
        <v>64</v>
      </c>
      <c r="M1493" t="s">
        <v>4215</v>
      </c>
    </row>
    <row r="1494" spans="1:13">
      <c r="A1494" t="s">
        <v>13</v>
      </c>
      <c r="B1494">
        <v>1575403</v>
      </c>
      <c r="C1494">
        <v>1576947</v>
      </c>
      <c r="E1494" t="s">
        <v>38</v>
      </c>
      <c r="F1494" t="s">
        <v>4216</v>
      </c>
      <c r="G1494" t="s">
        <v>4217</v>
      </c>
      <c r="H1494">
        <v>1019469</v>
      </c>
      <c r="I1494" t="s">
        <v>17</v>
      </c>
      <c r="K1494" t="s">
        <v>4218</v>
      </c>
      <c r="L1494">
        <v>514</v>
      </c>
      <c r="M1494" t="s">
        <v>4219</v>
      </c>
    </row>
    <row r="1495" spans="1:13">
      <c r="A1495" t="s">
        <v>13</v>
      </c>
      <c r="B1495">
        <v>1576948</v>
      </c>
      <c r="C1495">
        <v>1578531</v>
      </c>
      <c r="E1495" t="s">
        <v>38</v>
      </c>
      <c r="F1495" t="s">
        <v>4220</v>
      </c>
      <c r="G1495" t="s">
        <v>4221</v>
      </c>
      <c r="H1495">
        <v>1019470</v>
      </c>
      <c r="I1495" t="s">
        <v>17</v>
      </c>
      <c r="K1495" t="s">
        <v>4222</v>
      </c>
      <c r="L1495">
        <v>527</v>
      </c>
      <c r="M1495" t="s">
        <v>4223</v>
      </c>
    </row>
    <row r="1496" spans="1:13">
      <c r="A1496" t="s">
        <v>13</v>
      </c>
      <c r="B1496">
        <v>1578564</v>
      </c>
      <c r="C1496">
        <v>1579400</v>
      </c>
      <c r="E1496" t="s">
        <v>38</v>
      </c>
      <c r="F1496" t="s">
        <v>4224</v>
      </c>
      <c r="H1496">
        <v>1019471</v>
      </c>
      <c r="I1496" t="s">
        <v>17</v>
      </c>
      <c r="K1496" t="s">
        <v>4225</v>
      </c>
      <c r="L1496">
        <v>278</v>
      </c>
      <c r="M1496" t="s">
        <v>4226</v>
      </c>
    </row>
    <row r="1497" spans="1:13">
      <c r="A1497" t="s">
        <v>13</v>
      </c>
      <c r="B1497">
        <v>1579446</v>
      </c>
      <c r="C1497">
        <v>1580708</v>
      </c>
      <c r="E1497" t="s">
        <v>38</v>
      </c>
      <c r="F1497" t="s">
        <v>4227</v>
      </c>
      <c r="H1497">
        <v>1019472</v>
      </c>
      <c r="I1497" t="s">
        <v>17</v>
      </c>
      <c r="K1497" t="s">
        <v>4228</v>
      </c>
      <c r="L1497">
        <v>420</v>
      </c>
      <c r="M1497" t="s">
        <v>4229</v>
      </c>
    </row>
    <row r="1498" spans="1:13">
      <c r="A1498" t="s">
        <v>13</v>
      </c>
      <c r="B1498">
        <v>1580807</v>
      </c>
      <c r="C1498">
        <v>1581643</v>
      </c>
      <c r="E1498" t="s">
        <v>14</v>
      </c>
      <c r="F1498" t="s">
        <v>4230</v>
      </c>
      <c r="H1498">
        <v>1019473</v>
      </c>
      <c r="I1498" t="s">
        <v>17</v>
      </c>
      <c r="K1498" t="s">
        <v>4231</v>
      </c>
      <c r="L1498">
        <v>278</v>
      </c>
      <c r="M1498" t="s">
        <v>4232</v>
      </c>
    </row>
    <row r="1499" spans="1:13">
      <c r="A1499" t="s">
        <v>13</v>
      </c>
      <c r="B1499">
        <v>1581857</v>
      </c>
      <c r="C1499">
        <v>1582117</v>
      </c>
      <c r="E1499" t="s">
        <v>14</v>
      </c>
      <c r="F1499" t="s">
        <v>2961</v>
      </c>
      <c r="H1499">
        <v>1019474</v>
      </c>
      <c r="I1499" t="s">
        <v>17</v>
      </c>
      <c r="K1499" t="s">
        <v>4233</v>
      </c>
      <c r="L1499">
        <v>86</v>
      </c>
      <c r="M1499" t="s">
        <v>4234</v>
      </c>
    </row>
    <row r="1500" spans="1:13">
      <c r="A1500" t="s">
        <v>13</v>
      </c>
      <c r="B1500">
        <v>1582270</v>
      </c>
      <c r="C1500">
        <v>1583481</v>
      </c>
      <c r="E1500" t="s">
        <v>38</v>
      </c>
      <c r="F1500" t="s">
        <v>265</v>
      </c>
      <c r="H1500">
        <v>1019475</v>
      </c>
      <c r="I1500" t="s">
        <v>17</v>
      </c>
      <c r="K1500" t="s">
        <v>4235</v>
      </c>
      <c r="L1500">
        <v>403</v>
      </c>
      <c r="M1500" t="s">
        <v>4236</v>
      </c>
    </row>
    <row r="1501" spans="1:13">
      <c r="A1501" t="s">
        <v>13</v>
      </c>
      <c r="B1501">
        <v>1583910</v>
      </c>
      <c r="C1501">
        <v>1585490</v>
      </c>
      <c r="E1501" t="s">
        <v>38</v>
      </c>
      <c r="F1501" t="s">
        <v>4237</v>
      </c>
      <c r="G1501" t="s">
        <v>4238</v>
      </c>
      <c r="H1501">
        <v>1019476</v>
      </c>
      <c r="I1501" t="s">
        <v>17</v>
      </c>
      <c r="K1501" t="s">
        <v>4239</v>
      </c>
      <c r="L1501">
        <v>526</v>
      </c>
      <c r="M1501" t="s">
        <v>4240</v>
      </c>
    </row>
    <row r="1502" spans="1:13">
      <c r="A1502" t="s">
        <v>13</v>
      </c>
      <c r="B1502">
        <v>1585600</v>
      </c>
      <c r="C1502">
        <v>1586445</v>
      </c>
      <c r="E1502" t="s">
        <v>38</v>
      </c>
      <c r="F1502" t="s">
        <v>4241</v>
      </c>
      <c r="G1502" t="s">
        <v>4242</v>
      </c>
      <c r="H1502">
        <v>1019477</v>
      </c>
      <c r="I1502" t="s">
        <v>17</v>
      </c>
      <c r="K1502" t="s">
        <v>4243</v>
      </c>
      <c r="L1502">
        <v>281</v>
      </c>
      <c r="M1502" t="s">
        <v>4244</v>
      </c>
    </row>
    <row r="1503" spans="1:13">
      <c r="A1503" t="s">
        <v>13</v>
      </c>
      <c r="B1503">
        <v>1586462</v>
      </c>
      <c r="C1503">
        <v>1586734</v>
      </c>
      <c r="E1503" t="s">
        <v>38</v>
      </c>
      <c r="F1503" t="s">
        <v>4245</v>
      </c>
      <c r="H1503">
        <v>1019478</v>
      </c>
      <c r="I1503" t="s">
        <v>17</v>
      </c>
      <c r="K1503" t="s">
        <v>4246</v>
      </c>
      <c r="L1503">
        <v>90</v>
      </c>
      <c r="M1503" t="s">
        <v>4247</v>
      </c>
    </row>
    <row r="1504" spans="1:13">
      <c r="A1504" t="s">
        <v>13</v>
      </c>
      <c r="B1504">
        <v>1586809</v>
      </c>
      <c r="C1504">
        <v>1587504</v>
      </c>
      <c r="E1504" t="s">
        <v>38</v>
      </c>
      <c r="F1504" t="s">
        <v>394</v>
      </c>
      <c r="H1504">
        <v>1019479</v>
      </c>
      <c r="I1504" t="s">
        <v>17</v>
      </c>
      <c r="K1504" t="s">
        <v>4248</v>
      </c>
      <c r="L1504">
        <v>231</v>
      </c>
      <c r="M1504" t="s">
        <v>4249</v>
      </c>
    </row>
    <row r="1505" spans="1:13">
      <c r="A1505" t="s">
        <v>13</v>
      </c>
      <c r="B1505">
        <v>1587570</v>
      </c>
      <c r="C1505">
        <v>1591235</v>
      </c>
      <c r="E1505" t="s">
        <v>38</v>
      </c>
      <c r="F1505" t="s">
        <v>4250</v>
      </c>
      <c r="G1505" t="s">
        <v>4251</v>
      </c>
      <c r="H1505">
        <v>1019480</v>
      </c>
      <c r="I1505" t="s">
        <v>17</v>
      </c>
      <c r="K1505" t="s">
        <v>4252</v>
      </c>
      <c r="L1505">
        <v>1221</v>
      </c>
      <c r="M1505" t="s">
        <v>4253</v>
      </c>
    </row>
    <row r="1506" spans="1:13">
      <c r="A1506" t="s">
        <v>13</v>
      </c>
      <c r="B1506">
        <v>1591343</v>
      </c>
      <c r="C1506">
        <v>1591915</v>
      </c>
      <c r="E1506" t="s">
        <v>14</v>
      </c>
      <c r="F1506" t="s">
        <v>49</v>
      </c>
      <c r="H1506">
        <v>1019481</v>
      </c>
      <c r="I1506" t="s">
        <v>17</v>
      </c>
      <c r="K1506" t="s">
        <v>4254</v>
      </c>
      <c r="L1506">
        <v>190</v>
      </c>
      <c r="M1506" t="s">
        <v>4255</v>
      </c>
    </row>
    <row r="1507" spans="1:13">
      <c r="A1507" t="s">
        <v>13</v>
      </c>
      <c r="B1507">
        <v>1591938</v>
      </c>
      <c r="C1507">
        <v>1592966</v>
      </c>
      <c r="E1507" t="s">
        <v>38</v>
      </c>
      <c r="F1507" t="s">
        <v>4256</v>
      </c>
      <c r="H1507">
        <v>1019482</v>
      </c>
      <c r="I1507" t="s">
        <v>17</v>
      </c>
      <c r="K1507" t="s">
        <v>4257</v>
      </c>
      <c r="L1507">
        <v>342</v>
      </c>
      <c r="M1507" t="s">
        <v>4258</v>
      </c>
    </row>
    <row r="1508" spans="1:13">
      <c r="A1508" t="s">
        <v>13</v>
      </c>
      <c r="B1508">
        <v>1592963</v>
      </c>
      <c r="C1508">
        <v>1593322</v>
      </c>
      <c r="E1508" t="s">
        <v>38</v>
      </c>
      <c r="F1508" t="s">
        <v>801</v>
      </c>
      <c r="H1508">
        <v>44144969</v>
      </c>
      <c r="I1508" t="s">
        <v>17</v>
      </c>
      <c r="K1508" t="s">
        <v>4259</v>
      </c>
      <c r="L1508">
        <v>119</v>
      </c>
      <c r="M1508" t="s">
        <v>4260</v>
      </c>
    </row>
    <row r="1509" spans="1:13">
      <c r="A1509" t="s">
        <v>13</v>
      </c>
      <c r="B1509">
        <v>1593403</v>
      </c>
      <c r="C1509">
        <v>1594515</v>
      </c>
      <c r="E1509" t="s">
        <v>14</v>
      </c>
      <c r="F1509" t="s">
        <v>804</v>
      </c>
      <c r="G1509" t="s">
        <v>805</v>
      </c>
      <c r="H1509">
        <v>1019483</v>
      </c>
      <c r="I1509" t="s">
        <v>17</v>
      </c>
      <c r="K1509" t="s">
        <v>4261</v>
      </c>
      <c r="L1509">
        <v>370</v>
      </c>
      <c r="M1509" t="s">
        <v>4262</v>
      </c>
    </row>
    <row r="1510" spans="1:13">
      <c r="A1510" t="s">
        <v>13</v>
      </c>
      <c r="B1510">
        <v>1594532</v>
      </c>
      <c r="C1510">
        <v>1594954</v>
      </c>
      <c r="E1510" t="s">
        <v>14</v>
      </c>
      <c r="F1510" t="s">
        <v>808</v>
      </c>
      <c r="H1510">
        <v>1019484</v>
      </c>
      <c r="I1510" t="s">
        <v>17</v>
      </c>
      <c r="K1510" t="s">
        <v>4263</v>
      </c>
      <c r="L1510">
        <v>140</v>
      </c>
      <c r="M1510" t="s">
        <v>4264</v>
      </c>
    </row>
    <row r="1511" spans="1:13">
      <c r="A1511" t="s">
        <v>13</v>
      </c>
      <c r="B1511">
        <v>1595030</v>
      </c>
      <c r="C1511">
        <v>1595671</v>
      </c>
      <c r="E1511" t="s">
        <v>14</v>
      </c>
      <c r="F1511" t="s">
        <v>4265</v>
      </c>
      <c r="H1511">
        <v>1019485</v>
      </c>
      <c r="I1511" t="s">
        <v>17</v>
      </c>
      <c r="K1511" t="s">
        <v>4266</v>
      </c>
      <c r="L1511">
        <v>213</v>
      </c>
      <c r="M1511" t="s">
        <v>4267</v>
      </c>
    </row>
    <row r="1512" spans="1:13">
      <c r="A1512" t="s">
        <v>13</v>
      </c>
      <c r="B1512">
        <v>1595841</v>
      </c>
      <c r="C1512">
        <v>1596221</v>
      </c>
      <c r="E1512" t="s">
        <v>38</v>
      </c>
      <c r="F1512" t="s">
        <v>49</v>
      </c>
      <c r="H1512">
        <v>1019486</v>
      </c>
      <c r="I1512" t="s">
        <v>17</v>
      </c>
      <c r="K1512" t="s">
        <v>4268</v>
      </c>
      <c r="L1512">
        <v>126</v>
      </c>
      <c r="M1512" t="s">
        <v>4269</v>
      </c>
    </row>
    <row r="1513" spans="1:13">
      <c r="A1513" t="s">
        <v>13</v>
      </c>
      <c r="B1513">
        <v>1596246</v>
      </c>
      <c r="C1513">
        <v>1597508</v>
      </c>
      <c r="E1513" t="s">
        <v>38</v>
      </c>
      <c r="F1513" t="s">
        <v>4270</v>
      </c>
      <c r="G1513" t="s">
        <v>4271</v>
      </c>
      <c r="H1513">
        <v>1019487</v>
      </c>
      <c r="I1513" t="s">
        <v>17</v>
      </c>
      <c r="K1513" t="s">
        <v>4272</v>
      </c>
      <c r="L1513">
        <v>420</v>
      </c>
      <c r="M1513" t="s">
        <v>4273</v>
      </c>
    </row>
    <row r="1514" spans="1:13">
      <c r="A1514" t="s">
        <v>13</v>
      </c>
      <c r="B1514">
        <v>1597742</v>
      </c>
      <c r="C1514">
        <v>1598623</v>
      </c>
      <c r="E1514" t="s">
        <v>38</v>
      </c>
      <c r="F1514" t="s">
        <v>4274</v>
      </c>
      <c r="H1514">
        <v>1019488</v>
      </c>
      <c r="I1514" t="s">
        <v>17</v>
      </c>
      <c r="K1514" t="s">
        <v>4275</v>
      </c>
      <c r="L1514">
        <v>293</v>
      </c>
      <c r="M1514" t="s">
        <v>4276</v>
      </c>
    </row>
    <row r="1515" spans="1:13">
      <c r="A1515" t="s">
        <v>13</v>
      </c>
      <c r="B1515">
        <v>1598679</v>
      </c>
      <c r="C1515">
        <v>1599617</v>
      </c>
      <c r="E1515" t="s">
        <v>14</v>
      </c>
      <c r="F1515" t="s">
        <v>336</v>
      </c>
      <c r="H1515">
        <v>1019489</v>
      </c>
      <c r="I1515" t="s">
        <v>17</v>
      </c>
      <c r="K1515" t="s">
        <v>4277</v>
      </c>
      <c r="L1515">
        <v>312</v>
      </c>
      <c r="M1515" t="s">
        <v>4278</v>
      </c>
    </row>
    <row r="1516" spans="1:13">
      <c r="A1516" t="s">
        <v>13</v>
      </c>
      <c r="B1516">
        <v>1599655</v>
      </c>
      <c r="C1516">
        <v>1600680</v>
      </c>
      <c r="E1516" t="s">
        <v>14</v>
      </c>
      <c r="F1516" t="s">
        <v>49</v>
      </c>
      <c r="H1516">
        <v>1019490</v>
      </c>
      <c r="I1516" t="s">
        <v>17</v>
      </c>
      <c r="K1516" t="s">
        <v>4279</v>
      </c>
      <c r="L1516">
        <v>341</v>
      </c>
      <c r="M1516" t="s">
        <v>4280</v>
      </c>
    </row>
    <row r="1517" spans="1:13">
      <c r="A1517" t="s">
        <v>13</v>
      </c>
      <c r="B1517">
        <v>1600692</v>
      </c>
      <c r="C1517">
        <v>1601807</v>
      </c>
      <c r="E1517" t="s">
        <v>14</v>
      </c>
      <c r="F1517" t="s">
        <v>4281</v>
      </c>
      <c r="H1517">
        <v>1019491</v>
      </c>
      <c r="I1517" t="s">
        <v>17</v>
      </c>
      <c r="K1517" t="s">
        <v>4282</v>
      </c>
      <c r="L1517">
        <v>371</v>
      </c>
      <c r="M1517" t="s">
        <v>4283</v>
      </c>
    </row>
    <row r="1518" spans="1:13">
      <c r="A1518" t="s">
        <v>13</v>
      </c>
      <c r="B1518">
        <v>1601928</v>
      </c>
      <c r="C1518">
        <v>1602281</v>
      </c>
      <c r="E1518" t="s">
        <v>38</v>
      </c>
      <c r="F1518" t="s">
        <v>49</v>
      </c>
      <c r="H1518">
        <v>1019492</v>
      </c>
      <c r="I1518" t="s">
        <v>17</v>
      </c>
      <c r="K1518" t="s">
        <v>4284</v>
      </c>
      <c r="L1518">
        <v>117</v>
      </c>
      <c r="M1518" t="s">
        <v>4285</v>
      </c>
    </row>
    <row r="1519" spans="1:13">
      <c r="A1519" t="s">
        <v>13</v>
      </c>
      <c r="B1519">
        <v>1602660</v>
      </c>
      <c r="C1519">
        <v>1603469</v>
      </c>
      <c r="E1519" t="s">
        <v>14</v>
      </c>
      <c r="F1519" t="s">
        <v>49</v>
      </c>
      <c r="H1519">
        <v>1019493</v>
      </c>
      <c r="I1519" t="s">
        <v>17</v>
      </c>
      <c r="K1519" t="s">
        <v>4286</v>
      </c>
      <c r="L1519">
        <v>269</v>
      </c>
      <c r="M1519" t="s">
        <v>4287</v>
      </c>
    </row>
    <row r="1520" spans="1:13">
      <c r="A1520" t="s">
        <v>13</v>
      </c>
      <c r="B1520">
        <v>1603472</v>
      </c>
      <c r="C1520">
        <v>1604632</v>
      </c>
      <c r="E1520" t="s">
        <v>14</v>
      </c>
      <c r="F1520" t="s">
        <v>731</v>
      </c>
      <c r="H1520">
        <v>1019494</v>
      </c>
      <c r="I1520" t="s">
        <v>17</v>
      </c>
      <c r="K1520" t="s">
        <v>4288</v>
      </c>
      <c r="L1520">
        <v>386</v>
      </c>
      <c r="M1520" t="s">
        <v>4289</v>
      </c>
    </row>
    <row r="1521" spans="1:13">
      <c r="A1521" t="s">
        <v>13</v>
      </c>
      <c r="B1521">
        <v>1604827</v>
      </c>
      <c r="C1521">
        <v>1605261</v>
      </c>
      <c r="E1521" t="s">
        <v>38</v>
      </c>
      <c r="F1521" t="s">
        <v>49</v>
      </c>
      <c r="H1521">
        <v>1019495</v>
      </c>
      <c r="I1521" t="s">
        <v>17</v>
      </c>
      <c r="K1521" t="s">
        <v>4290</v>
      </c>
      <c r="L1521">
        <v>144</v>
      </c>
      <c r="M1521" t="s">
        <v>4291</v>
      </c>
    </row>
    <row r="1522" spans="1:13">
      <c r="A1522" t="s">
        <v>13</v>
      </c>
      <c r="B1522">
        <v>1605278</v>
      </c>
      <c r="C1522">
        <v>1605811</v>
      </c>
      <c r="E1522" t="s">
        <v>38</v>
      </c>
      <c r="F1522" t="s">
        <v>4292</v>
      </c>
      <c r="H1522">
        <v>1019496</v>
      </c>
      <c r="I1522" t="s">
        <v>17</v>
      </c>
      <c r="K1522" t="s">
        <v>4293</v>
      </c>
      <c r="L1522">
        <v>177</v>
      </c>
      <c r="M1522" t="s">
        <v>4294</v>
      </c>
    </row>
    <row r="1523" spans="1:13">
      <c r="A1523" t="s">
        <v>13</v>
      </c>
      <c r="B1523">
        <v>1605858</v>
      </c>
      <c r="C1523">
        <v>1607657</v>
      </c>
      <c r="E1523" t="s">
        <v>38</v>
      </c>
      <c r="F1523" t="s">
        <v>147</v>
      </c>
      <c r="H1523">
        <v>1019497</v>
      </c>
      <c r="I1523" t="s">
        <v>17</v>
      </c>
      <c r="K1523" t="s">
        <v>4295</v>
      </c>
      <c r="L1523">
        <v>599</v>
      </c>
      <c r="M1523" t="s">
        <v>4296</v>
      </c>
    </row>
    <row r="1524" spans="1:13">
      <c r="A1524" t="s">
        <v>13</v>
      </c>
      <c r="B1524">
        <v>1607658</v>
      </c>
      <c r="C1524">
        <v>1609268</v>
      </c>
      <c r="E1524" t="s">
        <v>38</v>
      </c>
      <c r="F1524" t="s">
        <v>721</v>
      </c>
      <c r="H1524">
        <v>1019498</v>
      </c>
      <c r="I1524" t="s">
        <v>17</v>
      </c>
      <c r="K1524" t="s">
        <v>4297</v>
      </c>
      <c r="L1524">
        <v>536</v>
      </c>
      <c r="M1524" t="s">
        <v>4298</v>
      </c>
    </row>
    <row r="1525" spans="1:13">
      <c r="A1525" t="s">
        <v>13</v>
      </c>
      <c r="B1525">
        <v>1609422</v>
      </c>
      <c r="C1525">
        <v>1609507</v>
      </c>
      <c r="E1525" t="s">
        <v>14</v>
      </c>
      <c r="F1525" t="s">
        <v>179</v>
      </c>
      <c r="H1525">
        <v>2745334</v>
      </c>
      <c r="I1525" t="s">
        <v>62</v>
      </c>
      <c r="M1525" t="s">
        <v>4299</v>
      </c>
    </row>
    <row r="1526" spans="1:13">
      <c r="A1526" t="s">
        <v>13</v>
      </c>
      <c r="B1526">
        <v>1609594</v>
      </c>
      <c r="C1526">
        <v>1609679</v>
      </c>
      <c r="E1526" t="s">
        <v>14</v>
      </c>
      <c r="F1526" t="s">
        <v>179</v>
      </c>
      <c r="H1526">
        <v>2745315</v>
      </c>
      <c r="I1526" t="s">
        <v>62</v>
      </c>
      <c r="M1526" t="s">
        <v>4300</v>
      </c>
    </row>
    <row r="1527" spans="1:13">
      <c r="A1527" t="s">
        <v>13</v>
      </c>
      <c r="B1527">
        <v>1610236</v>
      </c>
      <c r="C1527">
        <v>1610847</v>
      </c>
      <c r="E1527" t="s">
        <v>14</v>
      </c>
      <c r="F1527" t="s">
        <v>549</v>
      </c>
      <c r="H1527">
        <v>1019499</v>
      </c>
      <c r="I1527" t="s">
        <v>17</v>
      </c>
      <c r="K1527" t="s">
        <v>4301</v>
      </c>
      <c r="L1527">
        <v>203</v>
      </c>
      <c r="M1527" t="s">
        <v>4302</v>
      </c>
    </row>
    <row r="1528" spans="1:13">
      <c r="A1528" t="s">
        <v>13</v>
      </c>
      <c r="B1528">
        <v>1611147</v>
      </c>
      <c r="C1528">
        <v>1612238</v>
      </c>
      <c r="E1528" t="s">
        <v>38</v>
      </c>
      <c r="F1528" t="s">
        <v>4303</v>
      </c>
      <c r="G1528" t="s">
        <v>4304</v>
      </c>
      <c r="H1528">
        <v>1019500</v>
      </c>
      <c r="I1528" t="s">
        <v>17</v>
      </c>
      <c r="K1528" t="s">
        <v>4305</v>
      </c>
      <c r="L1528">
        <v>363</v>
      </c>
      <c r="M1528" t="s">
        <v>4306</v>
      </c>
    </row>
    <row r="1529" spans="1:13">
      <c r="A1529" t="s">
        <v>13</v>
      </c>
      <c r="B1529">
        <v>1612231</v>
      </c>
      <c r="C1529">
        <v>1614444</v>
      </c>
      <c r="E1529" t="s">
        <v>38</v>
      </c>
      <c r="F1529" t="s">
        <v>4307</v>
      </c>
      <c r="G1529" t="s">
        <v>4308</v>
      </c>
      <c r="H1529">
        <v>1019501</v>
      </c>
      <c r="I1529" t="s">
        <v>17</v>
      </c>
      <c r="K1529" t="s">
        <v>4309</v>
      </c>
      <c r="L1529">
        <v>737</v>
      </c>
      <c r="M1529" t="s">
        <v>4310</v>
      </c>
    </row>
    <row r="1530" spans="1:13">
      <c r="A1530" t="s">
        <v>13</v>
      </c>
      <c r="B1530">
        <v>1614448</v>
      </c>
      <c r="C1530">
        <v>1616298</v>
      </c>
      <c r="E1530" t="s">
        <v>38</v>
      </c>
      <c r="F1530" t="s">
        <v>4311</v>
      </c>
      <c r="H1530">
        <v>1019502</v>
      </c>
      <c r="I1530" t="s">
        <v>17</v>
      </c>
      <c r="K1530" t="s">
        <v>4312</v>
      </c>
      <c r="L1530">
        <v>616</v>
      </c>
      <c r="M1530" t="s">
        <v>4313</v>
      </c>
    </row>
    <row r="1531" spans="1:13">
      <c r="A1531" t="s">
        <v>13</v>
      </c>
      <c r="B1531">
        <v>1616539</v>
      </c>
      <c r="C1531">
        <v>1617303</v>
      </c>
      <c r="E1531" t="s">
        <v>14</v>
      </c>
      <c r="F1531" t="s">
        <v>4314</v>
      </c>
      <c r="H1531">
        <v>1019503</v>
      </c>
      <c r="I1531" t="s">
        <v>17</v>
      </c>
      <c r="K1531" t="s">
        <v>4315</v>
      </c>
      <c r="L1531">
        <v>254</v>
      </c>
      <c r="M1531" t="s">
        <v>4316</v>
      </c>
    </row>
    <row r="1532" spans="1:13">
      <c r="A1532" t="s">
        <v>13</v>
      </c>
      <c r="B1532">
        <v>1617398</v>
      </c>
      <c r="C1532">
        <v>1617997</v>
      </c>
      <c r="E1532" t="s">
        <v>14</v>
      </c>
      <c r="F1532" t="s">
        <v>49</v>
      </c>
      <c r="H1532">
        <v>1019504</v>
      </c>
      <c r="I1532" t="s">
        <v>17</v>
      </c>
      <c r="K1532" t="s">
        <v>4317</v>
      </c>
      <c r="L1532">
        <v>199</v>
      </c>
      <c r="M1532" t="s">
        <v>4318</v>
      </c>
    </row>
    <row r="1533" spans="1:13">
      <c r="A1533" t="s">
        <v>13</v>
      </c>
      <c r="B1533">
        <v>1618318</v>
      </c>
      <c r="C1533">
        <v>1619616</v>
      </c>
      <c r="E1533" t="s">
        <v>38</v>
      </c>
      <c r="F1533" t="s">
        <v>1897</v>
      </c>
      <c r="H1533">
        <v>1019505</v>
      </c>
      <c r="I1533" t="s">
        <v>17</v>
      </c>
      <c r="K1533" t="s">
        <v>4319</v>
      </c>
      <c r="L1533">
        <v>432</v>
      </c>
      <c r="M1533" t="s">
        <v>4320</v>
      </c>
    </row>
    <row r="1534" spans="1:13">
      <c r="A1534" t="s">
        <v>13</v>
      </c>
      <c r="B1534">
        <v>1619669</v>
      </c>
      <c r="C1534">
        <v>1620097</v>
      </c>
      <c r="E1534" t="s">
        <v>38</v>
      </c>
      <c r="F1534" t="s">
        <v>4321</v>
      </c>
      <c r="H1534">
        <v>1019506</v>
      </c>
      <c r="I1534" t="s">
        <v>17</v>
      </c>
      <c r="K1534" t="s">
        <v>4322</v>
      </c>
      <c r="L1534">
        <v>142</v>
      </c>
      <c r="M1534" t="s">
        <v>4323</v>
      </c>
    </row>
    <row r="1535" spans="1:13">
      <c r="A1535" t="s">
        <v>13</v>
      </c>
      <c r="B1535">
        <v>1620164</v>
      </c>
      <c r="C1535">
        <v>1621009</v>
      </c>
      <c r="E1535" t="s">
        <v>38</v>
      </c>
      <c r="F1535" t="s">
        <v>4324</v>
      </c>
      <c r="H1535">
        <v>1019507</v>
      </c>
      <c r="I1535" t="s">
        <v>17</v>
      </c>
      <c r="K1535" t="s">
        <v>4325</v>
      </c>
      <c r="L1535">
        <v>281</v>
      </c>
      <c r="M1535" t="s">
        <v>4326</v>
      </c>
    </row>
    <row r="1536" spans="1:13">
      <c r="A1536" t="s">
        <v>13</v>
      </c>
      <c r="B1536">
        <v>1621056</v>
      </c>
      <c r="C1536">
        <v>1621841</v>
      </c>
      <c r="E1536" t="s">
        <v>14</v>
      </c>
      <c r="F1536" t="s">
        <v>49</v>
      </c>
      <c r="H1536">
        <v>1019508</v>
      </c>
      <c r="I1536" t="s">
        <v>17</v>
      </c>
      <c r="K1536" t="s">
        <v>4327</v>
      </c>
      <c r="L1536">
        <v>261</v>
      </c>
      <c r="M1536" t="s">
        <v>4328</v>
      </c>
    </row>
    <row r="1537" spans="1:13">
      <c r="A1537" t="s">
        <v>13</v>
      </c>
      <c r="B1537">
        <v>1621838</v>
      </c>
      <c r="C1537">
        <v>1622950</v>
      </c>
      <c r="E1537" t="s">
        <v>38</v>
      </c>
      <c r="F1537" t="s">
        <v>4329</v>
      </c>
      <c r="H1537">
        <v>1019509</v>
      </c>
      <c r="I1537" t="s">
        <v>17</v>
      </c>
      <c r="K1537" t="s">
        <v>4330</v>
      </c>
      <c r="L1537">
        <v>370</v>
      </c>
      <c r="M1537" t="s">
        <v>4331</v>
      </c>
    </row>
    <row r="1538" spans="1:13">
      <c r="A1538" t="s">
        <v>13</v>
      </c>
      <c r="B1538">
        <v>1623024</v>
      </c>
      <c r="C1538">
        <v>1624916</v>
      </c>
      <c r="E1538" t="s">
        <v>38</v>
      </c>
      <c r="F1538" t="s">
        <v>4332</v>
      </c>
      <c r="H1538">
        <v>1019510</v>
      </c>
      <c r="I1538" t="s">
        <v>17</v>
      </c>
      <c r="K1538" t="s">
        <v>4333</v>
      </c>
      <c r="L1538">
        <v>630</v>
      </c>
      <c r="M1538" t="s">
        <v>4334</v>
      </c>
    </row>
    <row r="1539" spans="1:13">
      <c r="A1539" t="s">
        <v>13</v>
      </c>
      <c r="B1539">
        <v>1625425</v>
      </c>
      <c r="C1539">
        <v>1625925</v>
      </c>
      <c r="E1539" t="s">
        <v>38</v>
      </c>
      <c r="F1539" t="s">
        <v>4335</v>
      </c>
      <c r="H1539">
        <v>1019511</v>
      </c>
      <c r="I1539" t="s">
        <v>17</v>
      </c>
      <c r="K1539" t="s">
        <v>4336</v>
      </c>
      <c r="L1539">
        <v>166</v>
      </c>
      <c r="M1539" t="s">
        <v>4337</v>
      </c>
    </row>
    <row r="1540" spans="1:13">
      <c r="A1540" t="s">
        <v>13</v>
      </c>
      <c r="B1540">
        <v>1626291</v>
      </c>
      <c r="C1540">
        <v>1629110</v>
      </c>
      <c r="E1540" t="s">
        <v>14</v>
      </c>
      <c r="F1540" t="s">
        <v>4338</v>
      </c>
      <c r="G1540" t="s">
        <v>4339</v>
      </c>
      <c r="H1540">
        <v>1019512</v>
      </c>
      <c r="I1540" t="s">
        <v>17</v>
      </c>
      <c r="K1540" t="s">
        <v>4340</v>
      </c>
      <c r="L1540">
        <v>939</v>
      </c>
      <c r="M1540" t="s">
        <v>4341</v>
      </c>
    </row>
    <row r="1541" spans="1:13">
      <c r="A1541" t="s">
        <v>13</v>
      </c>
      <c r="B1541">
        <v>1629298</v>
      </c>
      <c r="C1541">
        <v>1629864</v>
      </c>
      <c r="E1541" t="s">
        <v>14</v>
      </c>
      <c r="F1541" t="s">
        <v>4342</v>
      </c>
      <c r="G1541" t="s">
        <v>4343</v>
      </c>
      <c r="H1541">
        <v>1019513</v>
      </c>
      <c r="I1541" t="s">
        <v>17</v>
      </c>
      <c r="K1541" t="s">
        <v>4344</v>
      </c>
      <c r="L1541">
        <v>188</v>
      </c>
      <c r="M1541" t="s">
        <v>4345</v>
      </c>
    </row>
    <row r="1542" spans="1:13">
      <c r="A1542" t="s">
        <v>13</v>
      </c>
      <c r="B1542">
        <v>1629913</v>
      </c>
      <c r="C1542">
        <v>1630671</v>
      </c>
      <c r="E1542" t="s">
        <v>14</v>
      </c>
      <c r="F1542" t="s">
        <v>4346</v>
      </c>
      <c r="H1542">
        <v>1019514</v>
      </c>
      <c r="I1542" t="s">
        <v>17</v>
      </c>
      <c r="K1542" t="s">
        <v>4347</v>
      </c>
      <c r="L1542">
        <v>252</v>
      </c>
      <c r="M1542" t="s">
        <v>4348</v>
      </c>
    </row>
    <row r="1543" spans="1:13">
      <c r="A1543" t="s">
        <v>13</v>
      </c>
      <c r="B1543">
        <v>1630664</v>
      </c>
      <c r="C1543">
        <v>1631329</v>
      </c>
      <c r="E1543" t="s">
        <v>38</v>
      </c>
      <c r="F1543" t="s">
        <v>4349</v>
      </c>
      <c r="H1543">
        <v>1019515</v>
      </c>
      <c r="I1543" t="s">
        <v>17</v>
      </c>
      <c r="K1543" t="s">
        <v>4350</v>
      </c>
      <c r="L1543">
        <v>221</v>
      </c>
      <c r="M1543" t="s">
        <v>4351</v>
      </c>
    </row>
    <row r="1544" spans="1:13">
      <c r="A1544" t="s">
        <v>13</v>
      </c>
      <c r="B1544">
        <v>1631350</v>
      </c>
      <c r="C1544">
        <v>1631604</v>
      </c>
      <c r="E1544" t="s">
        <v>38</v>
      </c>
      <c r="F1544" t="s">
        <v>4352</v>
      </c>
      <c r="H1544">
        <v>44144970</v>
      </c>
      <c r="I1544" t="s">
        <v>17</v>
      </c>
      <c r="K1544" t="s">
        <v>4353</v>
      </c>
      <c r="L1544">
        <v>84</v>
      </c>
      <c r="M1544" t="s">
        <v>4354</v>
      </c>
    </row>
    <row r="1545" spans="1:13">
      <c r="A1545" t="s">
        <v>13</v>
      </c>
      <c r="B1545">
        <v>1631660</v>
      </c>
      <c r="C1545">
        <v>1631929</v>
      </c>
      <c r="E1545" t="s">
        <v>14</v>
      </c>
      <c r="F1545" t="s">
        <v>4355</v>
      </c>
      <c r="H1545">
        <v>1019516</v>
      </c>
      <c r="I1545" t="s">
        <v>17</v>
      </c>
      <c r="K1545" t="s">
        <v>4356</v>
      </c>
      <c r="L1545">
        <v>89</v>
      </c>
      <c r="M1545" t="s">
        <v>4357</v>
      </c>
    </row>
    <row r="1546" spans="1:13">
      <c r="A1546" t="s">
        <v>13</v>
      </c>
      <c r="B1546">
        <v>1631939</v>
      </c>
      <c r="C1546">
        <v>1633327</v>
      </c>
      <c r="E1546" t="s">
        <v>14</v>
      </c>
      <c r="F1546" t="s">
        <v>4358</v>
      </c>
      <c r="H1546">
        <v>1019517</v>
      </c>
      <c r="I1546" t="s">
        <v>17</v>
      </c>
      <c r="K1546" t="s">
        <v>4359</v>
      </c>
      <c r="L1546">
        <v>462</v>
      </c>
      <c r="M1546" t="s">
        <v>4360</v>
      </c>
    </row>
    <row r="1547" spans="1:13">
      <c r="A1547" t="s">
        <v>13</v>
      </c>
      <c r="B1547">
        <v>1633566</v>
      </c>
      <c r="C1547">
        <v>1636244</v>
      </c>
      <c r="E1547" t="s">
        <v>14</v>
      </c>
      <c r="F1547" t="s">
        <v>4361</v>
      </c>
      <c r="H1547">
        <v>1019518</v>
      </c>
      <c r="I1547" t="s">
        <v>17</v>
      </c>
      <c r="K1547" t="s">
        <v>4362</v>
      </c>
      <c r="L1547">
        <v>892</v>
      </c>
      <c r="M1547" t="s">
        <v>4363</v>
      </c>
    </row>
    <row r="1548" spans="1:13">
      <c r="A1548" t="s">
        <v>13</v>
      </c>
      <c r="B1548">
        <v>1636241</v>
      </c>
      <c r="C1548">
        <v>1636732</v>
      </c>
      <c r="E1548" t="s">
        <v>38</v>
      </c>
      <c r="F1548" t="s">
        <v>4364</v>
      </c>
      <c r="H1548">
        <v>1019519</v>
      </c>
      <c r="I1548" t="s">
        <v>17</v>
      </c>
      <c r="K1548" t="s">
        <v>4365</v>
      </c>
      <c r="L1548">
        <v>163</v>
      </c>
      <c r="M1548" t="s">
        <v>4366</v>
      </c>
    </row>
    <row r="1549" spans="1:13">
      <c r="A1549" t="s">
        <v>13</v>
      </c>
      <c r="B1549">
        <v>1637081</v>
      </c>
      <c r="C1549">
        <v>1638445</v>
      </c>
      <c r="E1549" t="s">
        <v>14</v>
      </c>
      <c r="F1549" t="s">
        <v>4367</v>
      </c>
      <c r="H1549">
        <v>1019520</v>
      </c>
      <c r="I1549" t="s">
        <v>17</v>
      </c>
      <c r="K1549" t="s">
        <v>4368</v>
      </c>
      <c r="L1549">
        <v>454</v>
      </c>
      <c r="M1549" t="s">
        <v>4369</v>
      </c>
    </row>
    <row r="1550" spans="1:13">
      <c r="A1550" t="s">
        <v>13</v>
      </c>
      <c r="B1550">
        <v>1639916</v>
      </c>
      <c r="C1550">
        <v>1640158</v>
      </c>
      <c r="E1550" t="s">
        <v>14</v>
      </c>
      <c r="F1550" t="s">
        <v>4370</v>
      </c>
      <c r="H1550">
        <v>92792276</v>
      </c>
      <c r="I1550" t="s">
        <v>17</v>
      </c>
      <c r="K1550" t="s">
        <v>4371</v>
      </c>
      <c r="L1550">
        <v>80</v>
      </c>
      <c r="M1550" t="s">
        <v>4372</v>
      </c>
    </row>
    <row r="1551" spans="1:13">
      <c r="A1551" t="s">
        <v>13</v>
      </c>
      <c r="B1551">
        <v>1640621</v>
      </c>
      <c r="C1551">
        <v>1641004</v>
      </c>
      <c r="E1551" t="s">
        <v>14</v>
      </c>
      <c r="F1551" t="s">
        <v>4373</v>
      </c>
      <c r="H1551">
        <v>1019522</v>
      </c>
      <c r="I1551" t="s">
        <v>17</v>
      </c>
      <c r="K1551" t="s">
        <v>4374</v>
      </c>
      <c r="L1551">
        <v>127</v>
      </c>
      <c r="M1551" t="s">
        <v>4375</v>
      </c>
    </row>
    <row r="1552" spans="1:13">
      <c r="A1552" t="s">
        <v>13</v>
      </c>
      <c r="B1552">
        <v>1641043</v>
      </c>
      <c r="C1552">
        <v>1642674</v>
      </c>
      <c r="E1552" t="s">
        <v>38</v>
      </c>
      <c r="F1552" t="s">
        <v>2635</v>
      </c>
      <c r="H1552">
        <v>1019523</v>
      </c>
      <c r="I1552" t="s">
        <v>17</v>
      </c>
      <c r="K1552" t="s">
        <v>4376</v>
      </c>
      <c r="L1552">
        <v>543</v>
      </c>
      <c r="M1552" t="s">
        <v>4377</v>
      </c>
    </row>
    <row r="1553" spans="1:13">
      <c r="A1553" t="s">
        <v>13</v>
      </c>
      <c r="B1553">
        <v>1642740</v>
      </c>
      <c r="C1553">
        <v>1644218</v>
      </c>
      <c r="E1553" t="s">
        <v>38</v>
      </c>
      <c r="F1553" t="s">
        <v>4378</v>
      </c>
      <c r="H1553">
        <v>92792295</v>
      </c>
      <c r="I1553" t="s">
        <v>17</v>
      </c>
      <c r="K1553" t="s">
        <v>4379</v>
      </c>
      <c r="L1553">
        <v>492</v>
      </c>
      <c r="M1553" t="s">
        <v>4380</v>
      </c>
    </row>
    <row r="1554" spans="1:13">
      <c r="A1554" t="s">
        <v>13</v>
      </c>
      <c r="B1554">
        <v>1644315</v>
      </c>
      <c r="C1554">
        <v>1645514</v>
      </c>
      <c r="E1554" t="s">
        <v>38</v>
      </c>
      <c r="F1554" t="s">
        <v>4381</v>
      </c>
      <c r="H1554">
        <v>92792296</v>
      </c>
      <c r="I1554" t="s">
        <v>17</v>
      </c>
      <c r="K1554" t="s">
        <v>4382</v>
      </c>
      <c r="L1554">
        <v>399</v>
      </c>
      <c r="M1554" t="s">
        <v>4383</v>
      </c>
    </row>
    <row r="1555" spans="1:13">
      <c r="A1555" t="s">
        <v>13</v>
      </c>
      <c r="B1555">
        <v>1645661</v>
      </c>
      <c r="C1555">
        <v>1646371</v>
      </c>
      <c r="E1555" t="s">
        <v>14</v>
      </c>
      <c r="F1555" t="s">
        <v>2762</v>
      </c>
      <c r="H1555">
        <v>1019526</v>
      </c>
      <c r="I1555" t="s">
        <v>17</v>
      </c>
      <c r="K1555" t="s">
        <v>2763</v>
      </c>
      <c r="L1555">
        <v>236</v>
      </c>
      <c r="M1555" t="s">
        <v>4384</v>
      </c>
    </row>
    <row r="1556" spans="1:13">
      <c r="A1556" t="s">
        <v>13</v>
      </c>
      <c r="B1556">
        <v>1646549</v>
      </c>
      <c r="C1556">
        <v>1647136</v>
      </c>
      <c r="E1556" t="s">
        <v>14</v>
      </c>
      <c r="F1556" t="s">
        <v>49</v>
      </c>
      <c r="H1556">
        <v>1019527</v>
      </c>
      <c r="I1556" t="s">
        <v>17</v>
      </c>
      <c r="K1556" t="s">
        <v>4385</v>
      </c>
      <c r="L1556">
        <v>195</v>
      </c>
      <c r="M1556" t="s">
        <v>4386</v>
      </c>
    </row>
    <row r="1557" spans="1:13">
      <c r="A1557" t="s">
        <v>13</v>
      </c>
      <c r="B1557">
        <v>1647209</v>
      </c>
      <c r="C1557">
        <v>1647622</v>
      </c>
      <c r="E1557" t="s">
        <v>38</v>
      </c>
      <c r="F1557" t="s">
        <v>4387</v>
      </c>
      <c r="H1557">
        <v>1019528</v>
      </c>
      <c r="I1557" t="s">
        <v>17</v>
      </c>
      <c r="K1557" t="s">
        <v>4388</v>
      </c>
      <c r="L1557">
        <v>137</v>
      </c>
      <c r="M1557" t="s">
        <v>4389</v>
      </c>
    </row>
    <row r="1558" spans="1:13">
      <c r="A1558" t="s">
        <v>13</v>
      </c>
      <c r="B1558">
        <v>1647648</v>
      </c>
      <c r="C1558">
        <v>1648097</v>
      </c>
      <c r="E1558" t="s">
        <v>38</v>
      </c>
      <c r="F1558" t="s">
        <v>4390</v>
      </c>
      <c r="G1558" t="s">
        <v>4391</v>
      </c>
      <c r="H1558">
        <v>1019529</v>
      </c>
      <c r="I1558" t="s">
        <v>17</v>
      </c>
      <c r="K1558" t="s">
        <v>4392</v>
      </c>
      <c r="L1558">
        <v>149</v>
      </c>
      <c r="M1558" t="s">
        <v>4393</v>
      </c>
    </row>
    <row r="1559" spans="1:13">
      <c r="A1559" t="s">
        <v>13</v>
      </c>
      <c r="B1559">
        <v>1648097</v>
      </c>
      <c r="C1559">
        <v>1649362</v>
      </c>
      <c r="E1559" t="s">
        <v>38</v>
      </c>
      <c r="F1559" t="s">
        <v>4394</v>
      </c>
      <c r="H1559">
        <v>1019530</v>
      </c>
      <c r="I1559" t="s">
        <v>17</v>
      </c>
      <c r="K1559" t="s">
        <v>4395</v>
      </c>
      <c r="L1559">
        <v>421</v>
      </c>
      <c r="M1559" t="s">
        <v>4396</v>
      </c>
    </row>
    <row r="1560" spans="1:13">
      <c r="A1560" t="s">
        <v>13</v>
      </c>
      <c r="B1560">
        <v>1649364</v>
      </c>
      <c r="C1560">
        <v>1650122</v>
      </c>
      <c r="E1560" t="s">
        <v>38</v>
      </c>
      <c r="F1560" t="s">
        <v>4397</v>
      </c>
      <c r="G1560" t="s">
        <v>4398</v>
      </c>
      <c r="H1560">
        <v>1019531</v>
      </c>
      <c r="I1560" t="s">
        <v>17</v>
      </c>
      <c r="K1560" t="s">
        <v>4399</v>
      </c>
      <c r="L1560">
        <v>252</v>
      </c>
      <c r="M1560" t="s">
        <v>4400</v>
      </c>
    </row>
    <row r="1561" spans="1:13">
      <c r="A1561" t="s">
        <v>13</v>
      </c>
      <c r="B1561">
        <v>1650246</v>
      </c>
      <c r="C1561">
        <v>1651424</v>
      </c>
      <c r="E1561" t="s">
        <v>38</v>
      </c>
      <c r="F1561" t="s">
        <v>4401</v>
      </c>
      <c r="G1561" t="s">
        <v>4402</v>
      </c>
      <c r="H1561">
        <v>1019532</v>
      </c>
      <c r="I1561" t="s">
        <v>17</v>
      </c>
      <c r="K1561" t="s">
        <v>4403</v>
      </c>
      <c r="L1561">
        <v>392</v>
      </c>
      <c r="M1561" t="s">
        <v>4404</v>
      </c>
    </row>
    <row r="1562" spans="1:13">
      <c r="A1562" t="s">
        <v>13</v>
      </c>
      <c r="B1562">
        <v>1651430</v>
      </c>
      <c r="C1562">
        <v>1652875</v>
      </c>
      <c r="E1562" t="s">
        <v>38</v>
      </c>
      <c r="F1562" t="s">
        <v>4405</v>
      </c>
      <c r="G1562" t="s">
        <v>4406</v>
      </c>
      <c r="H1562">
        <v>1019533</v>
      </c>
      <c r="I1562" t="s">
        <v>17</v>
      </c>
      <c r="K1562" t="s">
        <v>4407</v>
      </c>
      <c r="L1562">
        <v>481</v>
      </c>
      <c r="M1562" t="s">
        <v>4408</v>
      </c>
    </row>
    <row r="1563" spans="1:13">
      <c r="A1563" t="s">
        <v>13</v>
      </c>
      <c r="B1563">
        <v>1652872</v>
      </c>
      <c r="C1563">
        <v>1653586</v>
      </c>
      <c r="E1563" t="s">
        <v>38</v>
      </c>
      <c r="F1563" t="s">
        <v>141</v>
      </c>
      <c r="H1563">
        <v>1019534</v>
      </c>
      <c r="I1563" t="s">
        <v>142</v>
      </c>
      <c r="M1563" t="s">
        <v>4409</v>
      </c>
    </row>
    <row r="1564" spans="1:13">
      <c r="A1564" t="s">
        <v>13</v>
      </c>
      <c r="B1564">
        <v>1653899</v>
      </c>
      <c r="C1564">
        <v>1655674</v>
      </c>
      <c r="E1564" t="s">
        <v>14</v>
      </c>
      <c r="F1564" t="s">
        <v>4410</v>
      </c>
      <c r="G1564" t="s">
        <v>4411</v>
      </c>
      <c r="H1564">
        <v>1019535</v>
      </c>
      <c r="I1564" t="s">
        <v>17</v>
      </c>
      <c r="K1564" t="s">
        <v>4412</v>
      </c>
      <c r="L1564">
        <v>591</v>
      </c>
      <c r="M1564" t="s">
        <v>4413</v>
      </c>
    </row>
    <row r="1565" spans="1:13">
      <c r="A1565" t="s">
        <v>13</v>
      </c>
      <c r="B1565">
        <v>1655681</v>
      </c>
      <c r="C1565">
        <v>1656703</v>
      </c>
      <c r="E1565" t="s">
        <v>14</v>
      </c>
      <c r="F1565" t="s">
        <v>147</v>
      </c>
      <c r="H1565">
        <v>1019536</v>
      </c>
      <c r="I1565" t="s">
        <v>17</v>
      </c>
      <c r="K1565" t="s">
        <v>4414</v>
      </c>
      <c r="L1565">
        <v>340</v>
      </c>
      <c r="M1565" t="s">
        <v>4415</v>
      </c>
    </row>
    <row r="1566" spans="1:13">
      <c r="A1566" t="s">
        <v>13</v>
      </c>
      <c r="B1566">
        <v>1656712</v>
      </c>
      <c r="C1566">
        <v>1657518</v>
      </c>
      <c r="E1566" t="s">
        <v>14</v>
      </c>
      <c r="F1566" t="s">
        <v>124</v>
      </c>
      <c r="H1566">
        <v>1019537</v>
      </c>
      <c r="I1566" t="s">
        <v>17</v>
      </c>
      <c r="K1566" t="s">
        <v>4416</v>
      </c>
      <c r="L1566">
        <v>268</v>
      </c>
      <c r="M1566" t="s">
        <v>4417</v>
      </c>
    </row>
    <row r="1567" spans="1:13">
      <c r="A1567" t="s">
        <v>13</v>
      </c>
      <c r="B1567">
        <v>1657638</v>
      </c>
      <c r="C1567">
        <v>1658678</v>
      </c>
      <c r="E1567" t="s">
        <v>14</v>
      </c>
      <c r="F1567" t="s">
        <v>4418</v>
      </c>
      <c r="H1567">
        <v>1019538</v>
      </c>
      <c r="I1567" t="s">
        <v>17</v>
      </c>
      <c r="K1567" t="s">
        <v>4419</v>
      </c>
      <c r="L1567">
        <v>346</v>
      </c>
      <c r="M1567" t="s">
        <v>4420</v>
      </c>
    </row>
    <row r="1568" spans="1:13">
      <c r="A1568" t="s">
        <v>13</v>
      </c>
      <c r="B1568">
        <v>1658788</v>
      </c>
      <c r="C1568">
        <v>1661139</v>
      </c>
      <c r="E1568" t="s">
        <v>14</v>
      </c>
      <c r="F1568" t="s">
        <v>4421</v>
      </c>
      <c r="H1568">
        <v>1019539</v>
      </c>
      <c r="I1568" t="s">
        <v>17</v>
      </c>
      <c r="K1568" t="s">
        <v>4422</v>
      </c>
      <c r="L1568">
        <v>783</v>
      </c>
      <c r="M1568" t="s">
        <v>4423</v>
      </c>
    </row>
    <row r="1569" spans="1:13">
      <c r="A1569" t="s">
        <v>13</v>
      </c>
      <c r="B1569">
        <v>1661587</v>
      </c>
      <c r="C1569">
        <v>1662555</v>
      </c>
      <c r="E1569" t="s">
        <v>14</v>
      </c>
      <c r="F1569" t="s">
        <v>4424</v>
      </c>
      <c r="H1569">
        <v>1019540</v>
      </c>
      <c r="I1569" t="s">
        <v>17</v>
      </c>
      <c r="K1569" t="s">
        <v>4425</v>
      </c>
      <c r="L1569">
        <v>322</v>
      </c>
      <c r="M1569" t="s">
        <v>4426</v>
      </c>
    </row>
    <row r="1570" spans="1:13">
      <c r="A1570" t="s">
        <v>13</v>
      </c>
      <c r="B1570">
        <v>1662627</v>
      </c>
      <c r="C1570">
        <v>1663559</v>
      </c>
      <c r="E1570" t="s">
        <v>38</v>
      </c>
      <c r="F1570" t="s">
        <v>4427</v>
      </c>
      <c r="H1570">
        <v>1019541</v>
      </c>
      <c r="I1570" t="s">
        <v>17</v>
      </c>
      <c r="K1570" t="s">
        <v>4428</v>
      </c>
      <c r="L1570">
        <v>310</v>
      </c>
      <c r="M1570" t="s">
        <v>4429</v>
      </c>
    </row>
    <row r="1571" spans="1:13">
      <c r="A1571" t="s">
        <v>13</v>
      </c>
      <c r="B1571">
        <v>1664412</v>
      </c>
      <c r="C1571">
        <v>1666505</v>
      </c>
      <c r="E1571" t="s">
        <v>14</v>
      </c>
      <c r="F1571" t="s">
        <v>4430</v>
      </c>
      <c r="G1571" t="s">
        <v>4431</v>
      </c>
      <c r="H1571">
        <v>1019542</v>
      </c>
      <c r="I1571" t="s">
        <v>17</v>
      </c>
      <c r="K1571" t="s">
        <v>4432</v>
      </c>
      <c r="L1571">
        <v>697</v>
      </c>
      <c r="M1571" t="s">
        <v>4433</v>
      </c>
    </row>
    <row r="1572" spans="1:13">
      <c r="A1572" t="s">
        <v>13</v>
      </c>
      <c r="B1572">
        <v>1666673</v>
      </c>
      <c r="C1572">
        <v>1667755</v>
      </c>
      <c r="E1572" t="s">
        <v>14</v>
      </c>
      <c r="F1572" t="s">
        <v>4434</v>
      </c>
      <c r="G1572" t="s">
        <v>4435</v>
      </c>
      <c r="H1572">
        <v>1019543</v>
      </c>
      <c r="I1572" t="s">
        <v>17</v>
      </c>
      <c r="K1572" t="s">
        <v>4436</v>
      </c>
      <c r="L1572">
        <v>360</v>
      </c>
      <c r="M1572" t="s">
        <v>4437</v>
      </c>
    </row>
    <row r="1573" spans="1:13">
      <c r="A1573" t="s">
        <v>13</v>
      </c>
      <c r="B1573">
        <v>1667860</v>
      </c>
      <c r="C1573">
        <v>1669404</v>
      </c>
      <c r="E1573" t="s">
        <v>14</v>
      </c>
      <c r="F1573" t="s">
        <v>4438</v>
      </c>
      <c r="G1573" t="s">
        <v>4439</v>
      </c>
      <c r="H1573">
        <v>1019544</v>
      </c>
      <c r="I1573" t="s">
        <v>17</v>
      </c>
      <c r="K1573" t="s">
        <v>4440</v>
      </c>
      <c r="L1573">
        <v>514</v>
      </c>
      <c r="M1573" t="s">
        <v>4441</v>
      </c>
    </row>
    <row r="1574" spans="1:13">
      <c r="A1574" t="s">
        <v>13</v>
      </c>
      <c r="B1574">
        <v>1669419</v>
      </c>
      <c r="C1574">
        <v>1670378</v>
      </c>
      <c r="E1574" t="s">
        <v>14</v>
      </c>
      <c r="F1574" t="s">
        <v>4442</v>
      </c>
      <c r="H1574">
        <v>1019545</v>
      </c>
      <c r="I1574" t="s">
        <v>17</v>
      </c>
      <c r="K1574" t="s">
        <v>4443</v>
      </c>
      <c r="L1574">
        <v>319</v>
      </c>
      <c r="M1574" t="s">
        <v>4444</v>
      </c>
    </row>
    <row r="1575" spans="1:13">
      <c r="A1575" t="s">
        <v>13</v>
      </c>
      <c r="B1575">
        <v>1670395</v>
      </c>
      <c r="C1575">
        <v>1671102</v>
      </c>
      <c r="E1575" t="s">
        <v>14</v>
      </c>
      <c r="F1575" t="s">
        <v>4445</v>
      </c>
      <c r="G1575" t="s">
        <v>4446</v>
      </c>
      <c r="H1575">
        <v>1019546</v>
      </c>
      <c r="I1575" t="s">
        <v>17</v>
      </c>
      <c r="K1575" t="s">
        <v>4447</v>
      </c>
      <c r="L1575">
        <v>235</v>
      </c>
      <c r="M1575" t="s">
        <v>4448</v>
      </c>
    </row>
    <row r="1576" spans="1:13">
      <c r="A1576" t="s">
        <v>13</v>
      </c>
      <c r="B1576">
        <v>1671270</v>
      </c>
      <c r="C1576">
        <v>1671611</v>
      </c>
      <c r="E1576" t="s">
        <v>38</v>
      </c>
      <c r="F1576" t="s">
        <v>141</v>
      </c>
      <c r="H1576">
        <v>1019547</v>
      </c>
      <c r="I1576" t="s">
        <v>142</v>
      </c>
      <c r="M1576" t="s">
        <v>4449</v>
      </c>
    </row>
    <row r="1577" spans="1:13">
      <c r="A1577" t="s">
        <v>13</v>
      </c>
      <c r="B1577">
        <v>1671723</v>
      </c>
      <c r="C1577">
        <v>1673126</v>
      </c>
      <c r="E1577" t="s">
        <v>14</v>
      </c>
      <c r="F1577" t="s">
        <v>4450</v>
      </c>
      <c r="H1577">
        <v>1019548</v>
      </c>
      <c r="I1577" t="s">
        <v>17</v>
      </c>
      <c r="K1577" t="s">
        <v>4451</v>
      </c>
      <c r="L1577">
        <v>467</v>
      </c>
      <c r="M1577" t="s">
        <v>4452</v>
      </c>
    </row>
    <row r="1578" spans="1:13">
      <c r="A1578" t="s">
        <v>13</v>
      </c>
      <c r="B1578">
        <v>1673290</v>
      </c>
      <c r="C1578">
        <v>1674105</v>
      </c>
      <c r="E1578" t="s">
        <v>38</v>
      </c>
      <c r="F1578" t="s">
        <v>141</v>
      </c>
      <c r="H1578">
        <v>1019549</v>
      </c>
      <c r="I1578" t="s">
        <v>142</v>
      </c>
      <c r="M1578" t="s">
        <v>4453</v>
      </c>
    </row>
    <row r="1579" spans="1:13">
      <c r="A1579" t="s">
        <v>13</v>
      </c>
      <c r="B1579">
        <v>1674120</v>
      </c>
      <c r="C1579">
        <v>1675268</v>
      </c>
      <c r="E1579" t="s">
        <v>38</v>
      </c>
      <c r="F1579" t="s">
        <v>4454</v>
      </c>
      <c r="H1579">
        <v>1019550</v>
      </c>
      <c r="I1579" t="s">
        <v>17</v>
      </c>
      <c r="K1579" t="s">
        <v>4455</v>
      </c>
      <c r="L1579">
        <v>382</v>
      </c>
      <c r="M1579" t="s">
        <v>4456</v>
      </c>
    </row>
    <row r="1580" spans="1:13">
      <c r="A1580" t="s">
        <v>13</v>
      </c>
      <c r="B1580">
        <v>1675265</v>
      </c>
      <c r="C1580">
        <v>1676623</v>
      </c>
      <c r="E1580" t="s">
        <v>38</v>
      </c>
      <c r="F1580" t="s">
        <v>4457</v>
      </c>
      <c r="H1580">
        <v>1019551</v>
      </c>
      <c r="I1580" t="s">
        <v>17</v>
      </c>
      <c r="K1580" t="s">
        <v>4458</v>
      </c>
      <c r="L1580">
        <v>452</v>
      </c>
      <c r="M1580" t="s">
        <v>4459</v>
      </c>
    </row>
    <row r="1581" spans="1:13">
      <c r="A1581" t="s">
        <v>13</v>
      </c>
      <c r="B1581">
        <v>1677046</v>
      </c>
      <c r="C1581">
        <v>1677279</v>
      </c>
      <c r="E1581" t="s">
        <v>38</v>
      </c>
      <c r="F1581" t="s">
        <v>4460</v>
      </c>
      <c r="G1581" t="s">
        <v>4461</v>
      </c>
      <c r="H1581">
        <v>1019552</v>
      </c>
      <c r="I1581" t="s">
        <v>17</v>
      </c>
      <c r="K1581" t="s">
        <v>4462</v>
      </c>
      <c r="L1581">
        <v>77</v>
      </c>
      <c r="M1581" t="s">
        <v>4463</v>
      </c>
    </row>
    <row r="1582" spans="1:13">
      <c r="A1582" t="s">
        <v>13</v>
      </c>
      <c r="B1582">
        <v>1677384</v>
      </c>
      <c r="C1582">
        <v>1680143</v>
      </c>
      <c r="E1582" t="s">
        <v>38</v>
      </c>
      <c r="F1582" t="s">
        <v>4464</v>
      </c>
      <c r="G1582" t="s">
        <v>4465</v>
      </c>
      <c r="H1582">
        <v>1019553</v>
      </c>
      <c r="I1582" t="s">
        <v>17</v>
      </c>
      <c r="K1582" t="s">
        <v>4466</v>
      </c>
      <c r="L1582">
        <v>919</v>
      </c>
      <c r="M1582" t="s">
        <v>4467</v>
      </c>
    </row>
    <row r="1583" spans="1:13">
      <c r="A1583" t="s">
        <v>13</v>
      </c>
      <c r="B1583">
        <v>1680329</v>
      </c>
      <c r="C1583">
        <v>1681108</v>
      </c>
      <c r="E1583" t="s">
        <v>38</v>
      </c>
      <c r="F1583" t="s">
        <v>4468</v>
      </c>
      <c r="G1583" t="s">
        <v>4469</v>
      </c>
      <c r="H1583">
        <v>1019554</v>
      </c>
      <c r="I1583" t="s">
        <v>17</v>
      </c>
      <c r="K1583" t="s">
        <v>4470</v>
      </c>
      <c r="L1583">
        <v>259</v>
      </c>
      <c r="M1583" t="s">
        <v>4471</v>
      </c>
    </row>
    <row r="1584" spans="1:13">
      <c r="A1584" t="s">
        <v>13</v>
      </c>
      <c r="B1584">
        <v>1681187</v>
      </c>
      <c r="C1584">
        <v>1682404</v>
      </c>
      <c r="E1584" t="s">
        <v>38</v>
      </c>
      <c r="F1584" t="s">
        <v>4472</v>
      </c>
      <c r="G1584" t="s">
        <v>4473</v>
      </c>
      <c r="H1584">
        <v>1019555</v>
      </c>
      <c r="I1584" t="s">
        <v>17</v>
      </c>
      <c r="K1584" t="s">
        <v>4474</v>
      </c>
      <c r="L1584">
        <v>405</v>
      </c>
      <c r="M1584" t="s">
        <v>4475</v>
      </c>
    </row>
    <row r="1585" spans="1:13">
      <c r="A1585" t="s">
        <v>13</v>
      </c>
      <c r="B1585">
        <v>1682621</v>
      </c>
      <c r="C1585">
        <v>1683625</v>
      </c>
      <c r="E1585" t="s">
        <v>38</v>
      </c>
      <c r="F1585" t="s">
        <v>4476</v>
      </c>
      <c r="G1585" t="s">
        <v>4477</v>
      </c>
      <c r="H1585">
        <v>1019556</v>
      </c>
      <c r="I1585" t="s">
        <v>17</v>
      </c>
      <c r="K1585" t="s">
        <v>4478</v>
      </c>
      <c r="L1585">
        <v>334</v>
      </c>
      <c r="M1585" t="s">
        <v>4479</v>
      </c>
    </row>
    <row r="1586" spans="1:13">
      <c r="A1586" t="s">
        <v>13</v>
      </c>
      <c r="B1586">
        <v>1684114</v>
      </c>
      <c r="C1586">
        <v>1685097</v>
      </c>
      <c r="E1586" t="s">
        <v>38</v>
      </c>
      <c r="F1586" t="s">
        <v>4480</v>
      </c>
      <c r="G1586" t="s">
        <v>4481</v>
      </c>
      <c r="H1586">
        <v>1019557</v>
      </c>
      <c r="I1586" t="s">
        <v>17</v>
      </c>
      <c r="K1586" t="s">
        <v>4482</v>
      </c>
      <c r="L1586">
        <v>327</v>
      </c>
      <c r="M1586" t="s">
        <v>4483</v>
      </c>
    </row>
    <row r="1587" spans="1:13">
      <c r="A1587" t="s">
        <v>13</v>
      </c>
      <c r="B1587">
        <v>1685107</v>
      </c>
      <c r="C1587">
        <v>1686132</v>
      </c>
      <c r="E1587" t="s">
        <v>38</v>
      </c>
      <c r="F1587" t="s">
        <v>4484</v>
      </c>
      <c r="G1587" t="s">
        <v>4485</v>
      </c>
      <c r="H1587">
        <v>1019558</v>
      </c>
      <c r="I1587" t="s">
        <v>17</v>
      </c>
      <c r="K1587" t="s">
        <v>4486</v>
      </c>
      <c r="L1587">
        <v>341</v>
      </c>
      <c r="M1587" t="s">
        <v>4487</v>
      </c>
    </row>
    <row r="1588" spans="1:13">
      <c r="A1588" t="s">
        <v>13</v>
      </c>
      <c r="B1588">
        <v>1686149</v>
      </c>
      <c r="C1588">
        <v>1687078</v>
      </c>
      <c r="E1588" t="s">
        <v>38</v>
      </c>
      <c r="F1588" t="s">
        <v>4488</v>
      </c>
      <c r="G1588" t="s">
        <v>4489</v>
      </c>
      <c r="H1588">
        <v>1019559</v>
      </c>
      <c r="I1588" t="s">
        <v>17</v>
      </c>
      <c r="K1588" t="s">
        <v>4490</v>
      </c>
      <c r="L1588">
        <v>309</v>
      </c>
      <c r="M1588" t="s">
        <v>4491</v>
      </c>
    </row>
    <row r="1589" spans="1:13">
      <c r="A1589" t="s">
        <v>13</v>
      </c>
      <c r="B1589">
        <v>1687100</v>
      </c>
      <c r="C1589">
        <v>1689190</v>
      </c>
      <c r="E1589" t="s">
        <v>38</v>
      </c>
      <c r="F1589" t="s">
        <v>4492</v>
      </c>
      <c r="G1589" t="s">
        <v>4493</v>
      </c>
      <c r="H1589">
        <v>1019560</v>
      </c>
      <c r="I1589" t="s">
        <v>17</v>
      </c>
      <c r="K1589" t="s">
        <v>4494</v>
      </c>
      <c r="L1589">
        <v>696</v>
      </c>
      <c r="M1589" t="s">
        <v>4495</v>
      </c>
    </row>
    <row r="1590" spans="1:13">
      <c r="A1590" t="s">
        <v>13</v>
      </c>
      <c r="B1590">
        <v>1689198</v>
      </c>
      <c r="C1590">
        <v>1689779</v>
      </c>
      <c r="E1590" t="s">
        <v>38</v>
      </c>
      <c r="F1590" t="s">
        <v>1868</v>
      </c>
      <c r="H1590">
        <v>1019561</v>
      </c>
      <c r="I1590" t="s">
        <v>17</v>
      </c>
      <c r="K1590" t="s">
        <v>4496</v>
      </c>
      <c r="L1590">
        <v>193</v>
      </c>
      <c r="M1590" t="s">
        <v>4497</v>
      </c>
    </row>
    <row r="1591" spans="1:13">
      <c r="A1591" t="s">
        <v>13</v>
      </c>
      <c r="B1591">
        <v>1689866</v>
      </c>
      <c r="C1591">
        <v>1690345</v>
      </c>
      <c r="E1591" t="s">
        <v>38</v>
      </c>
      <c r="F1591" t="s">
        <v>4498</v>
      </c>
      <c r="G1591" t="s">
        <v>4499</v>
      </c>
      <c r="H1591">
        <v>1019562</v>
      </c>
      <c r="I1591" t="s">
        <v>17</v>
      </c>
      <c r="K1591" t="s">
        <v>4500</v>
      </c>
      <c r="L1591">
        <v>159</v>
      </c>
      <c r="M1591" t="s">
        <v>4501</v>
      </c>
    </row>
    <row r="1592" spans="1:13">
      <c r="A1592" t="s">
        <v>13</v>
      </c>
      <c r="B1592">
        <v>1690357</v>
      </c>
      <c r="C1592">
        <v>1691625</v>
      </c>
      <c r="E1592" t="s">
        <v>38</v>
      </c>
      <c r="F1592" t="s">
        <v>4502</v>
      </c>
      <c r="H1592">
        <v>1019563</v>
      </c>
      <c r="I1592" t="s">
        <v>17</v>
      </c>
      <c r="K1592" t="s">
        <v>4503</v>
      </c>
      <c r="L1592">
        <v>422</v>
      </c>
      <c r="M1592" t="s">
        <v>4504</v>
      </c>
    </row>
    <row r="1593" spans="1:13">
      <c r="A1593" t="s">
        <v>13</v>
      </c>
      <c r="B1593">
        <v>1691636</v>
      </c>
      <c r="C1593">
        <v>1692271</v>
      </c>
      <c r="E1593" t="s">
        <v>38</v>
      </c>
      <c r="F1593" t="s">
        <v>4505</v>
      </c>
      <c r="H1593">
        <v>1019564</v>
      </c>
      <c r="I1593" t="s">
        <v>17</v>
      </c>
      <c r="K1593" t="s">
        <v>4506</v>
      </c>
      <c r="L1593">
        <v>211</v>
      </c>
      <c r="M1593" t="s">
        <v>4507</v>
      </c>
    </row>
    <row r="1594" spans="1:13">
      <c r="A1594" t="s">
        <v>13</v>
      </c>
      <c r="B1594">
        <v>1692272</v>
      </c>
      <c r="C1594">
        <v>1693258</v>
      </c>
      <c r="E1594" t="s">
        <v>38</v>
      </c>
      <c r="F1594" t="s">
        <v>4508</v>
      </c>
      <c r="G1594" t="s">
        <v>4509</v>
      </c>
      <c r="H1594">
        <v>1019565</v>
      </c>
      <c r="I1594" t="s">
        <v>17</v>
      </c>
      <c r="K1594" t="s">
        <v>4510</v>
      </c>
      <c r="L1594">
        <v>328</v>
      </c>
      <c r="M1594" t="s">
        <v>4511</v>
      </c>
    </row>
    <row r="1595" spans="1:13">
      <c r="A1595" t="s">
        <v>13</v>
      </c>
      <c r="B1595">
        <v>1693259</v>
      </c>
      <c r="C1595">
        <v>1693918</v>
      </c>
      <c r="E1595" t="s">
        <v>38</v>
      </c>
      <c r="F1595" t="s">
        <v>4512</v>
      </c>
      <c r="G1595" t="s">
        <v>4513</v>
      </c>
      <c r="H1595">
        <v>1019566</v>
      </c>
      <c r="I1595" t="s">
        <v>17</v>
      </c>
      <c r="K1595" t="s">
        <v>4514</v>
      </c>
      <c r="L1595">
        <v>219</v>
      </c>
      <c r="M1595" t="s">
        <v>4515</v>
      </c>
    </row>
    <row r="1596" spans="1:13">
      <c r="A1596" t="s">
        <v>13</v>
      </c>
      <c r="B1596">
        <v>1693964</v>
      </c>
      <c r="C1596">
        <v>1695499</v>
      </c>
      <c r="E1596" t="s">
        <v>38</v>
      </c>
      <c r="F1596" t="s">
        <v>4516</v>
      </c>
      <c r="H1596">
        <v>1019567</v>
      </c>
      <c r="I1596" t="s">
        <v>17</v>
      </c>
      <c r="K1596" t="s">
        <v>4517</v>
      </c>
      <c r="L1596">
        <v>511</v>
      </c>
      <c r="M1596" t="s">
        <v>4518</v>
      </c>
    </row>
    <row r="1597" spans="1:13">
      <c r="A1597" t="s">
        <v>13</v>
      </c>
      <c r="B1597">
        <v>1695496</v>
      </c>
      <c r="C1597">
        <v>1696443</v>
      </c>
      <c r="E1597" t="s">
        <v>38</v>
      </c>
      <c r="F1597" t="s">
        <v>4519</v>
      </c>
      <c r="G1597" t="s">
        <v>4520</v>
      </c>
      <c r="H1597">
        <v>1019568</v>
      </c>
      <c r="I1597" t="s">
        <v>17</v>
      </c>
      <c r="K1597" t="s">
        <v>4521</v>
      </c>
      <c r="L1597">
        <v>315</v>
      </c>
      <c r="M1597" t="s">
        <v>4522</v>
      </c>
    </row>
    <row r="1598" spans="1:13">
      <c r="A1598" t="s">
        <v>13</v>
      </c>
      <c r="B1598">
        <v>1696463</v>
      </c>
      <c r="C1598">
        <v>1696972</v>
      </c>
      <c r="E1598" t="s">
        <v>38</v>
      </c>
      <c r="F1598" t="s">
        <v>4523</v>
      </c>
      <c r="G1598" t="s">
        <v>4524</v>
      </c>
      <c r="H1598">
        <v>1019569</v>
      </c>
      <c r="I1598" t="s">
        <v>17</v>
      </c>
      <c r="K1598" t="s">
        <v>4525</v>
      </c>
      <c r="L1598">
        <v>169</v>
      </c>
      <c r="M1598" t="s">
        <v>4526</v>
      </c>
    </row>
    <row r="1599" spans="1:13">
      <c r="A1599" t="s">
        <v>13</v>
      </c>
      <c r="B1599">
        <v>1697081</v>
      </c>
      <c r="C1599">
        <v>1699147</v>
      </c>
      <c r="E1599" t="s">
        <v>38</v>
      </c>
      <c r="F1599" t="s">
        <v>4527</v>
      </c>
      <c r="H1599">
        <v>1019570</v>
      </c>
      <c r="I1599" t="s">
        <v>17</v>
      </c>
      <c r="K1599" t="s">
        <v>4528</v>
      </c>
      <c r="L1599">
        <v>688</v>
      </c>
      <c r="M1599" t="s">
        <v>4529</v>
      </c>
    </row>
    <row r="1600" spans="1:13">
      <c r="A1600" t="s">
        <v>13</v>
      </c>
      <c r="B1600">
        <v>1699174</v>
      </c>
      <c r="C1600">
        <v>1700397</v>
      </c>
      <c r="E1600" t="s">
        <v>38</v>
      </c>
      <c r="F1600" t="s">
        <v>4530</v>
      </c>
      <c r="G1600" t="s">
        <v>4531</v>
      </c>
      <c r="H1600">
        <v>1019571</v>
      </c>
      <c r="I1600" t="s">
        <v>17</v>
      </c>
      <c r="K1600" t="s">
        <v>4532</v>
      </c>
      <c r="L1600">
        <v>407</v>
      </c>
      <c r="M1600" t="s">
        <v>4533</v>
      </c>
    </row>
    <row r="1601" spans="1:13">
      <c r="A1601" t="s">
        <v>13</v>
      </c>
      <c r="B1601">
        <v>1700505</v>
      </c>
      <c r="C1601">
        <v>1701767</v>
      </c>
      <c r="E1601" t="s">
        <v>38</v>
      </c>
      <c r="F1601" t="s">
        <v>4534</v>
      </c>
      <c r="G1601" t="s">
        <v>4535</v>
      </c>
      <c r="H1601">
        <v>1019572</v>
      </c>
      <c r="I1601" t="s">
        <v>17</v>
      </c>
      <c r="K1601" t="s">
        <v>4536</v>
      </c>
      <c r="L1601">
        <v>420</v>
      </c>
      <c r="M1601" t="s">
        <v>4537</v>
      </c>
    </row>
    <row r="1602" spans="1:13">
      <c r="A1602" t="s">
        <v>13</v>
      </c>
      <c r="B1602">
        <v>1702029</v>
      </c>
      <c r="C1602">
        <v>1702316</v>
      </c>
      <c r="E1602" t="s">
        <v>38</v>
      </c>
      <c r="F1602" t="s">
        <v>4538</v>
      </c>
      <c r="G1602" t="s">
        <v>4539</v>
      </c>
      <c r="H1602">
        <v>1019573</v>
      </c>
      <c r="I1602" t="s">
        <v>17</v>
      </c>
      <c r="K1602" t="s">
        <v>4540</v>
      </c>
      <c r="L1602">
        <v>95</v>
      </c>
      <c r="M1602" t="s">
        <v>4541</v>
      </c>
    </row>
    <row r="1603" spans="1:13">
      <c r="A1603" t="s">
        <v>13</v>
      </c>
      <c r="B1603">
        <v>1702408</v>
      </c>
      <c r="C1603">
        <v>1702980</v>
      </c>
      <c r="E1603" t="s">
        <v>38</v>
      </c>
      <c r="F1603" t="s">
        <v>4542</v>
      </c>
      <c r="G1603" t="s">
        <v>4543</v>
      </c>
      <c r="H1603">
        <v>1019574</v>
      </c>
      <c r="I1603" t="s">
        <v>17</v>
      </c>
      <c r="K1603" t="s">
        <v>4544</v>
      </c>
      <c r="L1603">
        <v>190</v>
      </c>
      <c r="M1603" t="s">
        <v>4545</v>
      </c>
    </row>
    <row r="1604" spans="1:13">
      <c r="A1604" t="s">
        <v>13</v>
      </c>
      <c r="B1604">
        <v>1702988</v>
      </c>
      <c r="C1604">
        <v>1703308</v>
      </c>
      <c r="E1604" t="s">
        <v>38</v>
      </c>
      <c r="F1604" t="s">
        <v>4546</v>
      </c>
      <c r="G1604" t="s">
        <v>4547</v>
      </c>
      <c r="H1604">
        <v>1019575</v>
      </c>
      <c r="I1604" t="s">
        <v>17</v>
      </c>
      <c r="K1604" t="s">
        <v>4548</v>
      </c>
      <c r="L1604">
        <v>106</v>
      </c>
      <c r="M1604" t="s">
        <v>4549</v>
      </c>
    </row>
    <row r="1605" spans="1:13">
      <c r="A1605" t="s">
        <v>13</v>
      </c>
      <c r="B1605">
        <v>1703514</v>
      </c>
      <c r="C1605">
        <v>1704350</v>
      </c>
      <c r="E1605" t="s">
        <v>38</v>
      </c>
      <c r="F1605" t="s">
        <v>4550</v>
      </c>
      <c r="G1605" t="s">
        <v>4551</v>
      </c>
      <c r="H1605">
        <v>1019576</v>
      </c>
      <c r="I1605" t="s">
        <v>17</v>
      </c>
      <c r="K1605" t="s">
        <v>4552</v>
      </c>
      <c r="L1605">
        <v>278</v>
      </c>
      <c r="M1605" t="s">
        <v>4553</v>
      </c>
    </row>
    <row r="1606" spans="1:13">
      <c r="A1606" t="s">
        <v>13</v>
      </c>
      <c r="B1606">
        <v>1704356</v>
      </c>
      <c r="C1606">
        <v>1707697</v>
      </c>
      <c r="E1606" t="s">
        <v>38</v>
      </c>
      <c r="F1606" t="s">
        <v>4554</v>
      </c>
      <c r="G1606" t="s">
        <v>4555</v>
      </c>
      <c r="H1606">
        <v>1019577</v>
      </c>
      <c r="I1606" t="s">
        <v>17</v>
      </c>
      <c r="K1606" t="s">
        <v>4556</v>
      </c>
      <c r="L1606">
        <v>1113</v>
      </c>
      <c r="M1606" t="s">
        <v>4557</v>
      </c>
    </row>
    <row r="1607" spans="1:13">
      <c r="A1607" t="s">
        <v>13</v>
      </c>
      <c r="B1607">
        <v>1707703</v>
      </c>
      <c r="C1607">
        <v>1708884</v>
      </c>
      <c r="E1607" t="s">
        <v>38</v>
      </c>
      <c r="F1607" t="s">
        <v>4558</v>
      </c>
      <c r="G1607" t="s">
        <v>4559</v>
      </c>
      <c r="H1607">
        <v>1019578</v>
      </c>
      <c r="I1607" t="s">
        <v>17</v>
      </c>
      <c r="K1607" t="s">
        <v>4560</v>
      </c>
      <c r="L1607">
        <v>393</v>
      </c>
      <c r="M1607" t="s">
        <v>4561</v>
      </c>
    </row>
    <row r="1608" spans="1:13">
      <c r="A1608" t="s">
        <v>13</v>
      </c>
      <c r="B1608">
        <v>1709014</v>
      </c>
      <c r="C1608">
        <v>1710357</v>
      </c>
      <c r="E1608" t="s">
        <v>38</v>
      </c>
      <c r="F1608" t="s">
        <v>4562</v>
      </c>
      <c r="H1608">
        <v>1019579</v>
      </c>
      <c r="I1608" t="s">
        <v>17</v>
      </c>
      <c r="K1608" t="s">
        <v>4563</v>
      </c>
      <c r="L1608">
        <v>447</v>
      </c>
      <c r="M1608" t="s">
        <v>4564</v>
      </c>
    </row>
    <row r="1609" spans="1:13">
      <c r="A1609" t="s">
        <v>13</v>
      </c>
      <c r="B1609">
        <v>1710410</v>
      </c>
      <c r="C1609">
        <v>1711348</v>
      </c>
      <c r="E1609" t="s">
        <v>38</v>
      </c>
      <c r="F1609" t="s">
        <v>4565</v>
      </c>
      <c r="H1609">
        <v>1019580</v>
      </c>
      <c r="I1609" t="s">
        <v>17</v>
      </c>
      <c r="K1609" t="s">
        <v>4566</v>
      </c>
      <c r="L1609">
        <v>312</v>
      </c>
      <c r="M1609" t="s">
        <v>4567</v>
      </c>
    </row>
    <row r="1610" spans="1:13">
      <c r="A1610" t="s">
        <v>13</v>
      </c>
      <c r="B1610">
        <v>1711349</v>
      </c>
      <c r="C1610">
        <v>1711927</v>
      </c>
      <c r="E1610" t="s">
        <v>38</v>
      </c>
      <c r="F1610" t="s">
        <v>4568</v>
      </c>
      <c r="G1610" t="s">
        <v>4569</v>
      </c>
      <c r="H1610">
        <v>1019582</v>
      </c>
      <c r="I1610" t="s">
        <v>17</v>
      </c>
      <c r="K1610" t="s">
        <v>4570</v>
      </c>
      <c r="L1610">
        <v>192</v>
      </c>
      <c r="M1610" t="s">
        <v>4571</v>
      </c>
    </row>
    <row r="1611" spans="1:13">
      <c r="A1611" t="s">
        <v>13</v>
      </c>
      <c r="B1611">
        <v>1712236</v>
      </c>
      <c r="C1611">
        <v>1713762</v>
      </c>
      <c r="E1611" t="s">
        <v>14</v>
      </c>
      <c r="F1611" t="s">
        <v>4572</v>
      </c>
      <c r="H1611">
        <v>1019583</v>
      </c>
      <c r="I1611" t="s">
        <v>17</v>
      </c>
      <c r="K1611" t="s">
        <v>4573</v>
      </c>
      <c r="L1611">
        <v>508</v>
      </c>
      <c r="M1611" t="s">
        <v>4574</v>
      </c>
    </row>
    <row r="1612" spans="1:13">
      <c r="A1612" t="s">
        <v>13</v>
      </c>
      <c r="B1612">
        <v>1713830</v>
      </c>
      <c r="C1612">
        <v>1714309</v>
      </c>
      <c r="E1612" t="s">
        <v>14</v>
      </c>
      <c r="F1612" t="s">
        <v>3644</v>
      </c>
      <c r="H1612">
        <v>1019584</v>
      </c>
      <c r="I1612" t="s">
        <v>17</v>
      </c>
      <c r="K1612" t="s">
        <v>4575</v>
      </c>
      <c r="L1612">
        <v>159</v>
      </c>
      <c r="M1612" t="s">
        <v>4576</v>
      </c>
    </row>
    <row r="1613" spans="1:13">
      <c r="A1613" t="s">
        <v>13</v>
      </c>
      <c r="B1613">
        <v>1714299</v>
      </c>
      <c r="C1613">
        <v>1714763</v>
      </c>
      <c r="E1613" t="s">
        <v>14</v>
      </c>
      <c r="F1613" t="s">
        <v>3644</v>
      </c>
      <c r="H1613">
        <v>1019585</v>
      </c>
      <c r="I1613" t="s">
        <v>17</v>
      </c>
      <c r="K1613" t="s">
        <v>4577</v>
      </c>
      <c r="L1613">
        <v>154</v>
      </c>
      <c r="M1613" t="s">
        <v>4578</v>
      </c>
    </row>
    <row r="1614" spans="1:13">
      <c r="A1614" t="s">
        <v>13</v>
      </c>
      <c r="B1614">
        <v>1714765</v>
      </c>
      <c r="C1614">
        <v>1714953</v>
      </c>
      <c r="E1614" t="s">
        <v>14</v>
      </c>
      <c r="F1614" t="s">
        <v>49</v>
      </c>
      <c r="H1614">
        <v>1019586</v>
      </c>
      <c r="I1614" t="s">
        <v>17</v>
      </c>
      <c r="K1614" t="s">
        <v>4579</v>
      </c>
      <c r="L1614">
        <v>62</v>
      </c>
      <c r="M1614" t="s">
        <v>4580</v>
      </c>
    </row>
    <row r="1615" spans="1:13">
      <c r="A1615" t="s">
        <v>13</v>
      </c>
      <c r="B1615">
        <v>1715379</v>
      </c>
      <c r="C1615">
        <v>1716062</v>
      </c>
      <c r="E1615" t="s">
        <v>38</v>
      </c>
      <c r="F1615" t="s">
        <v>4581</v>
      </c>
      <c r="G1615" t="s">
        <v>4582</v>
      </c>
      <c r="H1615">
        <v>1019587</v>
      </c>
      <c r="I1615" t="s">
        <v>17</v>
      </c>
      <c r="K1615" t="s">
        <v>4583</v>
      </c>
      <c r="L1615">
        <v>227</v>
      </c>
      <c r="M1615" t="s">
        <v>4584</v>
      </c>
    </row>
    <row r="1616" spans="1:13">
      <c r="A1616" t="s">
        <v>13</v>
      </c>
      <c r="B1616">
        <v>1716129</v>
      </c>
      <c r="C1616">
        <v>1716692</v>
      </c>
      <c r="E1616" t="s">
        <v>38</v>
      </c>
      <c r="F1616" t="s">
        <v>4585</v>
      </c>
      <c r="G1616" t="s">
        <v>4586</v>
      </c>
      <c r="H1616">
        <v>1019588</v>
      </c>
      <c r="I1616" t="s">
        <v>17</v>
      </c>
      <c r="K1616" t="s">
        <v>4587</v>
      </c>
      <c r="L1616">
        <v>187</v>
      </c>
      <c r="M1616" t="s">
        <v>4588</v>
      </c>
    </row>
    <row r="1617" spans="1:13">
      <c r="A1617" t="s">
        <v>13</v>
      </c>
      <c r="B1617">
        <v>1716777</v>
      </c>
      <c r="C1617">
        <v>1717868</v>
      </c>
      <c r="E1617" t="s">
        <v>38</v>
      </c>
      <c r="F1617" t="s">
        <v>4589</v>
      </c>
      <c r="H1617">
        <v>1019589</v>
      </c>
      <c r="I1617" t="s">
        <v>17</v>
      </c>
      <c r="K1617" t="s">
        <v>4590</v>
      </c>
      <c r="L1617">
        <v>363</v>
      </c>
      <c r="M1617" t="s">
        <v>4591</v>
      </c>
    </row>
    <row r="1618" spans="1:13">
      <c r="A1618" t="s">
        <v>13</v>
      </c>
      <c r="B1618">
        <v>1717935</v>
      </c>
      <c r="C1618">
        <v>1719032</v>
      </c>
      <c r="E1618" t="s">
        <v>38</v>
      </c>
      <c r="F1618" t="s">
        <v>4592</v>
      </c>
      <c r="G1618" t="s">
        <v>4593</v>
      </c>
      <c r="H1618">
        <v>1019590</v>
      </c>
      <c r="I1618" t="s">
        <v>17</v>
      </c>
      <c r="K1618" t="s">
        <v>4594</v>
      </c>
      <c r="L1618">
        <v>365</v>
      </c>
      <c r="M1618" t="s">
        <v>4595</v>
      </c>
    </row>
    <row r="1619" spans="1:13">
      <c r="A1619" t="s">
        <v>13</v>
      </c>
      <c r="B1619">
        <v>1719104</v>
      </c>
      <c r="C1619">
        <v>1719676</v>
      </c>
      <c r="E1619" t="s">
        <v>38</v>
      </c>
      <c r="F1619" t="s">
        <v>4596</v>
      </c>
      <c r="H1619">
        <v>1019591</v>
      </c>
      <c r="I1619" t="s">
        <v>17</v>
      </c>
      <c r="K1619" t="s">
        <v>4597</v>
      </c>
      <c r="L1619">
        <v>190</v>
      </c>
      <c r="M1619" t="s">
        <v>4598</v>
      </c>
    </row>
    <row r="1620" spans="1:13">
      <c r="A1620" t="s">
        <v>13</v>
      </c>
      <c r="B1620">
        <v>1719666</v>
      </c>
      <c r="C1620">
        <v>1720889</v>
      </c>
      <c r="E1620" t="s">
        <v>38</v>
      </c>
      <c r="F1620" t="s">
        <v>4599</v>
      </c>
      <c r="G1620" t="s">
        <v>4600</v>
      </c>
      <c r="H1620">
        <v>1019592</v>
      </c>
      <c r="I1620" t="s">
        <v>17</v>
      </c>
      <c r="K1620" t="s">
        <v>4601</v>
      </c>
      <c r="L1620">
        <v>407</v>
      </c>
      <c r="M1620" t="s">
        <v>4602</v>
      </c>
    </row>
    <row r="1621" spans="1:13">
      <c r="A1621" t="s">
        <v>13</v>
      </c>
      <c r="B1621">
        <v>1720968</v>
      </c>
      <c r="C1621">
        <v>1721381</v>
      </c>
      <c r="E1621" t="s">
        <v>38</v>
      </c>
      <c r="F1621" t="s">
        <v>4603</v>
      </c>
      <c r="H1621">
        <v>1019593</v>
      </c>
      <c r="I1621" t="s">
        <v>17</v>
      </c>
      <c r="K1621" t="s">
        <v>4604</v>
      </c>
      <c r="L1621">
        <v>137</v>
      </c>
      <c r="M1621" t="s">
        <v>4605</v>
      </c>
    </row>
    <row r="1622" spans="1:13">
      <c r="A1622" t="s">
        <v>13</v>
      </c>
      <c r="B1622">
        <v>1721420</v>
      </c>
      <c r="C1622">
        <v>1721725</v>
      </c>
      <c r="E1622" t="s">
        <v>38</v>
      </c>
      <c r="F1622" t="s">
        <v>801</v>
      </c>
      <c r="H1622">
        <v>1019594</v>
      </c>
      <c r="I1622" t="s">
        <v>17</v>
      </c>
      <c r="K1622" t="s">
        <v>4606</v>
      </c>
      <c r="L1622">
        <v>101</v>
      </c>
      <c r="M1622" t="s">
        <v>4607</v>
      </c>
    </row>
    <row r="1623" spans="1:13">
      <c r="A1623" t="s">
        <v>13</v>
      </c>
      <c r="B1623">
        <v>1721780</v>
      </c>
      <c r="C1623">
        <v>1722856</v>
      </c>
      <c r="E1623" t="s">
        <v>14</v>
      </c>
      <c r="F1623" t="s">
        <v>144</v>
      </c>
      <c r="H1623">
        <v>1019595</v>
      </c>
      <c r="I1623" t="s">
        <v>17</v>
      </c>
      <c r="K1623" t="s">
        <v>4608</v>
      </c>
      <c r="L1623">
        <v>358</v>
      </c>
      <c r="M1623" t="s">
        <v>4609</v>
      </c>
    </row>
    <row r="1624" spans="1:13">
      <c r="A1624" t="s">
        <v>13</v>
      </c>
      <c r="B1624">
        <v>1722870</v>
      </c>
      <c r="C1624">
        <v>1723829</v>
      </c>
      <c r="E1624" t="s">
        <v>14</v>
      </c>
      <c r="F1624" t="s">
        <v>1008</v>
      </c>
      <c r="H1624">
        <v>1019596</v>
      </c>
      <c r="I1624" t="s">
        <v>17</v>
      </c>
      <c r="K1624" t="s">
        <v>4610</v>
      </c>
      <c r="L1624">
        <v>319</v>
      </c>
      <c r="M1624" t="s">
        <v>4611</v>
      </c>
    </row>
    <row r="1625" spans="1:13">
      <c r="A1625" t="s">
        <v>13</v>
      </c>
      <c r="B1625">
        <v>1723826</v>
      </c>
      <c r="C1625">
        <v>1724581</v>
      </c>
      <c r="E1625" t="s">
        <v>14</v>
      </c>
      <c r="F1625" t="s">
        <v>147</v>
      </c>
      <c r="H1625">
        <v>1019597</v>
      </c>
      <c r="I1625" t="s">
        <v>17</v>
      </c>
      <c r="K1625" t="s">
        <v>4612</v>
      </c>
      <c r="L1625">
        <v>251</v>
      </c>
      <c r="M1625" t="s">
        <v>4613</v>
      </c>
    </row>
    <row r="1626" spans="1:13">
      <c r="A1626" t="s">
        <v>13</v>
      </c>
      <c r="B1626">
        <v>1724609</v>
      </c>
      <c r="C1626">
        <v>1725439</v>
      </c>
      <c r="E1626" t="s">
        <v>38</v>
      </c>
      <c r="F1626" t="s">
        <v>4614</v>
      </c>
      <c r="H1626">
        <v>1019598</v>
      </c>
      <c r="I1626" t="s">
        <v>17</v>
      </c>
      <c r="K1626" t="s">
        <v>4615</v>
      </c>
      <c r="L1626">
        <v>276</v>
      </c>
      <c r="M1626" t="s">
        <v>4616</v>
      </c>
    </row>
    <row r="1627" spans="1:13">
      <c r="A1627" t="s">
        <v>13</v>
      </c>
      <c r="B1627">
        <v>1725456</v>
      </c>
      <c r="C1627">
        <v>1726625</v>
      </c>
      <c r="E1627" t="s">
        <v>38</v>
      </c>
      <c r="F1627" t="s">
        <v>4617</v>
      </c>
      <c r="G1627" t="s">
        <v>4618</v>
      </c>
      <c r="H1627">
        <v>1019599</v>
      </c>
      <c r="I1627" t="s">
        <v>17</v>
      </c>
      <c r="K1627" t="s">
        <v>4619</v>
      </c>
      <c r="L1627">
        <v>389</v>
      </c>
      <c r="M1627" t="s">
        <v>4620</v>
      </c>
    </row>
    <row r="1628" spans="1:13">
      <c r="A1628" t="s">
        <v>13</v>
      </c>
      <c r="B1628">
        <v>1726622</v>
      </c>
      <c r="C1628">
        <v>1727170</v>
      </c>
      <c r="E1628" t="s">
        <v>38</v>
      </c>
      <c r="F1628" t="s">
        <v>4621</v>
      </c>
      <c r="G1628" t="s">
        <v>4622</v>
      </c>
      <c r="H1628">
        <v>1019600</v>
      </c>
      <c r="I1628" t="s">
        <v>17</v>
      </c>
      <c r="K1628" t="s">
        <v>4623</v>
      </c>
      <c r="L1628">
        <v>182</v>
      </c>
      <c r="M1628" t="s">
        <v>4624</v>
      </c>
    </row>
    <row r="1629" spans="1:13">
      <c r="A1629" t="s">
        <v>13</v>
      </c>
      <c r="B1629">
        <v>1727382</v>
      </c>
      <c r="C1629">
        <v>1730048</v>
      </c>
      <c r="E1629" t="s">
        <v>38</v>
      </c>
      <c r="F1629" t="s">
        <v>4625</v>
      </c>
      <c r="G1629" t="s">
        <v>4626</v>
      </c>
      <c r="H1629">
        <v>1019601</v>
      </c>
      <c r="I1629" t="s">
        <v>17</v>
      </c>
      <c r="K1629" t="s">
        <v>4627</v>
      </c>
      <c r="L1629">
        <v>888</v>
      </c>
      <c r="M1629" t="s">
        <v>4628</v>
      </c>
    </row>
    <row r="1630" spans="1:13">
      <c r="A1630" t="s">
        <v>13</v>
      </c>
      <c r="B1630">
        <v>1730163</v>
      </c>
      <c r="C1630">
        <v>1731542</v>
      </c>
      <c r="E1630" t="s">
        <v>38</v>
      </c>
      <c r="F1630" t="s">
        <v>4629</v>
      </c>
      <c r="H1630">
        <v>1019602</v>
      </c>
      <c r="I1630" t="s">
        <v>17</v>
      </c>
      <c r="K1630" t="s">
        <v>4630</v>
      </c>
      <c r="L1630">
        <v>459</v>
      </c>
      <c r="M1630" t="s">
        <v>4631</v>
      </c>
    </row>
    <row r="1631" spans="1:13">
      <c r="A1631" t="s">
        <v>13</v>
      </c>
      <c r="B1631">
        <v>1731596</v>
      </c>
      <c r="C1631">
        <v>1732795</v>
      </c>
      <c r="E1631" t="s">
        <v>38</v>
      </c>
      <c r="F1631" t="s">
        <v>4632</v>
      </c>
      <c r="H1631">
        <v>1019603</v>
      </c>
      <c r="I1631" t="s">
        <v>17</v>
      </c>
      <c r="K1631" t="s">
        <v>4633</v>
      </c>
      <c r="L1631">
        <v>399</v>
      </c>
      <c r="M1631" t="s">
        <v>4634</v>
      </c>
    </row>
    <row r="1632" spans="1:13">
      <c r="A1632" t="s">
        <v>13</v>
      </c>
      <c r="B1632">
        <v>1732985</v>
      </c>
      <c r="C1632">
        <v>1734811</v>
      </c>
      <c r="E1632" t="s">
        <v>38</v>
      </c>
      <c r="F1632" t="s">
        <v>4635</v>
      </c>
      <c r="G1632" t="s">
        <v>4636</v>
      </c>
      <c r="H1632">
        <v>1019604</v>
      </c>
      <c r="I1632" t="s">
        <v>17</v>
      </c>
      <c r="K1632" t="s">
        <v>4637</v>
      </c>
      <c r="L1632">
        <v>608</v>
      </c>
      <c r="M1632" t="s">
        <v>4638</v>
      </c>
    </row>
    <row r="1633" spans="1:13">
      <c r="A1633" t="s">
        <v>13</v>
      </c>
      <c r="B1633">
        <v>1735125</v>
      </c>
      <c r="C1633">
        <v>1735949</v>
      </c>
      <c r="E1633" t="s">
        <v>14</v>
      </c>
      <c r="F1633" t="s">
        <v>4639</v>
      </c>
      <c r="H1633">
        <v>1019605</v>
      </c>
      <c r="I1633" t="s">
        <v>17</v>
      </c>
      <c r="K1633" t="s">
        <v>4640</v>
      </c>
      <c r="L1633">
        <v>274</v>
      </c>
      <c r="M1633" t="s">
        <v>4641</v>
      </c>
    </row>
    <row r="1634" spans="1:13">
      <c r="A1634" t="s">
        <v>13</v>
      </c>
      <c r="B1634">
        <v>1736001</v>
      </c>
      <c r="C1634">
        <v>1738679</v>
      </c>
      <c r="E1634" t="s">
        <v>38</v>
      </c>
      <c r="F1634" t="s">
        <v>930</v>
      </c>
      <c r="H1634">
        <v>1019606</v>
      </c>
      <c r="I1634" t="s">
        <v>17</v>
      </c>
      <c r="K1634" t="s">
        <v>4642</v>
      </c>
      <c r="L1634">
        <v>892</v>
      </c>
      <c r="M1634" t="s">
        <v>4643</v>
      </c>
    </row>
    <row r="1635" spans="1:13">
      <c r="A1635" t="s">
        <v>13</v>
      </c>
      <c r="B1635">
        <v>1738710</v>
      </c>
      <c r="C1635">
        <v>1740569</v>
      </c>
      <c r="E1635" t="s">
        <v>38</v>
      </c>
      <c r="F1635" t="s">
        <v>829</v>
      </c>
      <c r="H1635">
        <v>1019607</v>
      </c>
      <c r="I1635" t="s">
        <v>17</v>
      </c>
      <c r="K1635" t="s">
        <v>4644</v>
      </c>
      <c r="L1635">
        <v>619</v>
      </c>
      <c r="M1635" t="s">
        <v>4645</v>
      </c>
    </row>
    <row r="1636" spans="1:13">
      <c r="A1636" t="s">
        <v>13</v>
      </c>
      <c r="B1636">
        <v>1740569</v>
      </c>
      <c r="C1636">
        <v>1741219</v>
      </c>
      <c r="E1636" t="s">
        <v>38</v>
      </c>
      <c r="F1636" t="s">
        <v>49</v>
      </c>
      <c r="H1636">
        <v>1019608</v>
      </c>
      <c r="I1636" t="s">
        <v>17</v>
      </c>
      <c r="K1636" t="s">
        <v>4646</v>
      </c>
      <c r="L1636">
        <v>216</v>
      </c>
      <c r="M1636" t="s">
        <v>4647</v>
      </c>
    </row>
    <row r="1637" spans="1:13">
      <c r="A1637" t="s">
        <v>13</v>
      </c>
      <c r="B1637">
        <v>1741313</v>
      </c>
      <c r="C1637">
        <v>1741909</v>
      </c>
      <c r="E1637" t="s">
        <v>14</v>
      </c>
      <c r="F1637" t="s">
        <v>1126</v>
      </c>
      <c r="H1637">
        <v>1019609</v>
      </c>
      <c r="I1637" t="s">
        <v>17</v>
      </c>
      <c r="K1637" t="s">
        <v>4648</v>
      </c>
      <c r="L1637">
        <v>198</v>
      </c>
      <c r="M1637" t="s">
        <v>4649</v>
      </c>
    </row>
    <row r="1638" spans="1:13">
      <c r="A1638" t="s">
        <v>13</v>
      </c>
      <c r="B1638">
        <v>1741893</v>
      </c>
      <c r="C1638">
        <v>1742609</v>
      </c>
      <c r="E1638" t="s">
        <v>14</v>
      </c>
      <c r="F1638" t="s">
        <v>49</v>
      </c>
      <c r="H1638">
        <v>1019610</v>
      </c>
      <c r="I1638" t="s">
        <v>17</v>
      </c>
      <c r="K1638" t="s">
        <v>4650</v>
      </c>
      <c r="L1638">
        <v>238</v>
      </c>
      <c r="M1638" t="s">
        <v>4651</v>
      </c>
    </row>
    <row r="1639" spans="1:13">
      <c r="A1639" t="s">
        <v>13</v>
      </c>
      <c r="B1639">
        <v>1742701</v>
      </c>
      <c r="C1639">
        <v>1743816</v>
      </c>
      <c r="E1639" t="s">
        <v>14</v>
      </c>
      <c r="F1639" t="s">
        <v>4652</v>
      </c>
      <c r="H1639">
        <v>1019611</v>
      </c>
      <c r="I1639" t="s">
        <v>17</v>
      </c>
      <c r="K1639" t="s">
        <v>4653</v>
      </c>
      <c r="L1639">
        <v>371</v>
      </c>
      <c r="M1639" t="s">
        <v>4654</v>
      </c>
    </row>
    <row r="1640" spans="1:13">
      <c r="A1640" t="s">
        <v>13</v>
      </c>
      <c r="B1640">
        <v>1743843</v>
      </c>
      <c r="C1640">
        <v>1744522</v>
      </c>
      <c r="E1640" t="s">
        <v>14</v>
      </c>
      <c r="F1640" t="s">
        <v>141</v>
      </c>
      <c r="H1640">
        <v>18194965</v>
      </c>
      <c r="I1640" t="s">
        <v>142</v>
      </c>
      <c r="M1640" t="s">
        <v>4655</v>
      </c>
    </row>
    <row r="1641" spans="1:13">
      <c r="A1641" t="s">
        <v>13</v>
      </c>
      <c r="B1641">
        <v>1744884</v>
      </c>
      <c r="C1641">
        <v>1746233</v>
      </c>
      <c r="E1641" t="s">
        <v>14</v>
      </c>
      <c r="F1641" t="s">
        <v>4656</v>
      </c>
      <c r="H1641">
        <v>1019614</v>
      </c>
      <c r="I1641" t="s">
        <v>17</v>
      </c>
      <c r="K1641" t="s">
        <v>4657</v>
      </c>
      <c r="L1641">
        <v>449</v>
      </c>
      <c r="M1641" t="s">
        <v>4658</v>
      </c>
    </row>
    <row r="1642" spans="1:13">
      <c r="A1642" t="s">
        <v>13</v>
      </c>
      <c r="B1642">
        <v>1746230</v>
      </c>
      <c r="C1642">
        <v>1747918</v>
      </c>
      <c r="E1642" t="s">
        <v>38</v>
      </c>
      <c r="F1642" t="s">
        <v>4659</v>
      </c>
      <c r="H1642">
        <v>1019615</v>
      </c>
      <c r="I1642" t="s">
        <v>17</v>
      </c>
      <c r="K1642" t="s">
        <v>4660</v>
      </c>
      <c r="L1642">
        <v>562</v>
      </c>
      <c r="M1642" t="s">
        <v>4661</v>
      </c>
    </row>
    <row r="1643" spans="1:13">
      <c r="A1643" t="s">
        <v>13</v>
      </c>
      <c r="B1643">
        <v>1747987</v>
      </c>
      <c r="C1643">
        <v>1749276</v>
      </c>
      <c r="E1643" t="s">
        <v>38</v>
      </c>
      <c r="F1643" t="s">
        <v>4662</v>
      </c>
      <c r="G1643" t="s">
        <v>4663</v>
      </c>
      <c r="H1643">
        <v>1019616</v>
      </c>
      <c r="I1643" t="s">
        <v>17</v>
      </c>
      <c r="K1643" t="s">
        <v>4664</v>
      </c>
      <c r="L1643">
        <v>429</v>
      </c>
      <c r="M1643" t="s">
        <v>4665</v>
      </c>
    </row>
    <row r="1644" spans="1:13">
      <c r="A1644" t="s">
        <v>13</v>
      </c>
      <c r="B1644">
        <v>1749322</v>
      </c>
      <c r="C1644">
        <v>1749963</v>
      </c>
      <c r="E1644" t="s">
        <v>38</v>
      </c>
      <c r="F1644" t="s">
        <v>191</v>
      </c>
      <c r="H1644">
        <v>1019617</v>
      </c>
      <c r="I1644" t="s">
        <v>17</v>
      </c>
      <c r="K1644" t="s">
        <v>4666</v>
      </c>
      <c r="L1644">
        <v>213</v>
      </c>
      <c r="M1644" t="s">
        <v>4667</v>
      </c>
    </row>
    <row r="1645" spans="1:13">
      <c r="A1645" t="s">
        <v>13</v>
      </c>
      <c r="B1645">
        <v>1750094</v>
      </c>
      <c r="C1645">
        <v>1750936</v>
      </c>
      <c r="E1645" t="s">
        <v>14</v>
      </c>
      <c r="F1645" t="s">
        <v>132</v>
      </c>
      <c r="H1645">
        <v>1019618</v>
      </c>
      <c r="I1645" t="s">
        <v>17</v>
      </c>
      <c r="K1645" t="s">
        <v>4668</v>
      </c>
      <c r="L1645">
        <v>280</v>
      </c>
      <c r="M1645" t="s">
        <v>4669</v>
      </c>
    </row>
    <row r="1646" spans="1:13">
      <c r="A1646" t="s">
        <v>13</v>
      </c>
      <c r="B1646">
        <v>1751497</v>
      </c>
      <c r="C1646">
        <v>1752054</v>
      </c>
      <c r="E1646" t="s">
        <v>14</v>
      </c>
      <c r="F1646" t="s">
        <v>4670</v>
      </c>
      <c r="H1646">
        <v>1019619</v>
      </c>
      <c r="I1646" t="s">
        <v>17</v>
      </c>
      <c r="K1646" t="s">
        <v>4671</v>
      </c>
      <c r="L1646">
        <v>185</v>
      </c>
      <c r="M1646" t="s">
        <v>4672</v>
      </c>
    </row>
    <row r="1647" spans="1:13">
      <c r="A1647" t="s">
        <v>13</v>
      </c>
      <c r="B1647">
        <v>1752255</v>
      </c>
      <c r="C1647">
        <v>1752530</v>
      </c>
      <c r="E1647" t="s">
        <v>14</v>
      </c>
      <c r="F1647" t="s">
        <v>49</v>
      </c>
      <c r="H1647">
        <v>1019620</v>
      </c>
      <c r="I1647" t="s">
        <v>17</v>
      </c>
      <c r="K1647" t="s">
        <v>4673</v>
      </c>
      <c r="L1647">
        <v>91</v>
      </c>
      <c r="M1647" t="s">
        <v>4674</v>
      </c>
    </row>
    <row r="1648" spans="1:13">
      <c r="A1648" t="s">
        <v>13</v>
      </c>
      <c r="B1648">
        <v>1752612</v>
      </c>
      <c r="C1648">
        <v>1754894</v>
      </c>
      <c r="E1648" t="s">
        <v>38</v>
      </c>
      <c r="F1648" t="s">
        <v>4675</v>
      </c>
      <c r="H1648">
        <v>1019621</v>
      </c>
      <c r="I1648" t="s">
        <v>17</v>
      </c>
      <c r="K1648" t="s">
        <v>4676</v>
      </c>
      <c r="L1648">
        <v>760</v>
      </c>
      <c r="M1648" t="s">
        <v>4677</v>
      </c>
    </row>
    <row r="1649" spans="1:13">
      <c r="A1649" t="s">
        <v>13</v>
      </c>
      <c r="B1649">
        <v>1754922</v>
      </c>
      <c r="C1649">
        <v>1755479</v>
      </c>
      <c r="E1649" t="s">
        <v>38</v>
      </c>
      <c r="F1649" t="s">
        <v>4678</v>
      </c>
      <c r="H1649">
        <v>1019622</v>
      </c>
      <c r="I1649" t="s">
        <v>17</v>
      </c>
      <c r="K1649" t="s">
        <v>4679</v>
      </c>
      <c r="L1649">
        <v>185</v>
      </c>
      <c r="M1649" t="s">
        <v>4680</v>
      </c>
    </row>
    <row r="1650" spans="1:13">
      <c r="A1650" t="s">
        <v>13</v>
      </c>
      <c r="B1650">
        <v>1755483</v>
      </c>
      <c r="C1650">
        <v>1757084</v>
      </c>
      <c r="E1650" t="s">
        <v>38</v>
      </c>
      <c r="F1650" t="s">
        <v>1008</v>
      </c>
      <c r="H1650">
        <v>1019623</v>
      </c>
      <c r="I1650" t="s">
        <v>17</v>
      </c>
      <c r="K1650" t="s">
        <v>4681</v>
      </c>
      <c r="L1650">
        <v>533</v>
      </c>
      <c r="M1650" t="s">
        <v>4682</v>
      </c>
    </row>
    <row r="1651" spans="1:13">
      <c r="A1651" t="s">
        <v>13</v>
      </c>
      <c r="B1651">
        <v>1757586</v>
      </c>
      <c r="C1651">
        <v>1758797</v>
      </c>
      <c r="E1651" t="s">
        <v>38</v>
      </c>
      <c r="F1651" t="s">
        <v>4683</v>
      </c>
      <c r="G1651" t="s">
        <v>4684</v>
      </c>
      <c r="H1651">
        <v>1019624</v>
      </c>
      <c r="I1651" t="s">
        <v>17</v>
      </c>
      <c r="K1651" t="s">
        <v>4685</v>
      </c>
      <c r="L1651">
        <v>403</v>
      </c>
      <c r="M1651" t="s">
        <v>4686</v>
      </c>
    </row>
    <row r="1652" spans="1:13">
      <c r="A1652" t="s">
        <v>13</v>
      </c>
      <c r="B1652">
        <v>1758800</v>
      </c>
      <c r="C1652">
        <v>1760713</v>
      </c>
      <c r="E1652" t="s">
        <v>38</v>
      </c>
      <c r="F1652" t="s">
        <v>4687</v>
      </c>
      <c r="G1652" t="s">
        <v>4688</v>
      </c>
      <c r="H1652">
        <v>1019625</v>
      </c>
      <c r="I1652" t="s">
        <v>17</v>
      </c>
      <c r="K1652" t="s">
        <v>4689</v>
      </c>
      <c r="L1652">
        <v>637</v>
      </c>
      <c r="M1652" t="s">
        <v>4690</v>
      </c>
    </row>
    <row r="1653" spans="1:13">
      <c r="A1653" t="s">
        <v>13</v>
      </c>
      <c r="B1653">
        <v>1761002</v>
      </c>
      <c r="C1653">
        <v>1761367</v>
      </c>
      <c r="E1653" t="s">
        <v>38</v>
      </c>
      <c r="F1653" t="s">
        <v>4691</v>
      </c>
      <c r="G1653" t="s">
        <v>4692</v>
      </c>
      <c r="H1653">
        <v>1019626</v>
      </c>
      <c r="I1653" t="s">
        <v>17</v>
      </c>
      <c r="K1653" t="s">
        <v>4693</v>
      </c>
      <c r="L1653">
        <v>121</v>
      </c>
      <c r="M1653" t="s">
        <v>4694</v>
      </c>
    </row>
    <row r="1654" spans="1:13">
      <c r="A1654" t="s">
        <v>13</v>
      </c>
      <c r="B1654">
        <v>1761416</v>
      </c>
      <c r="C1654">
        <v>1762507</v>
      </c>
      <c r="E1654" t="s">
        <v>38</v>
      </c>
      <c r="F1654" t="s">
        <v>4695</v>
      </c>
      <c r="G1654" t="s">
        <v>4696</v>
      </c>
      <c r="H1654">
        <v>1019627</v>
      </c>
      <c r="I1654" t="s">
        <v>17</v>
      </c>
      <c r="K1654" t="s">
        <v>4697</v>
      </c>
      <c r="L1654">
        <v>363</v>
      </c>
      <c r="M1654" t="s">
        <v>4698</v>
      </c>
    </row>
    <row r="1655" spans="1:13">
      <c r="A1655" t="s">
        <v>13</v>
      </c>
      <c r="B1655">
        <v>1762514</v>
      </c>
      <c r="C1655">
        <v>1763134</v>
      </c>
      <c r="E1655" t="s">
        <v>38</v>
      </c>
      <c r="F1655" t="s">
        <v>4699</v>
      </c>
      <c r="G1655" t="s">
        <v>4700</v>
      </c>
      <c r="H1655">
        <v>1019628</v>
      </c>
      <c r="I1655" t="s">
        <v>17</v>
      </c>
      <c r="K1655" t="s">
        <v>4701</v>
      </c>
      <c r="L1655">
        <v>206</v>
      </c>
      <c r="M1655" t="s">
        <v>4702</v>
      </c>
    </row>
    <row r="1656" spans="1:13">
      <c r="A1656" t="s">
        <v>13</v>
      </c>
      <c r="B1656">
        <v>1763174</v>
      </c>
      <c r="C1656">
        <v>1763839</v>
      </c>
      <c r="E1656" t="s">
        <v>38</v>
      </c>
      <c r="F1656" t="s">
        <v>4703</v>
      </c>
      <c r="G1656" t="s">
        <v>4704</v>
      </c>
      <c r="H1656">
        <v>1019629</v>
      </c>
      <c r="I1656" t="s">
        <v>17</v>
      </c>
      <c r="K1656" t="s">
        <v>4705</v>
      </c>
      <c r="L1656">
        <v>221</v>
      </c>
      <c r="M1656" t="s">
        <v>4706</v>
      </c>
    </row>
    <row r="1657" spans="1:13">
      <c r="A1657" t="s">
        <v>13</v>
      </c>
      <c r="B1657">
        <v>1763987</v>
      </c>
      <c r="C1657">
        <v>1764742</v>
      </c>
      <c r="E1657" t="s">
        <v>38</v>
      </c>
      <c r="F1657" t="s">
        <v>4707</v>
      </c>
      <c r="H1657">
        <v>1019630</v>
      </c>
      <c r="I1657" t="s">
        <v>17</v>
      </c>
      <c r="K1657" t="s">
        <v>4708</v>
      </c>
      <c r="L1657">
        <v>251</v>
      </c>
      <c r="M1657" t="s">
        <v>4709</v>
      </c>
    </row>
    <row r="1658" spans="1:13">
      <c r="A1658" t="s">
        <v>13</v>
      </c>
      <c r="B1658">
        <v>1765012</v>
      </c>
      <c r="C1658">
        <v>1765860</v>
      </c>
      <c r="E1658" t="s">
        <v>38</v>
      </c>
      <c r="F1658" t="s">
        <v>4710</v>
      </c>
      <c r="H1658">
        <v>1019631</v>
      </c>
      <c r="I1658" t="s">
        <v>17</v>
      </c>
      <c r="K1658" t="s">
        <v>4711</v>
      </c>
      <c r="L1658">
        <v>282</v>
      </c>
      <c r="M1658" t="s">
        <v>4712</v>
      </c>
    </row>
    <row r="1659" spans="1:13">
      <c r="A1659" t="s">
        <v>13</v>
      </c>
      <c r="B1659">
        <v>1765969</v>
      </c>
      <c r="C1659">
        <v>1766445</v>
      </c>
      <c r="E1659" t="s">
        <v>14</v>
      </c>
      <c r="F1659" t="s">
        <v>4713</v>
      </c>
      <c r="H1659">
        <v>1019632</v>
      </c>
      <c r="I1659" t="s">
        <v>17</v>
      </c>
      <c r="K1659" t="s">
        <v>4714</v>
      </c>
      <c r="L1659">
        <v>158</v>
      </c>
      <c r="M1659" t="s">
        <v>4715</v>
      </c>
    </row>
    <row r="1660" spans="1:13">
      <c r="A1660" t="s">
        <v>13</v>
      </c>
      <c r="B1660">
        <v>1766484</v>
      </c>
      <c r="C1660">
        <v>1766948</v>
      </c>
      <c r="E1660" t="s">
        <v>38</v>
      </c>
      <c r="F1660" t="s">
        <v>49</v>
      </c>
      <c r="H1660">
        <v>1019633</v>
      </c>
      <c r="I1660" t="s">
        <v>17</v>
      </c>
      <c r="K1660" t="s">
        <v>4716</v>
      </c>
      <c r="L1660">
        <v>154</v>
      </c>
      <c r="M1660" t="s">
        <v>4717</v>
      </c>
    </row>
    <row r="1661" spans="1:13">
      <c r="A1661" t="s">
        <v>13</v>
      </c>
      <c r="B1661">
        <v>1766945</v>
      </c>
      <c r="C1661">
        <v>1768030</v>
      </c>
      <c r="E1661" t="s">
        <v>38</v>
      </c>
      <c r="F1661" t="s">
        <v>1046</v>
      </c>
      <c r="H1661">
        <v>1019634</v>
      </c>
      <c r="I1661" t="s">
        <v>17</v>
      </c>
      <c r="K1661" t="s">
        <v>4718</v>
      </c>
      <c r="L1661">
        <v>361</v>
      </c>
      <c r="M1661" t="s">
        <v>4719</v>
      </c>
    </row>
    <row r="1662" spans="1:13">
      <c r="A1662" t="s">
        <v>13</v>
      </c>
      <c r="B1662">
        <v>1768031</v>
      </c>
      <c r="C1662">
        <v>1768996</v>
      </c>
      <c r="E1662" t="s">
        <v>38</v>
      </c>
      <c r="F1662" t="s">
        <v>4720</v>
      </c>
      <c r="H1662">
        <v>1019635</v>
      </c>
      <c r="I1662" t="s">
        <v>17</v>
      </c>
      <c r="K1662" t="s">
        <v>4721</v>
      </c>
      <c r="L1662">
        <v>321</v>
      </c>
      <c r="M1662" t="s">
        <v>4722</v>
      </c>
    </row>
    <row r="1663" spans="1:13">
      <c r="A1663" t="s">
        <v>13</v>
      </c>
      <c r="B1663">
        <v>1769019</v>
      </c>
      <c r="C1663">
        <v>1769678</v>
      </c>
      <c r="E1663" t="s">
        <v>38</v>
      </c>
      <c r="F1663" t="s">
        <v>4723</v>
      </c>
      <c r="G1663" t="s">
        <v>4724</v>
      </c>
      <c r="H1663">
        <v>1019636</v>
      </c>
      <c r="I1663" t="s">
        <v>17</v>
      </c>
      <c r="K1663" t="s">
        <v>4725</v>
      </c>
      <c r="L1663">
        <v>219</v>
      </c>
      <c r="M1663" t="s">
        <v>4726</v>
      </c>
    </row>
    <row r="1664" spans="1:13">
      <c r="A1664" t="s">
        <v>13</v>
      </c>
      <c r="B1664">
        <v>1769678</v>
      </c>
      <c r="C1664">
        <v>1770316</v>
      </c>
      <c r="E1664" t="s">
        <v>38</v>
      </c>
      <c r="F1664" t="s">
        <v>4727</v>
      </c>
      <c r="H1664">
        <v>1019637</v>
      </c>
      <c r="I1664" t="s">
        <v>17</v>
      </c>
      <c r="K1664" t="s">
        <v>4728</v>
      </c>
      <c r="L1664">
        <v>212</v>
      </c>
      <c r="M1664" t="s">
        <v>4729</v>
      </c>
    </row>
    <row r="1665" spans="1:13">
      <c r="A1665" t="s">
        <v>13</v>
      </c>
      <c r="B1665">
        <v>1770324</v>
      </c>
      <c r="C1665">
        <v>1772384</v>
      </c>
      <c r="E1665" t="s">
        <v>38</v>
      </c>
      <c r="F1665" t="s">
        <v>4730</v>
      </c>
      <c r="G1665" t="s">
        <v>4731</v>
      </c>
      <c r="H1665">
        <v>1019638</v>
      </c>
      <c r="I1665" t="s">
        <v>17</v>
      </c>
      <c r="K1665" t="s">
        <v>4732</v>
      </c>
      <c r="L1665">
        <v>686</v>
      </c>
      <c r="M1665" t="s">
        <v>4733</v>
      </c>
    </row>
    <row r="1666" spans="1:13">
      <c r="A1666" t="s">
        <v>13</v>
      </c>
      <c r="B1666">
        <v>1772655</v>
      </c>
      <c r="C1666">
        <v>1773863</v>
      </c>
      <c r="E1666" t="s">
        <v>38</v>
      </c>
      <c r="F1666" t="s">
        <v>4734</v>
      </c>
      <c r="H1666">
        <v>1019639</v>
      </c>
      <c r="I1666" t="s">
        <v>17</v>
      </c>
      <c r="K1666" t="s">
        <v>4735</v>
      </c>
      <c r="L1666">
        <v>402</v>
      </c>
      <c r="M1666" t="s">
        <v>4736</v>
      </c>
    </row>
    <row r="1667" spans="1:13">
      <c r="A1667" t="s">
        <v>13</v>
      </c>
      <c r="B1667">
        <v>1773890</v>
      </c>
      <c r="C1667">
        <v>1774438</v>
      </c>
      <c r="E1667" t="s">
        <v>38</v>
      </c>
      <c r="F1667" t="s">
        <v>4737</v>
      </c>
      <c r="H1667">
        <v>1019640</v>
      </c>
      <c r="I1667" t="s">
        <v>17</v>
      </c>
      <c r="K1667" t="s">
        <v>4738</v>
      </c>
      <c r="L1667">
        <v>182</v>
      </c>
      <c r="M1667" t="s">
        <v>4739</v>
      </c>
    </row>
    <row r="1668" spans="1:13">
      <c r="A1668" t="s">
        <v>13</v>
      </c>
      <c r="B1668">
        <v>1774454</v>
      </c>
      <c r="C1668">
        <v>1775074</v>
      </c>
      <c r="E1668" t="s">
        <v>38</v>
      </c>
      <c r="F1668" t="s">
        <v>4740</v>
      </c>
      <c r="H1668">
        <v>1019641</v>
      </c>
      <c r="I1668" t="s">
        <v>17</v>
      </c>
      <c r="K1668" t="s">
        <v>4741</v>
      </c>
      <c r="L1668">
        <v>206</v>
      </c>
      <c r="M1668" t="s">
        <v>4742</v>
      </c>
    </row>
    <row r="1669" spans="1:13">
      <c r="A1669" t="s">
        <v>13</v>
      </c>
      <c r="B1669">
        <v>1775676</v>
      </c>
      <c r="C1669">
        <v>1775748</v>
      </c>
      <c r="E1669" t="s">
        <v>38</v>
      </c>
      <c r="F1669" t="s">
        <v>4743</v>
      </c>
      <c r="H1669">
        <v>2745333</v>
      </c>
      <c r="I1669" t="s">
        <v>62</v>
      </c>
      <c r="M1669" t="s">
        <v>4744</v>
      </c>
    </row>
    <row r="1670" spans="1:13">
      <c r="A1670" t="s">
        <v>13</v>
      </c>
      <c r="B1670">
        <v>1775782</v>
      </c>
      <c r="C1670">
        <v>1775856</v>
      </c>
      <c r="E1670" t="s">
        <v>38</v>
      </c>
      <c r="F1670" t="s">
        <v>4745</v>
      </c>
      <c r="H1670">
        <v>2745348</v>
      </c>
      <c r="I1670" t="s">
        <v>62</v>
      </c>
      <c r="M1670" t="s">
        <v>4746</v>
      </c>
    </row>
    <row r="1671" spans="1:13">
      <c r="A1671" t="s">
        <v>13</v>
      </c>
      <c r="B1671">
        <v>1775867</v>
      </c>
      <c r="C1671">
        <v>1775937</v>
      </c>
      <c r="E1671" t="s">
        <v>38</v>
      </c>
      <c r="F1671" t="s">
        <v>4747</v>
      </c>
      <c r="H1671">
        <v>2745354</v>
      </c>
      <c r="I1671" t="s">
        <v>62</v>
      </c>
      <c r="M1671" t="s">
        <v>4748</v>
      </c>
    </row>
    <row r="1672" spans="1:13">
      <c r="A1672" t="s">
        <v>13</v>
      </c>
      <c r="B1672">
        <v>1775979</v>
      </c>
      <c r="C1672">
        <v>1776051</v>
      </c>
      <c r="E1672" t="s">
        <v>38</v>
      </c>
      <c r="F1672" t="s">
        <v>4743</v>
      </c>
      <c r="H1672">
        <v>2745347</v>
      </c>
      <c r="I1672" t="s">
        <v>62</v>
      </c>
      <c r="M1672" t="s">
        <v>4749</v>
      </c>
    </row>
    <row r="1673" spans="1:13">
      <c r="A1673" t="s">
        <v>13</v>
      </c>
      <c r="B1673">
        <v>1776085</v>
      </c>
      <c r="C1673">
        <v>1776159</v>
      </c>
      <c r="E1673" t="s">
        <v>38</v>
      </c>
      <c r="F1673" t="s">
        <v>4745</v>
      </c>
      <c r="H1673">
        <v>2745350</v>
      </c>
      <c r="I1673" t="s">
        <v>62</v>
      </c>
      <c r="M1673" t="s">
        <v>4750</v>
      </c>
    </row>
    <row r="1674" spans="1:13">
      <c r="A1674" t="s">
        <v>13</v>
      </c>
      <c r="B1674">
        <v>1776193</v>
      </c>
      <c r="C1674">
        <v>1776265</v>
      </c>
      <c r="E1674" t="s">
        <v>38</v>
      </c>
      <c r="F1674" t="s">
        <v>4743</v>
      </c>
      <c r="H1674">
        <v>2745346</v>
      </c>
      <c r="I1674" t="s">
        <v>62</v>
      </c>
      <c r="M1674" t="s">
        <v>4751</v>
      </c>
    </row>
    <row r="1675" spans="1:13">
      <c r="A1675" t="s">
        <v>13</v>
      </c>
      <c r="B1675">
        <v>1776613</v>
      </c>
      <c r="C1675">
        <v>1776684</v>
      </c>
      <c r="E1675" t="s">
        <v>14</v>
      </c>
      <c r="F1675" t="s">
        <v>4745</v>
      </c>
      <c r="H1675">
        <v>2745332</v>
      </c>
      <c r="I1675" t="s">
        <v>62</v>
      </c>
      <c r="M1675" t="s">
        <v>4752</v>
      </c>
    </row>
    <row r="1676" spans="1:13">
      <c r="A1676" t="s">
        <v>13</v>
      </c>
      <c r="B1676">
        <v>1778099</v>
      </c>
      <c r="C1676">
        <v>1779508</v>
      </c>
      <c r="E1676" t="s">
        <v>38</v>
      </c>
      <c r="F1676" t="s">
        <v>49</v>
      </c>
      <c r="H1676">
        <v>1019642</v>
      </c>
      <c r="I1676" t="s">
        <v>17</v>
      </c>
      <c r="K1676" t="s">
        <v>4753</v>
      </c>
      <c r="L1676">
        <v>469</v>
      </c>
      <c r="M1676" t="s">
        <v>4754</v>
      </c>
    </row>
    <row r="1677" spans="1:13">
      <c r="A1677" t="s">
        <v>13</v>
      </c>
      <c r="B1677">
        <v>1779551</v>
      </c>
      <c r="C1677">
        <v>1780114</v>
      </c>
      <c r="E1677" t="s">
        <v>38</v>
      </c>
      <c r="F1677" t="s">
        <v>49</v>
      </c>
      <c r="H1677">
        <v>1019643</v>
      </c>
      <c r="I1677" t="s">
        <v>17</v>
      </c>
      <c r="K1677" t="s">
        <v>4755</v>
      </c>
      <c r="L1677">
        <v>187</v>
      </c>
      <c r="M1677" t="s">
        <v>4756</v>
      </c>
    </row>
    <row r="1678" spans="1:13">
      <c r="A1678" t="s">
        <v>13</v>
      </c>
      <c r="B1678">
        <v>1780504</v>
      </c>
      <c r="C1678">
        <v>1780830</v>
      </c>
      <c r="E1678" t="s">
        <v>38</v>
      </c>
      <c r="F1678" t="s">
        <v>391</v>
      </c>
      <c r="H1678">
        <v>1019644</v>
      </c>
      <c r="I1678" t="s">
        <v>17</v>
      </c>
      <c r="K1678" t="s">
        <v>4757</v>
      </c>
      <c r="L1678">
        <v>108</v>
      </c>
      <c r="M1678" t="s">
        <v>4758</v>
      </c>
    </row>
    <row r="1679" spans="1:13">
      <c r="A1679" t="s">
        <v>13</v>
      </c>
      <c r="B1679">
        <v>1781016</v>
      </c>
      <c r="C1679">
        <v>1781579</v>
      </c>
      <c r="E1679" t="s">
        <v>38</v>
      </c>
      <c r="F1679" t="s">
        <v>549</v>
      </c>
      <c r="H1679">
        <v>1019645</v>
      </c>
      <c r="I1679" t="s">
        <v>17</v>
      </c>
      <c r="K1679" t="s">
        <v>4759</v>
      </c>
      <c r="L1679">
        <v>187</v>
      </c>
      <c r="M1679" t="s">
        <v>4760</v>
      </c>
    </row>
    <row r="1680" spans="1:13">
      <c r="A1680" t="s">
        <v>13</v>
      </c>
      <c r="B1680">
        <v>1781924</v>
      </c>
      <c r="C1680">
        <v>1782793</v>
      </c>
      <c r="E1680" t="s">
        <v>14</v>
      </c>
      <c r="F1680" t="s">
        <v>49</v>
      </c>
      <c r="H1680">
        <v>1019646</v>
      </c>
      <c r="I1680" t="s">
        <v>17</v>
      </c>
      <c r="K1680" t="s">
        <v>4761</v>
      </c>
      <c r="L1680">
        <v>289</v>
      </c>
      <c r="M1680" t="s">
        <v>4762</v>
      </c>
    </row>
    <row r="1681" spans="1:13">
      <c r="A1681" t="s">
        <v>13</v>
      </c>
      <c r="B1681">
        <v>1782891</v>
      </c>
      <c r="C1681">
        <v>1785473</v>
      </c>
      <c r="E1681" t="s">
        <v>38</v>
      </c>
      <c r="F1681" t="s">
        <v>49</v>
      </c>
      <c r="H1681">
        <v>1019647</v>
      </c>
      <c r="I1681" t="s">
        <v>17</v>
      </c>
      <c r="K1681" t="s">
        <v>4763</v>
      </c>
      <c r="L1681">
        <v>860</v>
      </c>
      <c r="M1681" t="s">
        <v>4764</v>
      </c>
    </row>
    <row r="1682" spans="1:13">
      <c r="A1682" t="s">
        <v>13</v>
      </c>
      <c r="B1682">
        <v>1785729</v>
      </c>
      <c r="C1682">
        <v>1786844</v>
      </c>
      <c r="E1682" t="s">
        <v>38</v>
      </c>
      <c r="F1682" t="s">
        <v>49</v>
      </c>
      <c r="H1682">
        <v>1019648</v>
      </c>
      <c r="I1682" t="s">
        <v>17</v>
      </c>
      <c r="K1682" t="s">
        <v>4765</v>
      </c>
      <c r="L1682">
        <v>371</v>
      </c>
      <c r="M1682" t="s">
        <v>4766</v>
      </c>
    </row>
    <row r="1683" spans="1:13">
      <c r="A1683" t="s">
        <v>13</v>
      </c>
      <c r="B1683">
        <v>1786904</v>
      </c>
      <c r="C1683">
        <v>1788829</v>
      </c>
      <c r="E1683" t="s">
        <v>38</v>
      </c>
      <c r="F1683" t="s">
        <v>49</v>
      </c>
      <c r="H1683">
        <v>1019649</v>
      </c>
      <c r="I1683" t="s">
        <v>17</v>
      </c>
      <c r="K1683" t="s">
        <v>4767</v>
      </c>
      <c r="L1683">
        <v>641</v>
      </c>
      <c r="M1683" t="s">
        <v>4768</v>
      </c>
    </row>
    <row r="1684" spans="1:13">
      <c r="A1684" t="s">
        <v>13</v>
      </c>
      <c r="B1684">
        <v>1789080</v>
      </c>
      <c r="C1684">
        <v>1789565</v>
      </c>
      <c r="E1684" t="s">
        <v>14</v>
      </c>
      <c r="F1684" t="s">
        <v>49</v>
      </c>
      <c r="H1684">
        <v>1019650</v>
      </c>
      <c r="I1684" t="s">
        <v>17</v>
      </c>
      <c r="K1684" t="s">
        <v>4769</v>
      </c>
      <c r="L1684">
        <v>161</v>
      </c>
      <c r="M1684" t="s">
        <v>4770</v>
      </c>
    </row>
    <row r="1685" spans="1:13">
      <c r="A1685" t="s">
        <v>13</v>
      </c>
      <c r="B1685">
        <v>1789580</v>
      </c>
      <c r="C1685">
        <v>1789771</v>
      </c>
      <c r="E1685" t="s">
        <v>14</v>
      </c>
      <c r="F1685" t="s">
        <v>49</v>
      </c>
      <c r="H1685">
        <v>1019651</v>
      </c>
      <c r="I1685" t="s">
        <v>17</v>
      </c>
      <c r="K1685" t="s">
        <v>4771</v>
      </c>
      <c r="L1685">
        <v>63</v>
      </c>
      <c r="M1685" t="s">
        <v>4772</v>
      </c>
    </row>
    <row r="1686" spans="1:13">
      <c r="A1686" t="s">
        <v>13</v>
      </c>
      <c r="B1686">
        <v>1789833</v>
      </c>
      <c r="C1686">
        <v>1790060</v>
      </c>
      <c r="E1686" t="s">
        <v>14</v>
      </c>
      <c r="F1686" t="s">
        <v>49</v>
      </c>
      <c r="H1686">
        <v>1019652</v>
      </c>
      <c r="I1686" t="s">
        <v>17</v>
      </c>
      <c r="K1686" t="s">
        <v>4773</v>
      </c>
      <c r="L1686">
        <v>75</v>
      </c>
      <c r="M1686" t="s">
        <v>4774</v>
      </c>
    </row>
    <row r="1687" spans="1:13">
      <c r="A1687" t="s">
        <v>13</v>
      </c>
      <c r="B1687">
        <v>1790458</v>
      </c>
      <c r="C1687">
        <v>1790838</v>
      </c>
      <c r="E1687" t="s">
        <v>38</v>
      </c>
      <c r="F1687" t="s">
        <v>49</v>
      </c>
      <c r="H1687">
        <v>1019653</v>
      </c>
      <c r="I1687" t="s">
        <v>17</v>
      </c>
      <c r="K1687" t="s">
        <v>4775</v>
      </c>
      <c r="L1687">
        <v>126</v>
      </c>
      <c r="M1687" t="s">
        <v>4776</v>
      </c>
    </row>
    <row r="1688" spans="1:13">
      <c r="A1688" t="s">
        <v>13</v>
      </c>
      <c r="B1688">
        <v>1791842</v>
      </c>
      <c r="C1688">
        <v>1792441</v>
      </c>
      <c r="E1688" t="s">
        <v>14</v>
      </c>
      <c r="F1688" t="s">
        <v>127</v>
      </c>
      <c r="H1688">
        <v>1019654</v>
      </c>
      <c r="I1688" t="s">
        <v>17</v>
      </c>
      <c r="K1688" t="s">
        <v>4777</v>
      </c>
      <c r="L1688">
        <v>199</v>
      </c>
      <c r="M1688" t="s">
        <v>4778</v>
      </c>
    </row>
    <row r="1689" spans="1:13">
      <c r="A1689" t="s">
        <v>13</v>
      </c>
      <c r="B1689">
        <v>1792443</v>
      </c>
      <c r="C1689">
        <v>1793429</v>
      </c>
      <c r="E1689" t="s">
        <v>14</v>
      </c>
      <c r="F1689" t="s">
        <v>124</v>
      </c>
      <c r="H1689">
        <v>1019655</v>
      </c>
      <c r="I1689" t="s">
        <v>17</v>
      </c>
      <c r="K1689" t="s">
        <v>4779</v>
      </c>
      <c r="L1689">
        <v>328</v>
      </c>
      <c r="M1689" t="s">
        <v>4780</v>
      </c>
    </row>
    <row r="1690" spans="1:13">
      <c r="A1690" t="s">
        <v>13</v>
      </c>
      <c r="B1690">
        <v>1793714</v>
      </c>
      <c r="C1690">
        <v>1794823</v>
      </c>
      <c r="E1690" t="s">
        <v>14</v>
      </c>
      <c r="F1690" t="s">
        <v>49</v>
      </c>
      <c r="H1690">
        <v>1019656</v>
      </c>
      <c r="I1690" t="s">
        <v>17</v>
      </c>
      <c r="K1690" t="s">
        <v>4781</v>
      </c>
      <c r="L1690">
        <v>369</v>
      </c>
      <c r="M1690" t="s">
        <v>4782</v>
      </c>
    </row>
    <row r="1691" spans="1:13">
      <c r="A1691" t="s">
        <v>13</v>
      </c>
      <c r="B1691">
        <v>1794824</v>
      </c>
      <c r="C1691">
        <v>1795624</v>
      </c>
      <c r="E1691" t="s">
        <v>14</v>
      </c>
      <c r="F1691" t="s">
        <v>4783</v>
      </c>
      <c r="H1691">
        <v>44144972</v>
      </c>
      <c r="I1691" t="s">
        <v>17</v>
      </c>
      <c r="K1691" t="s">
        <v>4784</v>
      </c>
      <c r="L1691">
        <v>266</v>
      </c>
      <c r="M1691" t="s">
        <v>4785</v>
      </c>
    </row>
    <row r="1692" spans="1:13">
      <c r="A1692" t="s">
        <v>13</v>
      </c>
      <c r="B1692">
        <v>1795666</v>
      </c>
      <c r="C1692">
        <v>1796184</v>
      </c>
      <c r="E1692" t="s">
        <v>14</v>
      </c>
      <c r="F1692" t="s">
        <v>4786</v>
      </c>
      <c r="H1692">
        <v>1019658</v>
      </c>
      <c r="I1692" t="s">
        <v>17</v>
      </c>
      <c r="K1692" t="s">
        <v>4787</v>
      </c>
      <c r="L1692">
        <v>172</v>
      </c>
      <c r="M1692" t="s">
        <v>4788</v>
      </c>
    </row>
    <row r="1693" spans="1:13">
      <c r="A1693" t="s">
        <v>13</v>
      </c>
      <c r="B1693">
        <v>1796186</v>
      </c>
      <c r="C1693">
        <v>1797052</v>
      </c>
      <c r="E1693" t="s">
        <v>14</v>
      </c>
      <c r="F1693" t="s">
        <v>49</v>
      </c>
      <c r="H1693">
        <v>1019659</v>
      </c>
      <c r="I1693" t="s">
        <v>17</v>
      </c>
      <c r="K1693" t="s">
        <v>4789</v>
      </c>
      <c r="L1693">
        <v>288</v>
      </c>
      <c r="M1693" t="s">
        <v>4790</v>
      </c>
    </row>
    <row r="1694" spans="1:13">
      <c r="A1694" t="s">
        <v>13</v>
      </c>
      <c r="B1694">
        <v>1797182</v>
      </c>
      <c r="C1694">
        <v>1797340</v>
      </c>
      <c r="E1694" t="s">
        <v>14</v>
      </c>
      <c r="F1694" t="s">
        <v>49</v>
      </c>
      <c r="H1694">
        <v>44144973</v>
      </c>
      <c r="I1694" t="s">
        <v>17</v>
      </c>
      <c r="K1694" t="s">
        <v>4791</v>
      </c>
      <c r="L1694">
        <v>52</v>
      </c>
      <c r="M1694" t="s">
        <v>4792</v>
      </c>
    </row>
    <row r="1695" spans="1:13">
      <c r="A1695" t="s">
        <v>13</v>
      </c>
      <c r="B1695">
        <v>1797350</v>
      </c>
      <c r="C1695">
        <v>1797772</v>
      </c>
      <c r="E1695" t="s">
        <v>14</v>
      </c>
      <c r="F1695" t="s">
        <v>49</v>
      </c>
      <c r="H1695">
        <v>1019660</v>
      </c>
      <c r="I1695" t="s">
        <v>17</v>
      </c>
      <c r="K1695" t="s">
        <v>4793</v>
      </c>
      <c r="L1695">
        <v>140</v>
      </c>
      <c r="M1695" t="s">
        <v>4794</v>
      </c>
    </row>
    <row r="1696" spans="1:13">
      <c r="A1696" t="s">
        <v>13</v>
      </c>
      <c r="B1696">
        <v>1798020</v>
      </c>
      <c r="C1696">
        <v>1798757</v>
      </c>
      <c r="E1696" t="s">
        <v>38</v>
      </c>
      <c r="F1696" t="s">
        <v>49</v>
      </c>
      <c r="H1696">
        <v>1019661</v>
      </c>
      <c r="I1696" t="s">
        <v>17</v>
      </c>
      <c r="K1696" t="s">
        <v>4795</v>
      </c>
      <c r="L1696">
        <v>245</v>
      </c>
      <c r="M1696" t="s">
        <v>4796</v>
      </c>
    </row>
    <row r="1697" spans="1:13">
      <c r="A1697" t="s">
        <v>13</v>
      </c>
      <c r="B1697">
        <v>1799140</v>
      </c>
      <c r="C1697">
        <v>1799409</v>
      </c>
      <c r="E1697" t="s">
        <v>14</v>
      </c>
      <c r="F1697" t="s">
        <v>4797</v>
      </c>
      <c r="H1697">
        <v>1019662</v>
      </c>
      <c r="I1697" t="s">
        <v>17</v>
      </c>
      <c r="K1697" t="s">
        <v>4798</v>
      </c>
      <c r="L1697">
        <v>89</v>
      </c>
      <c r="M1697" t="s">
        <v>4799</v>
      </c>
    </row>
    <row r="1698" spans="1:13">
      <c r="A1698" t="s">
        <v>13</v>
      </c>
      <c r="B1698">
        <v>1799704</v>
      </c>
      <c r="C1698">
        <v>1800369</v>
      </c>
      <c r="E1698" t="s">
        <v>14</v>
      </c>
      <c r="F1698" t="s">
        <v>49</v>
      </c>
      <c r="H1698">
        <v>1019663</v>
      </c>
      <c r="I1698" t="s">
        <v>17</v>
      </c>
      <c r="K1698" t="s">
        <v>4800</v>
      </c>
      <c r="L1698">
        <v>221</v>
      </c>
      <c r="M1698" t="s">
        <v>4801</v>
      </c>
    </row>
    <row r="1699" spans="1:13">
      <c r="A1699" t="s">
        <v>13</v>
      </c>
      <c r="B1699">
        <v>1800446</v>
      </c>
      <c r="C1699">
        <v>1800586</v>
      </c>
      <c r="E1699" t="s">
        <v>38</v>
      </c>
      <c r="F1699" t="s">
        <v>49</v>
      </c>
      <c r="H1699">
        <v>44144974</v>
      </c>
      <c r="I1699" t="s">
        <v>17</v>
      </c>
      <c r="K1699" t="s">
        <v>4802</v>
      </c>
      <c r="L1699">
        <v>46</v>
      </c>
      <c r="M1699" t="s">
        <v>4803</v>
      </c>
    </row>
    <row r="1700" spans="1:13">
      <c r="A1700" t="s">
        <v>13</v>
      </c>
      <c r="B1700">
        <v>1800630</v>
      </c>
      <c r="C1700">
        <v>1800761</v>
      </c>
      <c r="E1700" t="s">
        <v>14</v>
      </c>
      <c r="F1700" t="s">
        <v>49</v>
      </c>
      <c r="H1700">
        <v>92792325</v>
      </c>
      <c r="I1700" t="s">
        <v>17</v>
      </c>
      <c r="K1700" t="s">
        <v>4804</v>
      </c>
      <c r="L1700">
        <v>43</v>
      </c>
      <c r="M1700" t="s">
        <v>4805</v>
      </c>
    </row>
    <row r="1701" spans="1:13">
      <c r="A1701" t="s">
        <v>13</v>
      </c>
      <c r="B1701">
        <v>1800873</v>
      </c>
      <c r="C1701">
        <v>1801310</v>
      </c>
      <c r="E1701" t="s">
        <v>14</v>
      </c>
      <c r="F1701" t="s">
        <v>49</v>
      </c>
      <c r="H1701">
        <v>1019664</v>
      </c>
      <c r="I1701" t="s">
        <v>17</v>
      </c>
      <c r="K1701" t="s">
        <v>4806</v>
      </c>
      <c r="L1701">
        <v>145</v>
      </c>
      <c r="M1701" t="s">
        <v>4807</v>
      </c>
    </row>
    <row r="1702" spans="1:13">
      <c r="A1702" t="s">
        <v>13</v>
      </c>
      <c r="B1702">
        <v>1801494</v>
      </c>
      <c r="C1702">
        <v>1802099</v>
      </c>
      <c r="E1702" t="s">
        <v>14</v>
      </c>
      <c r="F1702" t="s">
        <v>49</v>
      </c>
      <c r="H1702">
        <v>1019665</v>
      </c>
      <c r="I1702" t="s">
        <v>17</v>
      </c>
      <c r="K1702" t="s">
        <v>4808</v>
      </c>
      <c r="L1702">
        <v>201</v>
      </c>
      <c r="M1702" t="s">
        <v>4809</v>
      </c>
    </row>
    <row r="1703" spans="1:13">
      <c r="A1703" t="s">
        <v>13</v>
      </c>
      <c r="B1703">
        <v>1802152</v>
      </c>
      <c r="C1703">
        <v>1802577</v>
      </c>
      <c r="E1703" t="s">
        <v>38</v>
      </c>
      <c r="F1703" t="s">
        <v>49</v>
      </c>
      <c r="H1703">
        <v>1019666</v>
      </c>
      <c r="I1703" t="s">
        <v>17</v>
      </c>
      <c r="K1703" t="s">
        <v>4810</v>
      </c>
      <c r="L1703">
        <v>141</v>
      </c>
      <c r="M1703" t="s">
        <v>4811</v>
      </c>
    </row>
    <row r="1704" spans="1:13">
      <c r="A1704" t="s">
        <v>13</v>
      </c>
      <c r="B1704">
        <v>1802889</v>
      </c>
      <c r="C1704">
        <v>1803422</v>
      </c>
      <c r="E1704" t="s">
        <v>14</v>
      </c>
      <c r="F1704" t="s">
        <v>4670</v>
      </c>
      <c r="H1704">
        <v>1019667</v>
      </c>
      <c r="I1704" t="s">
        <v>17</v>
      </c>
      <c r="K1704" t="s">
        <v>4812</v>
      </c>
      <c r="L1704">
        <v>177</v>
      </c>
      <c r="M1704" t="s">
        <v>4813</v>
      </c>
    </row>
    <row r="1705" spans="1:13">
      <c r="A1705" t="s">
        <v>13</v>
      </c>
      <c r="B1705">
        <v>1803630</v>
      </c>
      <c r="C1705">
        <v>1803896</v>
      </c>
      <c r="E1705" t="s">
        <v>14</v>
      </c>
      <c r="F1705" t="s">
        <v>49</v>
      </c>
      <c r="H1705">
        <v>1019668</v>
      </c>
      <c r="I1705" t="s">
        <v>17</v>
      </c>
      <c r="K1705" t="s">
        <v>4814</v>
      </c>
      <c r="L1705">
        <v>88</v>
      </c>
      <c r="M1705" t="s">
        <v>4815</v>
      </c>
    </row>
    <row r="1706" spans="1:13">
      <c r="A1706" t="s">
        <v>13</v>
      </c>
      <c r="B1706">
        <v>1804134</v>
      </c>
      <c r="C1706">
        <v>1804601</v>
      </c>
      <c r="E1706" t="s">
        <v>14</v>
      </c>
      <c r="F1706" t="s">
        <v>49</v>
      </c>
      <c r="H1706">
        <v>1019669</v>
      </c>
      <c r="I1706" t="s">
        <v>17</v>
      </c>
      <c r="K1706" t="s">
        <v>4816</v>
      </c>
      <c r="L1706">
        <v>155</v>
      </c>
      <c r="M1706" t="s">
        <v>4817</v>
      </c>
    </row>
    <row r="1707" spans="1:13">
      <c r="A1707" t="s">
        <v>13</v>
      </c>
      <c r="B1707">
        <v>1804629</v>
      </c>
      <c r="C1707">
        <v>1804868</v>
      </c>
      <c r="E1707" t="s">
        <v>14</v>
      </c>
      <c r="F1707" t="s">
        <v>49</v>
      </c>
      <c r="H1707">
        <v>1019670</v>
      </c>
      <c r="I1707" t="s">
        <v>17</v>
      </c>
      <c r="K1707" t="s">
        <v>4818</v>
      </c>
      <c r="L1707">
        <v>79</v>
      </c>
      <c r="M1707" t="s">
        <v>4819</v>
      </c>
    </row>
    <row r="1708" spans="1:13">
      <c r="A1708" t="s">
        <v>13</v>
      </c>
      <c r="B1708">
        <v>1804988</v>
      </c>
      <c r="C1708">
        <v>1805602</v>
      </c>
      <c r="E1708" t="s">
        <v>14</v>
      </c>
      <c r="F1708" t="s">
        <v>49</v>
      </c>
      <c r="H1708">
        <v>1019671</v>
      </c>
      <c r="I1708" t="s">
        <v>17</v>
      </c>
      <c r="K1708" t="s">
        <v>4820</v>
      </c>
      <c r="L1708">
        <v>204</v>
      </c>
      <c r="M1708" t="s">
        <v>4821</v>
      </c>
    </row>
    <row r="1709" spans="1:13">
      <c r="A1709" t="s">
        <v>13</v>
      </c>
      <c r="B1709">
        <v>1805775</v>
      </c>
      <c r="C1709">
        <v>1806689</v>
      </c>
      <c r="E1709" t="s">
        <v>14</v>
      </c>
      <c r="F1709" t="s">
        <v>49</v>
      </c>
      <c r="H1709">
        <v>1019672</v>
      </c>
      <c r="I1709" t="s">
        <v>17</v>
      </c>
      <c r="K1709" t="s">
        <v>4822</v>
      </c>
      <c r="L1709">
        <v>304</v>
      </c>
      <c r="M1709" t="s">
        <v>4823</v>
      </c>
    </row>
    <row r="1710" spans="1:13">
      <c r="A1710" t="s">
        <v>13</v>
      </c>
      <c r="B1710">
        <v>1806774</v>
      </c>
      <c r="C1710">
        <v>1806902</v>
      </c>
      <c r="E1710" t="s">
        <v>14</v>
      </c>
      <c r="F1710" t="s">
        <v>49</v>
      </c>
      <c r="H1710">
        <v>92792326</v>
      </c>
      <c r="I1710" t="s">
        <v>17</v>
      </c>
      <c r="K1710" t="s">
        <v>4824</v>
      </c>
      <c r="L1710">
        <v>42</v>
      </c>
      <c r="M1710" t="s">
        <v>4825</v>
      </c>
    </row>
    <row r="1711" spans="1:13">
      <c r="A1711" t="s">
        <v>13</v>
      </c>
      <c r="B1711">
        <v>1806941</v>
      </c>
      <c r="C1711">
        <v>1807399</v>
      </c>
      <c r="E1711" t="s">
        <v>14</v>
      </c>
      <c r="F1711" t="s">
        <v>49</v>
      </c>
      <c r="H1711">
        <v>1019673</v>
      </c>
      <c r="I1711" t="s">
        <v>17</v>
      </c>
      <c r="K1711" t="s">
        <v>4826</v>
      </c>
      <c r="L1711">
        <v>152</v>
      </c>
      <c r="M1711" t="s">
        <v>4827</v>
      </c>
    </row>
    <row r="1712" spans="1:13">
      <c r="A1712" t="s">
        <v>13</v>
      </c>
      <c r="B1712">
        <v>1807547</v>
      </c>
      <c r="C1712">
        <v>1808116</v>
      </c>
      <c r="E1712" t="s">
        <v>14</v>
      </c>
      <c r="F1712" t="s">
        <v>49</v>
      </c>
      <c r="H1712">
        <v>1019674</v>
      </c>
      <c r="I1712" t="s">
        <v>17</v>
      </c>
      <c r="K1712" t="s">
        <v>4828</v>
      </c>
      <c r="L1712">
        <v>189</v>
      </c>
      <c r="M1712" t="s">
        <v>4829</v>
      </c>
    </row>
    <row r="1713" spans="1:13">
      <c r="A1713" t="s">
        <v>13</v>
      </c>
      <c r="B1713">
        <v>1808137</v>
      </c>
      <c r="C1713">
        <v>1808424</v>
      </c>
      <c r="E1713" t="s">
        <v>14</v>
      </c>
      <c r="F1713" t="s">
        <v>49</v>
      </c>
      <c r="H1713">
        <v>1019675</v>
      </c>
      <c r="I1713" t="s">
        <v>17</v>
      </c>
      <c r="K1713" t="s">
        <v>4830</v>
      </c>
      <c r="L1713">
        <v>95</v>
      </c>
      <c r="M1713" t="s">
        <v>4831</v>
      </c>
    </row>
    <row r="1714" spans="1:13">
      <c r="A1714" t="s">
        <v>13</v>
      </c>
      <c r="B1714">
        <v>1808500</v>
      </c>
      <c r="C1714">
        <v>1808835</v>
      </c>
      <c r="E1714" t="s">
        <v>14</v>
      </c>
      <c r="F1714" t="s">
        <v>49</v>
      </c>
      <c r="H1714">
        <v>1019676</v>
      </c>
      <c r="I1714" t="s">
        <v>17</v>
      </c>
      <c r="K1714" t="s">
        <v>4832</v>
      </c>
      <c r="L1714">
        <v>111</v>
      </c>
      <c r="M1714" t="s">
        <v>4833</v>
      </c>
    </row>
    <row r="1715" spans="1:13">
      <c r="A1715" t="s">
        <v>13</v>
      </c>
      <c r="B1715">
        <v>1809761</v>
      </c>
      <c r="C1715">
        <v>1810375</v>
      </c>
      <c r="E1715" t="s">
        <v>14</v>
      </c>
      <c r="F1715" t="s">
        <v>4834</v>
      </c>
      <c r="H1715">
        <v>1019677</v>
      </c>
      <c r="I1715" t="s">
        <v>17</v>
      </c>
      <c r="K1715" t="s">
        <v>4835</v>
      </c>
      <c r="L1715">
        <v>204</v>
      </c>
      <c r="M1715" t="s">
        <v>4836</v>
      </c>
    </row>
    <row r="1716" spans="1:13">
      <c r="A1716" t="s">
        <v>13</v>
      </c>
      <c r="B1716">
        <v>1810553</v>
      </c>
      <c r="C1716">
        <v>1811548</v>
      </c>
      <c r="E1716" t="s">
        <v>14</v>
      </c>
      <c r="F1716" t="s">
        <v>3804</v>
      </c>
      <c r="H1716">
        <v>1019678</v>
      </c>
      <c r="I1716" t="s">
        <v>17</v>
      </c>
      <c r="K1716" t="s">
        <v>4837</v>
      </c>
      <c r="L1716">
        <v>331</v>
      </c>
      <c r="M1716" t="s">
        <v>4838</v>
      </c>
    </row>
    <row r="1717" spans="1:13">
      <c r="A1717" t="s">
        <v>13</v>
      </c>
      <c r="B1717">
        <v>1811564</v>
      </c>
      <c r="C1717">
        <v>1811941</v>
      </c>
      <c r="E1717" t="s">
        <v>14</v>
      </c>
      <c r="F1717" t="s">
        <v>49</v>
      </c>
      <c r="H1717">
        <v>1019679</v>
      </c>
      <c r="I1717" t="s">
        <v>17</v>
      </c>
      <c r="K1717" t="s">
        <v>4839</v>
      </c>
      <c r="L1717">
        <v>125</v>
      </c>
      <c r="M1717" t="s">
        <v>4840</v>
      </c>
    </row>
    <row r="1718" spans="1:13">
      <c r="A1718" t="s">
        <v>13</v>
      </c>
      <c r="B1718">
        <v>1812215</v>
      </c>
      <c r="C1718">
        <v>1812694</v>
      </c>
      <c r="E1718" t="s">
        <v>14</v>
      </c>
      <c r="F1718" t="s">
        <v>4841</v>
      </c>
      <c r="H1718">
        <v>1019680</v>
      </c>
      <c r="I1718" t="s">
        <v>17</v>
      </c>
      <c r="K1718" t="s">
        <v>4842</v>
      </c>
      <c r="L1718">
        <v>159</v>
      </c>
      <c r="M1718" t="s">
        <v>4843</v>
      </c>
    </row>
    <row r="1719" spans="1:13">
      <c r="A1719" t="s">
        <v>13</v>
      </c>
      <c r="B1719">
        <v>1812881</v>
      </c>
      <c r="C1719">
        <v>1813609</v>
      </c>
      <c r="E1719" t="s">
        <v>14</v>
      </c>
      <c r="F1719" t="s">
        <v>49</v>
      </c>
      <c r="H1719">
        <v>1019681</v>
      </c>
      <c r="I1719" t="s">
        <v>17</v>
      </c>
      <c r="K1719" t="s">
        <v>4844</v>
      </c>
      <c r="L1719">
        <v>242</v>
      </c>
      <c r="M1719" t="s">
        <v>4845</v>
      </c>
    </row>
    <row r="1720" spans="1:13">
      <c r="A1720" t="s">
        <v>13</v>
      </c>
      <c r="B1720">
        <v>1813780</v>
      </c>
      <c r="C1720">
        <v>1814520</v>
      </c>
      <c r="E1720" t="s">
        <v>14</v>
      </c>
      <c r="F1720" t="s">
        <v>4846</v>
      </c>
      <c r="H1720">
        <v>1019682</v>
      </c>
      <c r="I1720" t="s">
        <v>17</v>
      </c>
      <c r="K1720" t="s">
        <v>4847</v>
      </c>
      <c r="L1720">
        <v>246</v>
      </c>
      <c r="M1720" t="s">
        <v>4848</v>
      </c>
    </row>
    <row r="1721" spans="1:13">
      <c r="A1721" t="s">
        <v>13</v>
      </c>
      <c r="B1721">
        <v>1814887</v>
      </c>
      <c r="C1721">
        <v>1815654</v>
      </c>
      <c r="E1721" t="s">
        <v>14</v>
      </c>
      <c r="F1721" t="s">
        <v>3794</v>
      </c>
      <c r="H1721">
        <v>1019683</v>
      </c>
      <c r="I1721" t="s">
        <v>17</v>
      </c>
      <c r="K1721" t="s">
        <v>4849</v>
      </c>
      <c r="L1721">
        <v>255</v>
      </c>
      <c r="M1721" t="s">
        <v>4850</v>
      </c>
    </row>
    <row r="1722" spans="1:13">
      <c r="A1722" t="s">
        <v>13</v>
      </c>
      <c r="B1722">
        <v>1815673</v>
      </c>
      <c r="C1722">
        <v>1816131</v>
      </c>
      <c r="E1722" t="s">
        <v>14</v>
      </c>
      <c r="F1722" t="s">
        <v>49</v>
      </c>
      <c r="H1722">
        <v>1019684</v>
      </c>
      <c r="I1722" t="s">
        <v>17</v>
      </c>
      <c r="K1722" t="s">
        <v>4851</v>
      </c>
      <c r="L1722">
        <v>152</v>
      </c>
      <c r="M1722" t="s">
        <v>4852</v>
      </c>
    </row>
    <row r="1723" spans="1:13">
      <c r="A1723" t="s">
        <v>13</v>
      </c>
      <c r="B1723">
        <v>1816451</v>
      </c>
      <c r="C1723">
        <v>1816639</v>
      </c>
      <c r="E1723" t="s">
        <v>14</v>
      </c>
      <c r="F1723" t="s">
        <v>49</v>
      </c>
      <c r="H1723">
        <v>1019685</v>
      </c>
      <c r="I1723" t="s">
        <v>17</v>
      </c>
      <c r="K1723" t="s">
        <v>4853</v>
      </c>
      <c r="L1723">
        <v>62</v>
      </c>
      <c r="M1723" t="s">
        <v>4854</v>
      </c>
    </row>
    <row r="1724" spans="1:13">
      <c r="A1724" t="s">
        <v>13</v>
      </c>
      <c r="B1724">
        <v>1817183</v>
      </c>
      <c r="C1724">
        <v>1817806</v>
      </c>
      <c r="E1724" t="s">
        <v>14</v>
      </c>
      <c r="F1724" t="s">
        <v>49</v>
      </c>
      <c r="H1724">
        <v>1019686</v>
      </c>
      <c r="I1724" t="s">
        <v>17</v>
      </c>
      <c r="K1724" t="s">
        <v>4855</v>
      </c>
      <c r="L1724">
        <v>207</v>
      </c>
      <c r="M1724" t="s">
        <v>4856</v>
      </c>
    </row>
    <row r="1725" spans="1:13">
      <c r="A1725" t="s">
        <v>13</v>
      </c>
      <c r="B1725">
        <v>1817803</v>
      </c>
      <c r="C1725">
        <v>1818222</v>
      </c>
      <c r="E1725" t="s">
        <v>14</v>
      </c>
      <c r="F1725" t="s">
        <v>49</v>
      </c>
      <c r="H1725">
        <v>1019687</v>
      </c>
      <c r="I1725" t="s">
        <v>17</v>
      </c>
      <c r="K1725" t="s">
        <v>4857</v>
      </c>
      <c r="L1725">
        <v>139</v>
      </c>
      <c r="M1725" t="s">
        <v>4858</v>
      </c>
    </row>
    <row r="1726" spans="1:13">
      <c r="A1726" t="s">
        <v>13</v>
      </c>
      <c r="B1726">
        <v>1818472</v>
      </c>
      <c r="C1726">
        <v>1818777</v>
      </c>
      <c r="E1726" t="s">
        <v>14</v>
      </c>
      <c r="F1726" t="s">
        <v>49</v>
      </c>
      <c r="H1726">
        <v>92792277</v>
      </c>
      <c r="I1726" t="s">
        <v>17</v>
      </c>
      <c r="K1726" t="s">
        <v>4859</v>
      </c>
      <c r="L1726">
        <v>101</v>
      </c>
      <c r="M1726" t="s">
        <v>4860</v>
      </c>
    </row>
    <row r="1727" spans="1:13">
      <c r="A1727" t="s">
        <v>13</v>
      </c>
      <c r="B1727">
        <v>1818798</v>
      </c>
      <c r="C1727">
        <v>1819169</v>
      </c>
      <c r="E1727" t="s">
        <v>14</v>
      </c>
      <c r="F1727" t="s">
        <v>49</v>
      </c>
      <c r="H1727">
        <v>1019689</v>
      </c>
      <c r="I1727" t="s">
        <v>17</v>
      </c>
      <c r="K1727" t="s">
        <v>4861</v>
      </c>
      <c r="L1727">
        <v>123</v>
      </c>
      <c r="M1727" t="s">
        <v>4862</v>
      </c>
    </row>
    <row r="1728" spans="1:13">
      <c r="A1728" t="s">
        <v>13</v>
      </c>
      <c r="B1728">
        <v>1819745</v>
      </c>
      <c r="C1728">
        <v>1819954</v>
      </c>
      <c r="E1728" t="s">
        <v>38</v>
      </c>
      <c r="F1728" t="s">
        <v>49</v>
      </c>
      <c r="H1728">
        <v>44144976</v>
      </c>
      <c r="I1728" t="s">
        <v>17</v>
      </c>
      <c r="K1728" t="s">
        <v>4863</v>
      </c>
      <c r="L1728">
        <v>69</v>
      </c>
      <c r="M1728" t="s">
        <v>4864</v>
      </c>
    </row>
    <row r="1729" spans="1:13">
      <c r="A1729" t="s">
        <v>13</v>
      </c>
      <c r="B1729">
        <v>1820178</v>
      </c>
      <c r="C1729">
        <v>1822382</v>
      </c>
      <c r="E1729" t="s">
        <v>38</v>
      </c>
      <c r="F1729" t="s">
        <v>4865</v>
      </c>
      <c r="H1729">
        <v>1019690</v>
      </c>
      <c r="I1729" t="s">
        <v>17</v>
      </c>
      <c r="K1729" t="s">
        <v>4866</v>
      </c>
      <c r="L1729">
        <v>734</v>
      </c>
      <c r="M1729" t="s">
        <v>4867</v>
      </c>
    </row>
    <row r="1730" spans="1:13">
      <c r="A1730" t="s">
        <v>13</v>
      </c>
      <c r="B1730">
        <v>1822628</v>
      </c>
      <c r="C1730">
        <v>1824325</v>
      </c>
      <c r="E1730" t="s">
        <v>14</v>
      </c>
      <c r="F1730" t="s">
        <v>49</v>
      </c>
      <c r="H1730">
        <v>1019691</v>
      </c>
      <c r="I1730" t="s">
        <v>17</v>
      </c>
      <c r="K1730" t="s">
        <v>4868</v>
      </c>
      <c r="L1730">
        <v>565</v>
      </c>
      <c r="M1730" t="s">
        <v>4869</v>
      </c>
    </row>
    <row r="1731" spans="1:13">
      <c r="A1731" t="s">
        <v>13</v>
      </c>
      <c r="B1731">
        <v>1824371</v>
      </c>
      <c r="C1731">
        <v>1824592</v>
      </c>
      <c r="E1731" t="s">
        <v>14</v>
      </c>
      <c r="F1731" t="s">
        <v>49</v>
      </c>
      <c r="H1731">
        <v>1019692</v>
      </c>
      <c r="I1731" t="s">
        <v>17</v>
      </c>
      <c r="K1731" t="s">
        <v>4870</v>
      </c>
      <c r="L1731">
        <v>73</v>
      </c>
      <c r="M1731" t="s">
        <v>4871</v>
      </c>
    </row>
    <row r="1732" spans="1:13">
      <c r="A1732" t="s">
        <v>13</v>
      </c>
      <c r="B1732">
        <v>1825175</v>
      </c>
      <c r="C1732">
        <v>1825606</v>
      </c>
      <c r="E1732" t="s">
        <v>38</v>
      </c>
      <c r="F1732" t="s">
        <v>49</v>
      </c>
      <c r="H1732">
        <v>1019693</v>
      </c>
      <c r="I1732" t="s">
        <v>17</v>
      </c>
      <c r="K1732" t="s">
        <v>4872</v>
      </c>
      <c r="L1732">
        <v>143</v>
      </c>
      <c r="M1732" t="s">
        <v>4873</v>
      </c>
    </row>
    <row r="1733" spans="1:13">
      <c r="A1733" t="s">
        <v>13</v>
      </c>
      <c r="B1733">
        <v>1825748</v>
      </c>
      <c r="C1733">
        <v>1826937</v>
      </c>
      <c r="E1733" t="s">
        <v>38</v>
      </c>
      <c r="F1733" t="s">
        <v>731</v>
      </c>
      <c r="H1733">
        <v>1019694</v>
      </c>
      <c r="I1733" t="s">
        <v>17</v>
      </c>
      <c r="K1733" t="s">
        <v>4874</v>
      </c>
      <c r="L1733">
        <v>396</v>
      </c>
      <c r="M1733" t="s">
        <v>4875</v>
      </c>
    </row>
    <row r="1734" spans="1:13">
      <c r="A1734" t="s">
        <v>13</v>
      </c>
      <c r="B1734">
        <v>1830765</v>
      </c>
      <c r="C1734">
        <v>1832066</v>
      </c>
      <c r="E1734" t="s">
        <v>14</v>
      </c>
      <c r="F1734" t="s">
        <v>49</v>
      </c>
      <c r="H1734">
        <v>1019698</v>
      </c>
      <c r="I1734" t="s">
        <v>17</v>
      </c>
      <c r="K1734" t="s">
        <v>4876</v>
      </c>
      <c r="L1734">
        <v>433</v>
      </c>
      <c r="M1734" t="s">
        <v>4877</v>
      </c>
    </row>
    <row r="1735" spans="1:13">
      <c r="A1735" t="s">
        <v>13</v>
      </c>
      <c r="B1735">
        <v>1832185</v>
      </c>
      <c r="C1735">
        <v>1834047</v>
      </c>
      <c r="E1735" t="s">
        <v>14</v>
      </c>
      <c r="F1735" t="s">
        <v>4878</v>
      </c>
      <c r="H1735">
        <v>1019699</v>
      </c>
      <c r="I1735" t="s">
        <v>17</v>
      </c>
      <c r="K1735" t="s">
        <v>4879</v>
      </c>
      <c r="L1735">
        <v>620</v>
      </c>
      <c r="M1735" t="s">
        <v>4880</v>
      </c>
    </row>
    <row r="1736" spans="1:13">
      <c r="A1736" t="s">
        <v>13</v>
      </c>
      <c r="B1736">
        <v>1834146</v>
      </c>
      <c r="C1736">
        <v>1834928</v>
      </c>
      <c r="E1736" t="s">
        <v>38</v>
      </c>
      <c r="F1736" t="s">
        <v>49</v>
      </c>
      <c r="H1736">
        <v>1019700</v>
      </c>
      <c r="I1736" t="s">
        <v>17</v>
      </c>
      <c r="K1736" t="s">
        <v>4881</v>
      </c>
      <c r="L1736">
        <v>260</v>
      </c>
      <c r="M1736" t="s">
        <v>4882</v>
      </c>
    </row>
    <row r="1737" spans="1:13">
      <c r="A1737" t="s">
        <v>13</v>
      </c>
      <c r="B1737">
        <v>1836552</v>
      </c>
      <c r="C1737">
        <v>1838327</v>
      </c>
      <c r="E1737" t="s">
        <v>14</v>
      </c>
      <c r="F1737" t="s">
        <v>4883</v>
      </c>
      <c r="H1737">
        <v>1019701</v>
      </c>
      <c r="I1737" t="s">
        <v>17</v>
      </c>
      <c r="K1737" t="s">
        <v>4884</v>
      </c>
      <c r="L1737">
        <v>591</v>
      </c>
      <c r="M1737" t="s">
        <v>4885</v>
      </c>
    </row>
    <row r="1738" spans="1:13">
      <c r="A1738" t="s">
        <v>13</v>
      </c>
      <c r="B1738">
        <v>1838349</v>
      </c>
      <c r="C1738">
        <v>1842140</v>
      </c>
      <c r="E1738" t="s">
        <v>14</v>
      </c>
      <c r="F1738" t="s">
        <v>49</v>
      </c>
      <c r="H1738">
        <v>1019702</v>
      </c>
      <c r="I1738" t="s">
        <v>17</v>
      </c>
      <c r="K1738" t="s">
        <v>4886</v>
      </c>
      <c r="L1738">
        <v>1263</v>
      </c>
      <c r="M1738" t="s">
        <v>4887</v>
      </c>
    </row>
    <row r="1739" spans="1:13">
      <c r="A1739" t="s">
        <v>13</v>
      </c>
      <c r="B1739">
        <v>1842235</v>
      </c>
      <c r="C1739">
        <v>1842684</v>
      </c>
      <c r="E1739" t="s">
        <v>14</v>
      </c>
      <c r="F1739" t="s">
        <v>4888</v>
      </c>
      <c r="H1739">
        <v>1019703</v>
      </c>
      <c r="I1739" t="s">
        <v>17</v>
      </c>
      <c r="K1739" t="s">
        <v>4889</v>
      </c>
      <c r="L1739">
        <v>149</v>
      </c>
      <c r="M1739" t="s">
        <v>4890</v>
      </c>
    </row>
    <row r="1740" spans="1:13">
      <c r="A1740" t="s">
        <v>13</v>
      </c>
      <c r="B1740">
        <v>1842921</v>
      </c>
      <c r="C1740">
        <v>1843340</v>
      </c>
      <c r="E1740" t="s">
        <v>14</v>
      </c>
      <c r="F1740" t="s">
        <v>49</v>
      </c>
      <c r="H1740">
        <v>1019704</v>
      </c>
      <c r="I1740" t="s">
        <v>17</v>
      </c>
      <c r="K1740" t="s">
        <v>4891</v>
      </c>
      <c r="L1740">
        <v>139</v>
      </c>
      <c r="M1740" t="s">
        <v>4892</v>
      </c>
    </row>
    <row r="1741" spans="1:13">
      <c r="A1741" t="s">
        <v>13</v>
      </c>
      <c r="B1741">
        <v>1843518</v>
      </c>
      <c r="C1741">
        <v>1845359</v>
      </c>
      <c r="E1741" t="s">
        <v>14</v>
      </c>
      <c r="F1741" t="s">
        <v>930</v>
      </c>
      <c r="H1741">
        <v>1019705</v>
      </c>
      <c r="I1741" t="s">
        <v>17</v>
      </c>
      <c r="K1741" t="s">
        <v>4893</v>
      </c>
      <c r="L1741">
        <v>613</v>
      </c>
      <c r="M1741" t="s">
        <v>4894</v>
      </c>
    </row>
    <row r="1742" spans="1:13">
      <c r="A1742" t="s">
        <v>13</v>
      </c>
      <c r="B1742">
        <v>1845483</v>
      </c>
      <c r="C1742">
        <v>1845860</v>
      </c>
      <c r="E1742" t="s">
        <v>14</v>
      </c>
      <c r="F1742" t="s">
        <v>49</v>
      </c>
      <c r="H1742">
        <v>1019706</v>
      </c>
      <c r="I1742" t="s">
        <v>17</v>
      </c>
      <c r="K1742" t="s">
        <v>4895</v>
      </c>
      <c r="L1742">
        <v>125</v>
      </c>
      <c r="M1742" t="s">
        <v>4896</v>
      </c>
    </row>
    <row r="1743" spans="1:13">
      <c r="A1743" t="s">
        <v>13</v>
      </c>
      <c r="B1743">
        <v>1845872</v>
      </c>
      <c r="C1743">
        <v>1846210</v>
      </c>
      <c r="E1743" t="s">
        <v>14</v>
      </c>
      <c r="F1743" t="s">
        <v>4897</v>
      </c>
      <c r="H1743">
        <v>1019707</v>
      </c>
      <c r="I1743" t="s">
        <v>17</v>
      </c>
      <c r="K1743" t="s">
        <v>4898</v>
      </c>
      <c r="L1743">
        <v>112</v>
      </c>
      <c r="M1743" t="s">
        <v>4899</v>
      </c>
    </row>
    <row r="1744" spans="1:13">
      <c r="A1744" t="s">
        <v>13</v>
      </c>
      <c r="B1744">
        <v>1846330</v>
      </c>
      <c r="C1744">
        <v>1846680</v>
      </c>
      <c r="E1744" t="s">
        <v>38</v>
      </c>
      <c r="F1744" t="s">
        <v>4900</v>
      </c>
      <c r="H1744">
        <v>1019708</v>
      </c>
      <c r="I1744" t="s">
        <v>17</v>
      </c>
      <c r="K1744" t="s">
        <v>4901</v>
      </c>
      <c r="L1744">
        <v>116</v>
      </c>
      <c r="M1744" t="s">
        <v>4902</v>
      </c>
    </row>
    <row r="1745" spans="1:13">
      <c r="A1745" t="s">
        <v>13</v>
      </c>
      <c r="B1745">
        <v>1847315</v>
      </c>
      <c r="C1745">
        <v>1847935</v>
      </c>
      <c r="E1745" t="s">
        <v>14</v>
      </c>
      <c r="F1745" t="s">
        <v>49</v>
      </c>
      <c r="H1745">
        <v>1019709</v>
      </c>
      <c r="I1745" t="s">
        <v>17</v>
      </c>
      <c r="K1745" t="s">
        <v>4903</v>
      </c>
      <c r="L1745">
        <v>206</v>
      </c>
      <c r="M1745" t="s">
        <v>4904</v>
      </c>
    </row>
    <row r="1746" spans="1:13">
      <c r="A1746" t="s">
        <v>13</v>
      </c>
      <c r="B1746">
        <v>1847938</v>
      </c>
      <c r="C1746">
        <v>1848477</v>
      </c>
      <c r="E1746" t="s">
        <v>14</v>
      </c>
      <c r="F1746" t="s">
        <v>49</v>
      </c>
      <c r="H1746">
        <v>1019710</v>
      </c>
      <c r="I1746" t="s">
        <v>17</v>
      </c>
      <c r="K1746" t="s">
        <v>4905</v>
      </c>
      <c r="L1746">
        <v>179</v>
      </c>
      <c r="M1746" t="s">
        <v>4906</v>
      </c>
    </row>
    <row r="1747" spans="1:13">
      <c r="A1747" t="s">
        <v>13</v>
      </c>
      <c r="B1747">
        <v>1848509</v>
      </c>
      <c r="C1747">
        <v>1849039</v>
      </c>
      <c r="E1747" t="s">
        <v>14</v>
      </c>
      <c r="F1747" t="s">
        <v>49</v>
      </c>
      <c r="H1747">
        <v>1019711</v>
      </c>
      <c r="I1747" t="s">
        <v>17</v>
      </c>
      <c r="K1747" t="s">
        <v>4907</v>
      </c>
      <c r="L1747">
        <v>176</v>
      </c>
      <c r="M1747" t="s">
        <v>4908</v>
      </c>
    </row>
    <row r="1748" spans="1:13">
      <c r="A1748" t="s">
        <v>13</v>
      </c>
      <c r="B1748">
        <v>1849039</v>
      </c>
      <c r="C1748">
        <v>1849788</v>
      </c>
      <c r="E1748" t="s">
        <v>14</v>
      </c>
      <c r="F1748" t="s">
        <v>49</v>
      </c>
      <c r="H1748">
        <v>1019712</v>
      </c>
      <c r="I1748" t="s">
        <v>17</v>
      </c>
      <c r="K1748" t="s">
        <v>4909</v>
      </c>
      <c r="L1748">
        <v>249</v>
      </c>
      <c r="M1748" t="s">
        <v>4910</v>
      </c>
    </row>
    <row r="1749" spans="1:13">
      <c r="A1749" t="s">
        <v>13</v>
      </c>
      <c r="B1749">
        <v>1849781</v>
      </c>
      <c r="C1749">
        <v>1849969</v>
      </c>
      <c r="E1749" t="s">
        <v>14</v>
      </c>
      <c r="F1749" t="s">
        <v>49</v>
      </c>
      <c r="H1749">
        <v>1019713</v>
      </c>
      <c r="I1749" t="s">
        <v>17</v>
      </c>
      <c r="K1749" t="s">
        <v>4911</v>
      </c>
      <c r="L1749">
        <v>62</v>
      </c>
      <c r="M1749" t="s">
        <v>4912</v>
      </c>
    </row>
    <row r="1750" spans="1:13">
      <c r="A1750" t="s">
        <v>13</v>
      </c>
      <c r="B1750">
        <v>1850074</v>
      </c>
      <c r="C1750">
        <v>1850409</v>
      </c>
      <c r="E1750" t="s">
        <v>14</v>
      </c>
      <c r="F1750" t="s">
        <v>49</v>
      </c>
      <c r="H1750">
        <v>44144977</v>
      </c>
      <c r="I1750" t="s">
        <v>17</v>
      </c>
      <c r="K1750" t="s">
        <v>4913</v>
      </c>
      <c r="L1750">
        <v>111</v>
      </c>
      <c r="M1750" t="s">
        <v>4914</v>
      </c>
    </row>
    <row r="1751" spans="1:13">
      <c r="A1751" t="s">
        <v>13</v>
      </c>
      <c r="B1751">
        <v>1850471</v>
      </c>
      <c r="C1751">
        <v>1851049</v>
      </c>
      <c r="E1751" t="s">
        <v>38</v>
      </c>
      <c r="F1751" t="s">
        <v>4915</v>
      </c>
      <c r="H1751">
        <v>1019714</v>
      </c>
      <c r="I1751" t="s">
        <v>17</v>
      </c>
      <c r="K1751" t="s">
        <v>4916</v>
      </c>
      <c r="L1751">
        <v>192</v>
      </c>
      <c r="M1751" t="s">
        <v>4917</v>
      </c>
    </row>
    <row r="1752" spans="1:13">
      <c r="A1752" t="s">
        <v>13</v>
      </c>
      <c r="B1752">
        <v>1851220</v>
      </c>
      <c r="C1752">
        <v>1852443</v>
      </c>
      <c r="E1752" t="s">
        <v>14</v>
      </c>
      <c r="F1752" t="s">
        <v>49</v>
      </c>
      <c r="H1752">
        <v>1019715</v>
      </c>
      <c r="I1752" t="s">
        <v>17</v>
      </c>
      <c r="K1752" t="s">
        <v>4918</v>
      </c>
      <c r="L1752">
        <v>407</v>
      </c>
      <c r="M1752" t="s">
        <v>4919</v>
      </c>
    </row>
    <row r="1753" spans="1:13">
      <c r="A1753" t="s">
        <v>13</v>
      </c>
      <c r="B1753">
        <v>1852596</v>
      </c>
      <c r="C1753">
        <v>1853876</v>
      </c>
      <c r="E1753" t="s">
        <v>14</v>
      </c>
      <c r="F1753" t="s">
        <v>49</v>
      </c>
      <c r="H1753">
        <v>1019716</v>
      </c>
      <c r="I1753" t="s">
        <v>17</v>
      </c>
      <c r="K1753" t="s">
        <v>4920</v>
      </c>
      <c r="L1753">
        <v>426</v>
      </c>
      <c r="M1753" t="s">
        <v>4921</v>
      </c>
    </row>
    <row r="1754" spans="1:13">
      <c r="A1754" t="s">
        <v>13</v>
      </c>
      <c r="B1754">
        <v>1854282</v>
      </c>
      <c r="C1754">
        <v>1854857</v>
      </c>
      <c r="E1754" t="s">
        <v>14</v>
      </c>
      <c r="F1754" t="s">
        <v>49</v>
      </c>
      <c r="H1754">
        <v>1019717</v>
      </c>
      <c r="I1754" t="s">
        <v>17</v>
      </c>
      <c r="K1754" t="s">
        <v>4922</v>
      </c>
      <c r="L1754">
        <v>191</v>
      </c>
      <c r="M1754" t="s">
        <v>4923</v>
      </c>
    </row>
    <row r="1755" spans="1:13">
      <c r="A1755" t="s">
        <v>13</v>
      </c>
      <c r="B1755">
        <v>1855058</v>
      </c>
      <c r="C1755">
        <v>1855240</v>
      </c>
      <c r="E1755" t="s">
        <v>14</v>
      </c>
      <c r="F1755" t="s">
        <v>4924</v>
      </c>
      <c r="G1755" t="s">
        <v>4925</v>
      </c>
      <c r="H1755">
        <v>1019718</v>
      </c>
      <c r="I1755" t="s">
        <v>17</v>
      </c>
      <c r="K1755" t="s">
        <v>4926</v>
      </c>
      <c r="L1755">
        <v>60</v>
      </c>
      <c r="M1755" t="s">
        <v>4927</v>
      </c>
    </row>
    <row r="1756" spans="1:13">
      <c r="A1756" t="s">
        <v>13</v>
      </c>
      <c r="B1756">
        <v>1855532</v>
      </c>
      <c r="C1756">
        <v>1856791</v>
      </c>
      <c r="E1756" t="s">
        <v>14</v>
      </c>
      <c r="F1756" t="s">
        <v>3013</v>
      </c>
      <c r="H1756">
        <v>1019719</v>
      </c>
      <c r="I1756" t="s">
        <v>17</v>
      </c>
      <c r="K1756" t="s">
        <v>4928</v>
      </c>
      <c r="L1756">
        <v>419</v>
      </c>
      <c r="M1756" t="s">
        <v>4929</v>
      </c>
    </row>
    <row r="1757" spans="1:13">
      <c r="A1757" t="s">
        <v>13</v>
      </c>
      <c r="B1757">
        <v>1856885</v>
      </c>
      <c r="C1757">
        <v>1858741</v>
      </c>
      <c r="E1757" t="s">
        <v>14</v>
      </c>
      <c r="F1757" t="s">
        <v>49</v>
      </c>
      <c r="H1757">
        <v>1019720</v>
      </c>
      <c r="I1757" t="s">
        <v>17</v>
      </c>
      <c r="K1757" t="s">
        <v>4930</v>
      </c>
      <c r="L1757">
        <v>618</v>
      </c>
      <c r="M1757" t="s">
        <v>4931</v>
      </c>
    </row>
    <row r="1758" spans="1:13">
      <c r="A1758" t="s">
        <v>13</v>
      </c>
      <c r="B1758">
        <v>1858949</v>
      </c>
      <c r="C1758">
        <v>1860730</v>
      </c>
      <c r="E1758" t="s">
        <v>14</v>
      </c>
      <c r="F1758" t="s">
        <v>4932</v>
      </c>
      <c r="H1758">
        <v>1019721</v>
      </c>
      <c r="I1758" t="s">
        <v>17</v>
      </c>
      <c r="K1758" t="s">
        <v>4933</v>
      </c>
      <c r="L1758">
        <v>593</v>
      </c>
      <c r="M1758" t="s">
        <v>4934</v>
      </c>
    </row>
    <row r="1759" spans="1:13">
      <c r="A1759" t="s">
        <v>13</v>
      </c>
      <c r="B1759">
        <v>1860752</v>
      </c>
      <c r="C1759">
        <v>1861228</v>
      </c>
      <c r="E1759" t="s">
        <v>14</v>
      </c>
      <c r="F1759" t="s">
        <v>49</v>
      </c>
      <c r="H1759">
        <v>1019722</v>
      </c>
      <c r="I1759" t="s">
        <v>17</v>
      </c>
      <c r="K1759" t="s">
        <v>4935</v>
      </c>
      <c r="L1759">
        <v>158</v>
      </c>
      <c r="M1759" t="s">
        <v>4936</v>
      </c>
    </row>
    <row r="1760" spans="1:13">
      <c r="A1760" t="s">
        <v>13</v>
      </c>
      <c r="B1760">
        <v>1861320</v>
      </c>
      <c r="C1760">
        <v>1861478</v>
      </c>
      <c r="E1760" t="s">
        <v>14</v>
      </c>
      <c r="F1760" t="s">
        <v>49</v>
      </c>
      <c r="H1760">
        <v>44156733</v>
      </c>
      <c r="I1760" t="s">
        <v>17</v>
      </c>
      <c r="K1760" t="s">
        <v>4937</v>
      </c>
      <c r="L1760">
        <v>52</v>
      </c>
      <c r="M1760" t="s">
        <v>4938</v>
      </c>
    </row>
    <row r="1761" spans="1:13">
      <c r="A1761" t="s">
        <v>13</v>
      </c>
      <c r="B1761">
        <v>1861535</v>
      </c>
      <c r="C1761">
        <v>1865302</v>
      </c>
      <c r="E1761" t="s">
        <v>14</v>
      </c>
      <c r="F1761" t="s">
        <v>4939</v>
      </c>
      <c r="H1761">
        <v>92792297</v>
      </c>
      <c r="I1761" t="s">
        <v>17</v>
      </c>
      <c r="K1761" t="s">
        <v>4940</v>
      </c>
      <c r="L1761">
        <v>1255</v>
      </c>
      <c r="M1761" t="s">
        <v>4941</v>
      </c>
    </row>
    <row r="1762" spans="1:13">
      <c r="A1762" t="s">
        <v>13</v>
      </c>
      <c r="B1762">
        <v>1865448</v>
      </c>
      <c r="C1762">
        <v>1865825</v>
      </c>
      <c r="E1762" t="s">
        <v>14</v>
      </c>
      <c r="F1762" t="s">
        <v>49</v>
      </c>
      <c r="H1762">
        <v>92792298</v>
      </c>
      <c r="I1762" t="s">
        <v>17</v>
      </c>
      <c r="K1762" t="s">
        <v>4942</v>
      </c>
      <c r="L1762">
        <v>125</v>
      </c>
      <c r="M1762" t="s">
        <v>4943</v>
      </c>
    </row>
    <row r="1763" spans="1:13">
      <c r="A1763" t="s">
        <v>13</v>
      </c>
      <c r="B1763">
        <v>1865842</v>
      </c>
      <c r="C1763">
        <v>1866222</v>
      </c>
      <c r="E1763" t="s">
        <v>14</v>
      </c>
      <c r="F1763" t="s">
        <v>49</v>
      </c>
      <c r="H1763">
        <v>1019726</v>
      </c>
      <c r="I1763" t="s">
        <v>17</v>
      </c>
      <c r="K1763" t="s">
        <v>4944</v>
      </c>
      <c r="L1763">
        <v>126</v>
      </c>
      <c r="M1763" t="s">
        <v>4945</v>
      </c>
    </row>
    <row r="1764" spans="1:13">
      <c r="A1764" t="s">
        <v>13</v>
      </c>
      <c r="B1764">
        <v>1866328</v>
      </c>
      <c r="C1764">
        <v>1866795</v>
      </c>
      <c r="E1764" t="s">
        <v>14</v>
      </c>
      <c r="F1764" t="s">
        <v>49</v>
      </c>
      <c r="H1764">
        <v>1019727</v>
      </c>
      <c r="I1764" t="s">
        <v>17</v>
      </c>
      <c r="K1764" t="s">
        <v>4946</v>
      </c>
      <c r="L1764">
        <v>155</v>
      </c>
      <c r="M1764" t="s">
        <v>4947</v>
      </c>
    </row>
    <row r="1765" spans="1:13">
      <c r="A1765" t="s">
        <v>13</v>
      </c>
      <c r="B1765">
        <v>1866832</v>
      </c>
      <c r="C1765">
        <v>1867098</v>
      </c>
      <c r="E1765" t="s">
        <v>14</v>
      </c>
      <c r="F1765" t="s">
        <v>49</v>
      </c>
      <c r="H1765">
        <v>1019728</v>
      </c>
      <c r="I1765" t="s">
        <v>17</v>
      </c>
      <c r="K1765" t="s">
        <v>4948</v>
      </c>
      <c r="L1765">
        <v>88</v>
      </c>
      <c r="M1765" t="s">
        <v>4949</v>
      </c>
    </row>
    <row r="1766" spans="1:13">
      <c r="A1766" t="s">
        <v>13</v>
      </c>
      <c r="B1766">
        <v>1867098</v>
      </c>
      <c r="C1766">
        <v>1867877</v>
      </c>
      <c r="E1766" t="s">
        <v>14</v>
      </c>
      <c r="F1766" t="s">
        <v>898</v>
      </c>
      <c r="H1766">
        <v>1019729</v>
      </c>
      <c r="I1766" t="s">
        <v>17</v>
      </c>
      <c r="K1766" t="s">
        <v>4950</v>
      </c>
      <c r="L1766">
        <v>259</v>
      </c>
      <c r="M1766" t="s">
        <v>4951</v>
      </c>
    </row>
    <row r="1767" spans="1:13">
      <c r="A1767" t="s">
        <v>13</v>
      </c>
      <c r="B1767">
        <v>1867886</v>
      </c>
      <c r="C1767">
        <v>1868590</v>
      </c>
      <c r="E1767" t="s">
        <v>14</v>
      </c>
      <c r="F1767" t="s">
        <v>49</v>
      </c>
      <c r="H1767">
        <v>1019730</v>
      </c>
      <c r="I1767" t="s">
        <v>17</v>
      </c>
      <c r="K1767" t="s">
        <v>4952</v>
      </c>
      <c r="L1767">
        <v>234</v>
      </c>
      <c r="M1767" t="s">
        <v>4953</v>
      </c>
    </row>
    <row r="1768" spans="1:13">
      <c r="A1768" t="s">
        <v>13</v>
      </c>
      <c r="B1768">
        <v>1868668</v>
      </c>
      <c r="C1768">
        <v>1868895</v>
      </c>
      <c r="E1768" t="s">
        <v>38</v>
      </c>
      <c r="F1768" t="s">
        <v>49</v>
      </c>
      <c r="H1768">
        <v>1019731</v>
      </c>
      <c r="I1768" t="s">
        <v>17</v>
      </c>
      <c r="K1768" t="s">
        <v>4954</v>
      </c>
      <c r="L1768">
        <v>75</v>
      </c>
      <c r="M1768" t="s">
        <v>4955</v>
      </c>
    </row>
    <row r="1769" spans="1:13">
      <c r="A1769" t="s">
        <v>13</v>
      </c>
      <c r="B1769">
        <v>1868924</v>
      </c>
      <c r="C1769">
        <v>1871044</v>
      </c>
      <c r="E1769" t="s">
        <v>38</v>
      </c>
      <c r="F1769" t="s">
        <v>49</v>
      </c>
      <c r="H1769">
        <v>1019732</v>
      </c>
      <c r="I1769" t="s">
        <v>17</v>
      </c>
      <c r="K1769" t="s">
        <v>4956</v>
      </c>
      <c r="L1769">
        <v>706</v>
      </c>
      <c r="M1769" t="s">
        <v>4957</v>
      </c>
    </row>
    <row r="1770" spans="1:13">
      <c r="A1770" t="s">
        <v>13</v>
      </c>
      <c r="B1770">
        <v>1871098</v>
      </c>
      <c r="C1770">
        <v>1871331</v>
      </c>
      <c r="E1770" t="s">
        <v>38</v>
      </c>
      <c r="F1770" t="s">
        <v>49</v>
      </c>
      <c r="H1770">
        <v>1019733</v>
      </c>
      <c r="I1770" t="s">
        <v>17</v>
      </c>
      <c r="K1770" t="s">
        <v>4958</v>
      </c>
      <c r="L1770">
        <v>77</v>
      </c>
      <c r="M1770" t="s">
        <v>4959</v>
      </c>
    </row>
    <row r="1771" spans="1:13">
      <c r="A1771" t="s">
        <v>13</v>
      </c>
      <c r="B1771">
        <v>1871377</v>
      </c>
      <c r="C1771">
        <v>1877886</v>
      </c>
      <c r="E1771" t="s">
        <v>38</v>
      </c>
      <c r="F1771" t="s">
        <v>49</v>
      </c>
      <c r="H1771">
        <v>1019734</v>
      </c>
      <c r="I1771" t="s">
        <v>17</v>
      </c>
      <c r="K1771" t="s">
        <v>4960</v>
      </c>
      <c r="L1771">
        <v>2169</v>
      </c>
      <c r="M1771" t="s">
        <v>4961</v>
      </c>
    </row>
    <row r="1772" spans="1:13">
      <c r="A1772" t="s">
        <v>13</v>
      </c>
      <c r="B1772">
        <v>1878312</v>
      </c>
      <c r="C1772">
        <v>1879403</v>
      </c>
      <c r="E1772" t="s">
        <v>14</v>
      </c>
      <c r="F1772" t="s">
        <v>4962</v>
      </c>
      <c r="H1772">
        <v>1019735</v>
      </c>
      <c r="I1772" t="s">
        <v>17</v>
      </c>
      <c r="K1772" t="s">
        <v>4963</v>
      </c>
      <c r="L1772">
        <v>363</v>
      </c>
      <c r="M1772" t="s">
        <v>4964</v>
      </c>
    </row>
    <row r="1773" spans="1:13">
      <c r="A1773" t="s">
        <v>13</v>
      </c>
      <c r="B1773">
        <v>1879412</v>
      </c>
      <c r="C1773">
        <v>1880488</v>
      </c>
      <c r="E1773" t="s">
        <v>14</v>
      </c>
      <c r="F1773" t="s">
        <v>4965</v>
      </c>
      <c r="H1773">
        <v>1019736</v>
      </c>
      <c r="I1773" t="s">
        <v>17</v>
      </c>
      <c r="K1773" t="s">
        <v>4966</v>
      </c>
      <c r="L1773">
        <v>358</v>
      </c>
      <c r="M1773" t="s">
        <v>4967</v>
      </c>
    </row>
    <row r="1774" spans="1:13">
      <c r="A1774" t="s">
        <v>13</v>
      </c>
      <c r="B1774">
        <v>1880529</v>
      </c>
      <c r="C1774">
        <v>1882388</v>
      </c>
      <c r="E1774" t="s">
        <v>14</v>
      </c>
      <c r="F1774" t="s">
        <v>4968</v>
      </c>
      <c r="H1774">
        <v>1019737</v>
      </c>
      <c r="I1774" t="s">
        <v>17</v>
      </c>
      <c r="K1774" t="s">
        <v>4969</v>
      </c>
      <c r="L1774">
        <v>619</v>
      </c>
      <c r="M1774" t="s">
        <v>4970</v>
      </c>
    </row>
    <row r="1775" spans="1:13">
      <c r="A1775" t="s">
        <v>13</v>
      </c>
      <c r="B1775">
        <v>1882467</v>
      </c>
      <c r="C1775">
        <v>1883990</v>
      </c>
      <c r="E1775" t="s">
        <v>38</v>
      </c>
      <c r="F1775" t="s">
        <v>49</v>
      </c>
      <c r="H1775">
        <v>1019738</v>
      </c>
      <c r="I1775" t="s">
        <v>17</v>
      </c>
      <c r="K1775" t="s">
        <v>4971</v>
      </c>
      <c r="L1775">
        <v>507</v>
      </c>
      <c r="M1775" t="s">
        <v>4972</v>
      </c>
    </row>
    <row r="1776" spans="1:13">
      <c r="A1776" t="s">
        <v>13</v>
      </c>
      <c r="B1776">
        <v>1884217</v>
      </c>
      <c r="C1776">
        <v>1884888</v>
      </c>
      <c r="E1776" t="s">
        <v>38</v>
      </c>
      <c r="F1776" t="s">
        <v>49</v>
      </c>
      <c r="H1776">
        <v>1019739</v>
      </c>
      <c r="I1776" t="s">
        <v>17</v>
      </c>
      <c r="K1776" t="s">
        <v>4973</v>
      </c>
      <c r="L1776">
        <v>223</v>
      </c>
      <c r="M1776" t="s">
        <v>4974</v>
      </c>
    </row>
    <row r="1777" spans="1:13">
      <c r="A1777" t="s">
        <v>13</v>
      </c>
      <c r="B1777">
        <v>1885230</v>
      </c>
      <c r="C1777">
        <v>1887050</v>
      </c>
      <c r="E1777" t="s">
        <v>14</v>
      </c>
      <c r="F1777" t="s">
        <v>4975</v>
      </c>
      <c r="H1777">
        <v>1019740</v>
      </c>
      <c r="I1777" t="s">
        <v>17</v>
      </c>
      <c r="K1777" t="s">
        <v>4976</v>
      </c>
      <c r="L1777">
        <v>606</v>
      </c>
      <c r="M1777" t="s">
        <v>4977</v>
      </c>
    </row>
    <row r="1778" spans="1:13">
      <c r="A1778" t="s">
        <v>13</v>
      </c>
      <c r="B1778">
        <v>1887405</v>
      </c>
      <c r="C1778">
        <v>1887593</v>
      </c>
      <c r="E1778" t="s">
        <v>14</v>
      </c>
      <c r="F1778" t="s">
        <v>49</v>
      </c>
      <c r="H1778">
        <v>1019741</v>
      </c>
      <c r="I1778" t="s">
        <v>17</v>
      </c>
      <c r="K1778" t="s">
        <v>4978</v>
      </c>
      <c r="L1778">
        <v>62</v>
      </c>
      <c r="M1778" t="s">
        <v>4979</v>
      </c>
    </row>
    <row r="1779" spans="1:13">
      <c r="A1779" t="s">
        <v>13</v>
      </c>
      <c r="B1779">
        <v>1887685</v>
      </c>
      <c r="C1779">
        <v>1888011</v>
      </c>
      <c r="E1779" t="s">
        <v>38</v>
      </c>
      <c r="F1779" t="s">
        <v>4980</v>
      </c>
      <c r="H1779">
        <v>1019742</v>
      </c>
      <c r="I1779" t="s">
        <v>17</v>
      </c>
      <c r="K1779" t="s">
        <v>4981</v>
      </c>
      <c r="L1779">
        <v>108</v>
      </c>
      <c r="M1779" t="s">
        <v>4982</v>
      </c>
    </row>
    <row r="1780" spans="1:13">
      <c r="A1780" t="s">
        <v>13</v>
      </c>
      <c r="B1780">
        <v>1888228</v>
      </c>
      <c r="C1780">
        <v>1888599</v>
      </c>
      <c r="E1780" t="s">
        <v>38</v>
      </c>
      <c r="F1780" t="s">
        <v>49</v>
      </c>
      <c r="H1780">
        <v>92792299</v>
      </c>
      <c r="I1780" t="s">
        <v>17</v>
      </c>
      <c r="K1780" t="s">
        <v>4983</v>
      </c>
      <c r="L1780">
        <v>123</v>
      </c>
      <c r="M1780" t="s">
        <v>4984</v>
      </c>
    </row>
    <row r="1781" spans="1:13">
      <c r="A1781" t="s">
        <v>13</v>
      </c>
      <c r="B1781">
        <v>1890025</v>
      </c>
      <c r="C1781">
        <v>1891707</v>
      </c>
      <c r="E1781" t="s">
        <v>38</v>
      </c>
      <c r="F1781" t="s">
        <v>4985</v>
      </c>
      <c r="H1781">
        <v>1019744</v>
      </c>
      <c r="I1781" t="s">
        <v>17</v>
      </c>
      <c r="K1781" t="s">
        <v>4986</v>
      </c>
      <c r="L1781">
        <v>560</v>
      </c>
      <c r="M1781" t="s">
        <v>4987</v>
      </c>
    </row>
    <row r="1782" spans="1:13">
      <c r="A1782" t="s">
        <v>13</v>
      </c>
      <c r="B1782">
        <v>1891829</v>
      </c>
      <c r="C1782">
        <v>1893037</v>
      </c>
      <c r="E1782" t="s">
        <v>38</v>
      </c>
      <c r="F1782" t="s">
        <v>4988</v>
      </c>
      <c r="H1782">
        <v>1019745</v>
      </c>
      <c r="I1782" t="s">
        <v>17</v>
      </c>
      <c r="K1782" t="s">
        <v>4989</v>
      </c>
      <c r="L1782">
        <v>402</v>
      </c>
      <c r="M1782" t="s">
        <v>4990</v>
      </c>
    </row>
    <row r="1783" spans="1:13">
      <c r="A1783" t="s">
        <v>13</v>
      </c>
      <c r="B1783">
        <v>1893385</v>
      </c>
      <c r="C1783">
        <v>1894632</v>
      </c>
      <c r="E1783" t="s">
        <v>38</v>
      </c>
      <c r="F1783" t="s">
        <v>49</v>
      </c>
      <c r="H1783">
        <v>1019746</v>
      </c>
      <c r="I1783" t="s">
        <v>17</v>
      </c>
      <c r="K1783" t="s">
        <v>4991</v>
      </c>
      <c r="L1783">
        <v>415</v>
      </c>
      <c r="M1783" t="s">
        <v>4992</v>
      </c>
    </row>
    <row r="1784" spans="1:13">
      <c r="A1784" t="s">
        <v>13</v>
      </c>
      <c r="B1784">
        <v>1894736</v>
      </c>
      <c r="C1784">
        <v>1897231</v>
      </c>
      <c r="E1784" t="s">
        <v>38</v>
      </c>
      <c r="F1784" t="s">
        <v>49</v>
      </c>
      <c r="H1784">
        <v>1019747</v>
      </c>
      <c r="I1784" t="s">
        <v>17</v>
      </c>
      <c r="K1784" t="s">
        <v>4993</v>
      </c>
      <c r="L1784">
        <v>831</v>
      </c>
      <c r="M1784" t="s">
        <v>4994</v>
      </c>
    </row>
    <row r="1785" spans="1:13">
      <c r="A1785" t="s">
        <v>13</v>
      </c>
      <c r="B1785">
        <v>1897371</v>
      </c>
      <c r="C1785">
        <v>1899158</v>
      </c>
      <c r="E1785" t="s">
        <v>38</v>
      </c>
      <c r="F1785" t="s">
        <v>3013</v>
      </c>
      <c r="H1785">
        <v>1019748</v>
      </c>
      <c r="I1785" t="s">
        <v>17</v>
      </c>
      <c r="K1785" t="s">
        <v>4995</v>
      </c>
      <c r="L1785">
        <v>595</v>
      </c>
      <c r="M1785" t="s">
        <v>4996</v>
      </c>
    </row>
    <row r="1786" spans="1:13">
      <c r="A1786" t="s">
        <v>13</v>
      </c>
      <c r="B1786">
        <v>1899230</v>
      </c>
      <c r="C1786">
        <v>1899808</v>
      </c>
      <c r="E1786" t="s">
        <v>38</v>
      </c>
      <c r="F1786" t="s">
        <v>4997</v>
      </c>
      <c r="H1786">
        <v>1019749</v>
      </c>
      <c r="I1786" t="s">
        <v>17</v>
      </c>
      <c r="K1786" t="s">
        <v>4998</v>
      </c>
      <c r="L1786">
        <v>192</v>
      </c>
      <c r="M1786" t="s">
        <v>4999</v>
      </c>
    </row>
    <row r="1787" spans="1:13">
      <c r="A1787" t="s">
        <v>13</v>
      </c>
      <c r="B1787">
        <v>1899801</v>
      </c>
      <c r="C1787">
        <v>1900775</v>
      </c>
      <c r="E1787" t="s">
        <v>38</v>
      </c>
      <c r="F1787" t="s">
        <v>49</v>
      </c>
      <c r="H1787">
        <v>1019750</v>
      </c>
      <c r="I1787" t="s">
        <v>17</v>
      </c>
      <c r="K1787" t="s">
        <v>5000</v>
      </c>
      <c r="L1787">
        <v>324</v>
      </c>
      <c r="M1787" t="s">
        <v>5001</v>
      </c>
    </row>
    <row r="1788" spans="1:13">
      <c r="A1788" t="s">
        <v>13</v>
      </c>
      <c r="B1788">
        <v>1901063</v>
      </c>
      <c r="C1788">
        <v>1901911</v>
      </c>
      <c r="E1788" t="s">
        <v>38</v>
      </c>
      <c r="F1788" t="s">
        <v>49</v>
      </c>
      <c r="H1788">
        <v>1019751</v>
      </c>
      <c r="I1788" t="s">
        <v>17</v>
      </c>
      <c r="K1788" t="s">
        <v>5002</v>
      </c>
      <c r="L1788">
        <v>282</v>
      </c>
      <c r="M1788" t="s">
        <v>5003</v>
      </c>
    </row>
    <row r="1789" spans="1:13">
      <c r="A1789" t="s">
        <v>13</v>
      </c>
      <c r="B1789">
        <v>1902002</v>
      </c>
      <c r="C1789">
        <v>1902883</v>
      </c>
      <c r="E1789" t="s">
        <v>38</v>
      </c>
      <c r="F1789" t="s">
        <v>49</v>
      </c>
      <c r="H1789">
        <v>1019752</v>
      </c>
      <c r="I1789" t="s">
        <v>17</v>
      </c>
      <c r="K1789" t="s">
        <v>5004</v>
      </c>
      <c r="L1789">
        <v>293</v>
      </c>
      <c r="M1789" t="s">
        <v>5005</v>
      </c>
    </row>
    <row r="1790" spans="1:13">
      <c r="A1790" t="s">
        <v>13</v>
      </c>
      <c r="B1790">
        <v>1903110</v>
      </c>
      <c r="C1790">
        <v>1905878</v>
      </c>
      <c r="E1790" t="s">
        <v>38</v>
      </c>
      <c r="F1790" t="s">
        <v>5006</v>
      </c>
      <c r="G1790" t="s">
        <v>5007</v>
      </c>
      <c r="H1790">
        <v>1019753</v>
      </c>
      <c r="I1790" t="s">
        <v>17</v>
      </c>
      <c r="K1790" t="s">
        <v>5008</v>
      </c>
      <c r="L1790">
        <v>922</v>
      </c>
      <c r="M1790" t="s">
        <v>5009</v>
      </c>
    </row>
    <row r="1791" spans="1:13">
      <c r="A1791" t="s">
        <v>13</v>
      </c>
      <c r="B1791">
        <v>1905970</v>
      </c>
      <c r="C1791">
        <v>1906572</v>
      </c>
      <c r="E1791" t="s">
        <v>38</v>
      </c>
      <c r="F1791" t="s">
        <v>5006</v>
      </c>
      <c r="G1791" t="s">
        <v>5007</v>
      </c>
      <c r="H1791">
        <v>1019754</v>
      </c>
      <c r="I1791" t="s">
        <v>17</v>
      </c>
      <c r="K1791" t="s">
        <v>5010</v>
      </c>
      <c r="L1791">
        <v>200</v>
      </c>
      <c r="M1791" t="s">
        <v>5011</v>
      </c>
    </row>
    <row r="1792" spans="1:13">
      <c r="A1792" t="s">
        <v>13</v>
      </c>
      <c r="B1792">
        <v>1906661</v>
      </c>
      <c r="C1792">
        <v>1907914</v>
      </c>
      <c r="E1792" t="s">
        <v>38</v>
      </c>
      <c r="F1792" t="s">
        <v>49</v>
      </c>
      <c r="H1792">
        <v>1019755</v>
      </c>
      <c r="I1792" t="s">
        <v>17</v>
      </c>
      <c r="K1792" t="s">
        <v>5012</v>
      </c>
      <c r="L1792">
        <v>417</v>
      </c>
      <c r="M1792" t="s">
        <v>5013</v>
      </c>
    </row>
    <row r="1793" spans="1:13">
      <c r="A1793" t="s">
        <v>13</v>
      </c>
      <c r="B1793">
        <v>1907962</v>
      </c>
      <c r="C1793">
        <v>1908660</v>
      </c>
      <c r="E1793" t="s">
        <v>38</v>
      </c>
      <c r="F1793" t="s">
        <v>49</v>
      </c>
      <c r="H1793">
        <v>1019756</v>
      </c>
      <c r="I1793" t="s">
        <v>17</v>
      </c>
      <c r="K1793" t="s">
        <v>5014</v>
      </c>
      <c r="L1793">
        <v>232</v>
      </c>
      <c r="M1793" t="s">
        <v>5015</v>
      </c>
    </row>
    <row r="1794" spans="1:13">
      <c r="A1794" t="s">
        <v>13</v>
      </c>
      <c r="B1794">
        <v>1908782</v>
      </c>
      <c r="C1794">
        <v>1909498</v>
      </c>
      <c r="E1794" t="s">
        <v>38</v>
      </c>
      <c r="F1794" t="s">
        <v>49</v>
      </c>
      <c r="H1794">
        <v>1019757</v>
      </c>
      <c r="I1794" t="s">
        <v>17</v>
      </c>
      <c r="K1794" t="s">
        <v>5016</v>
      </c>
      <c r="L1794">
        <v>238</v>
      </c>
      <c r="M1794" t="s">
        <v>5017</v>
      </c>
    </row>
    <row r="1795" spans="1:13">
      <c r="A1795" t="s">
        <v>13</v>
      </c>
      <c r="B1795">
        <v>1909498</v>
      </c>
      <c r="C1795">
        <v>1910508</v>
      </c>
      <c r="E1795" t="s">
        <v>38</v>
      </c>
      <c r="F1795" t="s">
        <v>49</v>
      </c>
      <c r="H1795">
        <v>1019758</v>
      </c>
      <c r="I1795" t="s">
        <v>17</v>
      </c>
      <c r="K1795" t="s">
        <v>5018</v>
      </c>
      <c r="L1795">
        <v>336</v>
      </c>
      <c r="M1795" t="s">
        <v>5019</v>
      </c>
    </row>
    <row r="1796" spans="1:13">
      <c r="A1796" t="s">
        <v>13</v>
      </c>
      <c r="B1796">
        <v>1910639</v>
      </c>
      <c r="C1796">
        <v>1912300</v>
      </c>
      <c r="E1796" t="s">
        <v>38</v>
      </c>
      <c r="F1796" t="s">
        <v>5020</v>
      </c>
      <c r="H1796">
        <v>1019759</v>
      </c>
      <c r="I1796" t="s">
        <v>17</v>
      </c>
      <c r="K1796" t="s">
        <v>5021</v>
      </c>
      <c r="L1796">
        <v>553</v>
      </c>
      <c r="M1796" t="s">
        <v>5022</v>
      </c>
    </row>
    <row r="1797" spans="1:13">
      <c r="A1797" t="s">
        <v>13</v>
      </c>
      <c r="B1797">
        <v>1912330</v>
      </c>
      <c r="C1797">
        <v>1913820</v>
      </c>
      <c r="E1797" t="s">
        <v>38</v>
      </c>
      <c r="F1797" t="s">
        <v>49</v>
      </c>
      <c r="H1797">
        <v>1019760</v>
      </c>
      <c r="I1797" t="s">
        <v>17</v>
      </c>
      <c r="K1797" t="s">
        <v>5023</v>
      </c>
      <c r="L1797">
        <v>496</v>
      </c>
      <c r="M1797" t="s">
        <v>5024</v>
      </c>
    </row>
    <row r="1798" spans="1:13">
      <c r="A1798" t="s">
        <v>13</v>
      </c>
      <c r="B1798">
        <v>1913970</v>
      </c>
      <c r="C1798">
        <v>1914329</v>
      </c>
      <c r="E1798" t="s">
        <v>38</v>
      </c>
      <c r="F1798" t="s">
        <v>49</v>
      </c>
      <c r="H1798">
        <v>1019761</v>
      </c>
      <c r="I1798" t="s">
        <v>17</v>
      </c>
      <c r="K1798" t="s">
        <v>5025</v>
      </c>
      <c r="L1798">
        <v>119</v>
      </c>
      <c r="M1798" t="s">
        <v>5026</v>
      </c>
    </row>
    <row r="1799" spans="1:13">
      <c r="A1799" t="s">
        <v>13</v>
      </c>
      <c r="B1799">
        <v>1914722</v>
      </c>
      <c r="C1799">
        <v>1916233</v>
      </c>
      <c r="E1799" t="s">
        <v>38</v>
      </c>
      <c r="F1799" t="s">
        <v>3896</v>
      </c>
      <c r="H1799">
        <v>1019762</v>
      </c>
      <c r="I1799" t="s">
        <v>17</v>
      </c>
      <c r="K1799" t="s">
        <v>5027</v>
      </c>
      <c r="L1799">
        <v>503</v>
      </c>
      <c r="M1799" t="s">
        <v>5028</v>
      </c>
    </row>
    <row r="1800" spans="1:13">
      <c r="A1800" t="s">
        <v>13</v>
      </c>
      <c r="B1800">
        <v>1916374</v>
      </c>
      <c r="C1800">
        <v>1916736</v>
      </c>
      <c r="E1800" t="s">
        <v>14</v>
      </c>
      <c r="F1800" t="s">
        <v>49</v>
      </c>
      <c r="H1800">
        <v>1019763</v>
      </c>
      <c r="I1800" t="s">
        <v>17</v>
      </c>
      <c r="K1800" t="s">
        <v>5029</v>
      </c>
      <c r="L1800">
        <v>120</v>
      </c>
      <c r="M1800" t="s">
        <v>5030</v>
      </c>
    </row>
    <row r="1801" spans="1:13">
      <c r="A1801" t="s">
        <v>13</v>
      </c>
      <c r="B1801">
        <v>1916944</v>
      </c>
      <c r="C1801">
        <v>1917168</v>
      </c>
      <c r="E1801" t="s">
        <v>14</v>
      </c>
      <c r="F1801" t="s">
        <v>5031</v>
      </c>
      <c r="H1801">
        <v>1019764</v>
      </c>
      <c r="I1801" t="s">
        <v>17</v>
      </c>
      <c r="K1801" t="s">
        <v>5032</v>
      </c>
      <c r="L1801">
        <v>74</v>
      </c>
      <c r="M1801" t="s">
        <v>5033</v>
      </c>
    </row>
    <row r="1802" spans="1:13">
      <c r="A1802" t="s">
        <v>13</v>
      </c>
      <c r="B1802">
        <v>1917326</v>
      </c>
      <c r="C1802">
        <v>1917514</v>
      </c>
      <c r="E1802" t="s">
        <v>38</v>
      </c>
      <c r="F1802" t="s">
        <v>49</v>
      </c>
      <c r="H1802">
        <v>1019765</v>
      </c>
      <c r="I1802" t="s">
        <v>17</v>
      </c>
      <c r="K1802" t="s">
        <v>5034</v>
      </c>
      <c r="L1802">
        <v>62</v>
      </c>
      <c r="M1802" t="s">
        <v>5035</v>
      </c>
    </row>
    <row r="1803" spans="1:13">
      <c r="A1803" t="s">
        <v>13</v>
      </c>
      <c r="B1803">
        <v>1918700</v>
      </c>
      <c r="C1803">
        <v>1919461</v>
      </c>
      <c r="E1803" t="s">
        <v>38</v>
      </c>
      <c r="F1803" t="s">
        <v>49</v>
      </c>
      <c r="H1803">
        <v>44144978</v>
      </c>
      <c r="I1803" t="s">
        <v>17</v>
      </c>
      <c r="K1803" t="s">
        <v>5036</v>
      </c>
      <c r="L1803">
        <v>253</v>
      </c>
      <c r="M1803" t="s">
        <v>5037</v>
      </c>
    </row>
    <row r="1804" spans="1:13">
      <c r="A1804" t="s">
        <v>13</v>
      </c>
      <c r="B1804">
        <v>1919643</v>
      </c>
      <c r="C1804">
        <v>1920161</v>
      </c>
      <c r="E1804" t="s">
        <v>38</v>
      </c>
      <c r="F1804" t="s">
        <v>49</v>
      </c>
      <c r="H1804">
        <v>1019767</v>
      </c>
      <c r="I1804" t="s">
        <v>17</v>
      </c>
      <c r="K1804" t="s">
        <v>5038</v>
      </c>
      <c r="L1804">
        <v>172</v>
      </c>
      <c r="M1804" t="s">
        <v>5039</v>
      </c>
    </row>
    <row r="1805" spans="1:13">
      <c r="A1805" t="s">
        <v>13</v>
      </c>
      <c r="B1805">
        <v>1920344</v>
      </c>
      <c r="C1805">
        <v>1921276</v>
      </c>
      <c r="E1805" t="s">
        <v>38</v>
      </c>
      <c r="F1805" t="s">
        <v>671</v>
      </c>
      <c r="H1805">
        <v>1019768</v>
      </c>
      <c r="I1805" t="s">
        <v>17</v>
      </c>
      <c r="K1805" t="s">
        <v>5040</v>
      </c>
      <c r="L1805">
        <v>310</v>
      </c>
      <c r="M1805" t="s">
        <v>5041</v>
      </c>
    </row>
    <row r="1806" spans="1:13">
      <c r="A1806" t="s">
        <v>13</v>
      </c>
      <c r="B1806">
        <v>1921544</v>
      </c>
      <c r="C1806">
        <v>1926010</v>
      </c>
      <c r="E1806" t="s">
        <v>38</v>
      </c>
      <c r="F1806" t="s">
        <v>124</v>
      </c>
      <c r="H1806">
        <v>1019769</v>
      </c>
      <c r="I1806" t="s">
        <v>17</v>
      </c>
      <c r="K1806" t="s">
        <v>5042</v>
      </c>
      <c r="L1806">
        <v>1488</v>
      </c>
      <c r="M1806" t="s">
        <v>5043</v>
      </c>
    </row>
    <row r="1807" spans="1:13">
      <c r="A1807" t="s">
        <v>13</v>
      </c>
      <c r="B1807">
        <v>1926256</v>
      </c>
      <c r="C1807">
        <v>1926837</v>
      </c>
      <c r="E1807" t="s">
        <v>38</v>
      </c>
      <c r="F1807" t="s">
        <v>49</v>
      </c>
      <c r="H1807">
        <v>1019770</v>
      </c>
      <c r="I1807" t="s">
        <v>17</v>
      </c>
      <c r="K1807" t="s">
        <v>5044</v>
      </c>
      <c r="L1807">
        <v>193</v>
      </c>
      <c r="M1807" t="s">
        <v>5045</v>
      </c>
    </row>
    <row r="1808" spans="1:13">
      <c r="A1808" t="s">
        <v>13</v>
      </c>
      <c r="B1808">
        <v>1927242</v>
      </c>
      <c r="C1808">
        <v>1928177</v>
      </c>
      <c r="E1808" t="s">
        <v>38</v>
      </c>
      <c r="F1808" t="s">
        <v>49</v>
      </c>
      <c r="H1808">
        <v>1019771</v>
      </c>
      <c r="I1808" t="s">
        <v>17</v>
      </c>
      <c r="K1808" t="s">
        <v>5046</v>
      </c>
      <c r="L1808">
        <v>311</v>
      </c>
      <c r="M1808" t="s">
        <v>5047</v>
      </c>
    </row>
    <row r="1809" spans="1:13">
      <c r="A1809" t="s">
        <v>13</v>
      </c>
      <c r="B1809">
        <v>1928247</v>
      </c>
      <c r="C1809">
        <v>1928384</v>
      </c>
      <c r="E1809" t="s">
        <v>14</v>
      </c>
      <c r="F1809" t="s">
        <v>5048</v>
      </c>
      <c r="H1809">
        <v>1019772</v>
      </c>
      <c r="I1809" t="s">
        <v>17</v>
      </c>
      <c r="K1809" t="s">
        <v>5049</v>
      </c>
      <c r="L1809">
        <v>45</v>
      </c>
      <c r="M1809" t="s">
        <v>5050</v>
      </c>
    </row>
    <row r="1810" spans="1:13">
      <c r="A1810" t="s">
        <v>13</v>
      </c>
      <c r="B1810">
        <v>1929056</v>
      </c>
      <c r="C1810">
        <v>1930879</v>
      </c>
      <c r="E1810" t="s">
        <v>38</v>
      </c>
      <c r="F1810" t="s">
        <v>49</v>
      </c>
      <c r="H1810">
        <v>1019774</v>
      </c>
      <c r="I1810" t="s">
        <v>17</v>
      </c>
      <c r="K1810" t="s">
        <v>5051</v>
      </c>
      <c r="L1810">
        <v>607</v>
      </c>
      <c r="M1810" t="s">
        <v>5052</v>
      </c>
    </row>
    <row r="1811" spans="1:13">
      <c r="A1811" t="s">
        <v>13</v>
      </c>
      <c r="B1811">
        <v>1931418</v>
      </c>
      <c r="C1811">
        <v>1931879</v>
      </c>
      <c r="E1811" t="s">
        <v>38</v>
      </c>
      <c r="F1811" t="s">
        <v>49</v>
      </c>
      <c r="H1811">
        <v>1019776</v>
      </c>
      <c r="I1811" t="s">
        <v>17</v>
      </c>
      <c r="K1811" t="s">
        <v>5053</v>
      </c>
      <c r="L1811">
        <v>153</v>
      </c>
      <c r="M1811" t="s">
        <v>5054</v>
      </c>
    </row>
    <row r="1812" spans="1:13">
      <c r="A1812" t="s">
        <v>13</v>
      </c>
      <c r="B1812">
        <v>1931932</v>
      </c>
      <c r="C1812">
        <v>1932291</v>
      </c>
      <c r="E1812" t="s">
        <v>38</v>
      </c>
      <c r="F1812" t="s">
        <v>138</v>
      </c>
      <c r="H1812">
        <v>1019777</v>
      </c>
      <c r="I1812" t="s">
        <v>17</v>
      </c>
      <c r="K1812" t="s">
        <v>5055</v>
      </c>
      <c r="L1812">
        <v>119</v>
      </c>
      <c r="M1812" t="s">
        <v>5056</v>
      </c>
    </row>
    <row r="1813" spans="1:13">
      <c r="A1813" t="s">
        <v>13</v>
      </c>
      <c r="B1813">
        <v>1932370</v>
      </c>
      <c r="C1813">
        <v>1932879</v>
      </c>
      <c r="E1813" t="s">
        <v>38</v>
      </c>
      <c r="F1813" t="s">
        <v>49</v>
      </c>
      <c r="H1813">
        <v>1019778</v>
      </c>
      <c r="I1813" t="s">
        <v>17</v>
      </c>
      <c r="K1813" t="s">
        <v>5057</v>
      </c>
      <c r="L1813">
        <v>169</v>
      </c>
      <c r="M1813" t="s">
        <v>5058</v>
      </c>
    </row>
    <row r="1814" spans="1:13">
      <c r="A1814" t="s">
        <v>13</v>
      </c>
      <c r="B1814">
        <v>1933519</v>
      </c>
      <c r="C1814">
        <v>1934358</v>
      </c>
      <c r="E1814" t="s">
        <v>38</v>
      </c>
      <c r="F1814" t="s">
        <v>5059</v>
      </c>
      <c r="H1814">
        <v>1019779</v>
      </c>
      <c r="I1814" t="s">
        <v>17</v>
      </c>
      <c r="K1814" t="s">
        <v>5060</v>
      </c>
      <c r="L1814">
        <v>279</v>
      </c>
      <c r="M1814" t="s">
        <v>5061</v>
      </c>
    </row>
    <row r="1815" spans="1:13">
      <c r="A1815" t="s">
        <v>13</v>
      </c>
      <c r="B1815">
        <v>1934968</v>
      </c>
      <c r="C1815">
        <v>1935912</v>
      </c>
      <c r="E1815" t="s">
        <v>38</v>
      </c>
      <c r="F1815" t="s">
        <v>5062</v>
      </c>
      <c r="H1815">
        <v>1019780</v>
      </c>
      <c r="I1815" t="s">
        <v>17</v>
      </c>
      <c r="K1815" t="s">
        <v>5063</v>
      </c>
      <c r="L1815">
        <v>314</v>
      </c>
      <c r="M1815" t="s">
        <v>5064</v>
      </c>
    </row>
    <row r="1816" spans="1:13">
      <c r="A1816" t="s">
        <v>13</v>
      </c>
      <c r="B1816">
        <v>1936283</v>
      </c>
      <c r="C1816">
        <v>1936852</v>
      </c>
      <c r="E1816" t="s">
        <v>14</v>
      </c>
      <c r="F1816" t="s">
        <v>49</v>
      </c>
      <c r="H1816">
        <v>1019781</v>
      </c>
      <c r="I1816" t="s">
        <v>17</v>
      </c>
      <c r="K1816" t="s">
        <v>5065</v>
      </c>
      <c r="L1816">
        <v>189</v>
      </c>
      <c r="M1816" t="s">
        <v>5066</v>
      </c>
    </row>
    <row r="1817" spans="1:13">
      <c r="A1817" t="s">
        <v>13</v>
      </c>
      <c r="B1817">
        <v>1937483</v>
      </c>
      <c r="C1817">
        <v>1937905</v>
      </c>
      <c r="E1817" t="s">
        <v>38</v>
      </c>
      <c r="F1817" t="s">
        <v>49</v>
      </c>
      <c r="H1817">
        <v>92792300</v>
      </c>
      <c r="I1817" t="s">
        <v>17</v>
      </c>
      <c r="K1817" t="s">
        <v>5067</v>
      </c>
      <c r="L1817">
        <v>140</v>
      </c>
      <c r="M1817" t="s">
        <v>5068</v>
      </c>
    </row>
    <row r="1818" spans="1:13">
      <c r="A1818" t="s">
        <v>13</v>
      </c>
      <c r="B1818">
        <v>1938528</v>
      </c>
      <c r="C1818">
        <v>1938974</v>
      </c>
      <c r="E1818" t="s">
        <v>38</v>
      </c>
      <c r="F1818" t="s">
        <v>49</v>
      </c>
      <c r="H1818">
        <v>1019784</v>
      </c>
      <c r="I1818" t="s">
        <v>17</v>
      </c>
      <c r="K1818" t="s">
        <v>5069</v>
      </c>
      <c r="L1818">
        <v>148</v>
      </c>
      <c r="M1818" t="s">
        <v>5070</v>
      </c>
    </row>
    <row r="1819" spans="1:13">
      <c r="A1819" t="s">
        <v>13</v>
      </c>
      <c r="B1819">
        <v>1938945</v>
      </c>
      <c r="C1819">
        <v>1940138</v>
      </c>
      <c r="E1819" t="s">
        <v>14</v>
      </c>
      <c r="F1819" t="s">
        <v>49</v>
      </c>
      <c r="H1819">
        <v>1019785</v>
      </c>
      <c r="I1819" t="s">
        <v>17</v>
      </c>
      <c r="K1819" t="s">
        <v>5071</v>
      </c>
      <c r="L1819">
        <v>397</v>
      </c>
      <c r="M1819" t="s">
        <v>5072</v>
      </c>
    </row>
    <row r="1820" spans="1:13">
      <c r="A1820" t="s">
        <v>13</v>
      </c>
      <c r="B1820">
        <v>1940257</v>
      </c>
      <c r="C1820">
        <v>1940847</v>
      </c>
      <c r="E1820" t="s">
        <v>14</v>
      </c>
      <c r="F1820" t="s">
        <v>49</v>
      </c>
      <c r="H1820">
        <v>1019786</v>
      </c>
      <c r="I1820" t="s">
        <v>17</v>
      </c>
      <c r="K1820" t="s">
        <v>5073</v>
      </c>
      <c r="L1820">
        <v>196</v>
      </c>
      <c r="M1820" t="s">
        <v>5074</v>
      </c>
    </row>
    <row r="1821" spans="1:13">
      <c r="A1821" t="s">
        <v>13</v>
      </c>
      <c r="B1821">
        <v>1941107</v>
      </c>
      <c r="C1821">
        <v>1941553</v>
      </c>
      <c r="E1821" t="s">
        <v>14</v>
      </c>
      <c r="F1821" t="s">
        <v>49</v>
      </c>
      <c r="H1821">
        <v>1019787</v>
      </c>
      <c r="I1821" t="s">
        <v>17</v>
      </c>
      <c r="K1821" t="s">
        <v>5075</v>
      </c>
      <c r="L1821">
        <v>148</v>
      </c>
      <c r="M1821" t="s">
        <v>5076</v>
      </c>
    </row>
    <row r="1822" spans="1:13">
      <c r="A1822" t="s">
        <v>13</v>
      </c>
      <c r="B1822">
        <v>1941729</v>
      </c>
      <c r="C1822">
        <v>1942430</v>
      </c>
      <c r="E1822" t="s">
        <v>38</v>
      </c>
      <c r="F1822" t="s">
        <v>49</v>
      </c>
      <c r="H1822">
        <v>1019788</v>
      </c>
      <c r="I1822" t="s">
        <v>17</v>
      </c>
      <c r="K1822" t="s">
        <v>5077</v>
      </c>
      <c r="L1822">
        <v>233</v>
      </c>
      <c r="M1822" t="s">
        <v>5078</v>
      </c>
    </row>
    <row r="1823" spans="1:13">
      <c r="A1823" t="s">
        <v>13</v>
      </c>
      <c r="B1823">
        <v>1942519</v>
      </c>
      <c r="C1823">
        <v>1942815</v>
      </c>
      <c r="E1823" t="s">
        <v>14</v>
      </c>
      <c r="F1823" t="s">
        <v>49</v>
      </c>
      <c r="H1823">
        <v>1019789</v>
      </c>
      <c r="I1823" t="s">
        <v>17</v>
      </c>
      <c r="K1823" t="s">
        <v>5079</v>
      </c>
      <c r="L1823">
        <v>98</v>
      </c>
      <c r="M1823" t="s">
        <v>5080</v>
      </c>
    </row>
    <row r="1824" spans="1:13">
      <c r="A1824" t="s">
        <v>13</v>
      </c>
      <c r="B1824">
        <v>1943689</v>
      </c>
      <c r="C1824">
        <v>1944567</v>
      </c>
      <c r="E1824" t="s">
        <v>14</v>
      </c>
      <c r="F1824" t="s">
        <v>49</v>
      </c>
      <c r="H1824">
        <v>92792301</v>
      </c>
      <c r="I1824" t="s">
        <v>17</v>
      </c>
      <c r="K1824" t="s">
        <v>5081</v>
      </c>
      <c r="L1824">
        <v>292</v>
      </c>
      <c r="M1824" t="s">
        <v>5082</v>
      </c>
    </row>
    <row r="1825" spans="1:13">
      <c r="A1825" t="s">
        <v>13</v>
      </c>
      <c r="B1825">
        <v>1944605</v>
      </c>
      <c r="C1825">
        <v>1945435</v>
      </c>
      <c r="E1825" t="s">
        <v>38</v>
      </c>
      <c r="F1825" t="s">
        <v>5059</v>
      </c>
      <c r="H1825">
        <v>1019793</v>
      </c>
      <c r="I1825" t="s">
        <v>17</v>
      </c>
      <c r="K1825" t="s">
        <v>5083</v>
      </c>
      <c r="L1825">
        <v>276</v>
      </c>
      <c r="M1825" t="s">
        <v>5084</v>
      </c>
    </row>
    <row r="1826" spans="1:13">
      <c r="A1826" t="s">
        <v>13</v>
      </c>
      <c r="B1826">
        <v>1945592</v>
      </c>
      <c r="C1826">
        <v>1945894</v>
      </c>
      <c r="E1826" t="s">
        <v>38</v>
      </c>
      <c r="F1826" t="s">
        <v>141</v>
      </c>
      <c r="H1826">
        <v>1019794</v>
      </c>
      <c r="I1826" t="s">
        <v>142</v>
      </c>
      <c r="M1826" t="s">
        <v>5085</v>
      </c>
    </row>
    <row r="1827" spans="1:13">
      <c r="A1827" t="s">
        <v>13</v>
      </c>
      <c r="B1827">
        <v>1945949</v>
      </c>
      <c r="C1827">
        <v>1946332</v>
      </c>
      <c r="E1827" t="s">
        <v>38</v>
      </c>
      <c r="F1827" t="s">
        <v>49</v>
      </c>
      <c r="H1827">
        <v>1019795</v>
      </c>
      <c r="I1827" t="s">
        <v>17</v>
      </c>
      <c r="K1827" t="s">
        <v>5086</v>
      </c>
      <c r="L1827">
        <v>127</v>
      </c>
      <c r="M1827" t="s">
        <v>5087</v>
      </c>
    </row>
    <row r="1828" spans="1:13">
      <c r="A1828" t="s">
        <v>13</v>
      </c>
      <c r="B1828">
        <v>1946606</v>
      </c>
      <c r="C1828">
        <v>1947037</v>
      </c>
      <c r="E1828" t="s">
        <v>38</v>
      </c>
      <c r="F1828" t="s">
        <v>49</v>
      </c>
      <c r="H1828">
        <v>1019797</v>
      </c>
      <c r="I1828" t="s">
        <v>17</v>
      </c>
      <c r="K1828" t="s">
        <v>5088</v>
      </c>
      <c r="L1828">
        <v>143</v>
      </c>
      <c r="M1828" t="s">
        <v>5089</v>
      </c>
    </row>
    <row r="1829" spans="1:13">
      <c r="A1829" t="s">
        <v>13</v>
      </c>
      <c r="B1829">
        <v>1947067</v>
      </c>
      <c r="C1829">
        <v>1948650</v>
      </c>
      <c r="E1829" t="s">
        <v>38</v>
      </c>
      <c r="F1829" t="s">
        <v>2295</v>
      </c>
      <c r="H1829">
        <v>1019798</v>
      </c>
      <c r="I1829" t="s">
        <v>17</v>
      </c>
      <c r="K1829" t="s">
        <v>5090</v>
      </c>
      <c r="L1829">
        <v>527</v>
      </c>
      <c r="M1829" t="s">
        <v>5091</v>
      </c>
    </row>
    <row r="1830" spans="1:13">
      <c r="A1830" t="s">
        <v>13</v>
      </c>
      <c r="B1830">
        <v>1949018</v>
      </c>
      <c r="C1830">
        <v>1951450</v>
      </c>
      <c r="E1830" t="s">
        <v>38</v>
      </c>
      <c r="F1830" t="s">
        <v>49</v>
      </c>
      <c r="H1830">
        <v>1019799</v>
      </c>
      <c r="I1830" t="s">
        <v>17</v>
      </c>
      <c r="K1830" t="s">
        <v>5092</v>
      </c>
      <c r="L1830">
        <v>810</v>
      </c>
      <c r="M1830" t="s">
        <v>5093</v>
      </c>
    </row>
    <row r="1831" spans="1:13">
      <c r="A1831" t="s">
        <v>13</v>
      </c>
      <c r="B1831">
        <v>1951616</v>
      </c>
      <c r="C1831">
        <v>1952485</v>
      </c>
      <c r="E1831" t="s">
        <v>38</v>
      </c>
      <c r="F1831" t="s">
        <v>49</v>
      </c>
      <c r="H1831">
        <v>1019800</v>
      </c>
      <c r="I1831" t="s">
        <v>17</v>
      </c>
      <c r="K1831" t="s">
        <v>5094</v>
      </c>
      <c r="L1831">
        <v>289</v>
      </c>
      <c r="M1831" t="s">
        <v>5095</v>
      </c>
    </row>
    <row r="1832" spans="1:13">
      <c r="A1832" t="s">
        <v>13</v>
      </c>
      <c r="B1832">
        <v>1952543</v>
      </c>
      <c r="C1832">
        <v>1954822</v>
      </c>
      <c r="E1832" t="s">
        <v>38</v>
      </c>
      <c r="F1832" t="s">
        <v>5096</v>
      </c>
      <c r="H1832">
        <v>1019801</v>
      </c>
      <c r="I1832" t="s">
        <v>17</v>
      </c>
      <c r="K1832" t="s">
        <v>5097</v>
      </c>
      <c r="L1832">
        <v>759</v>
      </c>
      <c r="M1832" t="s">
        <v>5098</v>
      </c>
    </row>
    <row r="1833" spans="1:13">
      <c r="A1833" t="s">
        <v>13</v>
      </c>
      <c r="B1833">
        <v>1956200</v>
      </c>
      <c r="C1833">
        <v>1958287</v>
      </c>
      <c r="E1833" t="s">
        <v>38</v>
      </c>
      <c r="F1833" t="s">
        <v>5099</v>
      </c>
      <c r="H1833">
        <v>1019802</v>
      </c>
      <c r="I1833" t="s">
        <v>17</v>
      </c>
      <c r="K1833" t="s">
        <v>5100</v>
      </c>
      <c r="L1833">
        <v>695</v>
      </c>
      <c r="M1833" t="s">
        <v>5101</v>
      </c>
    </row>
    <row r="1834" spans="1:13">
      <c r="A1834" t="s">
        <v>13</v>
      </c>
      <c r="B1834">
        <v>1958447</v>
      </c>
      <c r="C1834">
        <v>1959340</v>
      </c>
      <c r="E1834" t="s">
        <v>38</v>
      </c>
      <c r="F1834" t="s">
        <v>4036</v>
      </c>
      <c r="H1834">
        <v>1019803</v>
      </c>
      <c r="I1834" t="s">
        <v>17</v>
      </c>
      <c r="K1834" t="s">
        <v>5102</v>
      </c>
      <c r="L1834">
        <v>297</v>
      </c>
      <c r="M1834" t="s">
        <v>5103</v>
      </c>
    </row>
    <row r="1835" spans="1:13">
      <c r="A1835" t="s">
        <v>13</v>
      </c>
      <c r="B1835">
        <v>1959762</v>
      </c>
      <c r="C1835">
        <v>1960196</v>
      </c>
      <c r="E1835" t="s">
        <v>38</v>
      </c>
      <c r="F1835" t="s">
        <v>3785</v>
      </c>
      <c r="H1835">
        <v>1019804</v>
      </c>
      <c r="I1835" t="s">
        <v>17</v>
      </c>
      <c r="K1835" t="s">
        <v>5104</v>
      </c>
      <c r="L1835">
        <v>144</v>
      </c>
      <c r="M1835" t="s">
        <v>5105</v>
      </c>
    </row>
    <row r="1836" spans="1:13">
      <c r="A1836" t="s">
        <v>13</v>
      </c>
      <c r="B1836">
        <v>1960368</v>
      </c>
      <c r="C1836">
        <v>1961114</v>
      </c>
      <c r="E1836" t="s">
        <v>38</v>
      </c>
      <c r="F1836" t="s">
        <v>49</v>
      </c>
      <c r="H1836">
        <v>1019805</v>
      </c>
      <c r="I1836" t="s">
        <v>17</v>
      </c>
      <c r="K1836" t="s">
        <v>5106</v>
      </c>
      <c r="L1836">
        <v>248</v>
      </c>
      <c r="M1836" t="s">
        <v>5107</v>
      </c>
    </row>
    <row r="1837" spans="1:13">
      <c r="A1837" t="s">
        <v>13</v>
      </c>
      <c r="B1837">
        <v>1961111</v>
      </c>
      <c r="C1837">
        <v>1962967</v>
      </c>
      <c r="E1837" t="s">
        <v>38</v>
      </c>
      <c r="F1837" t="s">
        <v>2295</v>
      </c>
      <c r="H1837">
        <v>1019806</v>
      </c>
      <c r="I1837" t="s">
        <v>17</v>
      </c>
      <c r="K1837" t="s">
        <v>5108</v>
      </c>
      <c r="L1837">
        <v>618</v>
      </c>
      <c r="M1837" t="s">
        <v>5109</v>
      </c>
    </row>
    <row r="1838" spans="1:13">
      <c r="A1838" t="s">
        <v>13</v>
      </c>
      <c r="B1838">
        <v>1963136</v>
      </c>
      <c r="C1838">
        <v>1963429</v>
      </c>
      <c r="E1838" t="s">
        <v>38</v>
      </c>
      <c r="F1838" t="s">
        <v>49</v>
      </c>
      <c r="H1838">
        <v>1019807</v>
      </c>
      <c r="I1838" t="s">
        <v>17</v>
      </c>
      <c r="K1838" t="s">
        <v>5110</v>
      </c>
      <c r="L1838">
        <v>97</v>
      </c>
      <c r="M1838" t="s">
        <v>5111</v>
      </c>
    </row>
    <row r="1839" spans="1:13">
      <c r="A1839" t="s">
        <v>13</v>
      </c>
      <c r="B1839">
        <v>1963511</v>
      </c>
      <c r="C1839">
        <v>1964731</v>
      </c>
      <c r="E1839" t="s">
        <v>38</v>
      </c>
      <c r="F1839" t="s">
        <v>49</v>
      </c>
      <c r="H1839">
        <v>1019808</v>
      </c>
      <c r="I1839" t="s">
        <v>17</v>
      </c>
      <c r="K1839" t="s">
        <v>5112</v>
      </c>
      <c r="L1839">
        <v>406</v>
      </c>
      <c r="M1839" t="s">
        <v>5113</v>
      </c>
    </row>
    <row r="1840" spans="1:13">
      <c r="A1840" t="s">
        <v>13</v>
      </c>
      <c r="B1840">
        <v>1964724</v>
      </c>
      <c r="C1840">
        <v>1965902</v>
      </c>
      <c r="E1840" t="s">
        <v>38</v>
      </c>
      <c r="F1840" t="s">
        <v>49</v>
      </c>
      <c r="H1840">
        <v>1019809</v>
      </c>
      <c r="I1840" t="s">
        <v>17</v>
      </c>
      <c r="K1840" t="s">
        <v>5114</v>
      </c>
      <c r="L1840">
        <v>392</v>
      </c>
      <c r="M1840" t="s">
        <v>5115</v>
      </c>
    </row>
    <row r="1841" spans="1:13">
      <c r="A1841" t="s">
        <v>13</v>
      </c>
      <c r="B1841">
        <v>1965908</v>
      </c>
      <c r="C1841">
        <v>1966240</v>
      </c>
      <c r="E1841" t="s">
        <v>38</v>
      </c>
      <c r="F1841" t="s">
        <v>49</v>
      </c>
      <c r="H1841">
        <v>1019810</v>
      </c>
      <c r="I1841" t="s">
        <v>17</v>
      </c>
      <c r="K1841" t="s">
        <v>5116</v>
      </c>
      <c r="L1841">
        <v>110</v>
      </c>
      <c r="M1841" t="s">
        <v>5117</v>
      </c>
    </row>
    <row r="1842" spans="1:13">
      <c r="A1842" t="s">
        <v>13</v>
      </c>
      <c r="B1842">
        <v>1966349</v>
      </c>
      <c r="C1842">
        <v>1966987</v>
      </c>
      <c r="E1842" t="s">
        <v>14</v>
      </c>
      <c r="F1842" t="s">
        <v>5118</v>
      </c>
      <c r="H1842">
        <v>1019811</v>
      </c>
      <c r="I1842" t="s">
        <v>17</v>
      </c>
      <c r="K1842" t="s">
        <v>5119</v>
      </c>
      <c r="L1842">
        <v>212</v>
      </c>
      <c r="M1842" t="s">
        <v>5120</v>
      </c>
    </row>
    <row r="1843" spans="1:13">
      <c r="A1843" t="s">
        <v>13</v>
      </c>
      <c r="B1843">
        <v>1967286</v>
      </c>
      <c r="C1843">
        <v>1967429</v>
      </c>
      <c r="E1843" t="s">
        <v>38</v>
      </c>
      <c r="F1843" t="s">
        <v>49</v>
      </c>
      <c r="H1843">
        <v>44144979</v>
      </c>
      <c r="I1843" t="s">
        <v>17</v>
      </c>
      <c r="K1843" t="s">
        <v>5121</v>
      </c>
      <c r="L1843">
        <v>47</v>
      </c>
      <c r="M1843" t="s">
        <v>5122</v>
      </c>
    </row>
    <row r="1844" spans="1:13">
      <c r="A1844" t="s">
        <v>13</v>
      </c>
      <c r="B1844">
        <v>1967604</v>
      </c>
      <c r="C1844">
        <v>1968170</v>
      </c>
      <c r="E1844" t="s">
        <v>14</v>
      </c>
      <c r="F1844" t="s">
        <v>49</v>
      </c>
      <c r="H1844">
        <v>1019812</v>
      </c>
      <c r="I1844" t="s">
        <v>17</v>
      </c>
      <c r="K1844" t="s">
        <v>5123</v>
      </c>
      <c r="L1844">
        <v>188</v>
      </c>
      <c r="M1844" t="s">
        <v>5124</v>
      </c>
    </row>
    <row r="1845" spans="1:13">
      <c r="A1845" t="s">
        <v>13</v>
      </c>
      <c r="B1845">
        <v>1968264</v>
      </c>
      <c r="C1845">
        <v>1969718</v>
      </c>
      <c r="E1845" t="s">
        <v>14</v>
      </c>
      <c r="F1845" t="s">
        <v>49</v>
      </c>
      <c r="H1845">
        <v>1019813</v>
      </c>
      <c r="I1845" t="s">
        <v>17</v>
      </c>
      <c r="K1845" t="s">
        <v>5125</v>
      </c>
      <c r="L1845">
        <v>484</v>
      </c>
      <c r="M1845" t="s">
        <v>5126</v>
      </c>
    </row>
    <row r="1846" spans="1:13">
      <c r="A1846" t="s">
        <v>13</v>
      </c>
      <c r="B1846">
        <v>1969745</v>
      </c>
      <c r="C1846">
        <v>1970206</v>
      </c>
      <c r="E1846" t="s">
        <v>14</v>
      </c>
      <c r="F1846" t="s">
        <v>49</v>
      </c>
      <c r="H1846">
        <v>1019814</v>
      </c>
      <c r="I1846" t="s">
        <v>17</v>
      </c>
      <c r="K1846" t="s">
        <v>5127</v>
      </c>
      <c r="L1846">
        <v>153</v>
      </c>
      <c r="M1846" t="s">
        <v>5128</v>
      </c>
    </row>
    <row r="1847" spans="1:13">
      <c r="A1847" t="s">
        <v>13</v>
      </c>
      <c r="B1847">
        <v>1970335</v>
      </c>
      <c r="C1847">
        <v>1971477</v>
      </c>
      <c r="E1847" t="s">
        <v>14</v>
      </c>
      <c r="F1847" t="s">
        <v>49</v>
      </c>
      <c r="H1847">
        <v>1019815</v>
      </c>
      <c r="I1847" t="s">
        <v>17</v>
      </c>
      <c r="K1847" t="s">
        <v>5129</v>
      </c>
      <c r="L1847">
        <v>380</v>
      </c>
      <c r="M1847" t="s">
        <v>5130</v>
      </c>
    </row>
    <row r="1848" spans="1:13">
      <c r="A1848" t="s">
        <v>13</v>
      </c>
      <c r="B1848">
        <v>1971672</v>
      </c>
      <c r="C1848">
        <v>1973093</v>
      </c>
      <c r="E1848" t="s">
        <v>14</v>
      </c>
      <c r="F1848" t="s">
        <v>49</v>
      </c>
      <c r="H1848">
        <v>1019816</v>
      </c>
      <c r="I1848" t="s">
        <v>17</v>
      </c>
      <c r="K1848" t="s">
        <v>5131</v>
      </c>
      <c r="L1848">
        <v>473</v>
      </c>
      <c r="M1848" t="s">
        <v>5132</v>
      </c>
    </row>
    <row r="1849" spans="1:13">
      <c r="A1849" t="s">
        <v>13</v>
      </c>
      <c r="B1849">
        <v>1973147</v>
      </c>
      <c r="C1849">
        <v>1973740</v>
      </c>
      <c r="E1849" t="s">
        <v>14</v>
      </c>
      <c r="F1849" t="s">
        <v>49</v>
      </c>
      <c r="H1849">
        <v>1019817</v>
      </c>
      <c r="I1849" t="s">
        <v>17</v>
      </c>
      <c r="K1849" t="s">
        <v>5133</v>
      </c>
      <c r="L1849">
        <v>197</v>
      </c>
      <c r="M1849" t="s">
        <v>5134</v>
      </c>
    </row>
    <row r="1850" spans="1:13">
      <c r="A1850" t="s">
        <v>13</v>
      </c>
      <c r="B1850">
        <v>1973809</v>
      </c>
      <c r="C1850">
        <v>1974207</v>
      </c>
      <c r="E1850" t="s">
        <v>14</v>
      </c>
      <c r="F1850" t="s">
        <v>49</v>
      </c>
      <c r="H1850">
        <v>1019818</v>
      </c>
      <c r="I1850" t="s">
        <v>17</v>
      </c>
      <c r="K1850" t="s">
        <v>5135</v>
      </c>
      <c r="L1850">
        <v>132</v>
      </c>
      <c r="M1850" t="s">
        <v>5136</v>
      </c>
    </row>
    <row r="1851" spans="1:13">
      <c r="A1851" t="s">
        <v>13</v>
      </c>
      <c r="B1851">
        <v>1974267</v>
      </c>
      <c r="C1851">
        <v>1974506</v>
      </c>
      <c r="E1851" t="s">
        <v>14</v>
      </c>
      <c r="F1851" t="s">
        <v>49</v>
      </c>
      <c r="H1851">
        <v>1019819</v>
      </c>
      <c r="I1851" t="s">
        <v>17</v>
      </c>
      <c r="K1851" t="s">
        <v>5137</v>
      </c>
      <c r="L1851">
        <v>79</v>
      </c>
      <c r="M1851" t="s">
        <v>5138</v>
      </c>
    </row>
    <row r="1852" spans="1:13">
      <c r="A1852" t="s">
        <v>13</v>
      </c>
      <c r="B1852">
        <v>1975171</v>
      </c>
      <c r="C1852">
        <v>1975797</v>
      </c>
      <c r="E1852" t="s">
        <v>14</v>
      </c>
      <c r="F1852" t="s">
        <v>5139</v>
      </c>
      <c r="H1852">
        <v>1019820</v>
      </c>
      <c r="I1852" t="s">
        <v>17</v>
      </c>
      <c r="K1852" t="s">
        <v>5140</v>
      </c>
      <c r="L1852">
        <v>208</v>
      </c>
      <c r="M1852" t="s">
        <v>5141</v>
      </c>
    </row>
    <row r="1853" spans="1:13">
      <c r="A1853" t="s">
        <v>13</v>
      </c>
      <c r="B1853">
        <v>1975916</v>
      </c>
      <c r="C1853">
        <v>1976497</v>
      </c>
      <c r="E1853" t="s">
        <v>14</v>
      </c>
      <c r="F1853" t="s">
        <v>49</v>
      </c>
      <c r="H1853">
        <v>1019821</v>
      </c>
      <c r="I1853" t="s">
        <v>17</v>
      </c>
      <c r="K1853" t="s">
        <v>5142</v>
      </c>
      <c r="L1853">
        <v>193</v>
      </c>
      <c r="M1853" t="s">
        <v>5143</v>
      </c>
    </row>
    <row r="1854" spans="1:13">
      <c r="A1854" t="s">
        <v>13</v>
      </c>
      <c r="B1854">
        <v>1976522</v>
      </c>
      <c r="C1854">
        <v>1976986</v>
      </c>
      <c r="E1854" t="s">
        <v>14</v>
      </c>
      <c r="F1854" t="s">
        <v>49</v>
      </c>
      <c r="H1854">
        <v>1019822</v>
      </c>
      <c r="I1854" t="s">
        <v>17</v>
      </c>
      <c r="K1854" t="s">
        <v>5144</v>
      </c>
      <c r="L1854">
        <v>154</v>
      </c>
      <c r="M1854" t="s">
        <v>5145</v>
      </c>
    </row>
    <row r="1855" spans="1:13">
      <c r="A1855" t="s">
        <v>13</v>
      </c>
      <c r="B1855">
        <v>1977043</v>
      </c>
      <c r="C1855">
        <v>1977552</v>
      </c>
      <c r="E1855" t="s">
        <v>14</v>
      </c>
      <c r="F1855" t="s">
        <v>49</v>
      </c>
      <c r="H1855">
        <v>1019823</v>
      </c>
      <c r="I1855" t="s">
        <v>17</v>
      </c>
      <c r="K1855" t="s">
        <v>5146</v>
      </c>
      <c r="L1855">
        <v>169</v>
      </c>
      <c r="M1855" t="s">
        <v>5147</v>
      </c>
    </row>
    <row r="1856" spans="1:13">
      <c r="A1856" t="s">
        <v>13</v>
      </c>
      <c r="B1856">
        <v>1977772</v>
      </c>
      <c r="C1856">
        <v>1978332</v>
      </c>
      <c r="E1856" t="s">
        <v>14</v>
      </c>
      <c r="F1856" t="s">
        <v>49</v>
      </c>
      <c r="H1856">
        <v>1019824</v>
      </c>
      <c r="I1856" t="s">
        <v>17</v>
      </c>
      <c r="K1856" t="s">
        <v>5148</v>
      </c>
      <c r="L1856">
        <v>186</v>
      </c>
      <c r="M1856" t="s">
        <v>5149</v>
      </c>
    </row>
    <row r="1857" spans="1:13">
      <c r="A1857" t="s">
        <v>13</v>
      </c>
      <c r="B1857">
        <v>1978452</v>
      </c>
      <c r="C1857">
        <v>1978724</v>
      </c>
      <c r="E1857" t="s">
        <v>14</v>
      </c>
      <c r="F1857" t="s">
        <v>49</v>
      </c>
      <c r="H1857">
        <v>1019825</v>
      </c>
      <c r="I1857" t="s">
        <v>17</v>
      </c>
      <c r="K1857" t="s">
        <v>5150</v>
      </c>
      <c r="L1857">
        <v>90</v>
      </c>
      <c r="M1857" t="s">
        <v>5151</v>
      </c>
    </row>
    <row r="1858" spans="1:13">
      <c r="A1858" t="s">
        <v>13</v>
      </c>
      <c r="B1858">
        <v>1978738</v>
      </c>
      <c r="C1858">
        <v>1979220</v>
      </c>
      <c r="E1858" t="s">
        <v>14</v>
      </c>
      <c r="F1858" t="s">
        <v>49</v>
      </c>
      <c r="H1858">
        <v>1019826</v>
      </c>
      <c r="I1858" t="s">
        <v>17</v>
      </c>
      <c r="K1858" t="s">
        <v>5152</v>
      </c>
      <c r="L1858">
        <v>160</v>
      </c>
      <c r="M1858" t="s">
        <v>5153</v>
      </c>
    </row>
    <row r="1859" spans="1:13">
      <c r="A1859" t="s">
        <v>13</v>
      </c>
      <c r="B1859">
        <v>1979239</v>
      </c>
      <c r="C1859">
        <v>1979811</v>
      </c>
      <c r="E1859" t="s">
        <v>14</v>
      </c>
      <c r="F1859" t="s">
        <v>49</v>
      </c>
      <c r="H1859">
        <v>1019827</v>
      </c>
      <c r="I1859" t="s">
        <v>17</v>
      </c>
      <c r="K1859" t="s">
        <v>5154</v>
      </c>
      <c r="L1859">
        <v>190</v>
      </c>
      <c r="M1859" t="s">
        <v>5155</v>
      </c>
    </row>
    <row r="1860" spans="1:13">
      <c r="A1860" t="s">
        <v>13</v>
      </c>
      <c r="B1860">
        <v>1979995</v>
      </c>
      <c r="C1860">
        <v>1980888</v>
      </c>
      <c r="E1860" t="s">
        <v>14</v>
      </c>
      <c r="F1860" t="s">
        <v>3804</v>
      </c>
      <c r="H1860">
        <v>1019828</v>
      </c>
      <c r="I1860" t="s">
        <v>17</v>
      </c>
      <c r="K1860" t="s">
        <v>5156</v>
      </c>
      <c r="L1860">
        <v>297</v>
      </c>
      <c r="M1860" t="s">
        <v>5157</v>
      </c>
    </row>
    <row r="1861" spans="1:13">
      <c r="A1861" t="s">
        <v>13</v>
      </c>
      <c r="B1861">
        <v>1980965</v>
      </c>
      <c r="C1861">
        <v>1981660</v>
      </c>
      <c r="E1861" t="s">
        <v>14</v>
      </c>
      <c r="F1861" t="s">
        <v>49</v>
      </c>
      <c r="H1861">
        <v>1019829</v>
      </c>
      <c r="I1861" t="s">
        <v>17</v>
      </c>
      <c r="K1861" t="s">
        <v>5158</v>
      </c>
      <c r="L1861">
        <v>231</v>
      </c>
      <c r="M1861" t="s">
        <v>5159</v>
      </c>
    </row>
    <row r="1862" spans="1:13">
      <c r="A1862" t="s">
        <v>13</v>
      </c>
      <c r="B1862">
        <v>1981663</v>
      </c>
      <c r="C1862">
        <v>1982031</v>
      </c>
      <c r="E1862" t="s">
        <v>14</v>
      </c>
      <c r="F1862" t="s">
        <v>49</v>
      </c>
      <c r="H1862">
        <v>1019830</v>
      </c>
      <c r="I1862" t="s">
        <v>17</v>
      </c>
      <c r="K1862" t="s">
        <v>5160</v>
      </c>
      <c r="L1862">
        <v>122</v>
      </c>
      <c r="M1862" t="s">
        <v>5161</v>
      </c>
    </row>
    <row r="1863" spans="1:13">
      <c r="A1863" t="s">
        <v>13</v>
      </c>
      <c r="B1863">
        <v>1982176</v>
      </c>
      <c r="C1863">
        <v>1982820</v>
      </c>
      <c r="E1863" t="s">
        <v>14</v>
      </c>
      <c r="F1863" t="s">
        <v>49</v>
      </c>
      <c r="H1863">
        <v>1019831</v>
      </c>
      <c r="I1863" t="s">
        <v>17</v>
      </c>
      <c r="K1863" t="s">
        <v>5162</v>
      </c>
      <c r="L1863">
        <v>214</v>
      </c>
      <c r="M1863" t="s">
        <v>5163</v>
      </c>
    </row>
    <row r="1864" spans="1:13">
      <c r="A1864" t="s">
        <v>13</v>
      </c>
      <c r="B1864">
        <v>1982865</v>
      </c>
      <c r="C1864">
        <v>1983023</v>
      </c>
      <c r="E1864" t="s">
        <v>38</v>
      </c>
      <c r="F1864" t="s">
        <v>49</v>
      </c>
      <c r="H1864">
        <v>44144980</v>
      </c>
      <c r="I1864" t="s">
        <v>17</v>
      </c>
      <c r="K1864" t="s">
        <v>5164</v>
      </c>
      <c r="L1864">
        <v>52</v>
      </c>
      <c r="M1864" t="s">
        <v>5165</v>
      </c>
    </row>
    <row r="1865" spans="1:13">
      <c r="A1865" t="s">
        <v>13</v>
      </c>
      <c r="B1865">
        <v>1983186</v>
      </c>
      <c r="C1865">
        <v>1983551</v>
      </c>
      <c r="E1865" t="s">
        <v>14</v>
      </c>
      <c r="F1865" t="s">
        <v>49</v>
      </c>
      <c r="H1865">
        <v>1019832</v>
      </c>
      <c r="I1865" t="s">
        <v>17</v>
      </c>
      <c r="K1865" t="s">
        <v>5166</v>
      </c>
      <c r="L1865">
        <v>121</v>
      </c>
      <c r="M1865" t="s">
        <v>5167</v>
      </c>
    </row>
    <row r="1866" spans="1:13">
      <c r="A1866" t="s">
        <v>13</v>
      </c>
      <c r="B1866">
        <v>1983611</v>
      </c>
      <c r="C1866">
        <v>1983886</v>
      </c>
      <c r="E1866" t="s">
        <v>14</v>
      </c>
      <c r="F1866" t="s">
        <v>49</v>
      </c>
      <c r="H1866">
        <v>1019833</v>
      </c>
      <c r="I1866" t="s">
        <v>17</v>
      </c>
      <c r="K1866" t="s">
        <v>5168</v>
      </c>
      <c r="L1866">
        <v>91</v>
      </c>
      <c r="M1866" t="s">
        <v>5169</v>
      </c>
    </row>
    <row r="1867" spans="1:13">
      <c r="A1867" t="s">
        <v>13</v>
      </c>
      <c r="B1867">
        <v>1983918</v>
      </c>
      <c r="C1867">
        <v>1984184</v>
      </c>
      <c r="E1867" t="s">
        <v>14</v>
      </c>
      <c r="F1867" t="s">
        <v>49</v>
      </c>
      <c r="H1867">
        <v>1019834</v>
      </c>
      <c r="I1867" t="s">
        <v>17</v>
      </c>
      <c r="K1867" t="s">
        <v>5170</v>
      </c>
      <c r="L1867">
        <v>88</v>
      </c>
      <c r="M1867" t="s">
        <v>5171</v>
      </c>
    </row>
    <row r="1868" spans="1:13">
      <c r="A1868" t="s">
        <v>13</v>
      </c>
      <c r="B1868">
        <v>1984217</v>
      </c>
      <c r="C1868">
        <v>1984453</v>
      </c>
      <c r="E1868" t="s">
        <v>14</v>
      </c>
      <c r="F1868" t="s">
        <v>49</v>
      </c>
      <c r="H1868">
        <v>1019835</v>
      </c>
      <c r="I1868" t="s">
        <v>17</v>
      </c>
      <c r="K1868" t="s">
        <v>5172</v>
      </c>
      <c r="L1868">
        <v>78</v>
      </c>
      <c r="M1868" t="s">
        <v>5173</v>
      </c>
    </row>
    <row r="1869" spans="1:13">
      <c r="A1869" t="s">
        <v>13</v>
      </c>
      <c r="B1869">
        <v>1984495</v>
      </c>
      <c r="C1869">
        <v>1984731</v>
      </c>
      <c r="E1869" t="s">
        <v>14</v>
      </c>
      <c r="F1869" t="s">
        <v>49</v>
      </c>
      <c r="H1869">
        <v>1019836</v>
      </c>
      <c r="I1869" t="s">
        <v>17</v>
      </c>
      <c r="K1869" t="s">
        <v>5174</v>
      </c>
      <c r="L1869">
        <v>78</v>
      </c>
      <c r="M1869" t="s">
        <v>5175</v>
      </c>
    </row>
    <row r="1870" spans="1:13">
      <c r="A1870" t="s">
        <v>13</v>
      </c>
      <c r="B1870">
        <v>1985092</v>
      </c>
      <c r="C1870">
        <v>1985367</v>
      </c>
      <c r="E1870" t="s">
        <v>14</v>
      </c>
      <c r="F1870" t="s">
        <v>49</v>
      </c>
      <c r="H1870">
        <v>1019837</v>
      </c>
      <c r="I1870" t="s">
        <v>17</v>
      </c>
      <c r="K1870" t="s">
        <v>5176</v>
      </c>
      <c r="L1870">
        <v>91</v>
      </c>
      <c r="M1870" t="s">
        <v>5177</v>
      </c>
    </row>
    <row r="1871" spans="1:13">
      <c r="A1871" t="s">
        <v>13</v>
      </c>
      <c r="B1871">
        <v>1985439</v>
      </c>
      <c r="C1871">
        <v>1986458</v>
      </c>
      <c r="E1871" t="s">
        <v>38</v>
      </c>
      <c r="F1871" t="s">
        <v>4373</v>
      </c>
      <c r="H1871">
        <v>1019838</v>
      </c>
      <c r="I1871" t="s">
        <v>17</v>
      </c>
      <c r="K1871" t="s">
        <v>5178</v>
      </c>
      <c r="L1871">
        <v>339</v>
      </c>
      <c r="M1871" t="s">
        <v>5179</v>
      </c>
    </row>
    <row r="1872" spans="1:13">
      <c r="A1872" t="s">
        <v>13</v>
      </c>
      <c r="B1872">
        <v>1987467</v>
      </c>
      <c r="C1872">
        <v>1988664</v>
      </c>
      <c r="E1872" t="s">
        <v>38</v>
      </c>
      <c r="F1872" t="s">
        <v>141</v>
      </c>
      <c r="H1872">
        <v>44144981</v>
      </c>
      <c r="I1872" t="s">
        <v>142</v>
      </c>
      <c r="M1872" t="s">
        <v>5180</v>
      </c>
    </row>
    <row r="1873" spans="1:13">
      <c r="A1873" t="s">
        <v>13</v>
      </c>
      <c r="B1873">
        <v>1988775</v>
      </c>
      <c r="C1873">
        <v>1989605</v>
      </c>
      <c r="E1873" t="s">
        <v>38</v>
      </c>
      <c r="F1873" t="s">
        <v>5181</v>
      </c>
      <c r="H1873">
        <v>1019843</v>
      </c>
      <c r="I1873" t="s">
        <v>17</v>
      </c>
      <c r="K1873" t="s">
        <v>5182</v>
      </c>
      <c r="L1873">
        <v>276</v>
      </c>
      <c r="M1873" t="s">
        <v>5183</v>
      </c>
    </row>
    <row r="1874" spans="1:13">
      <c r="A1874" t="s">
        <v>13</v>
      </c>
      <c r="B1874">
        <v>1989871</v>
      </c>
      <c r="C1874">
        <v>1990764</v>
      </c>
      <c r="E1874" t="s">
        <v>38</v>
      </c>
      <c r="F1874" t="s">
        <v>4036</v>
      </c>
      <c r="H1874">
        <v>1019844</v>
      </c>
      <c r="I1874" t="s">
        <v>17</v>
      </c>
      <c r="K1874" t="s">
        <v>5184</v>
      </c>
      <c r="L1874">
        <v>297</v>
      </c>
      <c r="M1874" t="s">
        <v>5185</v>
      </c>
    </row>
    <row r="1875" spans="1:13">
      <c r="A1875" t="s">
        <v>13</v>
      </c>
      <c r="B1875">
        <v>1991186</v>
      </c>
      <c r="C1875">
        <v>1991620</v>
      </c>
      <c r="E1875" t="s">
        <v>38</v>
      </c>
      <c r="F1875" t="s">
        <v>3785</v>
      </c>
      <c r="H1875">
        <v>1019845</v>
      </c>
      <c r="I1875" t="s">
        <v>17</v>
      </c>
      <c r="K1875" t="s">
        <v>5186</v>
      </c>
      <c r="L1875">
        <v>144</v>
      </c>
      <c r="M1875" t="s">
        <v>5187</v>
      </c>
    </row>
    <row r="1876" spans="1:13">
      <c r="A1876" t="s">
        <v>13</v>
      </c>
      <c r="B1876">
        <v>1991792</v>
      </c>
      <c r="C1876">
        <v>1992538</v>
      </c>
      <c r="E1876" t="s">
        <v>38</v>
      </c>
      <c r="F1876" t="s">
        <v>49</v>
      </c>
      <c r="H1876">
        <v>1019846</v>
      </c>
      <c r="I1876" t="s">
        <v>17</v>
      </c>
      <c r="K1876" t="s">
        <v>5106</v>
      </c>
      <c r="L1876">
        <v>248</v>
      </c>
      <c r="M1876" t="s">
        <v>5188</v>
      </c>
    </row>
    <row r="1877" spans="1:13">
      <c r="A1877" t="s">
        <v>13</v>
      </c>
      <c r="B1877">
        <v>1992535</v>
      </c>
      <c r="C1877">
        <v>1994121</v>
      </c>
      <c r="E1877" t="s">
        <v>38</v>
      </c>
      <c r="F1877" t="s">
        <v>2295</v>
      </c>
      <c r="H1877">
        <v>1019847</v>
      </c>
      <c r="I1877" t="s">
        <v>17</v>
      </c>
      <c r="K1877" t="s">
        <v>5189</v>
      </c>
      <c r="L1877">
        <v>528</v>
      </c>
      <c r="M1877" t="s">
        <v>5190</v>
      </c>
    </row>
    <row r="1878" spans="1:13">
      <c r="A1878" t="s">
        <v>13</v>
      </c>
      <c r="B1878">
        <v>1994605</v>
      </c>
      <c r="C1878">
        <v>1995198</v>
      </c>
      <c r="E1878" t="s">
        <v>38</v>
      </c>
      <c r="F1878" t="s">
        <v>49</v>
      </c>
      <c r="H1878">
        <v>1019848</v>
      </c>
      <c r="I1878" t="s">
        <v>17</v>
      </c>
      <c r="K1878" t="s">
        <v>5191</v>
      </c>
      <c r="L1878">
        <v>197</v>
      </c>
      <c r="M1878" t="s">
        <v>5192</v>
      </c>
    </row>
    <row r="1879" spans="1:13">
      <c r="A1879" t="s">
        <v>13</v>
      </c>
      <c r="B1879">
        <v>1995780</v>
      </c>
      <c r="C1879">
        <v>1996073</v>
      </c>
      <c r="E1879" t="s">
        <v>38</v>
      </c>
      <c r="F1879" t="s">
        <v>141</v>
      </c>
      <c r="H1879">
        <v>1019849</v>
      </c>
      <c r="I1879" t="s">
        <v>142</v>
      </c>
      <c r="M1879" t="s">
        <v>5193</v>
      </c>
    </row>
    <row r="1880" spans="1:13">
      <c r="A1880" t="s">
        <v>13</v>
      </c>
      <c r="B1880">
        <v>1996106</v>
      </c>
      <c r="C1880">
        <v>1996540</v>
      </c>
      <c r="E1880" t="s">
        <v>14</v>
      </c>
      <c r="F1880" t="s">
        <v>5194</v>
      </c>
      <c r="H1880">
        <v>1019850</v>
      </c>
      <c r="I1880" t="s">
        <v>17</v>
      </c>
      <c r="K1880" t="s">
        <v>5195</v>
      </c>
      <c r="L1880">
        <v>144</v>
      </c>
      <c r="M1880" t="s">
        <v>5196</v>
      </c>
    </row>
    <row r="1881" spans="1:13">
      <c r="A1881" t="s">
        <v>13</v>
      </c>
      <c r="B1881">
        <v>1996768</v>
      </c>
      <c r="C1881">
        <v>1997115</v>
      </c>
      <c r="E1881" t="s">
        <v>14</v>
      </c>
      <c r="F1881" t="s">
        <v>49</v>
      </c>
      <c r="H1881">
        <v>1019851</v>
      </c>
      <c r="I1881" t="s">
        <v>17</v>
      </c>
      <c r="K1881" t="s">
        <v>5197</v>
      </c>
      <c r="L1881">
        <v>115</v>
      </c>
      <c r="M1881" t="s">
        <v>5198</v>
      </c>
    </row>
    <row r="1882" spans="1:13">
      <c r="A1882" t="s">
        <v>13</v>
      </c>
      <c r="B1882">
        <v>1997168</v>
      </c>
      <c r="C1882">
        <v>1997506</v>
      </c>
      <c r="E1882" t="s">
        <v>14</v>
      </c>
      <c r="F1882" t="s">
        <v>49</v>
      </c>
      <c r="H1882">
        <v>1019852</v>
      </c>
      <c r="I1882" t="s">
        <v>17</v>
      </c>
      <c r="K1882" t="s">
        <v>5199</v>
      </c>
      <c r="L1882">
        <v>112</v>
      </c>
      <c r="M1882" t="s">
        <v>5200</v>
      </c>
    </row>
    <row r="1883" spans="1:13">
      <c r="A1883" t="s">
        <v>13</v>
      </c>
      <c r="B1883">
        <v>1997545</v>
      </c>
      <c r="C1883">
        <v>1998243</v>
      </c>
      <c r="E1883" t="s">
        <v>14</v>
      </c>
      <c r="F1883" t="s">
        <v>5201</v>
      </c>
      <c r="H1883">
        <v>1019853</v>
      </c>
      <c r="I1883" t="s">
        <v>17</v>
      </c>
      <c r="K1883" t="s">
        <v>5202</v>
      </c>
      <c r="L1883">
        <v>232</v>
      </c>
      <c r="M1883" t="s">
        <v>5203</v>
      </c>
    </row>
    <row r="1884" spans="1:13">
      <c r="A1884" t="s">
        <v>13</v>
      </c>
      <c r="B1884">
        <v>1998289</v>
      </c>
      <c r="C1884">
        <v>1999545</v>
      </c>
      <c r="E1884" t="s">
        <v>14</v>
      </c>
      <c r="F1884" t="s">
        <v>5204</v>
      </c>
      <c r="G1884" t="s">
        <v>5205</v>
      </c>
      <c r="H1884">
        <v>1019854</v>
      </c>
      <c r="I1884" t="s">
        <v>17</v>
      </c>
      <c r="K1884" t="s">
        <v>5206</v>
      </c>
      <c r="L1884">
        <v>418</v>
      </c>
      <c r="M1884" t="s">
        <v>5207</v>
      </c>
    </row>
    <row r="1885" spans="1:13">
      <c r="A1885" t="s">
        <v>13</v>
      </c>
      <c r="B1885">
        <v>1999542</v>
      </c>
      <c r="C1885">
        <v>1999952</v>
      </c>
      <c r="E1885" t="s">
        <v>14</v>
      </c>
      <c r="F1885" t="s">
        <v>5208</v>
      </c>
      <c r="G1885" t="s">
        <v>5209</v>
      </c>
      <c r="H1885">
        <v>1019855</v>
      </c>
      <c r="I1885" t="s">
        <v>17</v>
      </c>
      <c r="K1885" t="s">
        <v>5210</v>
      </c>
      <c r="L1885">
        <v>136</v>
      </c>
      <c r="M1885" t="s">
        <v>5211</v>
      </c>
    </row>
    <row r="1886" spans="1:13">
      <c r="A1886" t="s">
        <v>13</v>
      </c>
      <c r="B1886">
        <v>2000518</v>
      </c>
      <c r="C1886">
        <v>2001216</v>
      </c>
      <c r="E1886" t="s">
        <v>38</v>
      </c>
      <c r="F1886" t="s">
        <v>5212</v>
      </c>
      <c r="G1886" t="s">
        <v>5213</v>
      </c>
      <c r="H1886">
        <v>1019856</v>
      </c>
      <c r="I1886" t="s">
        <v>17</v>
      </c>
      <c r="K1886" t="s">
        <v>5214</v>
      </c>
      <c r="L1886">
        <v>232</v>
      </c>
      <c r="M1886" t="s">
        <v>5215</v>
      </c>
    </row>
    <row r="1887" spans="1:13">
      <c r="A1887" t="s">
        <v>13</v>
      </c>
      <c r="B1887">
        <v>2001498</v>
      </c>
      <c r="C1887">
        <v>2002115</v>
      </c>
      <c r="E1887" t="s">
        <v>14</v>
      </c>
      <c r="F1887" t="s">
        <v>5216</v>
      </c>
      <c r="H1887">
        <v>1019857</v>
      </c>
      <c r="I1887" t="s">
        <v>17</v>
      </c>
      <c r="K1887" t="s">
        <v>5217</v>
      </c>
      <c r="L1887">
        <v>205</v>
      </c>
      <c r="M1887" t="s">
        <v>5218</v>
      </c>
    </row>
    <row r="1888" spans="1:13">
      <c r="A1888" t="s">
        <v>13</v>
      </c>
      <c r="B1888">
        <v>2002126</v>
      </c>
      <c r="C1888">
        <v>2003337</v>
      </c>
      <c r="E1888" t="s">
        <v>14</v>
      </c>
      <c r="F1888" t="s">
        <v>5219</v>
      </c>
      <c r="H1888">
        <v>1019858</v>
      </c>
      <c r="I1888" t="s">
        <v>17</v>
      </c>
      <c r="K1888" t="s">
        <v>5220</v>
      </c>
      <c r="L1888">
        <v>403</v>
      </c>
      <c r="M1888" t="s">
        <v>5221</v>
      </c>
    </row>
    <row r="1889" spans="1:13">
      <c r="A1889" t="s">
        <v>13</v>
      </c>
      <c r="B1889">
        <v>2003399</v>
      </c>
      <c r="C1889">
        <v>2005309</v>
      </c>
      <c r="E1889" t="s">
        <v>38</v>
      </c>
      <c r="F1889" t="s">
        <v>5222</v>
      </c>
      <c r="G1889" t="s">
        <v>5223</v>
      </c>
      <c r="H1889">
        <v>1019859</v>
      </c>
      <c r="I1889" t="s">
        <v>17</v>
      </c>
      <c r="K1889" t="s">
        <v>5224</v>
      </c>
      <c r="L1889">
        <v>636</v>
      </c>
      <c r="M1889" t="s">
        <v>5225</v>
      </c>
    </row>
    <row r="1890" spans="1:13">
      <c r="A1890" t="s">
        <v>13</v>
      </c>
      <c r="B1890">
        <v>2005459</v>
      </c>
      <c r="C1890">
        <v>2006697</v>
      </c>
      <c r="E1890" t="s">
        <v>38</v>
      </c>
      <c r="F1890" t="s">
        <v>5226</v>
      </c>
      <c r="H1890">
        <v>1019860</v>
      </c>
      <c r="I1890" t="s">
        <v>17</v>
      </c>
      <c r="K1890" t="s">
        <v>5227</v>
      </c>
      <c r="L1890">
        <v>412</v>
      </c>
      <c r="M1890" t="s">
        <v>5228</v>
      </c>
    </row>
    <row r="1891" spans="1:13">
      <c r="A1891" t="s">
        <v>13</v>
      </c>
      <c r="B1891">
        <v>2006774</v>
      </c>
      <c r="C1891">
        <v>2007637</v>
      </c>
      <c r="E1891" t="s">
        <v>38</v>
      </c>
      <c r="F1891" t="s">
        <v>5229</v>
      </c>
      <c r="H1891">
        <v>1019861</v>
      </c>
      <c r="I1891" t="s">
        <v>17</v>
      </c>
      <c r="K1891" t="s">
        <v>5230</v>
      </c>
      <c r="L1891">
        <v>287</v>
      </c>
      <c r="M1891" t="s">
        <v>5231</v>
      </c>
    </row>
    <row r="1892" spans="1:13">
      <c r="A1892" t="s">
        <v>13</v>
      </c>
      <c r="B1892">
        <v>2007735</v>
      </c>
      <c r="C1892">
        <v>2008184</v>
      </c>
      <c r="E1892" t="s">
        <v>38</v>
      </c>
      <c r="F1892" t="s">
        <v>5232</v>
      </c>
      <c r="G1892" t="s">
        <v>5233</v>
      </c>
      <c r="H1892">
        <v>1019862</v>
      </c>
      <c r="I1892" t="s">
        <v>17</v>
      </c>
      <c r="K1892" t="s">
        <v>5234</v>
      </c>
      <c r="L1892">
        <v>149</v>
      </c>
      <c r="M1892" t="s">
        <v>5235</v>
      </c>
    </row>
    <row r="1893" spans="1:13">
      <c r="A1893" t="s">
        <v>13</v>
      </c>
      <c r="B1893">
        <v>2008250</v>
      </c>
      <c r="C1893">
        <v>2008801</v>
      </c>
      <c r="E1893" t="s">
        <v>14</v>
      </c>
      <c r="F1893" t="s">
        <v>5236</v>
      </c>
      <c r="H1893">
        <v>1019863</v>
      </c>
      <c r="I1893" t="s">
        <v>17</v>
      </c>
      <c r="K1893" t="s">
        <v>5237</v>
      </c>
      <c r="L1893">
        <v>183</v>
      </c>
      <c r="M1893" t="s">
        <v>5238</v>
      </c>
    </row>
    <row r="1894" spans="1:13">
      <c r="A1894" t="s">
        <v>13</v>
      </c>
      <c r="B1894">
        <v>2008873</v>
      </c>
      <c r="C1894">
        <v>2009082</v>
      </c>
      <c r="E1894" t="s">
        <v>38</v>
      </c>
      <c r="F1894" t="s">
        <v>49</v>
      </c>
      <c r="H1894">
        <v>1019864</v>
      </c>
      <c r="I1894" t="s">
        <v>17</v>
      </c>
      <c r="K1894" t="s">
        <v>5239</v>
      </c>
      <c r="L1894">
        <v>69</v>
      </c>
      <c r="M1894" t="s">
        <v>5240</v>
      </c>
    </row>
    <row r="1895" spans="1:13">
      <c r="A1895" t="s">
        <v>13</v>
      </c>
      <c r="B1895">
        <v>2009277</v>
      </c>
      <c r="C1895">
        <v>2009570</v>
      </c>
      <c r="E1895" t="s">
        <v>38</v>
      </c>
      <c r="F1895" t="s">
        <v>5241</v>
      </c>
      <c r="H1895">
        <v>1019865</v>
      </c>
      <c r="I1895" t="s">
        <v>17</v>
      </c>
      <c r="K1895" t="s">
        <v>5242</v>
      </c>
      <c r="L1895">
        <v>97</v>
      </c>
      <c r="M1895" t="s">
        <v>5243</v>
      </c>
    </row>
    <row r="1896" spans="1:13">
      <c r="A1896" t="s">
        <v>13</v>
      </c>
      <c r="B1896">
        <v>2009721</v>
      </c>
      <c r="C1896">
        <v>2010563</v>
      </c>
      <c r="E1896" t="s">
        <v>38</v>
      </c>
      <c r="F1896" t="s">
        <v>2308</v>
      </c>
      <c r="H1896">
        <v>1019866</v>
      </c>
      <c r="I1896" t="s">
        <v>17</v>
      </c>
      <c r="K1896" t="s">
        <v>5244</v>
      </c>
      <c r="L1896">
        <v>280</v>
      </c>
      <c r="M1896" t="s">
        <v>5245</v>
      </c>
    </row>
    <row r="1897" spans="1:13">
      <c r="A1897" t="s">
        <v>13</v>
      </c>
      <c r="B1897">
        <v>2010633</v>
      </c>
      <c r="C1897">
        <v>2011385</v>
      </c>
      <c r="E1897" t="s">
        <v>14</v>
      </c>
      <c r="F1897" t="s">
        <v>5246</v>
      </c>
      <c r="G1897" t="s">
        <v>5247</v>
      </c>
      <c r="H1897">
        <v>1019867</v>
      </c>
      <c r="I1897" t="s">
        <v>17</v>
      </c>
      <c r="K1897" t="s">
        <v>5248</v>
      </c>
      <c r="L1897">
        <v>250</v>
      </c>
      <c r="M1897" t="s">
        <v>5249</v>
      </c>
    </row>
    <row r="1898" spans="1:13">
      <c r="A1898" t="s">
        <v>13</v>
      </c>
      <c r="B1898">
        <v>2011875</v>
      </c>
      <c r="C1898">
        <v>2013359</v>
      </c>
      <c r="E1898" t="s">
        <v>14</v>
      </c>
      <c r="F1898" t="s">
        <v>780</v>
      </c>
      <c r="H1898">
        <v>44144982</v>
      </c>
      <c r="I1898" t="s">
        <v>17</v>
      </c>
      <c r="K1898" t="s">
        <v>5250</v>
      </c>
      <c r="L1898">
        <v>494</v>
      </c>
      <c r="M1898" t="s">
        <v>5251</v>
      </c>
    </row>
    <row r="1899" spans="1:13">
      <c r="A1899" t="s">
        <v>13</v>
      </c>
      <c r="B1899">
        <v>2014159</v>
      </c>
      <c r="C1899">
        <v>2015496</v>
      </c>
      <c r="E1899" t="s">
        <v>38</v>
      </c>
      <c r="F1899" t="s">
        <v>5252</v>
      </c>
      <c r="H1899">
        <v>1019869</v>
      </c>
      <c r="I1899" t="s">
        <v>17</v>
      </c>
      <c r="K1899" t="s">
        <v>5253</v>
      </c>
      <c r="L1899">
        <v>445</v>
      </c>
      <c r="M1899" t="s">
        <v>5254</v>
      </c>
    </row>
    <row r="1900" spans="1:13">
      <c r="A1900" t="s">
        <v>13</v>
      </c>
      <c r="B1900">
        <v>2015582</v>
      </c>
      <c r="C1900">
        <v>2016121</v>
      </c>
      <c r="E1900" t="s">
        <v>38</v>
      </c>
      <c r="F1900" t="s">
        <v>49</v>
      </c>
      <c r="H1900">
        <v>1019870</v>
      </c>
      <c r="I1900" t="s">
        <v>17</v>
      </c>
      <c r="K1900" t="s">
        <v>5255</v>
      </c>
      <c r="L1900">
        <v>179</v>
      </c>
      <c r="M1900" t="s">
        <v>5256</v>
      </c>
    </row>
    <row r="1901" spans="1:13">
      <c r="A1901" t="s">
        <v>13</v>
      </c>
      <c r="B1901">
        <v>2016254</v>
      </c>
      <c r="C1901">
        <v>2017966</v>
      </c>
      <c r="E1901" t="s">
        <v>38</v>
      </c>
      <c r="F1901" t="s">
        <v>930</v>
      </c>
      <c r="H1901">
        <v>1019871</v>
      </c>
      <c r="I1901" t="s">
        <v>17</v>
      </c>
      <c r="K1901" t="s">
        <v>5257</v>
      </c>
      <c r="L1901">
        <v>570</v>
      </c>
      <c r="M1901" t="s">
        <v>5258</v>
      </c>
    </row>
    <row r="1902" spans="1:13">
      <c r="A1902" t="s">
        <v>13</v>
      </c>
      <c r="B1902">
        <v>2017963</v>
      </c>
      <c r="C1902">
        <v>2018202</v>
      </c>
      <c r="E1902" t="s">
        <v>38</v>
      </c>
      <c r="F1902" t="s">
        <v>5259</v>
      </c>
      <c r="H1902">
        <v>1019872</v>
      </c>
      <c r="I1902" t="s">
        <v>17</v>
      </c>
      <c r="K1902" t="s">
        <v>5260</v>
      </c>
      <c r="L1902">
        <v>79</v>
      </c>
      <c r="M1902" t="s">
        <v>5261</v>
      </c>
    </row>
    <row r="1903" spans="1:13">
      <c r="A1903" t="s">
        <v>13</v>
      </c>
      <c r="B1903">
        <v>2018260</v>
      </c>
      <c r="C1903">
        <v>2018757</v>
      </c>
      <c r="E1903" t="s">
        <v>14</v>
      </c>
      <c r="F1903" t="s">
        <v>5262</v>
      </c>
      <c r="H1903">
        <v>1019873</v>
      </c>
      <c r="I1903" t="s">
        <v>17</v>
      </c>
      <c r="K1903" t="s">
        <v>5263</v>
      </c>
      <c r="L1903">
        <v>165</v>
      </c>
      <c r="M1903" t="s">
        <v>5264</v>
      </c>
    </row>
    <row r="1904" spans="1:13">
      <c r="A1904" t="s">
        <v>13</v>
      </c>
      <c r="B1904">
        <v>2018750</v>
      </c>
      <c r="C1904">
        <v>2020279</v>
      </c>
      <c r="E1904" t="s">
        <v>14</v>
      </c>
      <c r="F1904" t="s">
        <v>5265</v>
      </c>
      <c r="H1904">
        <v>1019874</v>
      </c>
      <c r="I1904" t="s">
        <v>17</v>
      </c>
      <c r="K1904" t="s">
        <v>5266</v>
      </c>
      <c r="L1904">
        <v>509</v>
      </c>
      <c r="M1904" t="s">
        <v>5267</v>
      </c>
    </row>
    <row r="1905" spans="1:13">
      <c r="A1905" t="s">
        <v>13</v>
      </c>
      <c r="B1905">
        <v>2020293</v>
      </c>
      <c r="C1905">
        <v>2020727</v>
      </c>
      <c r="E1905" t="s">
        <v>14</v>
      </c>
      <c r="F1905" t="s">
        <v>5268</v>
      </c>
      <c r="G1905" t="s">
        <v>5269</v>
      </c>
      <c r="H1905">
        <v>1019875</v>
      </c>
      <c r="I1905" t="s">
        <v>17</v>
      </c>
      <c r="K1905" t="s">
        <v>5270</v>
      </c>
      <c r="L1905">
        <v>144</v>
      </c>
      <c r="M1905" t="s">
        <v>5271</v>
      </c>
    </row>
    <row r="1906" spans="1:13">
      <c r="A1906" t="s">
        <v>13</v>
      </c>
      <c r="B1906">
        <v>2020854</v>
      </c>
      <c r="C1906">
        <v>2021849</v>
      </c>
      <c r="E1906" t="s">
        <v>14</v>
      </c>
      <c r="F1906" t="s">
        <v>1762</v>
      </c>
      <c r="H1906">
        <v>1019876</v>
      </c>
      <c r="I1906" t="s">
        <v>17</v>
      </c>
      <c r="K1906" t="s">
        <v>5272</v>
      </c>
      <c r="L1906">
        <v>331</v>
      </c>
      <c r="M1906" t="s">
        <v>5273</v>
      </c>
    </row>
    <row r="1907" spans="1:13">
      <c r="A1907" t="s">
        <v>13</v>
      </c>
      <c r="B1907">
        <v>2022266</v>
      </c>
      <c r="C1907">
        <v>2022952</v>
      </c>
      <c r="E1907" t="s">
        <v>14</v>
      </c>
      <c r="F1907" t="s">
        <v>5274</v>
      </c>
      <c r="H1907">
        <v>1019877</v>
      </c>
      <c r="I1907" t="s">
        <v>17</v>
      </c>
      <c r="K1907" t="s">
        <v>5275</v>
      </c>
      <c r="L1907">
        <v>228</v>
      </c>
      <c r="M1907" t="s">
        <v>5276</v>
      </c>
    </row>
    <row r="1908" spans="1:13">
      <c r="A1908" t="s">
        <v>13</v>
      </c>
      <c r="B1908">
        <v>2022959</v>
      </c>
      <c r="C1908">
        <v>2023948</v>
      </c>
      <c r="E1908" t="s">
        <v>14</v>
      </c>
      <c r="F1908" t="s">
        <v>5277</v>
      </c>
      <c r="G1908" t="s">
        <v>5278</v>
      </c>
      <c r="H1908">
        <v>1019878</v>
      </c>
      <c r="I1908" t="s">
        <v>17</v>
      </c>
      <c r="K1908" t="s">
        <v>5279</v>
      </c>
      <c r="L1908">
        <v>329</v>
      </c>
      <c r="M1908" t="s">
        <v>5280</v>
      </c>
    </row>
    <row r="1909" spans="1:13">
      <c r="A1909" t="s">
        <v>13</v>
      </c>
      <c r="B1909">
        <v>2023945</v>
      </c>
      <c r="C1909">
        <v>2025078</v>
      </c>
      <c r="E1909" t="s">
        <v>38</v>
      </c>
      <c r="F1909" t="s">
        <v>5281</v>
      </c>
      <c r="H1909">
        <v>1019879</v>
      </c>
      <c r="I1909" t="s">
        <v>17</v>
      </c>
      <c r="K1909" t="s">
        <v>5282</v>
      </c>
      <c r="L1909">
        <v>377</v>
      </c>
      <c r="M1909" t="s">
        <v>5283</v>
      </c>
    </row>
    <row r="1910" spans="1:13">
      <c r="A1910" t="s">
        <v>13</v>
      </c>
      <c r="B1910">
        <v>2025423</v>
      </c>
      <c r="C1910">
        <v>2026382</v>
      </c>
      <c r="E1910" t="s">
        <v>14</v>
      </c>
      <c r="F1910" t="s">
        <v>5284</v>
      </c>
      <c r="H1910">
        <v>1019880</v>
      </c>
      <c r="I1910" t="s">
        <v>17</v>
      </c>
      <c r="K1910" t="s">
        <v>5285</v>
      </c>
      <c r="L1910">
        <v>319</v>
      </c>
      <c r="M1910" t="s">
        <v>5286</v>
      </c>
    </row>
    <row r="1911" spans="1:13">
      <c r="A1911" t="s">
        <v>13</v>
      </c>
      <c r="B1911">
        <v>2026506</v>
      </c>
      <c r="C1911">
        <v>2029046</v>
      </c>
      <c r="E1911" t="s">
        <v>14</v>
      </c>
      <c r="F1911" t="s">
        <v>930</v>
      </c>
      <c r="H1911">
        <v>1019881</v>
      </c>
      <c r="I1911" t="s">
        <v>17</v>
      </c>
      <c r="K1911" t="s">
        <v>5287</v>
      </c>
      <c r="L1911">
        <v>846</v>
      </c>
      <c r="M1911" t="s">
        <v>5288</v>
      </c>
    </row>
    <row r="1912" spans="1:13">
      <c r="A1912" t="s">
        <v>13</v>
      </c>
      <c r="B1912">
        <v>2029177</v>
      </c>
      <c r="C1912">
        <v>2030160</v>
      </c>
      <c r="E1912" t="s">
        <v>14</v>
      </c>
      <c r="F1912" t="s">
        <v>5289</v>
      </c>
      <c r="H1912">
        <v>1019882</v>
      </c>
      <c r="I1912" t="s">
        <v>17</v>
      </c>
      <c r="K1912" t="s">
        <v>5290</v>
      </c>
      <c r="L1912">
        <v>327</v>
      </c>
      <c r="M1912" t="s">
        <v>5291</v>
      </c>
    </row>
    <row r="1913" spans="1:13">
      <c r="A1913" t="s">
        <v>13</v>
      </c>
      <c r="B1913">
        <v>2030274</v>
      </c>
      <c r="C1913">
        <v>2031365</v>
      </c>
      <c r="E1913" t="s">
        <v>38</v>
      </c>
      <c r="F1913" t="s">
        <v>5292</v>
      </c>
      <c r="H1913">
        <v>1019883</v>
      </c>
      <c r="I1913" t="s">
        <v>17</v>
      </c>
      <c r="K1913" t="s">
        <v>5293</v>
      </c>
      <c r="L1913">
        <v>363</v>
      </c>
      <c r="M1913" t="s">
        <v>5294</v>
      </c>
    </row>
    <row r="1914" spans="1:13">
      <c r="A1914" t="s">
        <v>13</v>
      </c>
      <c r="B1914">
        <v>2031478</v>
      </c>
      <c r="C1914">
        <v>2035386</v>
      </c>
      <c r="E1914" t="s">
        <v>14</v>
      </c>
      <c r="F1914" t="s">
        <v>5295</v>
      </c>
      <c r="G1914" t="s">
        <v>5296</v>
      </c>
      <c r="H1914">
        <v>1019884</v>
      </c>
      <c r="I1914" t="s">
        <v>17</v>
      </c>
      <c r="K1914" t="s">
        <v>5297</v>
      </c>
      <c r="L1914">
        <v>1302</v>
      </c>
      <c r="M1914" t="s">
        <v>5298</v>
      </c>
    </row>
    <row r="1915" spans="1:13">
      <c r="A1915" t="s">
        <v>13</v>
      </c>
      <c r="B1915">
        <v>2035428</v>
      </c>
      <c r="C1915">
        <v>2035880</v>
      </c>
      <c r="E1915" t="s">
        <v>38</v>
      </c>
      <c r="F1915" t="s">
        <v>5299</v>
      </c>
      <c r="G1915" t="s">
        <v>5300</v>
      </c>
      <c r="H1915">
        <v>1019885</v>
      </c>
      <c r="I1915" t="s">
        <v>17</v>
      </c>
      <c r="K1915" t="s">
        <v>5301</v>
      </c>
      <c r="L1915">
        <v>150</v>
      </c>
      <c r="M1915" t="s">
        <v>5302</v>
      </c>
    </row>
    <row r="1916" spans="1:13">
      <c r="A1916" t="s">
        <v>13</v>
      </c>
      <c r="B1916">
        <v>2035987</v>
      </c>
      <c r="C1916">
        <v>2036409</v>
      </c>
      <c r="E1916" t="s">
        <v>38</v>
      </c>
      <c r="F1916" t="s">
        <v>49</v>
      </c>
      <c r="H1916">
        <v>92792302</v>
      </c>
      <c r="I1916" t="s">
        <v>17</v>
      </c>
      <c r="K1916" t="s">
        <v>5303</v>
      </c>
      <c r="L1916">
        <v>140</v>
      </c>
      <c r="M1916" t="s">
        <v>5304</v>
      </c>
    </row>
    <row r="1917" spans="1:13">
      <c r="A1917" t="s">
        <v>13</v>
      </c>
      <c r="B1917">
        <v>2036749</v>
      </c>
      <c r="C1917">
        <v>2037510</v>
      </c>
      <c r="E1917" t="s">
        <v>14</v>
      </c>
      <c r="F1917" t="s">
        <v>5305</v>
      </c>
      <c r="G1917" t="s">
        <v>5306</v>
      </c>
      <c r="H1917">
        <v>1019887</v>
      </c>
      <c r="I1917" t="s">
        <v>17</v>
      </c>
      <c r="K1917" t="s">
        <v>5307</v>
      </c>
      <c r="L1917">
        <v>253</v>
      </c>
      <c r="M1917" t="s">
        <v>5308</v>
      </c>
    </row>
    <row r="1918" spans="1:13">
      <c r="A1918" t="s">
        <v>13</v>
      </c>
      <c r="B1918">
        <v>2037815</v>
      </c>
      <c r="C1918">
        <v>2038594</v>
      </c>
      <c r="E1918" t="s">
        <v>14</v>
      </c>
      <c r="F1918" t="s">
        <v>353</v>
      </c>
      <c r="H1918">
        <v>1019888</v>
      </c>
      <c r="I1918" t="s">
        <v>17</v>
      </c>
      <c r="K1918" t="s">
        <v>5309</v>
      </c>
      <c r="L1918">
        <v>259</v>
      </c>
      <c r="M1918" t="s">
        <v>5310</v>
      </c>
    </row>
    <row r="1919" spans="1:13">
      <c r="A1919" t="s">
        <v>13</v>
      </c>
      <c r="B1919">
        <v>2038591</v>
      </c>
      <c r="C1919">
        <v>2039553</v>
      </c>
      <c r="E1919" t="s">
        <v>14</v>
      </c>
      <c r="F1919" t="s">
        <v>5311</v>
      </c>
      <c r="H1919">
        <v>1019889</v>
      </c>
      <c r="I1919" t="s">
        <v>17</v>
      </c>
      <c r="K1919" t="s">
        <v>5312</v>
      </c>
      <c r="L1919">
        <v>320</v>
      </c>
      <c r="M1919" t="s">
        <v>5313</v>
      </c>
    </row>
    <row r="1920" spans="1:13">
      <c r="A1920" t="s">
        <v>13</v>
      </c>
      <c r="B1920">
        <v>2039615</v>
      </c>
      <c r="C1920">
        <v>2041312</v>
      </c>
      <c r="E1920" t="s">
        <v>38</v>
      </c>
      <c r="F1920" t="s">
        <v>5314</v>
      </c>
      <c r="G1920" t="s">
        <v>5315</v>
      </c>
      <c r="H1920">
        <v>1019890</v>
      </c>
      <c r="I1920" t="s">
        <v>17</v>
      </c>
      <c r="K1920" t="s">
        <v>5316</v>
      </c>
      <c r="L1920">
        <v>565</v>
      </c>
      <c r="M1920" t="s">
        <v>5317</v>
      </c>
    </row>
    <row r="1921" spans="1:13">
      <c r="A1921" t="s">
        <v>13</v>
      </c>
      <c r="B1921">
        <v>2041728</v>
      </c>
      <c r="C1921">
        <v>2042522</v>
      </c>
      <c r="E1921" t="s">
        <v>14</v>
      </c>
      <c r="F1921" t="s">
        <v>353</v>
      </c>
      <c r="H1921">
        <v>1019891</v>
      </c>
      <c r="I1921" t="s">
        <v>17</v>
      </c>
      <c r="K1921" t="s">
        <v>5318</v>
      </c>
      <c r="L1921">
        <v>264</v>
      </c>
      <c r="M1921" t="s">
        <v>5319</v>
      </c>
    </row>
    <row r="1922" spans="1:13">
      <c r="A1922" t="s">
        <v>13</v>
      </c>
      <c r="B1922">
        <v>2042519</v>
      </c>
      <c r="C1922">
        <v>2043511</v>
      </c>
      <c r="E1922" t="s">
        <v>14</v>
      </c>
      <c r="F1922" t="s">
        <v>5320</v>
      </c>
      <c r="H1922">
        <v>1019892</v>
      </c>
      <c r="I1922" t="s">
        <v>17</v>
      </c>
      <c r="K1922" t="s">
        <v>5321</v>
      </c>
      <c r="L1922">
        <v>330</v>
      </c>
      <c r="M1922" t="s">
        <v>5322</v>
      </c>
    </row>
    <row r="1923" spans="1:13">
      <c r="A1923" t="s">
        <v>13</v>
      </c>
      <c r="B1923">
        <v>2043508</v>
      </c>
      <c r="C1923">
        <v>2045574</v>
      </c>
      <c r="E1923" t="s">
        <v>14</v>
      </c>
      <c r="F1923" t="s">
        <v>5323</v>
      </c>
      <c r="H1923">
        <v>1019893</v>
      </c>
      <c r="I1923" t="s">
        <v>17</v>
      </c>
      <c r="K1923" t="s">
        <v>5324</v>
      </c>
      <c r="L1923">
        <v>688</v>
      </c>
      <c r="M1923" t="s">
        <v>5325</v>
      </c>
    </row>
    <row r="1924" spans="1:13">
      <c r="A1924" t="s">
        <v>13</v>
      </c>
      <c r="B1924">
        <v>2045762</v>
      </c>
      <c r="C1924">
        <v>2046031</v>
      </c>
      <c r="E1924" t="s">
        <v>14</v>
      </c>
      <c r="F1924" t="s">
        <v>5326</v>
      </c>
      <c r="H1924">
        <v>1019894</v>
      </c>
      <c r="I1924" t="s">
        <v>17</v>
      </c>
      <c r="K1924" t="s">
        <v>5327</v>
      </c>
      <c r="L1924">
        <v>89</v>
      </c>
      <c r="M1924" t="s">
        <v>5328</v>
      </c>
    </row>
    <row r="1925" spans="1:13">
      <c r="A1925" t="s">
        <v>13</v>
      </c>
      <c r="B1925">
        <v>2046711</v>
      </c>
      <c r="C1925">
        <v>2047238</v>
      </c>
      <c r="E1925" t="s">
        <v>38</v>
      </c>
      <c r="F1925" t="s">
        <v>49</v>
      </c>
      <c r="H1925">
        <v>1019895</v>
      </c>
      <c r="I1925" t="s">
        <v>17</v>
      </c>
      <c r="K1925" t="s">
        <v>5329</v>
      </c>
      <c r="L1925">
        <v>175</v>
      </c>
      <c r="M1925" t="s">
        <v>5330</v>
      </c>
    </row>
    <row r="1926" spans="1:13">
      <c r="A1926" t="s">
        <v>13</v>
      </c>
      <c r="B1926">
        <v>2047317</v>
      </c>
      <c r="C1926">
        <v>2048606</v>
      </c>
      <c r="E1926" t="s">
        <v>38</v>
      </c>
      <c r="F1926" t="s">
        <v>5331</v>
      </c>
      <c r="H1926">
        <v>1019896</v>
      </c>
      <c r="I1926" t="s">
        <v>17</v>
      </c>
      <c r="K1926" t="s">
        <v>5332</v>
      </c>
      <c r="L1926">
        <v>429</v>
      </c>
      <c r="M1926" t="s">
        <v>5333</v>
      </c>
    </row>
    <row r="1927" spans="1:13">
      <c r="A1927" t="s">
        <v>13</v>
      </c>
      <c r="B1927">
        <v>2048647</v>
      </c>
      <c r="C1927">
        <v>2050176</v>
      </c>
      <c r="E1927" t="s">
        <v>38</v>
      </c>
      <c r="F1927" t="s">
        <v>5334</v>
      </c>
      <c r="G1927" t="s">
        <v>5335</v>
      </c>
      <c r="H1927">
        <v>1019897</v>
      </c>
      <c r="I1927" t="s">
        <v>17</v>
      </c>
      <c r="K1927" t="s">
        <v>5336</v>
      </c>
      <c r="L1927">
        <v>509</v>
      </c>
      <c r="M1927" t="s">
        <v>5337</v>
      </c>
    </row>
    <row r="1928" spans="1:13">
      <c r="A1928" t="s">
        <v>13</v>
      </c>
      <c r="B1928">
        <v>2050351</v>
      </c>
      <c r="C1928">
        <v>2051109</v>
      </c>
      <c r="E1928" t="s">
        <v>14</v>
      </c>
      <c r="F1928" t="s">
        <v>49</v>
      </c>
      <c r="H1928">
        <v>1019898</v>
      </c>
      <c r="I1928" t="s">
        <v>17</v>
      </c>
      <c r="K1928" t="s">
        <v>5338</v>
      </c>
      <c r="L1928">
        <v>252</v>
      </c>
      <c r="M1928" t="s">
        <v>5339</v>
      </c>
    </row>
    <row r="1929" spans="1:13">
      <c r="A1929" t="s">
        <v>13</v>
      </c>
      <c r="B1929">
        <v>2051306</v>
      </c>
      <c r="C1929">
        <v>2051845</v>
      </c>
      <c r="E1929" t="s">
        <v>14</v>
      </c>
      <c r="F1929" t="s">
        <v>49</v>
      </c>
      <c r="H1929">
        <v>1019899</v>
      </c>
      <c r="I1929" t="s">
        <v>17</v>
      </c>
      <c r="K1929" t="s">
        <v>5340</v>
      </c>
      <c r="L1929">
        <v>179</v>
      </c>
      <c r="M1929" t="s">
        <v>5341</v>
      </c>
    </row>
    <row r="1930" spans="1:13">
      <c r="A1930" t="s">
        <v>13</v>
      </c>
      <c r="B1930">
        <v>2051842</v>
      </c>
      <c r="C1930">
        <v>2052675</v>
      </c>
      <c r="E1930" t="s">
        <v>38</v>
      </c>
      <c r="F1930" t="s">
        <v>5342</v>
      </c>
      <c r="G1930" t="s">
        <v>5343</v>
      </c>
      <c r="H1930">
        <v>1019900</v>
      </c>
      <c r="I1930" t="s">
        <v>17</v>
      </c>
      <c r="K1930" t="s">
        <v>5344</v>
      </c>
      <c r="L1930">
        <v>277</v>
      </c>
      <c r="M1930" t="s">
        <v>5345</v>
      </c>
    </row>
    <row r="1931" spans="1:13">
      <c r="A1931" t="s">
        <v>13</v>
      </c>
      <c r="B1931">
        <v>2052681</v>
      </c>
      <c r="C1931">
        <v>2053586</v>
      </c>
      <c r="E1931" t="s">
        <v>38</v>
      </c>
      <c r="F1931" t="s">
        <v>5346</v>
      </c>
      <c r="G1931" t="s">
        <v>5347</v>
      </c>
      <c r="H1931">
        <v>1019901</v>
      </c>
      <c r="I1931" t="s">
        <v>17</v>
      </c>
      <c r="K1931" t="s">
        <v>5348</v>
      </c>
      <c r="L1931">
        <v>301</v>
      </c>
      <c r="M1931" t="s">
        <v>5349</v>
      </c>
    </row>
    <row r="1932" spans="1:13">
      <c r="A1932" t="s">
        <v>13</v>
      </c>
      <c r="B1932">
        <v>2053606</v>
      </c>
      <c r="C1932">
        <v>2054226</v>
      </c>
      <c r="E1932" t="s">
        <v>38</v>
      </c>
      <c r="F1932" t="s">
        <v>49</v>
      </c>
      <c r="H1932">
        <v>1019902</v>
      </c>
      <c r="I1932" t="s">
        <v>17</v>
      </c>
      <c r="K1932" t="s">
        <v>5350</v>
      </c>
      <c r="L1932">
        <v>206</v>
      </c>
      <c r="M1932" t="s">
        <v>5351</v>
      </c>
    </row>
    <row r="1933" spans="1:13">
      <c r="A1933" t="s">
        <v>13</v>
      </c>
      <c r="B1933">
        <v>2054403</v>
      </c>
      <c r="C1933">
        <v>2055764</v>
      </c>
      <c r="E1933" t="s">
        <v>14</v>
      </c>
      <c r="F1933" t="s">
        <v>5352</v>
      </c>
      <c r="H1933">
        <v>1019903</v>
      </c>
      <c r="I1933" t="s">
        <v>17</v>
      </c>
      <c r="K1933" t="s">
        <v>5353</v>
      </c>
      <c r="L1933">
        <v>453</v>
      </c>
      <c r="M1933" t="s">
        <v>5354</v>
      </c>
    </row>
    <row r="1934" spans="1:13">
      <c r="A1934" t="s">
        <v>13</v>
      </c>
      <c r="B1934">
        <v>2055765</v>
      </c>
      <c r="C1934">
        <v>2056790</v>
      </c>
      <c r="E1934" t="s">
        <v>14</v>
      </c>
      <c r="F1934" t="s">
        <v>549</v>
      </c>
      <c r="H1934">
        <v>1019904</v>
      </c>
      <c r="I1934" t="s">
        <v>17</v>
      </c>
      <c r="K1934" t="s">
        <v>5355</v>
      </c>
      <c r="L1934">
        <v>341</v>
      </c>
      <c r="M1934" t="s">
        <v>5356</v>
      </c>
    </row>
    <row r="1935" spans="1:13">
      <c r="A1935" t="s">
        <v>13</v>
      </c>
      <c r="B1935">
        <v>2057117</v>
      </c>
      <c r="C1935">
        <v>2057788</v>
      </c>
      <c r="E1935" t="s">
        <v>38</v>
      </c>
      <c r="F1935" t="s">
        <v>5357</v>
      </c>
      <c r="H1935">
        <v>1019905</v>
      </c>
      <c r="I1935" t="s">
        <v>17</v>
      </c>
      <c r="K1935" t="s">
        <v>5358</v>
      </c>
      <c r="L1935">
        <v>223</v>
      </c>
      <c r="M1935" t="s">
        <v>5359</v>
      </c>
    </row>
    <row r="1936" spans="1:13">
      <c r="A1936" t="s">
        <v>13</v>
      </c>
      <c r="B1936">
        <v>2057852</v>
      </c>
      <c r="C1936">
        <v>2059432</v>
      </c>
      <c r="E1936" t="s">
        <v>38</v>
      </c>
      <c r="F1936" t="s">
        <v>5360</v>
      </c>
      <c r="G1936" t="s">
        <v>5361</v>
      </c>
      <c r="H1936">
        <v>1019906</v>
      </c>
      <c r="I1936" t="s">
        <v>17</v>
      </c>
      <c r="K1936" t="s">
        <v>5362</v>
      </c>
      <c r="L1936">
        <v>526</v>
      </c>
      <c r="M1936" t="s">
        <v>5363</v>
      </c>
    </row>
    <row r="1937" spans="1:13">
      <c r="A1937" t="s">
        <v>13</v>
      </c>
      <c r="B1937">
        <v>2059774</v>
      </c>
      <c r="C1937">
        <v>2060502</v>
      </c>
      <c r="E1937" t="s">
        <v>14</v>
      </c>
      <c r="F1937" t="s">
        <v>5364</v>
      </c>
      <c r="G1937" t="s">
        <v>5365</v>
      </c>
      <c r="H1937">
        <v>1019907</v>
      </c>
      <c r="I1937" t="s">
        <v>17</v>
      </c>
      <c r="K1937" t="s">
        <v>5366</v>
      </c>
      <c r="L1937">
        <v>242</v>
      </c>
      <c r="M1937" t="s">
        <v>5367</v>
      </c>
    </row>
    <row r="1938" spans="1:13">
      <c r="A1938" t="s">
        <v>13</v>
      </c>
      <c r="B1938">
        <v>2060620</v>
      </c>
      <c r="C1938">
        <v>2061507</v>
      </c>
      <c r="E1938" t="s">
        <v>14</v>
      </c>
      <c r="F1938" t="s">
        <v>5368</v>
      </c>
      <c r="G1938" t="s">
        <v>5369</v>
      </c>
      <c r="H1938">
        <v>1019908</v>
      </c>
      <c r="I1938" t="s">
        <v>17</v>
      </c>
      <c r="K1938" t="s">
        <v>5370</v>
      </c>
      <c r="L1938">
        <v>295</v>
      </c>
      <c r="M1938" t="s">
        <v>5371</v>
      </c>
    </row>
    <row r="1939" spans="1:13">
      <c r="A1939" t="s">
        <v>13</v>
      </c>
      <c r="B1939">
        <v>2061629</v>
      </c>
      <c r="C1939">
        <v>2062315</v>
      </c>
      <c r="E1939" t="s">
        <v>14</v>
      </c>
      <c r="F1939" t="s">
        <v>5372</v>
      </c>
      <c r="G1939" t="s">
        <v>5373</v>
      </c>
      <c r="H1939">
        <v>1019909</v>
      </c>
      <c r="I1939" t="s">
        <v>17</v>
      </c>
      <c r="K1939" t="s">
        <v>5374</v>
      </c>
      <c r="L1939">
        <v>228</v>
      </c>
      <c r="M1939" t="s">
        <v>5375</v>
      </c>
    </row>
    <row r="1940" spans="1:13">
      <c r="A1940" t="s">
        <v>13</v>
      </c>
      <c r="B1940">
        <v>2062441</v>
      </c>
      <c r="C1940">
        <v>2063262</v>
      </c>
      <c r="E1940" t="s">
        <v>14</v>
      </c>
      <c r="F1940" t="s">
        <v>3769</v>
      </c>
      <c r="H1940">
        <v>1019910</v>
      </c>
      <c r="I1940" t="s">
        <v>17</v>
      </c>
      <c r="K1940" t="s">
        <v>5376</v>
      </c>
      <c r="L1940">
        <v>273</v>
      </c>
      <c r="M1940" t="s">
        <v>5377</v>
      </c>
    </row>
    <row r="1941" spans="1:13">
      <c r="A1941" t="s">
        <v>13</v>
      </c>
      <c r="B1941">
        <v>2063295</v>
      </c>
      <c r="C1941">
        <v>2063942</v>
      </c>
      <c r="E1941" t="s">
        <v>38</v>
      </c>
      <c r="F1941" t="s">
        <v>5378</v>
      </c>
      <c r="G1941" t="s">
        <v>5379</v>
      </c>
      <c r="H1941">
        <v>1019911</v>
      </c>
      <c r="I1941" t="s">
        <v>17</v>
      </c>
      <c r="K1941" t="s">
        <v>5380</v>
      </c>
      <c r="L1941">
        <v>215</v>
      </c>
      <c r="M1941" t="s">
        <v>5381</v>
      </c>
    </row>
    <row r="1942" spans="1:13">
      <c r="A1942" t="s">
        <v>13</v>
      </c>
      <c r="B1942">
        <v>2063986</v>
      </c>
      <c r="C1942">
        <v>2065116</v>
      </c>
      <c r="E1942" t="s">
        <v>38</v>
      </c>
      <c r="F1942" t="s">
        <v>5382</v>
      </c>
      <c r="G1942" t="s">
        <v>5383</v>
      </c>
      <c r="H1942">
        <v>1019912</v>
      </c>
      <c r="I1942" t="s">
        <v>17</v>
      </c>
      <c r="K1942" t="s">
        <v>5384</v>
      </c>
      <c r="L1942">
        <v>376</v>
      </c>
      <c r="M1942" t="s">
        <v>5385</v>
      </c>
    </row>
    <row r="1943" spans="1:13">
      <c r="A1943" t="s">
        <v>13</v>
      </c>
      <c r="B1943">
        <v>2065391</v>
      </c>
      <c r="C1943">
        <v>2065606</v>
      </c>
      <c r="E1943" t="s">
        <v>38</v>
      </c>
      <c r="F1943" t="s">
        <v>5386</v>
      </c>
      <c r="H1943">
        <v>1019913</v>
      </c>
      <c r="I1943" t="s">
        <v>17</v>
      </c>
      <c r="K1943" t="s">
        <v>5387</v>
      </c>
      <c r="L1943">
        <v>71</v>
      </c>
      <c r="M1943" t="s">
        <v>5388</v>
      </c>
    </row>
    <row r="1944" spans="1:13">
      <c r="A1944" t="s">
        <v>13</v>
      </c>
      <c r="B1944">
        <v>2065664</v>
      </c>
      <c r="C1944">
        <v>2066383</v>
      </c>
      <c r="E1944" t="s">
        <v>38</v>
      </c>
      <c r="F1944" t="s">
        <v>49</v>
      </c>
      <c r="H1944">
        <v>1019914</v>
      </c>
      <c r="I1944" t="s">
        <v>17</v>
      </c>
      <c r="K1944" t="s">
        <v>5389</v>
      </c>
      <c r="L1944">
        <v>239</v>
      </c>
      <c r="M1944" t="s">
        <v>5390</v>
      </c>
    </row>
    <row r="1945" spans="1:13">
      <c r="A1945" t="s">
        <v>13</v>
      </c>
      <c r="B1945">
        <v>2066539</v>
      </c>
      <c r="C1945">
        <v>2067144</v>
      </c>
      <c r="E1945" t="s">
        <v>14</v>
      </c>
      <c r="F1945" t="s">
        <v>5391</v>
      </c>
      <c r="G1945" t="s">
        <v>5392</v>
      </c>
      <c r="H1945">
        <v>1019915</v>
      </c>
      <c r="I1945" t="s">
        <v>17</v>
      </c>
      <c r="K1945" t="s">
        <v>5393</v>
      </c>
      <c r="L1945">
        <v>201</v>
      </c>
      <c r="M1945" t="s">
        <v>5394</v>
      </c>
    </row>
    <row r="1946" spans="1:13">
      <c r="A1946" t="s">
        <v>13</v>
      </c>
      <c r="B1946">
        <v>2067177</v>
      </c>
      <c r="C1946">
        <v>2067869</v>
      </c>
      <c r="E1946" t="s">
        <v>14</v>
      </c>
      <c r="F1946" t="s">
        <v>5395</v>
      </c>
      <c r="H1946">
        <v>1019916</v>
      </c>
      <c r="I1946" t="s">
        <v>17</v>
      </c>
      <c r="K1946" t="s">
        <v>5396</v>
      </c>
      <c r="L1946">
        <v>230</v>
      </c>
      <c r="M1946" t="s">
        <v>5397</v>
      </c>
    </row>
    <row r="1947" spans="1:13">
      <c r="A1947" t="s">
        <v>13</v>
      </c>
      <c r="B1947">
        <v>2067866</v>
      </c>
      <c r="C1947">
        <v>2068477</v>
      </c>
      <c r="E1947" t="s">
        <v>14</v>
      </c>
      <c r="F1947" t="s">
        <v>3077</v>
      </c>
      <c r="H1947">
        <v>1019917</v>
      </c>
      <c r="I1947" t="s">
        <v>17</v>
      </c>
      <c r="K1947" t="s">
        <v>5398</v>
      </c>
      <c r="L1947">
        <v>203</v>
      </c>
      <c r="M1947" t="s">
        <v>5399</v>
      </c>
    </row>
    <row r="1948" spans="1:13">
      <c r="A1948" t="s">
        <v>13</v>
      </c>
      <c r="B1948">
        <v>2068553</v>
      </c>
      <c r="C1948">
        <v>2069383</v>
      </c>
      <c r="E1948" t="s">
        <v>38</v>
      </c>
      <c r="F1948" t="s">
        <v>5400</v>
      </c>
      <c r="H1948">
        <v>1019918</v>
      </c>
      <c r="I1948" t="s">
        <v>17</v>
      </c>
      <c r="K1948" t="s">
        <v>5401</v>
      </c>
      <c r="L1948">
        <v>276</v>
      </c>
      <c r="M1948" t="s">
        <v>5402</v>
      </c>
    </row>
    <row r="1949" spans="1:13">
      <c r="A1949" t="s">
        <v>13</v>
      </c>
      <c r="B1949">
        <v>2069613</v>
      </c>
      <c r="C1949">
        <v>2069936</v>
      </c>
      <c r="E1949" t="s">
        <v>38</v>
      </c>
      <c r="F1949" t="s">
        <v>138</v>
      </c>
      <c r="H1949">
        <v>1019919</v>
      </c>
      <c r="I1949" t="s">
        <v>17</v>
      </c>
      <c r="K1949" t="s">
        <v>5403</v>
      </c>
      <c r="L1949">
        <v>107</v>
      </c>
      <c r="M1949" t="s">
        <v>5404</v>
      </c>
    </row>
    <row r="1950" spans="1:13">
      <c r="A1950" t="s">
        <v>13</v>
      </c>
      <c r="B1950">
        <v>2069994</v>
      </c>
      <c r="C1950">
        <v>2070512</v>
      </c>
      <c r="E1950" t="s">
        <v>38</v>
      </c>
      <c r="F1950" t="s">
        <v>5405</v>
      </c>
      <c r="H1950">
        <v>1019920</v>
      </c>
      <c r="I1950" t="s">
        <v>17</v>
      </c>
      <c r="K1950" t="s">
        <v>5406</v>
      </c>
      <c r="L1950">
        <v>172</v>
      </c>
      <c r="M1950" t="s">
        <v>5407</v>
      </c>
    </row>
    <row r="1951" spans="1:13">
      <c r="A1951" t="s">
        <v>13</v>
      </c>
      <c r="B1951">
        <v>2070516</v>
      </c>
      <c r="C1951">
        <v>2071121</v>
      </c>
      <c r="E1951" t="s">
        <v>38</v>
      </c>
      <c r="F1951" t="s">
        <v>5408</v>
      </c>
      <c r="G1951" t="s">
        <v>4724</v>
      </c>
      <c r="H1951">
        <v>1019921</v>
      </c>
      <c r="I1951" t="s">
        <v>17</v>
      </c>
      <c r="K1951" t="s">
        <v>5409</v>
      </c>
      <c r="L1951">
        <v>201</v>
      </c>
      <c r="M1951" t="s">
        <v>5410</v>
      </c>
    </row>
    <row r="1952" spans="1:13">
      <c r="A1952" t="s">
        <v>13</v>
      </c>
      <c r="B1952">
        <v>2071315</v>
      </c>
      <c r="C1952">
        <v>2071602</v>
      </c>
      <c r="E1952" t="s">
        <v>14</v>
      </c>
      <c r="F1952" t="s">
        <v>5411</v>
      </c>
      <c r="H1952">
        <v>1019922</v>
      </c>
      <c r="I1952" t="s">
        <v>17</v>
      </c>
      <c r="K1952" t="s">
        <v>5412</v>
      </c>
      <c r="L1952">
        <v>95</v>
      </c>
      <c r="M1952" t="s">
        <v>5413</v>
      </c>
    </row>
    <row r="1953" spans="1:13">
      <c r="A1953" t="s">
        <v>13</v>
      </c>
      <c r="B1953">
        <v>2071796</v>
      </c>
      <c r="C1953">
        <v>2072905</v>
      </c>
      <c r="E1953" t="s">
        <v>38</v>
      </c>
      <c r="F1953" t="s">
        <v>5414</v>
      </c>
      <c r="H1953">
        <v>1019924</v>
      </c>
      <c r="I1953" t="s">
        <v>17</v>
      </c>
      <c r="K1953" t="s">
        <v>5415</v>
      </c>
      <c r="L1953">
        <v>369</v>
      </c>
      <c r="M1953" t="s">
        <v>5416</v>
      </c>
    </row>
    <row r="1954" spans="1:13">
      <c r="A1954" t="s">
        <v>13</v>
      </c>
      <c r="B1954">
        <v>2073291</v>
      </c>
      <c r="C1954">
        <v>2076170</v>
      </c>
      <c r="E1954" t="s">
        <v>38</v>
      </c>
      <c r="F1954" t="s">
        <v>5417</v>
      </c>
      <c r="H1954">
        <v>1019925</v>
      </c>
      <c r="I1954" t="s">
        <v>17</v>
      </c>
      <c r="K1954" t="s">
        <v>5418</v>
      </c>
      <c r="L1954">
        <v>959</v>
      </c>
      <c r="M1954" t="s">
        <v>5419</v>
      </c>
    </row>
    <row r="1955" spans="1:13">
      <c r="A1955" t="s">
        <v>13</v>
      </c>
      <c r="B1955">
        <v>2076389</v>
      </c>
      <c r="C1955">
        <v>2077024</v>
      </c>
      <c r="E1955" t="s">
        <v>38</v>
      </c>
      <c r="F1955" t="s">
        <v>5420</v>
      </c>
      <c r="H1955">
        <v>1019926</v>
      </c>
      <c r="I1955" t="s">
        <v>17</v>
      </c>
      <c r="K1955" t="s">
        <v>5421</v>
      </c>
      <c r="L1955">
        <v>211</v>
      </c>
      <c r="M1955" t="s">
        <v>5422</v>
      </c>
    </row>
    <row r="1956" spans="1:13">
      <c r="A1956" t="s">
        <v>13</v>
      </c>
      <c r="B1956">
        <v>2077119</v>
      </c>
      <c r="C1956">
        <v>2079275</v>
      </c>
      <c r="E1956" t="s">
        <v>38</v>
      </c>
      <c r="F1956" t="s">
        <v>5423</v>
      </c>
      <c r="H1956">
        <v>1019927</v>
      </c>
      <c r="I1956" t="s">
        <v>17</v>
      </c>
      <c r="K1956" t="s">
        <v>5424</v>
      </c>
      <c r="L1956">
        <v>718</v>
      </c>
      <c r="M1956" t="s">
        <v>5425</v>
      </c>
    </row>
    <row r="1957" spans="1:13">
      <c r="A1957" t="s">
        <v>13</v>
      </c>
      <c r="B1957">
        <v>2079278</v>
      </c>
      <c r="C1957">
        <v>2080183</v>
      </c>
      <c r="E1957" t="s">
        <v>38</v>
      </c>
      <c r="F1957" t="s">
        <v>5426</v>
      </c>
      <c r="G1957" t="s">
        <v>5427</v>
      </c>
      <c r="H1957">
        <v>1019928</v>
      </c>
      <c r="I1957" t="s">
        <v>17</v>
      </c>
      <c r="K1957" t="s">
        <v>5428</v>
      </c>
      <c r="L1957">
        <v>301</v>
      </c>
      <c r="M1957" t="s">
        <v>5429</v>
      </c>
    </row>
    <row r="1958" spans="1:13">
      <c r="A1958" t="s">
        <v>13</v>
      </c>
      <c r="B1958">
        <v>2080384</v>
      </c>
      <c r="C1958">
        <v>2081136</v>
      </c>
      <c r="E1958" t="s">
        <v>38</v>
      </c>
      <c r="F1958" t="s">
        <v>5430</v>
      </c>
      <c r="G1958" t="s">
        <v>5431</v>
      </c>
      <c r="H1958">
        <v>1019929</v>
      </c>
      <c r="I1958" t="s">
        <v>17</v>
      </c>
      <c r="K1958" t="s">
        <v>5432</v>
      </c>
      <c r="L1958">
        <v>250</v>
      </c>
      <c r="M1958" t="s">
        <v>5433</v>
      </c>
    </row>
    <row r="1959" spans="1:13">
      <c r="A1959" t="s">
        <v>13</v>
      </c>
      <c r="B1959">
        <v>2081188</v>
      </c>
      <c r="C1959">
        <v>2081934</v>
      </c>
      <c r="E1959" t="s">
        <v>38</v>
      </c>
      <c r="F1959" t="s">
        <v>5434</v>
      </c>
      <c r="G1959" t="s">
        <v>5435</v>
      </c>
      <c r="H1959">
        <v>1019930</v>
      </c>
      <c r="I1959" t="s">
        <v>17</v>
      </c>
      <c r="K1959" t="s">
        <v>5436</v>
      </c>
      <c r="L1959">
        <v>248</v>
      </c>
      <c r="M1959" t="s">
        <v>5437</v>
      </c>
    </row>
    <row r="1960" spans="1:13">
      <c r="A1960" t="s">
        <v>13</v>
      </c>
      <c r="B1960">
        <v>2082115</v>
      </c>
      <c r="C1960">
        <v>2082816</v>
      </c>
      <c r="E1960" t="s">
        <v>14</v>
      </c>
      <c r="F1960" t="s">
        <v>1812</v>
      </c>
      <c r="H1960">
        <v>1019931</v>
      </c>
      <c r="I1960" t="s">
        <v>17</v>
      </c>
      <c r="K1960" t="s">
        <v>5438</v>
      </c>
      <c r="L1960">
        <v>233</v>
      </c>
      <c r="M1960" t="s">
        <v>5439</v>
      </c>
    </row>
    <row r="1961" spans="1:13">
      <c r="A1961" t="s">
        <v>13</v>
      </c>
      <c r="B1961">
        <v>2082929</v>
      </c>
      <c r="C1961">
        <v>2085190</v>
      </c>
      <c r="E1961" t="s">
        <v>38</v>
      </c>
      <c r="F1961" t="s">
        <v>5440</v>
      </c>
      <c r="H1961">
        <v>1019932</v>
      </c>
      <c r="I1961" t="s">
        <v>17</v>
      </c>
      <c r="K1961" t="s">
        <v>5441</v>
      </c>
      <c r="L1961">
        <v>753</v>
      </c>
      <c r="M1961" t="s">
        <v>5442</v>
      </c>
    </row>
    <row r="1962" spans="1:13">
      <c r="A1962" t="s">
        <v>13</v>
      </c>
      <c r="B1962">
        <v>2085433</v>
      </c>
      <c r="C1962">
        <v>2085702</v>
      </c>
      <c r="E1962" t="s">
        <v>38</v>
      </c>
      <c r="F1962" t="s">
        <v>5443</v>
      </c>
      <c r="G1962" t="s">
        <v>5444</v>
      </c>
      <c r="H1962">
        <v>1019933</v>
      </c>
      <c r="I1962" t="s">
        <v>17</v>
      </c>
      <c r="K1962" t="s">
        <v>5445</v>
      </c>
      <c r="L1962">
        <v>89</v>
      </c>
      <c r="M1962" t="s">
        <v>5446</v>
      </c>
    </row>
    <row r="1963" spans="1:13">
      <c r="A1963" t="s">
        <v>13</v>
      </c>
      <c r="B1963">
        <v>2085876</v>
      </c>
      <c r="C1963">
        <v>2086826</v>
      </c>
      <c r="E1963" t="s">
        <v>38</v>
      </c>
      <c r="F1963" t="s">
        <v>3845</v>
      </c>
      <c r="H1963">
        <v>1019934</v>
      </c>
      <c r="I1963" t="s">
        <v>17</v>
      </c>
      <c r="K1963" t="s">
        <v>5447</v>
      </c>
      <c r="L1963">
        <v>316</v>
      </c>
      <c r="M1963" t="s">
        <v>5448</v>
      </c>
    </row>
    <row r="1964" spans="1:13">
      <c r="A1964" t="s">
        <v>13</v>
      </c>
      <c r="B1964">
        <v>2086916</v>
      </c>
      <c r="C1964">
        <v>2087941</v>
      </c>
      <c r="E1964" t="s">
        <v>38</v>
      </c>
      <c r="F1964" t="s">
        <v>5449</v>
      </c>
      <c r="H1964">
        <v>1019935</v>
      </c>
      <c r="I1964" t="s">
        <v>17</v>
      </c>
      <c r="K1964" t="s">
        <v>5450</v>
      </c>
      <c r="L1964">
        <v>341</v>
      </c>
      <c r="M1964" t="s">
        <v>5451</v>
      </c>
    </row>
    <row r="1965" spans="1:13">
      <c r="A1965" t="s">
        <v>13</v>
      </c>
      <c r="B1965">
        <v>2087973</v>
      </c>
      <c r="C1965">
        <v>2088866</v>
      </c>
      <c r="E1965" t="s">
        <v>14</v>
      </c>
      <c r="F1965" t="s">
        <v>5452</v>
      </c>
      <c r="G1965" t="s">
        <v>5453</v>
      </c>
      <c r="H1965">
        <v>1019936</v>
      </c>
      <c r="I1965" t="s">
        <v>17</v>
      </c>
      <c r="K1965" t="s">
        <v>5454</v>
      </c>
      <c r="L1965">
        <v>297</v>
      </c>
      <c r="M1965" t="s">
        <v>5455</v>
      </c>
    </row>
    <row r="1966" spans="1:13">
      <c r="A1966" t="s">
        <v>13</v>
      </c>
      <c r="B1966">
        <v>2089215</v>
      </c>
      <c r="C1966">
        <v>2089868</v>
      </c>
      <c r="E1966" t="s">
        <v>38</v>
      </c>
      <c r="F1966" t="s">
        <v>5456</v>
      </c>
      <c r="H1966">
        <v>1019937</v>
      </c>
      <c r="I1966" t="s">
        <v>17</v>
      </c>
      <c r="K1966" t="s">
        <v>5457</v>
      </c>
      <c r="L1966">
        <v>217</v>
      </c>
      <c r="M1966" t="s">
        <v>5458</v>
      </c>
    </row>
    <row r="1967" spans="1:13">
      <c r="A1967" t="s">
        <v>13</v>
      </c>
      <c r="B1967">
        <v>2089858</v>
      </c>
      <c r="C1967">
        <v>2090664</v>
      </c>
      <c r="E1967" t="s">
        <v>38</v>
      </c>
      <c r="F1967" t="s">
        <v>3320</v>
      </c>
      <c r="H1967">
        <v>1019938</v>
      </c>
      <c r="I1967" t="s">
        <v>17</v>
      </c>
      <c r="K1967" t="s">
        <v>5459</v>
      </c>
      <c r="L1967">
        <v>268</v>
      </c>
      <c r="M1967" t="s">
        <v>5460</v>
      </c>
    </row>
    <row r="1968" spans="1:13">
      <c r="A1968" t="s">
        <v>13</v>
      </c>
      <c r="B1968">
        <v>2090748</v>
      </c>
      <c r="C1968">
        <v>2092061</v>
      </c>
      <c r="E1968" t="s">
        <v>38</v>
      </c>
      <c r="F1968" t="s">
        <v>5461</v>
      </c>
      <c r="H1968">
        <v>1019939</v>
      </c>
      <c r="I1968" t="s">
        <v>17</v>
      </c>
      <c r="K1968" t="s">
        <v>5462</v>
      </c>
      <c r="L1968">
        <v>437</v>
      </c>
      <c r="M1968" t="s">
        <v>5463</v>
      </c>
    </row>
    <row r="1969" spans="1:13">
      <c r="A1969" t="s">
        <v>13</v>
      </c>
      <c r="B1969">
        <v>2092048</v>
      </c>
      <c r="C1969">
        <v>2093046</v>
      </c>
      <c r="E1969" t="s">
        <v>38</v>
      </c>
      <c r="F1969" t="s">
        <v>4878</v>
      </c>
      <c r="H1969">
        <v>1019940</v>
      </c>
      <c r="I1969" t="s">
        <v>17</v>
      </c>
      <c r="K1969" t="s">
        <v>5464</v>
      </c>
      <c r="L1969">
        <v>332</v>
      </c>
      <c r="M1969" t="s">
        <v>5465</v>
      </c>
    </row>
    <row r="1970" spans="1:13">
      <c r="A1970" t="s">
        <v>13</v>
      </c>
      <c r="B1970">
        <v>2093052</v>
      </c>
      <c r="C1970">
        <v>2093501</v>
      </c>
      <c r="E1970" t="s">
        <v>38</v>
      </c>
      <c r="F1970" t="s">
        <v>5466</v>
      </c>
      <c r="G1970" t="s">
        <v>5467</v>
      </c>
      <c r="H1970">
        <v>1019941</v>
      </c>
      <c r="I1970" t="s">
        <v>17</v>
      </c>
      <c r="K1970" t="s">
        <v>5468</v>
      </c>
      <c r="L1970">
        <v>149</v>
      </c>
      <c r="M1970" t="s">
        <v>5469</v>
      </c>
    </row>
    <row r="1971" spans="1:13">
      <c r="A1971" t="s">
        <v>13</v>
      </c>
      <c r="B1971">
        <v>2093709</v>
      </c>
      <c r="C1971">
        <v>2096723</v>
      </c>
      <c r="E1971" t="s">
        <v>38</v>
      </c>
      <c r="F1971" t="s">
        <v>5470</v>
      </c>
      <c r="G1971" t="s">
        <v>5471</v>
      </c>
      <c r="H1971">
        <v>1019942</v>
      </c>
      <c r="I1971" t="s">
        <v>17</v>
      </c>
      <c r="K1971" t="s">
        <v>5472</v>
      </c>
      <c r="L1971">
        <v>1004</v>
      </c>
      <c r="M1971" t="s">
        <v>5473</v>
      </c>
    </row>
    <row r="1972" spans="1:13">
      <c r="A1972" t="s">
        <v>13</v>
      </c>
      <c r="B1972">
        <v>2096841</v>
      </c>
      <c r="C1972">
        <v>2097179</v>
      </c>
      <c r="E1972" t="s">
        <v>38</v>
      </c>
      <c r="F1972" t="s">
        <v>5474</v>
      </c>
      <c r="H1972">
        <v>1019943</v>
      </c>
      <c r="I1972" t="s">
        <v>17</v>
      </c>
      <c r="K1972" t="s">
        <v>5475</v>
      </c>
      <c r="L1972">
        <v>112</v>
      </c>
      <c r="M1972" t="s">
        <v>5476</v>
      </c>
    </row>
    <row r="1973" spans="1:13">
      <c r="A1973" t="s">
        <v>13</v>
      </c>
      <c r="B1973">
        <v>2097377</v>
      </c>
      <c r="C1973">
        <v>2098375</v>
      </c>
      <c r="E1973" t="s">
        <v>38</v>
      </c>
      <c r="F1973" t="s">
        <v>5477</v>
      </c>
      <c r="G1973" t="s">
        <v>5478</v>
      </c>
      <c r="H1973">
        <v>1019944</v>
      </c>
      <c r="I1973" t="s">
        <v>17</v>
      </c>
      <c r="K1973" t="s">
        <v>5479</v>
      </c>
      <c r="L1973">
        <v>332</v>
      </c>
      <c r="M1973" t="s">
        <v>5480</v>
      </c>
    </row>
    <row r="1974" spans="1:13">
      <c r="A1974" t="s">
        <v>13</v>
      </c>
      <c r="B1974">
        <v>2098409</v>
      </c>
      <c r="C1974">
        <v>2098945</v>
      </c>
      <c r="E1974" t="s">
        <v>38</v>
      </c>
      <c r="F1974" t="s">
        <v>5481</v>
      </c>
      <c r="G1974" t="s">
        <v>5482</v>
      </c>
      <c r="H1974">
        <v>1019945</v>
      </c>
      <c r="I1974" t="s">
        <v>17</v>
      </c>
      <c r="K1974" t="s">
        <v>5483</v>
      </c>
      <c r="L1974">
        <v>178</v>
      </c>
      <c r="M1974" t="s">
        <v>5484</v>
      </c>
    </row>
    <row r="1975" spans="1:13">
      <c r="A1975" t="s">
        <v>13</v>
      </c>
      <c r="B1975">
        <v>2099000</v>
      </c>
      <c r="C1975">
        <v>2099818</v>
      </c>
      <c r="E1975" t="s">
        <v>14</v>
      </c>
      <c r="F1975" t="s">
        <v>5485</v>
      </c>
      <c r="H1975">
        <v>1019946</v>
      </c>
      <c r="I1975" t="s">
        <v>17</v>
      </c>
      <c r="K1975" t="s">
        <v>5486</v>
      </c>
      <c r="L1975">
        <v>272</v>
      </c>
      <c r="M1975" t="s">
        <v>5487</v>
      </c>
    </row>
    <row r="1976" spans="1:13">
      <c r="A1976" t="s">
        <v>13</v>
      </c>
      <c r="B1976">
        <v>2100240</v>
      </c>
      <c r="C1976">
        <v>2101844</v>
      </c>
      <c r="E1976" t="s">
        <v>14</v>
      </c>
      <c r="F1976" t="s">
        <v>5488</v>
      </c>
      <c r="H1976">
        <v>1019947</v>
      </c>
      <c r="I1976" t="s">
        <v>17</v>
      </c>
      <c r="K1976" t="s">
        <v>5489</v>
      </c>
      <c r="L1976">
        <v>534</v>
      </c>
      <c r="M1976" t="s">
        <v>5490</v>
      </c>
    </row>
    <row r="1977" spans="1:13">
      <c r="A1977" t="s">
        <v>13</v>
      </c>
      <c r="B1977">
        <v>2102023</v>
      </c>
      <c r="C1977">
        <v>2102949</v>
      </c>
      <c r="E1977" t="s">
        <v>14</v>
      </c>
      <c r="F1977" t="s">
        <v>124</v>
      </c>
      <c r="H1977">
        <v>1019948</v>
      </c>
      <c r="I1977" t="s">
        <v>17</v>
      </c>
      <c r="K1977" t="s">
        <v>5491</v>
      </c>
      <c r="L1977">
        <v>308</v>
      </c>
      <c r="M1977" t="s">
        <v>5492</v>
      </c>
    </row>
    <row r="1978" spans="1:13">
      <c r="A1978" t="s">
        <v>13</v>
      </c>
      <c r="B1978">
        <v>2102942</v>
      </c>
      <c r="C1978">
        <v>2103976</v>
      </c>
      <c r="E1978" t="s">
        <v>14</v>
      </c>
      <c r="F1978" t="s">
        <v>124</v>
      </c>
      <c r="H1978">
        <v>1019949</v>
      </c>
      <c r="I1978" t="s">
        <v>17</v>
      </c>
      <c r="K1978" t="s">
        <v>5493</v>
      </c>
      <c r="L1978">
        <v>344</v>
      </c>
      <c r="M1978" t="s">
        <v>5494</v>
      </c>
    </row>
    <row r="1979" spans="1:13">
      <c r="A1979" t="s">
        <v>13</v>
      </c>
      <c r="B1979">
        <v>2103973</v>
      </c>
      <c r="C1979">
        <v>2105706</v>
      </c>
      <c r="E1979" t="s">
        <v>14</v>
      </c>
      <c r="F1979" t="s">
        <v>147</v>
      </c>
      <c r="H1979">
        <v>1019950</v>
      </c>
      <c r="I1979" t="s">
        <v>17</v>
      </c>
      <c r="K1979" t="s">
        <v>5495</v>
      </c>
      <c r="L1979">
        <v>577</v>
      </c>
      <c r="M1979" t="s">
        <v>5496</v>
      </c>
    </row>
    <row r="1980" spans="1:13">
      <c r="A1980" t="s">
        <v>13</v>
      </c>
      <c r="B1980">
        <v>2105798</v>
      </c>
      <c r="C1980">
        <v>2107564</v>
      </c>
      <c r="E1980" t="s">
        <v>38</v>
      </c>
      <c r="F1980" t="s">
        <v>5497</v>
      </c>
      <c r="H1980">
        <v>1019951</v>
      </c>
      <c r="I1980" t="s">
        <v>17</v>
      </c>
      <c r="K1980" t="s">
        <v>5498</v>
      </c>
      <c r="L1980">
        <v>588</v>
      </c>
      <c r="M1980" t="s">
        <v>5499</v>
      </c>
    </row>
    <row r="1981" spans="1:13">
      <c r="A1981" t="s">
        <v>13</v>
      </c>
      <c r="B1981">
        <v>2107652</v>
      </c>
      <c r="C1981">
        <v>2108389</v>
      </c>
      <c r="E1981" t="s">
        <v>14</v>
      </c>
      <c r="F1981" t="s">
        <v>5500</v>
      </c>
      <c r="G1981" t="s">
        <v>5501</v>
      </c>
      <c r="H1981">
        <v>1019952</v>
      </c>
      <c r="I1981" t="s">
        <v>17</v>
      </c>
      <c r="K1981" t="s">
        <v>5502</v>
      </c>
      <c r="L1981">
        <v>245</v>
      </c>
      <c r="M1981" t="s">
        <v>5503</v>
      </c>
    </row>
    <row r="1982" spans="1:13">
      <c r="A1982" t="s">
        <v>13</v>
      </c>
      <c r="B1982">
        <v>2108386</v>
      </c>
      <c r="C1982">
        <v>2109132</v>
      </c>
      <c r="E1982" t="s">
        <v>38</v>
      </c>
      <c r="F1982" t="s">
        <v>2924</v>
      </c>
      <c r="H1982">
        <v>1019953</v>
      </c>
      <c r="I1982" t="s">
        <v>17</v>
      </c>
      <c r="K1982" t="s">
        <v>5504</v>
      </c>
      <c r="L1982">
        <v>248</v>
      </c>
      <c r="M1982" t="s">
        <v>5505</v>
      </c>
    </row>
    <row r="1983" spans="1:13">
      <c r="A1983" t="s">
        <v>13</v>
      </c>
      <c r="B1983">
        <v>2109152</v>
      </c>
      <c r="C1983">
        <v>2110255</v>
      </c>
      <c r="E1983" t="s">
        <v>38</v>
      </c>
      <c r="F1983" t="s">
        <v>103</v>
      </c>
      <c r="H1983">
        <v>1019954</v>
      </c>
      <c r="I1983" t="s">
        <v>17</v>
      </c>
      <c r="K1983" t="s">
        <v>5506</v>
      </c>
      <c r="L1983">
        <v>367</v>
      </c>
      <c r="M1983" t="s">
        <v>5507</v>
      </c>
    </row>
    <row r="1984" spans="1:13">
      <c r="A1984" t="s">
        <v>13</v>
      </c>
      <c r="B1984">
        <v>2110431</v>
      </c>
      <c r="C1984">
        <v>2111183</v>
      </c>
      <c r="E1984" t="s">
        <v>38</v>
      </c>
      <c r="F1984" t="s">
        <v>5508</v>
      </c>
      <c r="G1984" t="s">
        <v>5509</v>
      </c>
      <c r="H1984">
        <v>1019955</v>
      </c>
      <c r="I1984" t="s">
        <v>17</v>
      </c>
      <c r="K1984" t="s">
        <v>5510</v>
      </c>
      <c r="L1984">
        <v>250</v>
      </c>
      <c r="M1984" t="s">
        <v>5511</v>
      </c>
    </row>
    <row r="1985" spans="1:13">
      <c r="A1985" t="s">
        <v>13</v>
      </c>
      <c r="B1985">
        <v>2111238</v>
      </c>
      <c r="C1985">
        <v>2112662</v>
      </c>
      <c r="E1985" t="s">
        <v>14</v>
      </c>
      <c r="F1985" t="s">
        <v>5512</v>
      </c>
      <c r="H1985">
        <v>1019956</v>
      </c>
      <c r="I1985" t="s">
        <v>17</v>
      </c>
      <c r="K1985" t="s">
        <v>5513</v>
      </c>
      <c r="L1985">
        <v>474</v>
      </c>
      <c r="M1985" t="s">
        <v>5514</v>
      </c>
    </row>
    <row r="1986" spans="1:13">
      <c r="A1986" t="s">
        <v>13</v>
      </c>
      <c r="B1986">
        <v>2112714</v>
      </c>
      <c r="C1986">
        <v>2113634</v>
      </c>
      <c r="E1986" t="s">
        <v>38</v>
      </c>
      <c r="F1986" t="s">
        <v>356</v>
      </c>
      <c r="H1986">
        <v>1019957</v>
      </c>
      <c r="I1986" t="s">
        <v>17</v>
      </c>
      <c r="K1986" t="s">
        <v>5515</v>
      </c>
      <c r="L1986">
        <v>306</v>
      </c>
      <c r="M1986" t="s">
        <v>5516</v>
      </c>
    </row>
    <row r="1987" spans="1:13">
      <c r="A1987" t="s">
        <v>13</v>
      </c>
      <c r="B1987">
        <v>2113861</v>
      </c>
      <c r="C1987">
        <v>2115363</v>
      </c>
      <c r="E1987" t="s">
        <v>38</v>
      </c>
      <c r="F1987" t="s">
        <v>5517</v>
      </c>
      <c r="G1987" t="s">
        <v>5518</v>
      </c>
      <c r="H1987">
        <v>1019958</v>
      </c>
      <c r="I1987" t="s">
        <v>17</v>
      </c>
      <c r="K1987" t="s">
        <v>5519</v>
      </c>
      <c r="L1987">
        <v>500</v>
      </c>
      <c r="M1987" t="s">
        <v>5520</v>
      </c>
    </row>
    <row r="1988" spans="1:13">
      <c r="A1988" t="s">
        <v>13</v>
      </c>
      <c r="B1988">
        <v>2115761</v>
      </c>
      <c r="C1988">
        <v>2116777</v>
      </c>
      <c r="E1988" t="s">
        <v>14</v>
      </c>
      <c r="F1988" t="s">
        <v>391</v>
      </c>
      <c r="H1988">
        <v>1019959</v>
      </c>
      <c r="I1988" t="s">
        <v>17</v>
      </c>
      <c r="K1988" t="s">
        <v>5521</v>
      </c>
      <c r="L1988">
        <v>338</v>
      </c>
      <c r="M1988" t="s">
        <v>5522</v>
      </c>
    </row>
    <row r="1989" spans="1:13">
      <c r="A1989" t="s">
        <v>13</v>
      </c>
      <c r="B1989">
        <v>2116916</v>
      </c>
      <c r="C1989">
        <v>2118313</v>
      </c>
      <c r="E1989" t="s">
        <v>14</v>
      </c>
      <c r="F1989" t="s">
        <v>5523</v>
      </c>
      <c r="G1989" t="s">
        <v>5524</v>
      </c>
      <c r="H1989">
        <v>1019960</v>
      </c>
      <c r="I1989" t="s">
        <v>17</v>
      </c>
      <c r="K1989" t="s">
        <v>5525</v>
      </c>
      <c r="L1989">
        <v>465</v>
      </c>
      <c r="M1989" t="s">
        <v>5526</v>
      </c>
    </row>
    <row r="1990" spans="1:13">
      <c r="A1990" t="s">
        <v>13</v>
      </c>
      <c r="B1990">
        <v>2118736</v>
      </c>
      <c r="C1990">
        <v>2119083</v>
      </c>
      <c r="E1990" t="s">
        <v>14</v>
      </c>
      <c r="F1990" t="s">
        <v>49</v>
      </c>
      <c r="H1990">
        <v>1019961</v>
      </c>
      <c r="I1990" t="s">
        <v>17</v>
      </c>
      <c r="K1990" t="s">
        <v>5527</v>
      </c>
      <c r="L1990">
        <v>115</v>
      </c>
      <c r="M1990" t="s">
        <v>5528</v>
      </c>
    </row>
    <row r="1991" spans="1:13">
      <c r="A1991" t="s">
        <v>13</v>
      </c>
      <c r="B1991">
        <v>2119139</v>
      </c>
      <c r="C1991">
        <v>2119498</v>
      </c>
      <c r="E1991" t="s">
        <v>14</v>
      </c>
      <c r="F1991" t="s">
        <v>49</v>
      </c>
      <c r="H1991">
        <v>1019962</v>
      </c>
      <c r="I1991" t="s">
        <v>17</v>
      </c>
      <c r="K1991" t="s">
        <v>5529</v>
      </c>
      <c r="L1991">
        <v>119</v>
      </c>
      <c r="M1991" t="s">
        <v>5530</v>
      </c>
    </row>
    <row r="1992" spans="1:13">
      <c r="A1992" t="s">
        <v>13</v>
      </c>
      <c r="B1992">
        <v>2119628</v>
      </c>
      <c r="C1992">
        <v>2120359</v>
      </c>
      <c r="E1992" t="s">
        <v>14</v>
      </c>
      <c r="F1992" t="s">
        <v>49</v>
      </c>
      <c r="H1992">
        <v>1019963</v>
      </c>
      <c r="I1992" t="s">
        <v>17</v>
      </c>
      <c r="K1992" t="s">
        <v>5531</v>
      </c>
      <c r="L1992">
        <v>243</v>
      </c>
      <c r="M1992" t="s">
        <v>5532</v>
      </c>
    </row>
    <row r="1993" spans="1:13">
      <c r="A1993" t="s">
        <v>13</v>
      </c>
      <c r="B1993">
        <v>2120356</v>
      </c>
      <c r="C1993">
        <v>2121231</v>
      </c>
      <c r="E1993" t="s">
        <v>38</v>
      </c>
      <c r="F1993" t="s">
        <v>1627</v>
      </c>
      <c r="G1993" t="s">
        <v>1628</v>
      </c>
      <c r="H1993">
        <v>1019964</v>
      </c>
      <c r="I1993" t="s">
        <v>17</v>
      </c>
      <c r="K1993" t="s">
        <v>5533</v>
      </c>
      <c r="L1993">
        <v>291</v>
      </c>
      <c r="M1993" t="s">
        <v>5534</v>
      </c>
    </row>
    <row r="1994" spans="1:13">
      <c r="A1994" t="s">
        <v>13</v>
      </c>
      <c r="B1994">
        <v>2121293</v>
      </c>
      <c r="C1994">
        <v>2123161</v>
      </c>
      <c r="E1994" t="s">
        <v>38</v>
      </c>
      <c r="F1994" t="s">
        <v>164</v>
      </c>
      <c r="H1994">
        <v>1019965</v>
      </c>
      <c r="I1994" t="s">
        <v>17</v>
      </c>
      <c r="K1994" t="s">
        <v>5535</v>
      </c>
      <c r="L1994">
        <v>622</v>
      </c>
      <c r="M1994" t="s">
        <v>5536</v>
      </c>
    </row>
    <row r="1995" spans="1:13">
      <c r="A1995" t="s">
        <v>13</v>
      </c>
      <c r="B1995">
        <v>2123216</v>
      </c>
      <c r="C1995">
        <v>2123848</v>
      </c>
      <c r="E1995" t="s">
        <v>38</v>
      </c>
      <c r="F1995" t="s">
        <v>240</v>
      </c>
      <c r="H1995">
        <v>1019966</v>
      </c>
      <c r="I1995" t="s">
        <v>17</v>
      </c>
      <c r="K1995" t="s">
        <v>5537</v>
      </c>
      <c r="L1995">
        <v>210</v>
      </c>
      <c r="M1995" t="s">
        <v>5538</v>
      </c>
    </row>
    <row r="1996" spans="1:13">
      <c r="A1996" t="s">
        <v>13</v>
      </c>
      <c r="B1996">
        <v>2123845</v>
      </c>
      <c r="C1996">
        <v>2124978</v>
      </c>
      <c r="E1996" t="s">
        <v>38</v>
      </c>
      <c r="F1996" t="s">
        <v>237</v>
      </c>
      <c r="H1996">
        <v>1019967</v>
      </c>
      <c r="I1996" t="s">
        <v>17</v>
      </c>
      <c r="K1996" t="s">
        <v>5539</v>
      </c>
      <c r="L1996">
        <v>377</v>
      </c>
      <c r="M1996" t="s">
        <v>5540</v>
      </c>
    </row>
    <row r="1997" spans="1:13">
      <c r="A1997" t="s">
        <v>13</v>
      </c>
      <c r="B1997">
        <v>2125089</v>
      </c>
      <c r="C1997">
        <v>2126048</v>
      </c>
      <c r="E1997" t="s">
        <v>14</v>
      </c>
      <c r="F1997" t="s">
        <v>124</v>
      </c>
      <c r="H1997">
        <v>1019968</v>
      </c>
      <c r="I1997" t="s">
        <v>17</v>
      </c>
      <c r="K1997" t="s">
        <v>5541</v>
      </c>
      <c r="L1997">
        <v>319</v>
      </c>
      <c r="M1997" t="s">
        <v>5542</v>
      </c>
    </row>
    <row r="1998" spans="1:13">
      <c r="A1998" t="s">
        <v>13</v>
      </c>
      <c r="B1998">
        <v>2126064</v>
      </c>
      <c r="C1998">
        <v>2126756</v>
      </c>
      <c r="E1998" t="s">
        <v>14</v>
      </c>
      <c r="F1998" t="s">
        <v>147</v>
      </c>
      <c r="H1998">
        <v>1019969</v>
      </c>
      <c r="I1998" t="s">
        <v>17</v>
      </c>
      <c r="K1998" t="s">
        <v>5543</v>
      </c>
      <c r="L1998">
        <v>230</v>
      </c>
      <c r="M1998" t="s">
        <v>5544</v>
      </c>
    </row>
    <row r="1999" spans="1:13">
      <c r="A1999" t="s">
        <v>13</v>
      </c>
      <c r="B1999">
        <v>2127347</v>
      </c>
      <c r="C1999">
        <v>2128528</v>
      </c>
      <c r="E1999" t="s">
        <v>38</v>
      </c>
      <c r="F1999" t="s">
        <v>5545</v>
      </c>
      <c r="G1999" t="s">
        <v>5546</v>
      </c>
      <c r="H1999">
        <v>1019970</v>
      </c>
      <c r="I1999" t="s">
        <v>17</v>
      </c>
      <c r="K1999" t="s">
        <v>5547</v>
      </c>
      <c r="L1999">
        <v>393</v>
      </c>
      <c r="M1999" t="s">
        <v>5548</v>
      </c>
    </row>
    <row r="2000" spans="1:13">
      <c r="A2000" t="s">
        <v>13</v>
      </c>
      <c r="B2000">
        <v>2128666</v>
      </c>
      <c r="C2000">
        <v>2129880</v>
      </c>
      <c r="E2000" t="s">
        <v>38</v>
      </c>
      <c r="F2000" t="s">
        <v>5549</v>
      </c>
      <c r="H2000">
        <v>1019971</v>
      </c>
      <c r="I2000" t="s">
        <v>17</v>
      </c>
      <c r="K2000" t="s">
        <v>5550</v>
      </c>
      <c r="L2000">
        <v>404</v>
      </c>
      <c r="M2000" t="s">
        <v>5551</v>
      </c>
    </row>
    <row r="2001" spans="1:13">
      <c r="A2001" t="s">
        <v>13</v>
      </c>
      <c r="B2001">
        <v>2129900</v>
      </c>
      <c r="C2001">
        <v>2131078</v>
      </c>
      <c r="E2001" t="s">
        <v>38</v>
      </c>
      <c r="F2001" t="s">
        <v>5552</v>
      </c>
      <c r="G2001" t="s">
        <v>5553</v>
      </c>
      <c r="H2001">
        <v>1019972</v>
      </c>
      <c r="I2001" t="s">
        <v>17</v>
      </c>
      <c r="K2001" t="s">
        <v>5554</v>
      </c>
      <c r="L2001">
        <v>392</v>
      </c>
      <c r="M2001" t="s">
        <v>5555</v>
      </c>
    </row>
    <row r="2002" spans="1:13">
      <c r="A2002" t="s">
        <v>13</v>
      </c>
      <c r="B2002">
        <v>2131322</v>
      </c>
      <c r="C2002">
        <v>2131765</v>
      </c>
      <c r="E2002" t="s">
        <v>14</v>
      </c>
      <c r="F2002" t="s">
        <v>5556</v>
      </c>
      <c r="H2002">
        <v>1019973</v>
      </c>
      <c r="I2002" t="s">
        <v>17</v>
      </c>
      <c r="K2002" t="s">
        <v>5557</v>
      </c>
      <c r="L2002">
        <v>147</v>
      </c>
      <c r="M2002" t="s">
        <v>5558</v>
      </c>
    </row>
    <row r="2003" spans="1:13">
      <c r="A2003" t="s">
        <v>13</v>
      </c>
      <c r="B2003">
        <v>2131822</v>
      </c>
      <c r="C2003">
        <v>2133402</v>
      </c>
      <c r="E2003" t="s">
        <v>38</v>
      </c>
      <c r="F2003" t="s">
        <v>49</v>
      </c>
      <c r="H2003">
        <v>1019974</v>
      </c>
      <c r="I2003" t="s">
        <v>17</v>
      </c>
      <c r="K2003" t="s">
        <v>5559</v>
      </c>
      <c r="L2003">
        <v>526</v>
      </c>
      <c r="M2003" t="s">
        <v>5560</v>
      </c>
    </row>
    <row r="2004" spans="1:13">
      <c r="A2004" t="s">
        <v>13</v>
      </c>
      <c r="B2004">
        <v>2133403</v>
      </c>
      <c r="C2004">
        <v>2134260</v>
      </c>
      <c r="E2004" t="s">
        <v>38</v>
      </c>
      <c r="F2004" t="s">
        <v>147</v>
      </c>
      <c r="H2004">
        <v>1019975</v>
      </c>
      <c r="I2004" t="s">
        <v>17</v>
      </c>
      <c r="K2004" t="s">
        <v>5561</v>
      </c>
      <c r="L2004">
        <v>285</v>
      </c>
      <c r="M2004" t="s">
        <v>5562</v>
      </c>
    </row>
    <row r="2005" spans="1:13">
      <c r="A2005" t="s">
        <v>13</v>
      </c>
      <c r="B2005">
        <v>2134451</v>
      </c>
      <c r="C2005">
        <v>2135551</v>
      </c>
      <c r="E2005" t="s">
        <v>38</v>
      </c>
      <c r="F2005" t="s">
        <v>5563</v>
      </c>
      <c r="G2005" t="s">
        <v>5564</v>
      </c>
      <c r="H2005">
        <v>1019976</v>
      </c>
      <c r="I2005" t="s">
        <v>17</v>
      </c>
      <c r="K2005" t="s">
        <v>5565</v>
      </c>
      <c r="L2005">
        <v>366</v>
      </c>
      <c r="M2005" t="s">
        <v>5566</v>
      </c>
    </row>
    <row r="2006" spans="1:13">
      <c r="A2006" t="s">
        <v>13</v>
      </c>
      <c r="B2006">
        <v>2135644</v>
      </c>
      <c r="C2006">
        <v>2136144</v>
      </c>
      <c r="E2006" t="s">
        <v>14</v>
      </c>
      <c r="F2006" t="s">
        <v>5567</v>
      </c>
      <c r="H2006">
        <v>44144983</v>
      </c>
      <c r="I2006" t="s">
        <v>17</v>
      </c>
      <c r="K2006" t="s">
        <v>5568</v>
      </c>
      <c r="L2006">
        <v>166</v>
      </c>
      <c r="M2006" t="s">
        <v>5569</v>
      </c>
    </row>
    <row r="2007" spans="1:13">
      <c r="A2007" t="s">
        <v>13</v>
      </c>
      <c r="B2007">
        <v>2136232</v>
      </c>
      <c r="C2007">
        <v>2137125</v>
      </c>
      <c r="E2007" t="s">
        <v>38</v>
      </c>
      <c r="F2007" t="s">
        <v>5570</v>
      </c>
      <c r="H2007">
        <v>1019978</v>
      </c>
      <c r="I2007" t="s">
        <v>17</v>
      </c>
      <c r="K2007" t="s">
        <v>5571</v>
      </c>
      <c r="L2007">
        <v>297</v>
      </c>
      <c r="M2007" t="s">
        <v>5572</v>
      </c>
    </row>
    <row r="2008" spans="1:13">
      <c r="A2008" t="s">
        <v>13</v>
      </c>
      <c r="B2008">
        <v>2137283</v>
      </c>
      <c r="C2008">
        <v>2137840</v>
      </c>
      <c r="E2008" t="s">
        <v>38</v>
      </c>
      <c r="F2008" t="s">
        <v>5573</v>
      </c>
      <c r="G2008" t="s">
        <v>5574</v>
      </c>
      <c r="H2008">
        <v>1019979</v>
      </c>
      <c r="I2008" t="s">
        <v>17</v>
      </c>
      <c r="K2008" t="s">
        <v>5575</v>
      </c>
      <c r="L2008">
        <v>185</v>
      </c>
      <c r="M2008" t="s">
        <v>5576</v>
      </c>
    </row>
    <row r="2009" spans="1:13">
      <c r="A2009" t="s">
        <v>13</v>
      </c>
      <c r="B2009">
        <v>2137933</v>
      </c>
      <c r="C2009">
        <v>2138664</v>
      </c>
      <c r="E2009" t="s">
        <v>38</v>
      </c>
      <c r="F2009" t="s">
        <v>5577</v>
      </c>
      <c r="G2009" t="s">
        <v>5578</v>
      </c>
      <c r="H2009">
        <v>1019980</v>
      </c>
      <c r="I2009" t="s">
        <v>17</v>
      </c>
      <c r="K2009" t="s">
        <v>5579</v>
      </c>
      <c r="L2009">
        <v>243</v>
      </c>
      <c r="M2009" t="s">
        <v>5580</v>
      </c>
    </row>
    <row r="2010" spans="1:13">
      <c r="A2010" t="s">
        <v>13</v>
      </c>
      <c r="B2010">
        <v>2139000</v>
      </c>
      <c r="C2010">
        <v>2139827</v>
      </c>
      <c r="E2010" t="s">
        <v>38</v>
      </c>
      <c r="F2010" t="s">
        <v>5581</v>
      </c>
      <c r="G2010" t="s">
        <v>5582</v>
      </c>
      <c r="H2010">
        <v>1019981</v>
      </c>
      <c r="I2010" t="s">
        <v>17</v>
      </c>
      <c r="K2010" t="s">
        <v>5583</v>
      </c>
      <c r="L2010">
        <v>275</v>
      </c>
      <c r="M2010" t="s">
        <v>5584</v>
      </c>
    </row>
    <row r="2011" spans="1:13">
      <c r="A2011" t="s">
        <v>13</v>
      </c>
      <c r="B2011">
        <v>2140068</v>
      </c>
      <c r="C2011">
        <v>2140886</v>
      </c>
      <c r="E2011" t="s">
        <v>38</v>
      </c>
      <c r="F2011" t="s">
        <v>5585</v>
      </c>
      <c r="G2011" t="s">
        <v>5586</v>
      </c>
      <c r="H2011">
        <v>1019982</v>
      </c>
      <c r="I2011" t="s">
        <v>17</v>
      </c>
      <c r="K2011" t="s">
        <v>5587</v>
      </c>
      <c r="L2011">
        <v>272</v>
      </c>
      <c r="M2011" t="s">
        <v>5588</v>
      </c>
    </row>
    <row r="2012" spans="1:13">
      <c r="A2012" t="s">
        <v>13</v>
      </c>
      <c r="B2012">
        <v>2141269</v>
      </c>
      <c r="C2012">
        <v>2141763</v>
      </c>
      <c r="E2012" t="s">
        <v>14</v>
      </c>
      <c r="F2012" t="s">
        <v>2482</v>
      </c>
      <c r="H2012">
        <v>1019983</v>
      </c>
      <c r="I2012" t="s">
        <v>17</v>
      </c>
      <c r="K2012" t="s">
        <v>5589</v>
      </c>
      <c r="L2012">
        <v>164</v>
      </c>
      <c r="M2012" t="s">
        <v>5590</v>
      </c>
    </row>
    <row r="2013" spans="1:13">
      <c r="A2013" t="s">
        <v>13</v>
      </c>
      <c r="B2013">
        <v>2141760</v>
      </c>
      <c r="C2013">
        <v>2142707</v>
      </c>
      <c r="E2013" t="s">
        <v>38</v>
      </c>
      <c r="F2013" t="s">
        <v>5591</v>
      </c>
      <c r="H2013">
        <v>1019984</v>
      </c>
      <c r="I2013" t="s">
        <v>17</v>
      </c>
      <c r="K2013" t="s">
        <v>5592</v>
      </c>
      <c r="L2013">
        <v>315</v>
      </c>
      <c r="M2013" t="s">
        <v>5593</v>
      </c>
    </row>
    <row r="2014" spans="1:13">
      <c r="A2014" t="s">
        <v>13</v>
      </c>
      <c r="B2014">
        <v>2142882</v>
      </c>
      <c r="C2014">
        <v>2144066</v>
      </c>
      <c r="E2014" t="s">
        <v>38</v>
      </c>
      <c r="F2014" t="s">
        <v>5594</v>
      </c>
      <c r="G2014" t="s">
        <v>5595</v>
      </c>
      <c r="H2014">
        <v>1019985</v>
      </c>
      <c r="I2014" t="s">
        <v>17</v>
      </c>
      <c r="K2014" t="s">
        <v>5596</v>
      </c>
      <c r="L2014">
        <v>394</v>
      </c>
      <c r="M2014" t="s">
        <v>5597</v>
      </c>
    </row>
    <row r="2015" spans="1:13">
      <c r="A2015" t="s">
        <v>13</v>
      </c>
      <c r="B2015">
        <v>2144063</v>
      </c>
      <c r="C2015">
        <v>2145586</v>
      </c>
      <c r="E2015" t="s">
        <v>38</v>
      </c>
      <c r="F2015" t="s">
        <v>5598</v>
      </c>
      <c r="H2015">
        <v>1019986</v>
      </c>
      <c r="I2015" t="s">
        <v>17</v>
      </c>
      <c r="K2015" t="s">
        <v>5599</v>
      </c>
      <c r="L2015">
        <v>507</v>
      </c>
      <c r="M2015" t="s">
        <v>5600</v>
      </c>
    </row>
    <row r="2016" spans="1:13">
      <c r="A2016" t="s">
        <v>13</v>
      </c>
      <c r="B2016">
        <v>2145573</v>
      </c>
      <c r="C2016">
        <v>2145941</v>
      </c>
      <c r="E2016" t="s">
        <v>38</v>
      </c>
      <c r="F2016" t="s">
        <v>5601</v>
      </c>
      <c r="H2016">
        <v>1019987</v>
      </c>
      <c r="I2016" t="s">
        <v>17</v>
      </c>
      <c r="K2016" t="s">
        <v>5602</v>
      </c>
      <c r="L2016">
        <v>122</v>
      </c>
      <c r="M2016" t="s">
        <v>5603</v>
      </c>
    </row>
    <row r="2017" spans="1:13">
      <c r="A2017" t="s">
        <v>13</v>
      </c>
      <c r="B2017">
        <v>2146261</v>
      </c>
      <c r="C2017">
        <v>2146566</v>
      </c>
      <c r="E2017" t="s">
        <v>38</v>
      </c>
      <c r="F2017" t="s">
        <v>5604</v>
      </c>
      <c r="H2017">
        <v>1019988</v>
      </c>
      <c r="I2017" t="s">
        <v>17</v>
      </c>
      <c r="K2017" t="s">
        <v>5605</v>
      </c>
      <c r="L2017">
        <v>101</v>
      </c>
      <c r="M2017" t="s">
        <v>5606</v>
      </c>
    </row>
    <row r="2018" spans="1:13">
      <c r="A2018" t="s">
        <v>13</v>
      </c>
      <c r="B2018">
        <v>2146563</v>
      </c>
      <c r="C2018">
        <v>2147231</v>
      </c>
      <c r="E2018" t="s">
        <v>38</v>
      </c>
      <c r="F2018" t="s">
        <v>5607</v>
      </c>
      <c r="H2018">
        <v>1019989</v>
      </c>
      <c r="I2018" t="s">
        <v>17</v>
      </c>
      <c r="K2018" t="s">
        <v>5608</v>
      </c>
      <c r="L2018">
        <v>222</v>
      </c>
      <c r="M2018" t="s">
        <v>5609</v>
      </c>
    </row>
    <row r="2019" spans="1:13">
      <c r="A2019" t="s">
        <v>13</v>
      </c>
      <c r="B2019">
        <v>2147258</v>
      </c>
      <c r="C2019">
        <v>2148046</v>
      </c>
      <c r="E2019" t="s">
        <v>38</v>
      </c>
      <c r="F2019" t="s">
        <v>5610</v>
      </c>
      <c r="G2019" t="s">
        <v>5611</v>
      </c>
      <c r="H2019">
        <v>1019990</v>
      </c>
      <c r="I2019" t="s">
        <v>17</v>
      </c>
      <c r="K2019" t="s">
        <v>5612</v>
      </c>
      <c r="L2019">
        <v>262</v>
      </c>
      <c r="M2019" t="s">
        <v>5613</v>
      </c>
    </row>
    <row r="2020" spans="1:13">
      <c r="A2020" t="s">
        <v>13</v>
      </c>
      <c r="B2020">
        <v>2148225</v>
      </c>
      <c r="C2020">
        <v>2149169</v>
      </c>
      <c r="E2020" t="s">
        <v>14</v>
      </c>
      <c r="F2020" t="s">
        <v>1885</v>
      </c>
      <c r="H2020">
        <v>1019991</v>
      </c>
      <c r="I2020" t="s">
        <v>17</v>
      </c>
      <c r="K2020" t="s">
        <v>5614</v>
      </c>
      <c r="L2020">
        <v>314</v>
      </c>
      <c r="M2020" t="s">
        <v>5615</v>
      </c>
    </row>
    <row r="2021" spans="1:13">
      <c r="A2021" t="s">
        <v>13</v>
      </c>
      <c r="B2021">
        <v>2149631</v>
      </c>
      <c r="C2021">
        <v>2149972</v>
      </c>
      <c r="E2021" t="s">
        <v>38</v>
      </c>
      <c r="F2021" t="s">
        <v>5616</v>
      </c>
      <c r="G2021" t="s">
        <v>5617</v>
      </c>
      <c r="H2021">
        <v>1019992</v>
      </c>
      <c r="I2021" t="s">
        <v>17</v>
      </c>
      <c r="K2021" t="s">
        <v>5618</v>
      </c>
      <c r="L2021">
        <v>113</v>
      </c>
      <c r="M2021" t="s">
        <v>5619</v>
      </c>
    </row>
    <row r="2022" spans="1:13">
      <c r="A2022" t="s">
        <v>13</v>
      </c>
      <c r="B2022">
        <v>2150335</v>
      </c>
      <c r="C2022">
        <v>2151000</v>
      </c>
      <c r="E2022" t="s">
        <v>14</v>
      </c>
      <c r="F2022" t="s">
        <v>5620</v>
      </c>
      <c r="H2022">
        <v>1019993</v>
      </c>
      <c r="I2022" t="s">
        <v>17</v>
      </c>
      <c r="K2022" t="s">
        <v>5621</v>
      </c>
      <c r="L2022">
        <v>221</v>
      </c>
      <c r="M2022" t="s">
        <v>5622</v>
      </c>
    </row>
    <row r="2023" spans="1:13">
      <c r="A2023" t="s">
        <v>13</v>
      </c>
      <c r="B2023">
        <v>2150997</v>
      </c>
      <c r="C2023">
        <v>2152121</v>
      </c>
      <c r="E2023" t="s">
        <v>14</v>
      </c>
      <c r="F2023" t="s">
        <v>5623</v>
      </c>
      <c r="G2023" t="s">
        <v>5624</v>
      </c>
      <c r="H2023">
        <v>1019994</v>
      </c>
      <c r="I2023" t="s">
        <v>17</v>
      </c>
      <c r="K2023" t="s">
        <v>5625</v>
      </c>
      <c r="L2023">
        <v>374</v>
      </c>
      <c r="M2023" t="s">
        <v>5626</v>
      </c>
    </row>
    <row r="2024" spans="1:13">
      <c r="A2024" t="s">
        <v>13</v>
      </c>
      <c r="B2024">
        <v>2152135</v>
      </c>
      <c r="C2024">
        <v>2152332</v>
      </c>
      <c r="E2024" t="s">
        <v>14</v>
      </c>
      <c r="F2024" t="s">
        <v>5627</v>
      </c>
      <c r="G2024" t="s">
        <v>5628</v>
      </c>
      <c r="H2024">
        <v>1019995</v>
      </c>
      <c r="I2024" t="s">
        <v>17</v>
      </c>
      <c r="K2024" t="s">
        <v>5629</v>
      </c>
      <c r="L2024">
        <v>65</v>
      </c>
      <c r="M2024" t="s">
        <v>5630</v>
      </c>
    </row>
    <row r="2025" spans="1:13">
      <c r="A2025" t="s">
        <v>13</v>
      </c>
      <c r="B2025">
        <v>2152334</v>
      </c>
      <c r="C2025">
        <v>2153116</v>
      </c>
      <c r="E2025" t="s">
        <v>14</v>
      </c>
      <c r="F2025" t="s">
        <v>5631</v>
      </c>
      <c r="H2025">
        <v>1019996</v>
      </c>
      <c r="I2025" t="s">
        <v>17</v>
      </c>
      <c r="K2025" t="s">
        <v>5632</v>
      </c>
      <c r="L2025">
        <v>260</v>
      </c>
      <c r="M2025" t="s">
        <v>5633</v>
      </c>
    </row>
    <row r="2026" spans="1:13">
      <c r="A2026" t="s">
        <v>13</v>
      </c>
      <c r="B2026">
        <v>2153118</v>
      </c>
      <c r="C2026">
        <v>2154194</v>
      </c>
      <c r="E2026" t="s">
        <v>14</v>
      </c>
      <c r="F2026" t="s">
        <v>633</v>
      </c>
      <c r="H2026">
        <v>1019997</v>
      </c>
      <c r="I2026" t="s">
        <v>17</v>
      </c>
      <c r="K2026" t="s">
        <v>5634</v>
      </c>
      <c r="L2026">
        <v>358</v>
      </c>
      <c r="M2026" t="s">
        <v>5635</v>
      </c>
    </row>
    <row r="2027" spans="1:13">
      <c r="A2027" t="s">
        <v>13</v>
      </c>
      <c r="B2027">
        <v>2154457</v>
      </c>
      <c r="C2027">
        <v>2156733</v>
      </c>
      <c r="E2027" t="s">
        <v>38</v>
      </c>
      <c r="F2027" t="s">
        <v>5636</v>
      </c>
      <c r="H2027">
        <v>1019998</v>
      </c>
      <c r="I2027" t="s">
        <v>17</v>
      </c>
      <c r="K2027" t="s">
        <v>5637</v>
      </c>
      <c r="L2027">
        <v>758</v>
      </c>
      <c r="M2027" t="s">
        <v>5638</v>
      </c>
    </row>
    <row r="2028" spans="1:13">
      <c r="A2028" t="s">
        <v>13</v>
      </c>
      <c r="B2028">
        <v>2156744</v>
      </c>
      <c r="C2028">
        <v>2157721</v>
      </c>
      <c r="E2028" t="s">
        <v>38</v>
      </c>
      <c r="F2028" t="s">
        <v>532</v>
      </c>
      <c r="H2028">
        <v>1019999</v>
      </c>
      <c r="I2028" t="s">
        <v>17</v>
      </c>
      <c r="K2028" t="s">
        <v>5639</v>
      </c>
      <c r="L2028">
        <v>325</v>
      </c>
      <c r="M2028" t="s">
        <v>5640</v>
      </c>
    </row>
    <row r="2029" spans="1:13">
      <c r="A2029" t="s">
        <v>13</v>
      </c>
      <c r="B2029">
        <v>2157751</v>
      </c>
      <c r="C2029">
        <v>2159082</v>
      </c>
      <c r="E2029" t="s">
        <v>38</v>
      </c>
      <c r="F2029" t="s">
        <v>5641</v>
      </c>
      <c r="H2029">
        <v>1020000</v>
      </c>
      <c r="I2029" t="s">
        <v>17</v>
      </c>
      <c r="K2029" t="s">
        <v>5642</v>
      </c>
      <c r="L2029">
        <v>443</v>
      </c>
      <c r="M2029" t="s">
        <v>5643</v>
      </c>
    </row>
    <row r="2030" spans="1:13">
      <c r="A2030" t="s">
        <v>13</v>
      </c>
      <c r="B2030">
        <v>2159284</v>
      </c>
      <c r="C2030">
        <v>2160537</v>
      </c>
      <c r="E2030" t="s">
        <v>38</v>
      </c>
      <c r="F2030" t="s">
        <v>5644</v>
      </c>
      <c r="H2030">
        <v>1020001</v>
      </c>
      <c r="I2030" t="s">
        <v>17</v>
      </c>
      <c r="K2030" t="s">
        <v>5645</v>
      </c>
      <c r="L2030">
        <v>417</v>
      </c>
      <c r="M2030" t="s">
        <v>5646</v>
      </c>
    </row>
    <row r="2031" spans="1:13">
      <c r="A2031" t="s">
        <v>13</v>
      </c>
      <c r="B2031">
        <v>2161108</v>
      </c>
      <c r="C2031">
        <v>2161488</v>
      </c>
      <c r="E2031" t="s">
        <v>38</v>
      </c>
      <c r="F2031" t="s">
        <v>49</v>
      </c>
      <c r="H2031">
        <v>1020002</v>
      </c>
      <c r="I2031" t="s">
        <v>17</v>
      </c>
      <c r="K2031" t="s">
        <v>5647</v>
      </c>
      <c r="L2031">
        <v>126</v>
      </c>
      <c r="M2031" t="s">
        <v>5648</v>
      </c>
    </row>
    <row r="2032" spans="1:13">
      <c r="A2032" t="s">
        <v>13</v>
      </c>
      <c r="B2032">
        <v>2161504</v>
      </c>
      <c r="C2032">
        <v>2162196</v>
      </c>
      <c r="E2032" t="s">
        <v>38</v>
      </c>
      <c r="F2032" t="s">
        <v>409</v>
      </c>
      <c r="H2032">
        <v>1020003</v>
      </c>
      <c r="I2032" t="s">
        <v>17</v>
      </c>
      <c r="K2032" t="s">
        <v>5649</v>
      </c>
      <c r="L2032">
        <v>230</v>
      </c>
      <c r="M2032" t="s">
        <v>5650</v>
      </c>
    </row>
    <row r="2033" spans="1:13">
      <c r="A2033" t="s">
        <v>13</v>
      </c>
      <c r="B2033">
        <v>2162193</v>
      </c>
      <c r="C2033">
        <v>2163071</v>
      </c>
      <c r="E2033" t="s">
        <v>38</v>
      </c>
      <c r="F2033" t="s">
        <v>5651</v>
      </c>
      <c r="G2033" t="s">
        <v>5652</v>
      </c>
      <c r="H2033">
        <v>1020004</v>
      </c>
      <c r="I2033" t="s">
        <v>17</v>
      </c>
      <c r="K2033" t="s">
        <v>5653</v>
      </c>
      <c r="L2033">
        <v>292</v>
      </c>
      <c r="M2033" t="s">
        <v>5654</v>
      </c>
    </row>
    <row r="2034" spans="1:13">
      <c r="A2034" t="s">
        <v>13</v>
      </c>
      <c r="B2034">
        <v>2163098</v>
      </c>
      <c r="C2034">
        <v>2163748</v>
      </c>
      <c r="E2034" t="s">
        <v>14</v>
      </c>
      <c r="F2034" t="s">
        <v>5655</v>
      </c>
      <c r="H2034">
        <v>1020005</v>
      </c>
      <c r="I2034" t="s">
        <v>17</v>
      </c>
      <c r="K2034" t="s">
        <v>5656</v>
      </c>
      <c r="L2034">
        <v>216</v>
      </c>
      <c r="M2034" t="s">
        <v>5657</v>
      </c>
    </row>
    <row r="2035" spans="1:13">
      <c r="A2035" t="s">
        <v>13</v>
      </c>
      <c r="B2035">
        <v>2163745</v>
      </c>
      <c r="C2035">
        <v>2164260</v>
      </c>
      <c r="E2035" t="s">
        <v>38</v>
      </c>
      <c r="F2035" t="s">
        <v>5658</v>
      </c>
      <c r="G2035" t="s">
        <v>5659</v>
      </c>
      <c r="H2035">
        <v>1020006</v>
      </c>
      <c r="I2035" t="s">
        <v>17</v>
      </c>
      <c r="K2035" t="s">
        <v>5660</v>
      </c>
      <c r="L2035">
        <v>171</v>
      </c>
      <c r="M2035" t="s">
        <v>5661</v>
      </c>
    </row>
    <row r="2036" spans="1:13">
      <c r="A2036" t="s">
        <v>13</v>
      </c>
      <c r="B2036">
        <v>2164390</v>
      </c>
      <c r="C2036">
        <v>2164740</v>
      </c>
      <c r="E2036" t="s">
        <v>14</v>
      </c>
      <c r="F2036" t="s">
        <v>2600</v>
      </c>
      <c r="H2036">
        <v>1020007</v>
      </c>
      <c r="I2036" t="s">
        <v>17</v>
      </c>
      <c r="K2036" t="s">
        <v>5662</v>
      </c>
      <c r="L2036">
        <v>116</v>
      </c>
      <c r="M2036" t="s">
        <v>5663</v>
      </c>
    </row>
    <row r="2037" spans="1:13">
      <c r="A2037" t="s">
        <v>13</v>
      </c>
      <c r="B2037">
        <v>2164812</v>
      </c>
      <c r="C2037">
        <v>2165309</v>
      </c>
      <c r="E2037" t="s">
        <v>38</v>
      </c>
      <c r="F2037" t="s">
        <v>5664</v>
      </c>
      <c r="G2037" t="s">
        <v>5665</v>
      </c>
      <c r="H2037">
        <v>1020008</v>
      </c>
      <c r="I2037" t="s">
        <v>17</v>
      </c>
      <c r="K2037" t="s">
        <v>5666</v>
      </c>
      <c r="L2037">
        <v>165</v>
      </c>
      <c r="M2037" t="s">
        <v>5667</v>
      </c>
    </row>
    <row r="2038" spans="1:13">
      <c r="A2038" t="s">
        <v>13</v>
      </c>
      <c r="B2038">
        <v>2165625</v>
      </c>
      <c r="C2038">
        <v>2166101</v>
      </c>
      <c r="E2038" t="s">
        <v>14</v>
      </c>
      <c r="F2038" t="s">
        <v>420</v>
      </c>
      <c r="H2038">
        <v>1020009</v>
      </c>
      <c r="I2038" t="s">
        <v>17</v>
      </c>
      <c r="K2038" t="s">
        <v>5668</v>
      </c>
      <c r="L2038">
        <v>158</v>
      </c>
      <c r="M2038" t="s">
        <v>5669</v>
      </c>
    </row>
    <row r="2039" spans="1:13">
      <c r="A2039" t="s">
        <v>13</v>
      </c>
      <c r="B2039">
        <v>2166121</v>
      </c>
      <c r="C2039">
        <v>2166990</v>
      </c>
      <c r="E2039" t="s">
        <v>38</v>
      </c>
      <c r="F2039" t="s">
        <v>124</v>
      </c>
      <c r="H2039">
        <v>1020010</v>
      </c>
      <c r="I2039" t="s">
        <v>17</v>
      </c>
      <c r="K2039" t="s">
        <v>5670</v>
      </c>
      <c r="L2039">
        <v>289</v>
      </c>
      <c r="M2039" t="s">
        <v>5671</v>
      </c>
    </row>
    <row r="2040" spans="1:13">
      <c r="A2040" t="s">
        <v>13</v>
      </c>
      <c r="B2040">
        <v>2166987</v>
      </c>
      <c r="C2040">
        <v>2167865</v>
      </c>
      <c r="E2040" t="s">
        <v>38</v>
      </c>
      <c r="F2040" t="s">
        <v>147</v>
      </c>
      <c r="H2040">
        <v>1020011</v>
      </c>
      <c r="I2040" t="s">
        <v>17</v>
      </c>
      <c r="K2040" t="s">
        <v>5672</v>
      </c>
      <c r="L2040">
        <v>292</v>
      </c>
      <c r="M2040" t="s">
        <v>5673</v>
      </c>
    </row>
    <row r="2041" spans="1:13">
      <c r="A2041" t="s">
        <v>13</v>
      </c>
      <c r="B2041">
        <v>2167941</v>
      </c>
      <c r="C2041">
        <v>2169584</v>
      </c>
      <c r="E2041" t="s">
        <v>38</v>
      </c>
      <c r="F2041" t="s">
        <v>5674</v>
      </c>
      <c r="G2041" t="s">
        <v>5675</v>
      </c>
      <c r="H2041">
        <v>1020012</v>
      </c>
      <c r="I2041" t="s">
        <v>17</v>
      </c>
      <c r="K2041" t="s">
        <v>5676</v>
      </c>
      <c r="L2041">
        <v>547</v>
      </c>
      <c r="M2041" t="s">
        <v>5677</v>
      </c>
    </row>
    <row r="2042" spans="1:13">
      <c r="A2042" t="s">
        <v>13</v>
      </c>
      <c r="B2042">
        <v>2169663</v>
      </c>
      <c r="C2042">
        <v>2171741</v>
      </c>
      <c r="E2042" t="s">
        <v>38</v>
      </c>
      <c r="F2042" t="s">
        <v>5678</v>
      </c>
      <c r="H2042">
        <v>1020013</v>
      </c>
      <c r="I2042" t="s">
        <v>17</v>
      </c>
      <c r="K2042" t="s">
        <v>5679</v>
      </c>
      <c r="L2042">
        <v>692</v>
      </c>
      <c r="M2042" t="s">
        <v>5680</v>
      </c>
    </row>
    <row r="2043" spans="1:13">
      <c r="A2043" t="s">
        <v>13</v>
      </c>
      <c r="B2043">
        <v>2171748</v>
      </c>
      <c r="C2043">
        <v>2172086</v>
      </c>
      <c r="E2043" t="s">
        <v>38</v>
      </c>
      <c r="F2043" t="s">
        <v>5681</v>
      </c>
      <c r="G2043" t="s">
        <v>5682</v>
      </c>
      <c r="H2043">
        <v>1020014</v>
      </c>
      <c r="I2043" t="s">
        <v>17</v>
      </c>
      <c r="K2043" t="s">
        <v>5683</v>
      </c>
      <c r="L2043">
        <v>112</v>
      </c>
      <c r="M2043" t="s">
        <v>5684</v>
      </c>
    </row>
    <row r="2044" spans="1:13">
      <c r="A2044" t="s">
        <v>13</v>
      </c>
      <c r="B2044">
        <v>2172151</v>
      </c>
      <c r="C2044">
        <v>2173467</v>
      </c>
      <c r="E2044" t="s">
        <v>38</v>
      </c>
      <c r="F2044" t="s">
        <v>4457</v>
      </c>
      <c r="H2044">
        <v>1020015</v>
      </c>
      <c r="I2044" t="s">
        <v>17</v>
      </c>
      <c r="K2044" t="s">
        <v>5685</v>
      </c>
      <c r="L2044">
        <v>438</v>
      </c>
      <c r="M2044" t="s">
        <v>5686</v>
      </c>
    </row>
    <row r="2045" spans="1:13">
      <c r="A2045" t="s">
        <v>13</v>
      </c>
      <c r="B2045">
        <v>2173756</v>
      </c>
      <c r="C2045">
        <v>2175504</v>
      </c>
      <c r="E2045" t="s">
        <v>38</v>
      </c>
      <c r="F2045" t="s">
        <v>5687</v>
      </c>
      <c r="G2045" t="s">
        <v>5688</v>
      </c>
      <c r="H2045">
        <v>1020016</v>
      </c>
      <c r="I2045" t="s">
        <v>17</v>
      </c>
      <c r="K2045" t="s">
        <v>5689</v>
      </c>
      <c r="L2045">
        <v>582</v>
      </c>
      <c r="M2045" t="s">
        <v>5690</v>
      </c>
    </row>
    <row r="2046" spans="1:13">
      <c r="A2046" t="s">
        <v>13</v>
      </c>
      <c r="B2046">
        <v>2176107</v>
      </c>
      <c r="C2046">
        <v>2179481</v>
      </c>
      <c r="E2046" t="s">
        <v>38</v>
      </c>
      <c r="F2046" t="s">
        <v>49</v>
      </c>
      <c r="H2046">
        <v>1020017</v>
      </c>
      <c r="I2046" t="s">
        <v>17</v>
      </c>
      <c r="K2046" t="s">
        <v>5691</v>
      </c>
      <c r="L2046">
        <v>1124</v>
      </c>
      <c r="M2046" t="s">
        <v>5692</v>
      </c>
    </row>
    <row r="2047" spans="1:13">
      <c r="A2047" t="s">
        <v>13</v>
      </c>
      <c r="B2047">
        <v>2179625</v>
      </c>
      <c r="C2047">
        <v>2183092</v>
      </c>
      <c r="E2047" t="s">
        <v>38</v>
      </c>
      <c r="F2047" t="s">
        <v>5693</v>
      </c>
      <c r="G2047" t="s">
        <v>5694</v>
      </c>
      <c r="H2047">
        <v>1020018</v>
      </c>
      <c r="I2047" t="s">
        <v>17</v>
      </c>
      <c r="K2047" t="s">
        <v>5695</v>
      </c>
      <c r="L2047">
        <v>1155</v>
      </c>
      <c r="M2047" t="s">
        <v>5696</v>
      </c>
    </row>
    <row r="2048" spans="1:13">
      <c r="A2048" t="s">
        <v>13</v>
      </c>
      <c r="B2048">
        <v>2183107</v>
      </c>
      <c r="C2048">
        <v>2183391</v>
      </c>
      <c r="E2048" t="s">
        <v>38</v>
      </c>
      <c r="F2048" t="s">
        <v>5697</v>
      </c>
      <c r="H2048">
        <v>1020019</v>
      </c>
      <c r="I2048" t="s">
        <v>17</v>
      </c>
      <c r="K2048" t="s">
        <v>5698</v>
      </c>
      <c r="L2048">
        <v>94</v>
      </c>
      <c r="M2048" t="s">
        <v>5699</v>
      </c>
    </row>
    <row r="2049" spans="1:13">
      <c r="A2049" t="s">
        <v>13</v>
      </c>
      <c r="B2049">
        <v>2183402</v>
      </c>
      <c r="C2049">
        <v>2185258</v>
      </c>
      <c r="E2049" t="s">
        <v>38</v>
      </c>
      <c r="F2049" t="s">
        <v>49</v>
      </c>
      <c r="H2049">
        <v>1020020</v>
      </c>
      <c r="I2049" t="s">
        <v>17</v>
      </c>
      <c r="K2049" t="s">
        <v>5700</v>
      </c>
      <c r="L2049">
        <v>618</v>
      </c>
      <c r="M2049" t="s">
        <v>5701</v>
      </c>
    </row>
    <row r="2050" spans="1:13">
      <c r="A2050" t="s">
        <v>13</v>
      </c>
      <c r="B2050">
        <v>2185348</v>
      </c>
      <c r="C2050">
        <v>2186208</v>
      </c>
      <c r="E2050" t="s">
        <v>38</v>
      </c>
      <c r="F2050" t="s">
        <v>69</v>
      </c>
      <c r="H2050">
        <v>1020021</v>
      </c>
      <c r="I2050" t="s">
        <v>17</v>
      </c>
      <c r="K2050" t="s">
        <v>5702</v>
      </c>
      <c r="L2050">
        <v>286</v>
      </c>
      <c r="M2050" t="s">
        <v>5703</v>
      </c>
    </row>
    <row r="2051" spans="1:13">
      <c r="A2051" t="s">
        <v>13</v>
      </c>
      <c r="B2051">
        <v>2186323</v>
      </c>
      <c r="C2051">
        <v>2187132</v>
      </c>
      <c r="E2051" t="s">
        <v>14</v>
      </c>
      <c r="F2051" t="s">
        <v>194</v>
      </c>
      <c r="H2051">
        <v>1020022</v>
      </c>
      <c r="I2051" t="s">
        <v>17</v>
      </c>
      <c r="K2051" t="s">
        <v>5704</v>
      </c>
      <c r="L2051">
        <v>269</v>
      </c>
      <c r="M2051" t="s">
        <v>5705</v>
      </c>
    </row>
    <row r="2052" spans="1:13">
      <c r="A2052" t="s">
        <v>13</v>
      </c>
      <c r="B2052">
        <v>2187230</v>
      </c>
      <c r="C2052">
        <v>2187679</v>
      </c>
      <c r="E2052" t="s">
        <v>38</v>
      </c>
      <c r="F2052" t="s">
        <v>3785</v>
      </c>
      <c r="H2052">
        <v>1020023</v>
      </c>
      <c r="I2052" t="s">
        <v>17</v>
      </c>
      <c r="K2052" t="s">
        <v>5706</v>
      </c>
      <c r="L2052">
        <v>149</v>
      </c>
      <c r="M2052" t="s">
        <v>5707</v>
      </c>
    </row>
    <row r="2053" spans="1:13">
      <c r="A2053" t="s">
        <v>13</v>
      </c>
      <c r="B2053">
        <v>2187689</v>
      </c>
      <c r="C2053">
        <v>2188306</v>
      </c>
      <c r="E2053" t="s">
        <v>38</v>
      </c>
      <c r="F2053" t="s">
        <v>5708</v>
      </c>
      <c r="H2053">
        <v>1020024</v>
      </c>
      <c r="I2053" t="s">
        <v>17</v>
      </c>
      <c r="K2053" t="s">
        <v>5709</v>
      </c>
      <c r="L2053">
        <v>205</v>
      </c>
      <c r="M2053" t="s">
        <v>5710</v>
      </c>
    </row>
    <row r="2054" spans="1:13">
      <c r="A2054" t="s">
        <v>13</v>
      </c>
      <c r="B2054">
        <v>2188310</v>
      </c>
      <c r="C2054">
        <v>2189170</v>
      </c>
      <c r="E2054" t="s">
        <v>38</v>
      </c>
      <c r="F2054" t="s">
        <v>5711</v>
      </c>
      <c r="G2054" t="s">
        <v>5712</v>
      </c>
      <c r="H2054">
        <v>1020025</v>
      </c>
      <c r="I2054" t="s">
        <v>17</v>
      </c>
      <c r="K2054" t="s">
        <v>5713</v>
      </c>
      <c r="L2054">
        <v>286</v>
      </c>
      <c r="M2054" t="s">
        <v>5714</v>
      </c>
    </row>
    <row r="2055" spans="1:13">
      <c r="A2055" t="s">
        <v>13</v>
      </c>
      <c r="B2055">
        <v>2189163</v>
      </c>
      <c r="C2055">
        <v>2189906</v>
      </c>
      <c r="E2055" t="s">
        <v>38</v>
      </c>
      <c r="F2055" t="s">
        <v>5715</v>
      </c>
      <c r="G2055" t="s">
        <v>5716</v>
      </c>
      <c r="H2055">
        <v>1020026</v>
      </c>
      <c r="I2055" t="s">
        <v>17</v>
      </c>
      <c r="K2055" t="s">
        <v>5717</v>
      </c>
      <c r="L2055">
        <v>247</v>
      </c>
      <c r="M2055" t="s">
        <v>5718</v>
      </c>
    </row>
    <row r="2056" spans="1:13">
      <c r="A2056" t="s">
        <v>13</v>
      </c>
      <c r="B2056">
        <v>2189903</v>
      </c>
      <c r="C2056">
        <v>2190439</v>
      </c>
      <c r="E2056" t="s">
        <v>38</v>
      </c>
      <c r="F2056" t="s">
        <v>5719</v>
      </c>
      <c r="H2056">
        <v>1020027</v>
      </c>
      <c r="I2056" t="s">
        <v>17</v>
      </c>
      <c r="K2056" t="s">
        <v>5720</v>
      </c>
      <c r="L2056">
        <v>178</v>
      </c>
      <c r="M2056" t="s">
        <v>5721</v>
      </c>
    </row>
    <row r="2057" spans="1:13">
      <c r="A2057" t="s">
        <v>13</v>
      </c>
      <c r="B2057">
        <v>2190537</v>
      </c>
      <c r="C2057">
        <v>2191328</v>
      </c>
      <c r="E2057" t="s">
        <v>38</v>
      </c>
      <c r="F2057" t="s">
        <v>5722</v>
      </c>
      <c r="H2057">
        <v>1020028</v>
      </c>
      <c r="I2057" t="s">
        <v>17</v>
      </c>
      <c r="K2057" t="s">
        <v>5723</v>
      </c>
      <c r="L2057">
        <v>263</v>
      </c>
      <c r="M2057" t="s">
        <v>5724</v>
      </c>
    </row>
    <row r="2058" spans="1:13">
      <c r="A2058" t="s">
        <v>13</v>
      </c>
      <c r="B2058">
        <v>2191543</v>
      </c>
      <c r="C2058">
        <v>2193168</v>
      </c>
      <c r="E2058" t="s">
        <v>14</v>
      </c>
      <c r="F2058" t="s">
        <v>127</v>
      </c>
      <c r="H2058">
        <v>1020029</v>
      </c>
      <c r="I2058" t="s">
        <v>17</v>
      </c>
      <c r="K2058" t="s">
        <v>5725</v>
      </c>
      <c r="L2058">
        <v>541</v>
      </c>
      <c r="M2058" t="s">
        <v>5726</v>
      </c>
    </row>
    <row r="2059" spans="1:13">
      <c r="A2059" t="s">
        <v>13</v>
      </c>
      <c r="B2059">
        <v>2193165</v>
      </c>
      <c r="C2059">
        <v>2194697</v>
      </c>
      <c r="E2059" t="s">
        <v>14</v>
      </c>
      <c r="F2059" t="s">
        <v>5727</v>
      </c>
      <c r="H2059">
        <v>1020030</v>
      </c>
      <c r="I2059" t="s">
        <v>17</v>
      </c>
      <c r="K2059" t="s">
        <v>5728</v>
      </c>
      <c r="L2059">
        <v>510</v>
      </c>
      <c r="M2059" t="s">
        <v>5729</v>
      </c>
    </row>
    <row r="2060" spans="1:13">
      <c r="A2060" t="s">
        <v>13</v>
      </c>
      <c r="B2060">
        <v>2194739</v>
      </c>
      <c r="C2060">
        <v>2196082</v>
      </c>
      <c r="E2060" t="s">
        <v>38</v>
      </c>
      <c r="F2060" t="s">
        <v>5730</v>
      </c>
      <c r="G2060" t="s">
        <v>5731</v>
      </c>
      <c r="H2060">
        <v>1020031</v>
      </c>
      <c r="I2060" t="s">
        <v>17</v>
      </c>
      <c r="K2060" t="s">
        <v>5732</v>
      </c>
      <c r="L2060">
        <v>447</v>
      </c>
      <c r="M2060" t="s">
        <v>5733</v>
      </c>
    </row>
    <row r="2061" spans="1:13">
      <c r="A2061" t="s">
        <v>13</v>
      </c>
      <c r="B2061">
        <v>2196883</v>
      </c>
      <c r="C2061">
        <v>2198007</v>
      </c>
      <c r="E2061" t="s">
        <v>14</v>
      </c>
      <c r="F2061" t="s">
        <v>5194</v>
      </c>
      <c r="H2061">
        <v>1020032</v>
      </c>
      <c r="I2061" t="s">
        <v>17</v>
      </c>
      <c r="K2061" t="s">
        <v>5734</v>
      </c>
      <c r="L2061">
        <v>374</v>
      </c>
      <c r="M2061" t="s">
        <v>5735</v>
      </c>
    </row>
    <row r="2062" spans="1:13">
      <c r="A2062" t="s">
        <v>13</v>
      </c>
      <c r="B2062">
        <v>2198004</v>
      </c>
      <c r="C2062">
        <v>2198402</v>
      </c>
      <c r="E2062" t="s">
        <v>38</v>
      </c>
      <c r="F2062" t="s">
        <v>49</v>
      </c>
      <c r="H2062">
        <v>1020033</v>
      </c>
      <c r="I2062" t="s">
        <v>17</v>
      </c>
      <c r="K2062" t="s">
        <v>5736</v>
      </c>
      <c r="L2062">
        <v>132</v>
      </c>
      <c r="M2062" t="s">
        <v>5737</v>
      </c>
    </row>
    <row r="2063" spans="1:13">
      <c r="A2063" t="s">
        <v>13</v>
      </c>
      <c r="B2063">
        <v>2198433</v>
      </c>
      <c r="C2063">
        <v>2199761</v>
      </c>
      <c r="E2063" t="s">
        <v>14</v>
      </c>
      <c r="F2063" t="s">
        <v>5738</v>
      </c>
      <c r="H2063">
        <v>1020034</v>
      </c>
      <c r="I2063" t="s">
        <v>17</v>
      </c>
      <c r="K2063" t="s">
        <v>5739</v>
      </c>
      <c r="L2063">
        <v>442</v>
      </c>
      <c r="M2063" t="s">
        <v>5740</v>
      </c>
    </row>
    <row r="2064" spans="1:13">
      <c r="A2064" t="s">
        <v>13</v>
      </c>
      <c r="B2064">
        <v>2199808</v>
      </c>
      <c r="C2064">
        <v>2201073</v>
      </c>
      <c r="E2064" t="s">
        <v>14</v>
      </c>
      <c r="F2064" t="s">
        <v>5741</v>
      </c>
      <c r="H2064">
        <v>1020035</v>
      </c>
      <c r="I2064" t="s">
        <v>17</v>
      </c>
      <c r="K2064" t="s">
        <v>5742</v>
      </c>
      <c r="L2064">
        <v>421</v>
      </c>
      <c r="M2064" t="s">
        <v>5743</v>
      </c>
    </row>
    <row r="2065" spans="1:13">
      <c r="A2065" t="s">
        <v>13</v>
      </c>
      <c r="B2065">
        <v>2201070</v>
      </c>
      <c r="C2065">
        <v>2201408</v>
      </c>
      <c r="E2065" t="s">
        <v>38</v>
      </c>
      <c r="F2065" t="s">
        <v>49</v>
      </c>
      <c r="H2065">
        <v>1020036</v>
      </c>
      <c r="I2065" t="s">
        <v>17</v>
      </c>
      <c r="K2065" t="s">
        <v>5744</v>
      </c>
      <c r="L2065">
        <v>112</v>
      </c>
      <c r="M2065" t="s">
        <v>5745</v>
      </c>
    </row>
    <row r="2066" spans="1:13">
      <c r="A2066" t="s">
        <v>13</v>
      </c>
      <c r="B2066">
        <v>2201591</v>
      </c>
      <c r="C2066">
        <v>2201869</v>
      </c>
      <c r="E2066" t="s">
        <v>38</v>
      </c>
      <c r="F2066" t="s">
        <v>49</v>
      </c>
      <c r="H2066">
        <v>1020037</v>
      </c>
      <c r="I2066" t="s">
        <v>17</v>
      </c>
      <c r="K2066" t="s">
        <v>5746</v>
      </c>
      <c r="L2066">
        <v>92</v>
      </c>
      <c r="M2066" t="s">
        <v>5747</v>
      </c>
    </row>
    <row r="2067" spans="1:13">
      <c r="A2067" t="s">
        <v>13</v>
      </c>
      <c r="B2067">
        <v>2201989</v>
      </c>
      <c r="C2067">
        <v>2204481</v>
      </c>
      <c r="E2067" t="s">
        <v>38</v>
      </c>
      <c r="F2067" t="s">
        <v>5748</v>
      </c>
      <c r="G2067" t="s">
        <v>5749</v>
      </c>
      <c r="H2067">
        <v>1020038</v>
      </c>
      <c r="I2067" t="s">
        <v>17</v>
      </c>
      <c r="K2067" t="s">
        <v>5750</v>
      </c>
      <c r="L2067">
        <v>830</v>
      </c>
      <c r="M2067" t="s">
        <v>5751</v>
      </c>
    </row>
    <row r="2068" spans="1:13">
      <c r="A2068" t="s">
        <v>13</v>
      </c>
      <c r="B2068">
        <v>2204588</v>
      </c>
      <c r="C2068">
        <v>2205490</v>
      </c>
      <c r="E2068" t="s">
        <v>38</v>
      </c>
      <c r="F2068" t="s">
        <v>356</v>
      </c>
      <c r="H2068">
        <v>1020039</v>
      </c>
      <c r="I2068" t="s">
        <v>17</v>
      </c>
      <c r="K2068" t="s">
        <v>5752</v>
      </c>
      <c r="L2068">
        <v>300</v>
      </c>
      <c r="M2068" t="s">
        <v>5753</v>
      </c>
    </row>
    <row r="2069" spans="1:13">
      <c r="A2069" t="s">
        <v>13</v>
      </c>
      <c r="B2069">
        <v>2205665</v>
      </c>
      <c r="C2069">
        <v>2207092</v>
      </c>
      <c r="E2069" t="s">
        <v>38</v>
      </c>
      <c r="F2069" t="s">
        <v>5754</v>
      </c>
      <c r="G2069" t="s">
        <v>5755</v>
      </c>
      <c r="H2069">
        <v>1020040</v>
      </c>
      <c r="I2069" t="s">
        <v>17</v>
      </c>
      <c r="K2069" t="s">
        <v>5756</v>
      </c>
      <c r="L2069">
        <v>475</v>
      </c>
      <c r="M2069" t="s">
        <v>5757</v>
      </c>
    </row>
    <row r="2070" spans="1:13">
      <c r="A2070" t="s">
        <v>13</v>
      </c>
      <c r="B2070">
        <v>2207299</v>
      </c>
      <c r="C2070">
        <v>2208249</v>
      </c>
      <c r="E2070" t="s">
        <v>38</v>
      </c>
      <c r="F2070" t="s">
        <v>5758</v>
      </c>
      <c r="G2070" t="s">
        <v>5759</v>
      </c>
      <c r="H2070">
        <v>1020041</v>
      </c>
      <c r="I2070" t="s">
        <v>17</v>
      </c>
      <c r="K2070" t="s">
        <v>5760</v>
      </c>
      <c r="L2070">
        <v>316</v>
      </c>
      <c r="M2070" t="s">
        <v>5761</v>
      </c>
    </row>
    <row r="2071" spans="1:13">
      <c r="A2071" t="s">
        <v>13</v>
      </c>
      <c r="B2071">
        <v>2208364</v>
      </c>
      <c r="C2071">
        <v>2209149</v>
      </c>
      <c r="E2071" t="s">
        <v>38</v>
      </c>
      <c r="F2071" t="s">
        <v>5762</v>
      </c>
      <c r="H2071">
        <v>1020042</v>
      </c>
      <c r="I2071" t="s">
        <v>17</v>
      </c>
      <c r="K2071" t="s">
        <v>5763</v>
      </c>
      <c r="L2071">
        <v>261</v>
      </c>
      <c r="M2071" t="s">
        <v>5764</v>
      </c>
    </row>
    <row r="2072" spans="1:13">
      <c r="A2072" t="s">
        <v>13</v>
      </c>
      <c r="B2072">
        <v>2209229</v>
      </c>
      <c r="C2072">
        <v>2209888</v>
      </c>
      <c r="E2072" t="s">
        <v>38</v>
      </c>
      <c r="F2072" t="s">
        <v>5765</v>
      </c>
      <c r="H2072">
        <v>1020043</v>
      </c>
      <c r="I2072" t="s">
        <v>17</v>
      </c>
      <c r="K2072" t="s">
        <v>5766</v>
      </c>
      <c r="L2072">
        <v>219</v>
      </c>
      <c r="M2072" t="s">
        <v>5767</v>
      </c>
    </row>
    <row r="2073" spans="1:13">
      <c r="A2073" t="s">
        <v>13</v>
      </c>
      <c r="B2073">
        <v>2209917</v>
      </c>
      <c r="C2073">
        <v>2210273</v>
      </c>
      <c r="E2073" t="s">
        <v>38</v>
      </c>
      <c r="F2073" t="s">
        <v>5768</v>
      </c>
      <c r="G2073" t="s">
        <v>5769</v>
      </c>
      <c r="H2073">
        <v>1020044</v>
      </c>
      <c r="I2073" t="s">
        <v>17</v>
      </c>
      <c r="K2073" t="s">
        <v>5770</v>
      </c>
      <c r="L2073">
        <v>118</v>
      </c>
      <c r="M2073" t="s">
        <v>5771</v>
      </c>
    </row>
    <row r="2074" spans="1:13">
      <c r="A2074" t="s">
        <v>13</v>
      </c>
      <c r="B2074">
        <v>2210270</v>
      </c>
      <c r="C2074">
        <v>2211046</v>
      </c>
      <c r="E2074" t="s">
        <v>38</v>
      </c>
      <c r="F2074" t="s">
        <v>5772</v>
      </c>
      <c r="G2074" t="s">
        <v>5773</v>
      </c>
      <c r="H2074">
        <v>1020045</v>
      </c>
      <c r="I2074" t="s">
        <v>17</v>
      </c>
      <c r="K2074" t="s">
        <v>5774</v>
      </c>
      <c r="L2074">
        <v>258</v>
      </c>
      <c r="M2074" t="s">
        <v>5775</v>
      </c>
    </row>
    <row r="2075" spans="1:13">
      <c r="A2075" t="s">
        <v>13</v>
      </c>
      <c r="B2075">
        <v>2211048</v>
      </c>
      <c r="C2075">
        <v>2211875</v>
      </c>
      <c r="E2075" t="s">
        <v>38</v>
      </c>
      <c r="F2075" t="s">
        <v>2308</v>
      </c>
      <c r="H2075">
        <v>1020046</v>
      </c>
      <c r="I2075" t="s">
        <v>17</v>
      </c>
      <c r="K2075" t="s">
        <v>5776</v>
      </c>
      <c r="L2075">
        <v>275</v>
      </c>
      <c r="M2075" t="s">
        <v>5777</v>
      </c>
    </row>
    <row r="2076" spans="1:13">
      <c r="A2076" t="s">
        <v>13</v>
      </c>
      <c r="B2076">
        <v>2211879</v>
      </c>
      <c r="C2076">
        <v>2212619</v>
      </c>
      <c r="E2076" t="s">
        <v>38</v>
      </c>
      <c r="F2076" t="s">
        <v>5778</v>
      </c>
      <c r="G2076" t="s">
        <v>5779</v>
      </c>
      <c r="H2076">
        <v>1020047</v>
      </c>
      <c r="I2076" t="s">
        <v>17</v>
      </c>
      <c r="K2076" t="s">
        <v>5780</v>
      </c>
      <c r="L2076">
        <v>246</v>
      </c>
      <c r="M2076" t="s">
        <v>5781</v>
      </c>
    </row>
    <row r="2077" spans="1:13">
      <c r="A2077" t="s">
        <v>13</v>
      </c>
      <c r="B2077">
        <v>2212638</v>
      </c>
      <c r="C2077">
        <v>2213273</v>
      </c>
      <c r="E2077" t="s">
        <v>38</v>
      </c>
      <c r="F2077" t="s">
        <v>5782</v>
      </c>
      <c r="G2077" t="s">
        <v>5783</v>
      </c>
      <c r="H2077">
        <v>1020048</v>
      </c>
      <c r="I2077" t="s">
        <v>17</v>
      </c>
      <c r="K2077" t="s">
        <v>5784</v>
      </c>
      <c r="L2077">
        <v>211</v>
      </c>
      <c r="M2077" t="s">
        <v>5785</v>
      </c>
    </row>
    <row r="2078" spans="1:13">
      <c r="A2078" t="s">
        <v>13</v>
      </c>
      <c r="B2078">
        <v>2213624</v>
      </c>
      <c r="C2078">
        <v>2213757</v>
      </c>
      <c r="E2078" t="s">
        <v>38</v>
      </c>
      <c r="F2078" t="s">
        <v>141</v>
      </c>
      <c r="H2078">
        <v>92792303</v>
      </c>
      <c r="I2078" t="s">
        <v>142</v>
      </c>
      <c r="M2078" t="s">
        <v>5786</v>
      </c>
    </row>
    <row r="2079" spans="1:13">
      <c r="A2079" t="s">
        <v>13</v>
      </c>
      <c r="B2079">
        <v>2214318</v>
      </c>
      <c r="C2079">
        <v>2215586</v>
      </c>
      <c r="E2079" t="s">
        <v>38</v>
      </c>
      <c r="F2079" t="s">
        <v>265</v>
      </c>
      <c r="H2079">
        <v>1020049</v>
      </c>
      <c r="I2079" t="s">
        <v>17</v>
      </c>
      <c r="K2079" t="s">
        <v>5787</v>
      </c>
      <c r="L2079">
        <v>422</v>
      </c>
      <c r="M2079" t="s">
        <v>5788</v>
      </c>
    </row>
    <row r="2080" spans="1:13">
      <c r="A2080" t="s">
        <v>13</v>
      </c>
      <c r="B2080">
        <v>2215636</v>
      </c>
      <c r="C2080">
        <v>2215863</v>
      </c>
      <c r="E2080" t="s">
        <v>38</v>
      </c>
      <c r="F2080" t="s">
        <v>49</v>
      </c>
      <c r="H2080">
        <v>1020050</v>
      </c>
      <c r="I2080" t="s">
        <v>17</v>
      </c>
      <c r="K2080" t="s">
        <v>5789</v>
      </c>
      <c r="L2080">
        <v>75</v>
      </c>
      <c r="M2080" t="s">
        <v>5790</v>
      </c>
    </row>
    <row r="2081" spans="1:13">
      <c r="A2081" t="s">
        <v>13</v>
      </c>
      <c r="B2081">
        <v>2215866</v>
      </c>
      <c r="C2081">
        <v>2216474</v>
      </c>
      <c r="E2081" t="s">
        <v>38</v>
      </c>
      <c r="F2081" t="s">
        <v>5791</v>
      </c>
      <c r="G2081" t="s">
        <v>5792</v>
      </c>
      <c r="H2081">
        <v>1020051</v>
      </c>
      <c r="I2081" t="s">
        <v>17</v>
      </c>
      <c r="K2081" t="s">
        <v>5793</v>
      </c>
      <c r="L2081">
        <v>202</v>
      </c>
      <c r="M2081" t="s">
        <v>5794</v>
      </c>
    </row>
    <row r="2082" spans="1:13">
      <c r="A2082" t="s">
        <v>13</v>
      </c>
      <c r="B2082">
        <v>2216491</v>
      </c>
      <c r="C2082">
        <v>2217591</v>
      </c>
      <c r="E2082" t="s">
        <v>38</v>
      </c>
      <c r="F2082" t="s">
        <v>664</v>
      </c>
      <c r="H2082">
        <v>1020052</v>
      </c>
      <c r="I2082" t="s">
        <v>17</v>
      </c>
      <c r="K2082" t="s">
        <v>5795</v>
      </c>
      <c r="L2082">
        <v>366</v>
      </c>
      <c r="M2082" t="s">
        <v>5796</v>
      </c>
    </row>
    <row r="2083" spans="1:13">
      <c r="A2083" t="s">
        <v>13</v>
      </c>
      <c r="B2083">
        <v>2217597</v>
      </c>
      <c r="C2083">
        <v>2218925</v>
      </c>
      <c r="E2083" t="s">
        <v>38</v>
      </c>
      <c r="F2083" t="s">
        <v>5797</v>
      </c>
      <c r="G2083" t="s">
        <v>5798</v>
      </c>
      <c r="H2083">
        <v>1020053</v>
      </c>
      <c r="I2083" t="s">
        <v>17</v>
      </c>
      <c r="K2083" t="s">
        <v>5799</v>
      </c>
      <c r="L2083">
        <v>442</v>
      </c>
      <c r="M2083" t="s">
        <v>5800</v>
      </c>
    </row>
    <row r="2084" spans="1:13">
      <c r="A2084" t="s">
        <v>13</v>
      </c>
      <c r="B2084">
        <v>2219159</v>
      </c>
      <c r="C2084">
        <v>2220361</v>
      </c>
      <c r="E2084" t="s">
        <v>14</v>
      </c>
      <c r="F2084" t="s">
        <v>3644</v>
      </c>
      <c r="H2084">
        <v>1020054</v>
      </c>
      <c r="I2084" t="s">
        <v>17</v>
      </c>
      <c r="K2084" t="s">
        <v>5801</v>
      </c>
      <c r="L2084">
        <v>400</v>
      </c>
      <c r="M2084" t="s">
        <v>5802</v>
      </c>
    </row>
    <row r="2085" spans="1:13">
      <c r="A2085" t="s">
        <v>13</v>
      </c>
      <c r="B2085">
        <v>2220456</v>
      </c>
      <c r="C2085">
        <v>2221109</v>
      </c>
      <c r="E2085" t="s">
        <v>38</v>
      </c>
      <c r="F2085" t="s">
        <v>49</v>
      </c>
      <c r="H2085">
        <v>1020055</v>
      </c>
      <c r="I2085" t="s">
        <v>17</v>
      </c>
      <c r="K2085" t="s">
        <v>5803</v>
      </c>
      <c r="L2085">
        <v>217</v>
      </c>
      <c r="M2085" t="s">
        <v>5804</v>
      </c>
    </row>
    <row r="2086" spans="1:13">
      <c r="A2086" t="s">
        <v>13</v>
      </c>
      <c r="B2086">
        <v>2221184</v>
      </c>
      <c r="C2086">
        <v>2221828</v>
      </c>
      <c r="E2086" t="s">
        <v>38</v>
      </c>
      <c r="F2086" t="s">
        <v>49</v>
      </c>
      <c r="H2086">
        <v>1020056</v>
      </c>
      <c r="I2086" t="s">
        <v>17</v>
      </c>
      <c r="K2086" t="s">
        <v>5805</v>
      </c>
      <c r="L2086">
        <v>214</v>
      </c>
      <c r="M2086" t="s">
        <v>5806</v>
      </c>
    </row>
    <row r="2087" spans="1:13">
      <c r="A2087" t="s">
        <v>13</v>
      </c>
      <c r="B2087">
        <v>2221946</v>
      </c>
      <c r="C2087">
        <v>2222521</v>
      </c>
      <c r="E2087" t="s">
        <v>14</v>
      </c>
      <c r="F2087" t="s">
        <v>1126</v>
      </c>
      <c r="H2087">
        <v>1020057</v>
      </c>
      <c r="I2087" t="s">
        <v>17</v>
      </c>
      <c r="K2087" t="s">
        <v>5807</v>
      </c>
      <c r="L2087">
        <v>191</v>
      </c>
      <c r="M2087" t="s">
        <v>5808</v>
      </c>
    </row>
    <row r="2088" spans="1:13">
      <c r="A2088" t="s">
        <v>13</v>
      </c>
      <c r="B2088">
        <v>2222528</v>
      </c>
      <c r="C2088">
        <v>2225038</v>
      </c>
      <c r="E2088" t="s">
        <v>14</v>
      </c>
      <c r="F2088" t="s">
        <v>5809</v>
      </c>
      <c r="G2088" t="s">
        <v>5810</v>
      </c>
      <c r="H2088">
        <v>1020058</v>
      </c>
      <c r="I2088" t="s">
        <v>17</v>
      </c>
      <c r="K2088" t="s">
        <v>5811</v>
      </c>
      <c r="L2088">
        <v>836</v>
      </c>
      <c r="M2088" t="s">
        <v>5812</v>
      </c>
    </row>
    <row r="2089" spans="1:13">
      <c r="A2089" t="s">
        <v>13</v>
      </c>
      <c r="B2089">
        <v>2225149</v>
      </c>
      <c r="C2089">
        <v>2225952</v>
      </c>
      <c r="E2089" t="s">
        <v>14</v>
      </c>
      <c r="F2089" t="s">
        <v>1169</v>
      </c>
      <c r="H2089">
        <v>1020059</v>
      </c>
      <c r="I2089" t="s">
        <v>17</v>
      </c>
      <c r="K2089" t="s">
        <v>5813</v>
      </c>
      <c r="L2089">
        <v>267</v>
      </c>
      <c r="M2089" t="s">
        <v>5814</v>
      </c>
    </row>
    <row r="2090" spans="1:13">
      <c r="A2090" t="s">
        <v>13</v>
      </c>
      <c r="B2090">
        <v>2225987</v>
      </c>
      <c r="C2090">
        <v>2226763</v>
      </c>
      <c r="E2090" t="s">
        <v>38</v>
      </c>
      <c r="F2090" t="s">
        <v>5815</v>
      </c>
      <c r="H2090">
        <v>1020060</v>
      </c>
      <c r="I2090" t="s">
        <v>17</v>
      </c>
      <c r="K2090" t="s">
        <v>5816</v>
      </c>
      <c r="L2090">
        <v>258</v>
      </c>
      <c r="M2090" t="s">
        <v>5817</v>
      </c>
    </row>
    <row r="2091" spans="1:13">
      <c r="A2091" t="s">
        <v>13</v>
      </c>
      <c r="B2091">
        <v>2226766</v>
      </c>
      <c r="C2091">
        <v>2227779</v>
      </c>
      <c r="E2091" t="s">
        <v>38</v>
      </c>
      <c r="F2091" t="s">
        <v>524</v>
      </c>
      <c r="H2091">
        <v>1020061</v>
      </c>
      <c r="I2091" t="s">
        <v>17</v>
      </c>
      <c r="K2091" t="s">
        <v>5818</v>
      </c>
      <c r="L2091">
        <v>337</v>
      </c>
      <c r="M2091" t="s">
        <v>5819</v>
      </c>
    </row>
    <row r="2092" spans="1:13">
      <c r="A2092" t="s">
        <v>13</v>
      </c>
      <c r="B2092">
        <v>2227906</v>
      </c>
      <c r="C2092">
        <v>2228904</v>
      </c>
      <c r="E2092" t="s">
        <v>14</v>
      </c>
      <c r="F2092" t="s">
        <v>532</v>
      </c>
      <c r="H2092">
        <v>1020062</v>
      </c>
      <c r="I2092" t="s">
        <v>17</v>
      </c>
      <c r="K2092" t="s">
        <v>5820</v>
      </c>
      <c r="L2092">
        <v>332</v>
      </c>
      <c r="M2092" t="s">
        <v>5821</v>
      </c>
    </row>
    <row r="2093" spans="1:13">
      <c r="A2093" t="s">
        <v>13</v>
      </c>
      <c r="B2093">
        <v>2229096</v>
      </c>
      <c r="C2093">
        <v>2229896</v>
      </c>
      <c r="E2093" t="s">
        <v>38</v>
      </c>
      <c r="F2093" t="s">
        <v>147</v>
      </c>
      <c r="H2093">
        <v>1020063</v>
      </c>
      <c r="I2093" t="s">
        <v>17</v>
      </c>
      <c r="K2093" t="s">
        <v>5822</v>
      </c>
      <c r="L2093">
        <v>266</v>
      </c>
      <c r="M2093" t="s">
        <v>5823</v>
      </c>
    </row>
    <row r="2094" spans="1:13">
      <c r="A2094" t="s">
        <v>13</v>
      </c>
      <c r="B2094">
        <v>2229897</v>
      </c>
      <c r="C2094">
        <v>2230907</v>
      </c>
      <c r="E2094" t="s">
        <v>38</v>
      </c>
      <c r="F2094" t="s">
        <v>144</v>
      </c>
      <c r="H2094">
        <v>1020064</v>
      </c>
      <c r="I2094" t="s">
        <v>17</v>
      </c>
      <c r="K2094" t="s">
        <v>5824</v>
      </c>
      <c r="L2094">
        <v>336</v>
      </c>
      <c r="M2094" t="s">
        <v>5825</v>
      </c>
    </row>
    <row r="2095" spans="1:13">
      <c r="A2095" t="s">
        <v>13</v>
      </c>
      <c r="B2095">
        <v>2230944</v>
      </c>
      <c r="C2095">
        <v>2231933</v>
      </c>
      <c r="E2095" t="s">
        <v>38</v>
      </c>
      <c r="F2095" t="s">
        <v>1008</v>
      </c>
      <c r="H2095">
        <v>1020065</v>
      </c>
      <c r="I2095" t="s">
        <v>17</v>
      </c>
      <c r="K2095" t="s">
        <v>5826</v>
      </c>
      <c r="L2095">
        <v>329</v>
      </c>
      <c r="M2095" t="s">
        <v>5827</v>
      </c>
    </row>
    <row r="2096" spans="1:13">
      <c r="A2096" t="s">
        <v>13</v>
      </c>
      <c r="B2096">
        <v>2232014</v>
      </c>
      <c r="C2096">
        <v>2232457</v>
      </c>
      <c r="E2096" t="s">
        <v>38</v>
      </c>
      <c r="F2096" t="s">
        <v>3866</v>
      </c>
      <c r="H2096">
        <v>1020066</v>
      </c>
      <c r="I2096" t="s">
        <v>17</v>
      </c>
      <c r="K2096" t="s">
        <v>5828</v>
      </c>
      <c r="L2096">
        <v>147</v>
      </c>
      <c r="M2096" t="s">
        <v>5829</v>
      </c>
    </row>
    <row r="2097" spans="1:13">
      <c r="A2097" t="s">
        <v>13</v>
      </c>
      <c r="B2097">
        <v>2232671</v>
      </c>
      <c r="C2097">
        <v>2234074</v>
      </c>
      <c r="E2097" t="s">
        <v>14</v>
      </c>
      <c r="F2097" t="s">
        <v>3655</v>
      </c>
      <c r="H2097">
        <v>1020067</v>
      </c>
      <c r="I2097" t="s">
        <v>17</v>
      </c>
      <c r="K2097" t="s">
        <v>5830</v>
      </c>
      <c r="L2097">
        <v>467</v>
      </c>
      <c r="M2097" t="s">
        <v>5831</v>
      </c>
    </row>
    <row r="2098" spans="1:13">
      <c r="A2098" t="s">
        <v>13</v>
      </c>
      <c r="B2098">
        <v>2234159</v>
      </c>
      <c r="C2098">
        <v>2234767</v>
      </c>
      <c r="E2098" t="s">
        <v>14</v>
      </c>
      <c r="F2098" t="s">
        <v>49</v>
      </c>
      <c r="H2098">
        <v>1020068</v>
      </c>
      <c r="I2098" t="s">
        <v>17</v>
      </c>
      <c r="K2098" t="s">
        <v>5832</v>
      </c>
      <c r="L2098">
        <v>202</v>
      </c>
      <c r="M2098" t="s">
        <v>5833</v>
      </c>
    </row>
    <row r="2099" spans="1:13">
      <c r="A2099" t="s">
        <v>13</v>
      </c>
      <c r="B2099">
        <v>2234853</v>
      </c>
      <c r="C2099">
        <v>2237288</v>
      </c>
      <c r="E2099" t="s">
        <v>14</v>
      </c>
      <c r="F2099" t="s">
        <v>5834</v>
      </c>
      <c r="G2099" t="s">
        <v>5835</v>
      </c>
      <c r="H2099">
        <v>1020069</v>
      </c>
      <c r="I2099" t="s">
        <v>17</v>
      </c>
      <c r="K2099" t="s">
        <v>5836</v>
      </c>
      <c r="L2099">
        <v>811</v>
      </c>
      <c r="M2099" t="s">
        <v>5837</v>
      </c>
    </row>
    <row r="2100" spans="1:13">
      <c r="A2100" t="s">
        <v>13</v>
      </c>
      <c r="B2100">
        <v>2237332</v>
      </c>
      <c r="C2100">
        <v>2238357</v>
      </c>
      <c r="E2100" t="s">
        <v>14</v>
      </c>
      <c r="F2100" t="s">
        <v>3345</v>
      </c>
      <c r="H2100">
        <v>1020070</v>
      </c>
      <c r="I2100" t="s">
        <v>17</v>
      </c>
      <c r="K2100" t="s">
        <v>5838</v>
      </c>
      <c r="L2100">
        <v>341</v>
      </c>
      <c r="M2100" t="s">
        <v>5839</v>
      </c>
    </row>
    <row r="2101" spans="1:13">
      <c r="A2101" t="s">
        <v>13</v>
      </c>
      <c r="B2101">
        <v>2238479</v>
      </c>
      <c r="C2101">
        <v>2238610</v>
      </c>
      <c r="E2101" t="s">
        <v>14</v>
      </c>
      <c r="F2101" t="s">
        <v>49</v>
      </c>
      <c r="H2101">
        <v>92792327</v>
      </c>
      <c r="I2101" t="s">
        <v>17</v>
      </c>
      <c r="K2101" t="s">
        <v>5840</v>
      </c>
      <c r="L2101">
        <v>43</v>
      </c>
      <c r="M2101" t="s">
        <v>5841</v>
      </c>
    </row>
    <row r="2102" spans="1:13">
      <c r="A2102" t="s">
        <v>13</v>
      </c>
      <c r="B2102">
        <v>2238692</v>
      </c>
      <c r="C2102">
        <v>2239066</v>
      </c>
      <c r="E2102" t="s">
        <v>38</v>
      </c>
      <c r="F2102" t="s">
        <v>49</v>
      </c>
      <c r="H2102">
        <v>1020071</v>
      </c>
      <c r="I2102" t="s">
        <v>17</v>
      </c>
      <c r="K2102" t="s">
        <v>5842</v>
      </c>
      <c r="L2102">
        <v>124</v>
      </c>
      <c r="M2102" t="s">
        <v>5843</v>
      </c>
    </row>
    <row r="2103" spans="1:13">
      <c r="A2103" t="s">
        <v>13</v>
      </c>
      <c r="B2103">
        <v>2239506</v>
      </c>
      <c r="C2103">
        <v>2240546</v>
      </c>
      <c r="E2103" t="s">
        <v>38</v>
      </c>
      <c r="F2103" t="s">
        <v>49</v>
      </c>
      <c r="H2103">
        <v>1020072</v>
      </c>
      <c r="I2103" t="s">
        <v>17</v>
      </c>
      <c r="K2103" t="s">
        <v>5844</v>
      </c>
      <c r="L2103">
        <v>346</v>
      </c>
      <c r="M2103" t="s">
        <v>5845</v>
      </c>
    </row>
    <row r="2104" spans="1:13">
      <c r="A2104" t="s">
        <v>13</v>
      </c>
      <c r="B2104">
        <v>2240682</v>
      </c>
      <c r="C2104">
        <v>2241728</v>
      </c>
      <c r="E2104" t="s">
        <v>14</v>
      </c>
      <c r="F2104" t="s">
        <v>2071</v>
      </c>
      <c r="H2104">
        <v>1020073</v>
      </c>
      <c r="I2104" t="s">
        <v>17</v>
      </c>
      <c r="K2104" t="s">
        <v>5846</v>
      </c>
      <c r="L2104">
        <v>348</v>
      </c>
      <c r="M2104" t="s">
        <v>5847</v>
      </c>
    </row>
    <row r="2105" spans="1:13">
      <c r="A2105" t="s">
        <v>13</v>
      </c>
      <c r="B2105">
        <v>2241736</v>
      </c>
      <c r="C2105">
        <v>2242116</v>
      </c>
      <c r="E2105" t="s">
        <v>38</v>
      </c>
      <c r="F2105" t="s">
        <v>466</v>
      </c>
      <c r="H2105">
        <v>1020074</v>
      </c>
      <c r="I2105" t="s">
        <v>17</v>
      </c>
      <c r="K2105" t="s">
        <v>5848</v>
      </c>
      <c r="L2105">
        <v>126</v>
      </c>
      <c r="M2105" t="s">
        <v>5849</v>
      </c>
    </row>
    <row r="2106" spans="1:13">
      <c r="A2106" t="s">
        <v>13</v>
      </c>
      <c r="B2106">
        <v>2242127</v>
      </c>
      <c r="C2106">
        <v>2242360</v>
      </c>
      <c r="E2106" t="s">
        <v>38</v>
      </c>
      <c r="F2106" t="s">
        <v>49</v>
      </c>
      <c r="H2106">
        <v>1020075</v>
      </c>
      <c r="I2106" t="s">
        <v>17</v>
      </c>
      <c r="K2106" t="s">
        <v>5850</v>
      </c>
      <c r="L2106">
        <v>77</v>
      </c>
      <c r="M2106" t="s">
        <v>5851</v>
      </c>
    </row>
    <row r="2107" spans="1:13">
      <c r="A2107" t="s">
        <v>13</v>
      </c>
      <c r="B2107">
        <v>2242391</v>
      </c>
      <c r="C2107">
        <v>2243044</v>
      </c>
      <c r="E2107" t="s">
        <v>38</v>
      </c>
      <c r="F2107" t="s">
        <v>5852</v>
      </c>
      <c r="H2107">
        <v>1020076</v>
      </c>
      <c r="I2107" t="s">
        <v>17</v>
      </c>
      <c r="K2107" t="s">
        <v>5853</v>
      </c>
      <c r="L2107">
        <v>217</v>
      </c>
      <c r="M2107" t="s">
        <v>5854</v>
      </c>
    </row>
    <row r="2108" spans="1:13">
      <c r="A2108" t="s">
        <v>13</v>
      </c>
      <c r="B2108">
        <v>2243099</v>
      </c>
      <c r="C2108">
        <v>2244823</v>
      </c>
      <c r="E2108" t="s">
        <v>14</v>
      </c>
      <c r="F2108" t="s">
        <v>5855</v>
      </c>
      <c r="G2108" t="s">
        <v>5856</v>
      </c>
      <c r="H2108">
        <v>1020077</v>
      </c>
      <c r="I2108" t="s">
        <v>17</v>
      </c>
      <c r="K2108" t="s">
        <v>5857</v>
      </c>
      <c r="L2108">
        <v>574</v>
      </c>
      <c r="M2108" t="s">
        <v>5858</v>
      </c>
    </row>
    <row r="2109" spans="1:13">
      <c r="A2109" t="s">
        <v>13</v>
      </c>
      <c r="B2109">
        <v>2244862</v>
      </c>
      <c r="C2109">
        <v>2246172</v>
      </c>
      <c r="E2109" t="s">
        <v>38</v>
      </c>
      <c r="F2109" t="s">
        <v>5859</v>
      </c>
      <c r="G2109" t="s">
        <v>5860</v>
      </c>
      <c r="H2109">
        <v>1020078</v>
      </c>
      <c r="I2109" t="s">
        <v>17</v>
      </c>
      <c r="K2109" t="s">
        <v>5861</v>
      </c>
      <c r="L2109">
        <v>436</v>
      </c>
      <c r="M2109" t="s">
        <v>5862</v>
      </c>
    </row>
    <row r="2110" spans="1:13">
      <c r="A2110" t="s">
        <v>13</v>
      </c>
      <c r="B2110">
        <v>2246387</v>
      </c>
      <c r="C2110">
        <v>2246896</v>
      </c>
      <c r="E2110" t="s">
        <v>14</v>
      </c>
      <c r="F2110" t="s">
        <v>49</v>
      </c>
      <c r="H2110">
        <v>1020079</v>
      </c>
      <c r="I2110" t="s">
        <v>17</v>
      </c>
      <c r="K2110" t="s">
        <v>5863</v>
      </c>
      <c r="L2110">
        <v>169</v>
      </c>
      <c r="M2110" t="s">
        <v>5864</v>
      </c>
    </row>
    <row r="2111" spans="1:13">
      <c r="A2111" t="s">
        <v>13</v>
      </c>
      <c r="B2111">
        <v>2247004</v>
      </c>
      <c r="C2111">
        <v>2248209</v>
      </c>
      <c r="E2111" t="s">
        <v>38</v>
      </c>
      <c r="F2111" t="s">
        <v>5865</v>
      </c>
      <c r="H2111">
        <v>1020080</v>
      </c>
      <c r="I2111" t="s">
        <v>17</v>
      </c>
      <c r="K2111" t="s">
        <v>5866</v>
      </c>
      <c r="L2111">
        <v>401</v>
      </c>
      <c r="M2111" t="s">
        <v>5867</v>
      </c>
    </row>
    <row r="2112" spans="1:13">
      <c r="A2112" t="s">
        <v>13</v>
      </c>
      <c r="B2112">
        <v>2248356</v>
      </c>
      <c r="C2112">
        <v>2251922</v>
      </c>
      <c r="E2112" t="s">
        <v>38</v>
      </c>
      <c r="F2112" t="s">
        <v>5868</v>
      </c>
      <c r="G2112" t="s">
        <v>5869</v>
      </c>
      <c r="H2112">
        <v>1020081</v>
      </c>
      <c r="I2112" t="s">
        <v>17</v>
      </c>
      <c r="K2112" t="s">
        <v>5870</v>
      </c>
      <c r="L2112">
        <v>1188</v>
      </c>
      <c r="M2112" t="s">
        <v>5871</v>
      </c>
    </row>
    <row r="2113" spans="1:13">
      <c r="A2113" t="s">
        <v>13</v>
      </c>
      <c r="B2113">
        <v>2252018</v>
      </c>
      <c r="C2113">
        <v>2252860</v>
      </c>
      <c r="E2113" t="s">
        <v>14</v>
      </c>
      <c r="F2113" t="s">
        <v>5872</v>
      </c>
      <c r="G2113" t="s">
        <v>5873</v>
      </c>
      <c r="H2113">
        <v>1020082</v>
      </c>
      <c r="I2113" t="s">
        <v>17</v>
      </c>
      <c r="K2113" t="s">
        <v>5874</v>
      </c>
      <c r="L2113">
        <v>280</v>
      </c>
      <c r="M2113" t="s">
        <v>5875</v>
      </c>
    </row>
    <row r="2114" spans="1:13">
      <c r="A2114" t="s">
        <v>13</v>
      </c>
      <c r="B2114">
        <v>2253193</v>
      </c>
      <c r="C2114">
        <v>2253663</v>
      </c>
      <c r="E2114" t="s">
        <v>14</v>
      </c>
      <c r="F2114" t="s">
        <v>5876</v>
      </c>
      <c r="H2114">
        <v>1020083</v>
      </c>
      <c r="I2114" t="s">
        <v>17</v>
      </c>
      <c r="K2114" t="s">
        <v>5877</v>
      </c>
      <c r="L2114">
        <v>156</v>
      </c>
      <c r="M2114" t="s">
        <v>5878</v>
      </c>
    </row>
    <row r="2115" spans="1:13">
      <c r="A2115" t="s">
        <v>13</v>
      </c>
      <c r="B2115">
        <v>2253660</v>
      </c>
      <c r="C2115">
        <v>2254646</v>
      </c>
      <c r="E2115" t="s">
        <v>14</v>
      </c>
      <c r="F2115" t="s">
        <v>5708</v>
      </c>
      <c r="H2115">
        <v>1020084</v>
      </c>
      <c r="I2115" t="s">
        <v>17</v>
      </c>
      <c r="K2115" t="s">
        <v>5879</v>
      </c>
      <c r="L2115">
        <v>328</v>
      </c>
      <c r="M2115" t="s">
        <v>5880</v>
      </c>
    </row>
    <row r="2116" spans="1:13">
      <c r="A2116" t="s">
        <v>13</v>
      </c>
      <c r="B2116">
        <v>2254681</v>
      </c>
      <c r="C2116">
        <v>2255568</v>
      </c>
      <c r="E2116" t="s">
        <v>38</v>
      </c>
      <c r="F2116" t="s">
        <v>1841</v>
      </c>
      <c r="H2116">
        <v>1020085</v>
      </c>
      <c r="I2116" t="s">
        <v>17</v>
      </c>
      <c r="K2116" t="s">
        <v>5881</v>
      </c>
      <c r="L2116">
        <v>295</v>
      </c>
      <c r="M2116" t="s">
        <v>5882</v>
      </c>
    </row>
    <row r="2117" spans="1:13">
      <c r="A2117" t="s">
        <v>13</v>
      </c>
      <c r="B2117">
        <v>2255736</v>
      </c>
      <c r="C2117">
        <v>2258390</v>
      </c>
      <c r="E2117" t="s">
        <v>38</v>
      </c>
      <c r="F2117" t="s">
        <v>5883</v>
      </c>
      <c r="H2117">
        <v>44144984</v>
      </c>
      <c r="I2117" t="s">
        <v>17</v>
      </c>
      <c r="K2117" t="s">
        <v>5884</v>
      </c>
      <c r="L2117">
        <v>884</v>
      </c>
      <c r="M2117" t="s">
        <v>5885</v>
      </c>
    </row>
    <row r="2118" spans="1:13">
      <c r="A2118" t="s">
        <v>13</v>
      </c>
      <c r="B2118">
        <v>2258360</v>
      </c>
      <c r="C2118">
        <v>2259313</v>
      </c>
      <c r="E2118" t="s">
        <v>38</v>
      </c>
      <c r="F2118" t="s">
        <v>5886</v>
      </c>
      <c r="H2118">
        <v>1020087</v>
      </c>
      <c r="I2118" t="s">
        <v>17</v>
      </c>
      <c r="K2118" t="s">
        <v>5887</v>
      </c>
      <c r="L2118">
        <v>317</v>
      </c>
      <c r="M2118" t="s">
        <v>5888</v>
      </c>
    </row>
    <row r="2119" spans="1:13">
      <c r="A2119" t="s">
        <v>13</v>
      </c>
      <c r="B2119">
        <v>2259419</v>
      </c>
      <c r="C2119">
        <v>2260000</v>
      </c>
      <c r="E2119" t="s">
        <v>38</v>
      </c>
      <c r="F2119" t="s">
        <v>49</v>
      </c>
      <c r="H2119">
        <v>1020088</v>
      </c>
      <c r="I2119" t="s">
        <v>17</v>
      </c>
      <c r="K2119" t="s">
        <v>5889</v>
      </c>
      <c r="L2119">
        <v>193</v>
      </c>
      <c r="M2119" t="s">
        <v>5890</v>
      </c>
    </row>
    <row r="2120" spans="1:13">
      <c r="A2120" t="s">
        <v>13</v>
      </c>
      <c r="B2120">
        <v>2260000</v>
      </c>
      <c r="C2120">
        <v>2260932</v>
      </c>
      <c r="E2120" t="s">
        <v>38</v>
      </c>
      <c r="F2120" t="s">
        <v>958</v>
      </c>
      <c r="H2120">
        <v>1020089</v>
      </c>
      <c r="I2120" t="s">
        <v>17</v>
      </c>
      <c r="K2120" t="s">
        <v>5891</v>
      </c>
      <c r="L2120">
        <v>310</v>
      </c>
      <c r="M2120" t="s">
        <v>5892</v>
      </c>
    </row>
    <row r="2121" spans="1:13">
      <c r="A2121" t="s">
        <v>13</v>
      </c>
      <c r="B2121">
        <v>2260932</v>
      </c>
      <c r="C2121">
        <v>2261513</v>
      </c>
      <c r="E2121" t="s">
        <v>38</v>
      </c>
      <c r="F2121" t="s">
        <v>5893</v>
      </c>
      <c r="G2121" t="s">
        <v>5894</v>
      </c>
      <c r="H2121">
        <v>1020090</v>
      </c>
      <c r="I2121" t="s">
        <v>17</v>
      </c>
      <c r="K2121" t="s">
        <v>5895</v>
      </c>
      <c r="L2121">
        <v>193</v>
      </c>
      <c r="M2121" t="s">
        <v>5896</v>
      </c>
    </row>
    <row r="2122" spans="1:13">
      <c r="A2122" t="s">
        <v>13</v>
      </c>
      <c r="B2122">
        <v>2261833</v>
      </c>
      <c r="C2122">
        <v>2262693</v>
      </c>
      <c r="E2122" t="s">
        <v>14</v>
      </c>
      <c r="F2122" t="s">
        <v>49</v>
      </c>
      <c r="H2122">
        <v>1020091</v>
      </c>
      <c r="I2122" t="s">
        <v>17</v>
      </c>
      <c r="K2122" t="s">
        <v>5897</v>
      </c>
      <c r="L2122">
        <v>286</v>
      </c>
      <c r="M2122" t="s">
        <v>5898</v>
      </c>
    </row>
    <row r="2123" spans="1:13">
      <c r="A2123" t="s">
        <v>13</v>
      </c>
      <c r="B2123">
        <v>2262851</v>
      </c>
      <c r="C2123">
        <v>2264503</v>
      </c>
      <c r="E2123" t="s">
        <v>14</v>
      </c>
      <c r="F2123" t="s">
        <v>2635</v>
      </c>
      <c r="H2123">
        <v>1020092</v>
      </c>
      <c r="I2123" t="s">
        <v>17</v>
      </c>
      <c r="K2123" t="s">
        <v>5899</v>
      </c>
      <c r="L2123">
        <v>550</v>
      </c>
      <c r="M2123" t="s">
        <v>5900</v>
      </c>
    </row>
    <row r="2124" spans="1:13">
      <c r="A2124" t="s">
        <v>13</v>
      </c>
      <c r="B2124">
        <v>2264507</v>
      </c>
      <c r="C2124">
        <v>2265109</v>
      </c>
      <c r="E2124" t="s">
        <v>38</v>
      </c>
      <c r="F2124" t="s">
        <v>49</v>
      </c>
      <c r="H2124">
        <v>1020093</v>
      </c>
      <c r="I2124" t="s">
        <v>17</v>
      </c>
      <c r="K2124" t="s">
        <v>5901</v>
      </c>
      <c r="L2124">
        <v>200</v>
      </c>
      <c r="M2124" t="s">
        <v>5902</v>
      </c>
    </row>
    <row r="2125" spans="1:13">
      <c r="A2125" t="s">
        <v>13</v>
      </c>
      <c r="B2125">
        <v>2265421</v>
      </c>
      <c r="C2125">
        <v>2266398</v>
      </c>
      <c r="E2125" t="s">
        <v>14</v>
      </c>
      <c r="F2125" t="s">
        <v>5903</v>
      </c>
      <c r="H2125">
        <v>1020094</v>
      </c>
      <c r="I2125" t="s">
        <v>17</v>
      </c>
      <c r="K2125" t="s">
        <v>5904</v>
      </c>
      <c r="L2125">
        <v>325</v>
      </c>
      <c r="M2125" t="s">
        <v>5905</v>
      </c>
    </row>
    <row r="2126" spans="1:13">
      <c r="A2126" t="s">
        <v>13</v>
      </c>
      <c r="B2126">
        <v>2266895</v>
      </c>
      <c r="C2126">
        <v>2268298</v>
      </c>
      <c r="E2126" t="s">
        <v>38</v>
      </c>
      <c r="F2126" t="s">
        <v>5906</v>
      </c>
      <c r="H2126">
        <v>1020096</v>
      </c>
      <c r="I2126" t="s">
        <v>17</v>
      </c>
      <c r="K2126" t="s">
        <v>5907</v>
      </c>
      <c r="L2126">
        <v>467</v>
      </c>
      <c r="M2126" t="s">
        <v>5908</v>
      </c>
    </row>
    <row r="2127" spans="1:13">
      <c r="A2127" t="s">
        <v>13</v>
      </c>
      <c r="B2127">
        <v>2268386</v>
      </c>
      <c r="C2127">
        <v>2269246</v>
      </c>
      <c r="E2127" t="s">
        <v>38</v>
      </c>
      <c r="F2127" t="s">
        <v>425</v>
      </c>
      <c r="H2127">
        <v>1020097</v>
      </c>
      <c r="I2127" t="s">
        <v>17</v>
      </c>
      <c r="K2127" t="s">
        <v>5909</v>
      </c>
      <c r="L2127">
        <v>286</v>
      </c>
      <c r="M2127" t="s">
        <v>5910</v>
      </c>
    </row>
    <row r="2128" spans="1:13">
      <c r="A2128" t="s">
        <v>13</v>
      </c>
      <c r="B2128">
        <v>2269258</v>
      </c>
      <c r="C2128">
        <v>2270262</v>
      </c>
      <c r="E2128" t="s">
        <v>38</v>
      </c>
      <c r="F2128" t="s">
        <v>4077</v>
      </c>
      <c r="H2128">
        <v>1020098</v>
      </c>
      <c r="I2128" t="s">
        <v>17</v>
      </c>
      <c r="K2128" t="s">
        <v>5911</v>
      </c>
      <c r="L2128">
        <v>334</v>
      </c>
      <c r="M2128" t="s">
        <v>5912</v>
      </c>
    </row>
    <row r="2129" spans="1:13">
      <c r="A2129" t="s">
        <v>13</v>
      </c>
      <c r="B2129">
        <v>2270256</v>
      </c>
      <c r="C2129">
        <v>2270870</v>
      </c>
      <c r="E2129" t="s">
        <v>38</v>
      </c>
      <c r="F2129" t="s">
        <v>49</v>
      </c>
      <c r="H2129">
        <v>1020099</v>
      </c>
      <c r="I2129" t="s">
        <v>17</v>
      </c>
      <c r="K2129" t="s">
        <v>5913</v>
      </c>
      <c r="L2129">
        <v>204</v>
      </c>
      <c r="M2129" t="s">
        <v>5914</v>
      </c>
    </row>
    <row r="2130" spans="1:13">
      <c r="A2130" t="s">
        <v>13</v>
      </c>
      <c r="B2130">
        <v>2270986</v>
      </c>
      <c r="C2130">
        <v>2274150</v>
      </c>
      <c r="E2130" t="s">
        <v>38</v>
      </c>
      <c r="F2130" t="s">
        <v>5915</v>
      </c>
      <c r="G2130" t="s">
        <v>5916</v>
      </c>
      <c r="H2130">
        <v>1020100</v>
      </c>
      <c r="I2130" t="s">
        <v>17</v>
      </c>
      <c r="K2130" t="s">
        <v>5917</v>
      </c>
      <c r="L2130">
        <v>1054</v>
      </c>
      <c r="M2130" t="s">
        <v>5918</v>
      </c>
    </row>
    <row r="2131" spans="1:13">
      <c r="A2131" t="s">
        <v>13</v>
      </c>
      <c r="B2131">
        <v>2274471</v>
      </c>
      <c r="C2131">
        <v>2274689</v>
      </c>
      <c r="E2131" t="s">
        <v>38</v>
      </c>
      <c r="F2131" t="s">
        <v>49</v>
      </c>
      <c r="H2131">
        <v>1020101</v>
      </c>
      <c r="I2131" t="s">
        <v>17</v>
      </c>
      <c r="K2131" t="s">
        <v>5919</v>
      </c>
      <c r="L2131">
        <v>72</v>
      </c>
      <c r="M2131" t="s">
        <v>5920</v>
      </c>
    </row>
    <row r="2132" spans="1:13">
      <c r="A2132" t="s">
        <v>13</v>
      </c>
      <c r="B2132">
        <v>2274765</v>
      </c>
      <c r="C2132">
        <v>2275862</v>
      </c>
      <c r="E2132" t="s">
        <v>38</v>
      </c>
      <c r="F2132" t="s">
        <v>5722</v>
      </c>
      <c r="H2132">
        <v>1020102</v>
      </c>
      <c r="I2132" t="s">
        <v>17</v>
      </c>
      <c r="K2132" t="s">
        <v>5921</v>
      </c>
      <c r="L2132">
        <v>365</v>
      </c>
      <c r="M2132" t="s">
        <v>5922</v>
      </c>
    </row>
    <row r="2133" spans="1:13">
      <c r="A2133" t="s">
        <v>13</v>
      </c>
      <c r="B2133">
        <v>2276351</v>
      </c>
      <c r="C2133">
        <v>2276638</v>
      </c>
      <c r="E2133" t="s">
        <v>38</v>
      </c>
      <c r="F2133" t="s">
        <v>5923</v>
      </c>
      <c r="H2133">
        <v>1020103</v>
      </c>
      <c r="I2133" t="s">
        <v>17</v>
      </c>
      <c r="K2133" t="s">
        <v>5924</v>
      </c>
      <c r="L2133">
        <v>95</v>
      </c>
      <c r="M2133" t="s">
        <v>5925</v>
      </c>
    </row>
    <row r="2134" spans="1:13">
      <c r="A2134" t="s">
        <v>13</v>
      </c>
      <c r="B2134">
        <v>2276879</v>
      </c>
      <c r="C2134">
        <v>2277337</v>
      </c>
      <c r="E2134" t="s">
        <v>38</v>
      </c>
      <c r="F2134" t="s">
        <v>5926</v>
      </c>
      <c r="H2134">
        <v>1020104</v>
      </c>
      <c r="I2134" t="s">
        <v>17</v>
      </c>
      <c r="K2134" t="s">
        <v>5927</v>
      </c>
      <c r="L2134">
        <v>152</v>
      </c>
      <c r="M2134" t="s">
        <v>5928</v>
      </c>
    </row>
    <row r="2135" spans="1:13">
      <c r="A2135" t="s">
        <v>13</v>
      </c>
      <c r="B2135">
        <v>2277414</v>
      </c>
      <c r="C2135">
        <v>2278118</v>
      </c>
      <c r="E2135" t="s">
        <v>38</v>
      </c>
      <c r="F2135" t="s">
        <v>5929</v>
      </c>
      <c r="H2135">
        <v>1020105</v>
      </c>
      <c r="I2135" t="s">
        <v>17</v>
      </c>
      <c r="K2135" t="s">
        <v>5930</v>
      </c>
      <c r="L2135">
        <v>234</v>
      </c>
      <c r="M2135" t="s">
        <v>5931</v>
      </c>
    </row>
    <row r="2136" spans="1:13">
      <c r="A2136" t="s">
        <v>13</v>
      </c>
      <c r="B2136">
        <v>2278120</v>
      </c>
      <c r="C2136">
        <v>2278860</v>
      </c>
      <c r="E2136" t="s">
        <v>38</v>
      </c>
      <c r="F2136" t="s">
        <v>5932</v>
      </c>
      <c r="G2136" t="s">
        <v>5933</v>
      </c>
      <c r="H2136">
        <v>1020106</v>
      </c>
      <c r="I2136" t="s">
        <v>17</v>
      </c>
      <c r="K2136" t="s">
        <v>5934</v>
      </c>
      <c r="L2136">
        <v>246</v>
      </c>
      <c r="M2136" t="s">
        <v>5935</v>
      </c>
    </row>
    <row r="2137" spans="1:13">
      <c r="A2137" t="s">
        <v>13</v>
      </c>
      <c r="B2137">
        <v>2278888</v>
      </c>
      <c r="C2137">
        <v>2280216</v>
      </c>
      <c r="E2137" t="s">
        <v>38</v>
      </c>
      <c r="F2137" t="s">
        <v>5936</v>
      </c>
      <c r="G2137" t="s">
        <v>5937</v>
      </c>
      <c r="H2137">
        <v>1020107</v>
      </c>
      <c r="I2137" t="s">
        <v>17</v>
      </c>
      <c r="K2137" t="s">
        <v>5938</v>
      </c>
      <c r="L2137">
        <v>442</v>
      </c>
      <c r="M2137" t="s">
        <v>5939</v>
      </c>
    </row>
    <row r="2138" spans="1:13">
      <c r="A2138" t="s">
        <v>13</v>
      </c>
      <c r="B2138">
        <v>2280468</v>
      </c>
      <c r="C2138">
        <v>2281136</v>
      </c>
      <c r="E2138" t="s">
        <v>38</v>
      </c>
      <c r="F2138" t="s">
        <v>5940</v>
      </c>
      <c r="G2138" t="s">
        <v>5941</v>
      </c>
      <c r="H2138">
        <v>1020108</v>
      </c>
      <c r="I2138" t="s">
        <v>17</v>
      </c>
      <c r="K2138" t="s">
        <v>5942</v>
      </c>
      <c r="L2138">
        <v>222</v>
      </c>
      <c r="M2138" t="s">
        <v>5943</v>
      </c>
    </row>
    <row r="2139" spans="1:13">
      <c r="A2139" t="s">
        <v>13</v>
      </c>
      <c r="B2139">
        <v>2281164</v>
      </c>
      <c r="C2139">
        <v>2282546</v>
      </c>
      <c r="E2139" t="s">
        <v>38</v>
      </c>
      <c r="F2139" t="s">
        <v>5944</v>
      </c>
      <c r="G2139" t="s">
        <v>5945</v>
      </c>
      <c r="H2139">
        <v>1020109</v>
      </c>
      <c r="I2139" t="s">
        <v>17</v>
      </c>
      <c r="K2139" t="s">
        <v>5946</v>
      </c>
      <c r="L2139">
        <v>460</v>
      </c>
      <c r="M2139" t="s">
        <v>5947</v>
      </c>
    </row>
    <row r="2140" spans="1:13">
      <c r="A2140" t="s">
        <v>13</v>
      </c>
      <c r="B2140">
        <v>2282659</v>
      </c>
      <c r="C2140">
        <v>2283750</v>
      </c>
      <c r="E2140" t="s">
        <v>38</v>
      </c>
      <c r="F2140" t="s">
        <v>5948</v>
      </c>
      <c r="G2140" t="s">
        <v>5949</v>
      </c>
      <c r="H2140">
        <v>1020110</v>
      </c>
      <c r="I2140" t="s">
        <v>17</v>
      </c>
      <c r="K2140" t="s">
        <v>5950</v>
      </c>
      <c r="L2140">
        <v>363</v>
      </c>
      <c r="M2140" t="s">
        <v>5951</v>
      </c>
    </row>
    <row r="2141" spans="1:13">
      <c r="A2141" t="s">
        <v>13</v>
      </c>
      <c r="B2141">
        <v>2283780</v>
      </c>
      <c r="C2141">
        <v>2285432</v>
      </c>
      <c r="E2141" t="s">
        <v>38</v>
      </c>
      <c r="F2141" t="s">
        <v>5952</v>
      </c>
      <c r="H2141">
        <v>1020111</v>
      </c>
      <c r="I2141" t="s">
        <v>17</v>
      </c>
      <c r="K2141" t="s">
        <v>5953</v>
      </c>
      <c r="L2141">
        <v>550</v>
      </c>
      <c r="M2141" t="s">
        <v>5954</v>
      </c>
    </row>
    <row r="2142" spans="1:13">
      <c r="A2142" t="s">
        <v>13</v>
      </c>
      <c r="B2142">
        <v>2285435</v>
      </c>
      <c r="C2142">
        <v>2286853</v>
      </c>
      <c r="E2142" t="s">
        <v>38</v>
      </c>
      <c r="F2142" t="s">
        <v>5955</v>
      </c>
      <c r="G2142" t="s">
        <v>5956</v>
      </c>
      <c r="H2142">
        <v>1020112</v>
      </c>
      <c r="I2142" t="s">
        <v>17</v>
      </c>
      <c r="K2142" t="s">
        <v>5957</v>
      </c>
      <c r="L2142">
        <v>472</v>
      </c>
      <c r="M2142" t="s">
        <v>5958</v>
      </c>
    </row>
    <row r="2143" spans="1:13">
      <c r="A2143" t="s">
        <v>13</v>
      </c>
      <c r="B2143">
        <v>2286860</v>
      </c>
      <c r="C2143">
        <v>2287960</v>
      </c>
      <c r="E2143" t="s">
        <v>38</v>
      </c>
      <c r="F2143" t="s">
        <v>5959</v>
      </c>
      <c r="G2143" t="s">
        <v>5960</v>
      </c>
      <c r="H2143">
        <v>1020113</v>
      </c>
      <c r="I2143" t="s">
        <v>17</v>
      </c>
      <c r="K2143" t="s">
        <v>5961</v>
      </c>
      <c r="L2143">
        <v>366</v>
      </c>
      <c r="M2143" t="s">
        <v>5962</v>
      </c>
    </row>
    <row r="2144" spans="1:13">
      <c r="A2144" t="s">
        <v>13</v>
      </c>
      <c r="B2144">
        <v>2287967</v>
      </c>
      <c r="C2144">
        <v>2289511</v>
      </c>
      <c r="E2144" t="s">
        <v>38</v>
      </c>
      <c r="F2144" t="s">
        <v>5963</v>
      </c>
      <c r="G2144" t="s">
        <v>5964</v>
      </c>
      <c r="H2144">
        <v>1020114</v>
      </c>
      <c r="I2144" t="s">
        <v>17</v>
      </c>
      <c r="K2144" t="s">
        <v>5965</v>
      </c>
      <c r="L2144">
        <v>514</v>
      </c>
      <c r="M2144" t="s">
        <v>5966</v>
      </c>
    </row>
    <row r="2145" spans="1:13">
      <c r="A2145" t="s">
        <v>13</v>
      </c>
      <c r="B2145">
        <v>2289521</v>
      </c>
      <c r="C2145">
        <v>2291086</v>
      </c>
      <c r="E2145" t="s">
        <v>38</v>
      </c>
      <c r="F2145" t="s">
        <v>5967</v>
      </c>
      <c r="H2145">
        <v>1020115</v>
      </c>
      <c r="I2145" t="s">
        <v>17</v>
      </c>
      <c r="K2145" t="s">
        <v>5968</v>
      </c>
      <c r="L2145">
        <v>521</v>
      </c>
      <c r="M2145" t="s">
        <v>5969</v>
      </c>
    </row>
    <row r="2146" spans="1:13">
      <c r="A2146" t="s">
        <v>13</v>
      </c>
      <c r="B2146">
        <v>2291210</v>
      </c>
      <c r="C2146">
        <v>2293165</v>
      </c>
      <c r="E2146" t="s">
        <v>38</v>
      </c>
      <c r="F2146" t="s">
        <v>5970</v>
      </c>
      <c r="H2146">
        <v>1020116</v>
      </c>
      <c r="I2146" t="s">
        <v>17</v>
      </c>
      <c r="K2146" t="s">
        <v>5971</v>
      </c>
      <c r="L2146">
        <v>651</v>
      </c>
      <c r="M2146" t="s">
        <v>5972</v>
      </c>
    </row>
    <row r="2147" spans="1:13">
      <c r="A2147" t="s">
        <v>13</v>
      </c>
      <c r="B2147">
        <v>2293321</v>
      </c>
      <c r="C2147">
        <v>2294118</v>
      </c>
      <c r="E2147" t="s">
        <v>38</v>
      </c>
      <c r="F2147" t="s">
        <v>49</v>
      </c>
      <c r="H2147">
        <v>1020117</v>
      </c>
      <c r="I2147" t="s">
        <v>17</v>
      </c>
      <c r="K2147" t="s">
        <v>5973</v>
      </c>
      <c r="L2147">
        <v>265</v>
      </c>
      <c r="M2147" t="s">
        <v>5974</v>
      </c>
    </row>
    <row r="2148" spans="1:13">
      <c r="A2148" t="s">
        <v>13</v>
      </c>
      <c r="B2148">
        <v>2294115</v>
      </c>
      <c r="C2148">
        <v>2295128</v>
      </c>
      <c r="E2148" t="s">
        <v>38</v>
      </c>
      <c r="F2148" t="s">
        <v>5975</v>
      </c>
      <c r="G2148" t="s">
        <v>5976</v>
      </c>
      <c r="H2148">
        <v>1020118</v>
      </c>
      <c r="I2148" t="s">
        <v>17</v>
      </c>
      <c r="K2148" t="s">
        <v>5977</v>
      </c>
      <c r="L2148">
        <v>337</v>
      </c>
      <c r="M2148" t="s">
        <v>5978</v>
      </c>
    </row>
    <row r="2149" spans="1:13">
      <c r="A2149" t="s">
        <v>13</v>
      </c>
      <c r="B2149">
        <v>2295374</v>
      </c>
      <c r="C2149">
        <v>2295805</v>
      </c>
      <c r="E2149" t="s">
        <v>38</v>
      </c>
      <c r="F2149" t="s">
        <v>5979</v>
      </c>
      <c r="G2149" t="s">
        <v>5980</v>
      </c>
      <c r="H2149">
        <v>1020119</v>
      </c>
      <c r="I2149" t="s">
        <v>17</v>
      </c>
      <c r="K2149" t="s">
        <v>5981</v>
      </c>
      <c r="L2149">
        <v>143</v>
      </c>
      <c r="M2149" t="s">
        <v>5982</v>
      </c>
    </row>
    <row r="2150" spans="1:13">
      <c r="A2150" t="s">
        <v>13</v>
      </c>
      <c r="B2150">
        <v>2296506</v>
      </c>
      <c r="C2150">
        <v>2296899</v>
      </c>
      <c r="E2150" t="s">
        <v>38</v>
      </c>
      <c r="F2150" t="s">
        <v>141</v>
      </c>
      <c r="H2150">
        <v>1020120</v>
      </c>
      <c r="I2150" t="s">
        <v>142</v>
      </c>
      <c r="M2150" t="s">
        <v>5983</v>
      </c>
    </row>
    <row r="2151" spans="1:13">
      <c r="A2151" t="s">
        <v>13</v>
      </c>
      <c r="B2151">
        <v>2297229</v>
      </c>
      <c r="C2151">
        <v>2297654</v>
      </c>
      <c r="E2151" t="s">
        <v>38</v>
      </c>
      <c r="F2151" t="s">
        <v>5984</v>
      </c>
      <c r="H2151">
        <v>1020121</v>
      </c>
      <c r="I2151" t="s">
        <v>17</v>
      </c>
      <c r="K2151" t="s">
        <v>5985</v>
      </c>
      <c r="L2151">
        <v>141</v>
      </c>
      <c r="M2151" t="s">
        <v>5986</v>
      </c>
    </row>
    <row r="2152" spans="1:13">
      <c r="A2152" t="s">
        <v>13</v>
      </c>
      <c r="B2152">
        <v>2297879</v>
      </c>
      <c r="C2152">
        <v>2298442</v>
      </c>
      <c r="E2152" t="s">
        <v>14</v>
      </c>
      <c r="F2152" t="s">
        <v>549</v>
      </c>
      <c r="H2152">
        <v>1020122</v>
      </c>
      <c r="I2152" t="s">
        <v>17</v>
      </c>
      <c r="K2152" t="s">
        <v>5987</v>
      </c>
      <c r="L2152">
        <v>187</v>
      </c>
      <c r="M2152" t="s">
        <v>5988</v>
      </c>
    </row>
    <row r="2153" spans="1:13">
      <c r="A2153" t="s">
        <v>13</v>
      </c>
      <c r="B2153">
        <v>2298449</v>
      </c>
      <c r="C2153">
        <v>2299429</v>
      </c>
      <c r="E2153" t="s">
        <v>38</v>
      </c>
      <c r="F2153" t="s">
        <v>5989</v>
      </c>
      <c r="G2153" t="s">
        <v>5990</v>
      </c>
      <c r="H2153">
        <v>1020123</v>
      </c>
      <c r="I2153" t="s">
        <v>17</v>
      </c>
      <c r="K2153" t="s">
        <v>5991</v>
      </c>
      <c r="L2153">
        <v>326</v>
      </c>
      <c r="M2153" t="s">
        <v>5992</v>
      </c>
    </row>
    <row r="2154" spans="1:13">
      <c r="A2154" t="s">
        <v>13</v>
      </c>
      <c r="B2154">
        <v>2299540</v>
      </c>
      <c r="C2154">
        <v>2300640</v>
      </c>
      <c r="E2154" t="s">
        <v>14</v>
      </c>
      <c r="F2154" t="s">
        <v>5993</v>
      </c>
      <c r="G2154" t="s">
        <v>5994</v>
      </c>
      <c r="H2154">
        <v>1020124</v>
      </c>
      <c r="I2154" t="s">
        <v>17</v>
      </c>
      <c r="K2154" t="s">
        <v>5995</v>
      </c>
      <c r="L2154">
        <v>366</v>
      </c>
      <c r="M2154" t="s">
        <v>5996</v>
      </c>
    </row>
    <row r="2155" spans="1:13">
      <c r="A2155" t="s">
        <v>13</v>
      </c>
      <c r="B2155">
        <v>2300650</v>
      </c>
      <c r="C2155">
        <v>2302179</v>
      </c>
      <c r="E2155" t="s">
        <v>14</v>
      </c>
      <c r="F2155" t="s">
        <v>5997</v>
      </c>
      <c r="H2155">
        <v>1020125</v>
      </c>
      <c r="I2155" t="s">
        <v>17</v>
      </c>
      <c r="K2155" t="s">
        <v>5998</v>
      </c>
      <c r="L2155">
        <v>509</v>
      </c>
      <c r="M2155" t="s">
        <v>5999</v>
      </c>
    </row>
    <row r="2156" spans="1:13">
      <c r="A2156" t="s">
        <v>13</v>
      </c>
      <c r="B2156">
        <v>2302249</v>
      </c>
      <c r="C2156">
        <v>2302620</v>
      </c>
      <c r="E2156" t="s">
        <v>38</v>
      </c>
      <c r="F2156" t="s">
        <v>6000</v>
      </c>
      <c r="H2156">
        <v>1020126</v>
      </c>
      <c r="I2156" t="s">
        <v>17</v>
      </c>
      <c r="K2156" t="s">
        <v>6001</v>
      </c>
      <c r="L2156">
        <v>123</v>
      </c>
      <c r="M2156" t="s">
        <v>6002</v>
      </c>
    </row>
    <row r="2157" spans="1:13">
      <c r="A2157" t="s">
        <v>13</v>
      </c>
      <c r="B2157">
        <v>2302762</v>
      </c>
      <c r="C2157">
        <v>2304984</v>
      </c>
      <c r="E2157" t="s">
        <v>14</v>
      </c>
      <c r="F2157" t="s">
        <v>157</v>
      </c>
      <c r="G2157" t="s">
        <v>158</v>
      </c>
      <c r="H2157">
        <v>1020127</v>
      </c>
      <c r="I2157" t="s">
        <v>17</v>
      </c>
      <c r="K2157" t="s">
        <v>6003</v>
      </c>
      <c r="L2157">
        <v>740</v>
      </c>
      <c r="M2157" t="s">
        <v>6004</v>
      </c>
    </row>
    <row r="2158" spans="1:13">
      <c r="A2158" t="s">
        <v>13</v>
      </c>
      <c r="B2158">
        <v>2304984</v>
      </c>
      <c r="C2158">
        <v>2306222</v>
      </c>
      <c r="E2158" t="s">
        <v>14</v>
      </c>
      <c r="F2158" t="s">
        <v>6005</v>
      </c>
      <c r="H2158">
        <v>1020128</v>
      </c>
      <c r="I2158" t="s">
        <v>17</v>
      </c>
      <c r="K2158" t="s">
        <v>6006</v>
      </c>
      <c r="L2158">
        <v>412</v>
      </c>
      <c r="M2158" t="s">
        <v>6007</v>
      </c>
    </row>
    <row r="2159" spans="1:13">
      <c r="A2159" t="s">
        <v>13</v>
      </c>
      <c r="B2159">
        <v>2306315</v>
      </c>
      <c r="C2159">
        <v>2307625</v>
      </c>
      <c r="E2159" t="s">
        <v>14</v>
      </c>
      <c r="F2159" t="s">
        <v>6008</v>
      </c>
      <c r="G2159" t="s">
        <v>6009</v>
      </c>
      <c r="H2159">
        <v>1020129</v>
      </c>
      <c r="I2159" t="s">
        <v>17</v>
      </c>
      <c r="K2159" t="s">
        <v>6010</v>
      </c>
      <c r="L2159">
        <v>436</v>
      </c>
      <c r="M2159" t="s">
        <v>6011</v>
      </c>
    </row>
    <row r="2160" spans="1:13">
      <c r="A2160" t="s">
        <v>13</v>
      </c>
      <c r="B2160">
        <v>2307695</v>
      </c>
      <c r="C2160">
        <v>2309083</v>
      </c>
      <c r="E2160" t="s">
        <v>38</v>
      </c>
      <c r="F2160" t="s">
        <v>6012</v>
      </c>
      <c r="H2160">
        <v>1020130</v>
      </c>
      <c r="I2160" t="s">
        <v>17</v>
      </c>
      <c r="K2160" t="s">
        <v>6013</v>
      </c>
      <c r="L2160">
        <v>462</v>
      </c>
      <c r="M2160" t="s">
        <v>6014</v>
      </c>
    </row>
    <row r="2161" spans="1:13">
      <c r="A2161" t="s">
        <v>13</v>
      </c>
      <c r="B2161">
        <v>2309171</v>
      </c>
      <c r="C2161">
        <v>2309677</v>
      </c>
      <c r="E2161" t="s">
        <v>38</v>
      </c>
      <c r="F2161" t="s">
        <v>6015</v>
      </c>
      <c r="H2161">
        <v>1020131</v>
      </c>
      <c r="I2161" t="s">
        <v>17</v>
      </c>
      <c r="K2161" t="s">
        <v>6016</v>
      </c>
      <c r="L2161">
        <v>168</v>
      </c>
      <c r="M2161" t="s">
        <v>6017</v>
      </c>
    </row>
    <row r="2162" spans="1:13">
      <c r="A2162" t="s">
        <v>13</v>
      </c>
      <c r="B2162">
        <v>2309818</v>
      </c>
      <c r="C2162">
        <v>2312256</v>
      </c>
      <c r="E2162" t="s">
        <v>14</v>
      </c>
      <c r="F2162" t="s">
        <v>6018</v>
      </c>
      <c r="G2162" t="s">
        <v>6019</v>
      </c>
      <c r="H2162">
        <v>1020132</v>
      </c>
      <c r="I2162" t="s">
        <v>17</v>
      </c>
      <c r="K2162" t="s">
        <v>6020</v>
      </c>
      <c r="L2162">
        <v>812</v>
      </c>
      <c r="M2162" t="s">
        <v>6021</v>
      </c>
    </row>
    <row r="2163" spans="1:13">
      <c r="A2163" t="s">
        <v>13</v>
      </c>
      <c r="B2163">
        <v>2312361</v>
      </c>
      <c r="C2163">
        <v>2313812</v>
      </c>
      <c r="E2163" t="s">
        <v>14</v>
      </c>
      <c r="F2163" t="s">
        <v>391</v>
      </c>
      <c r="H2163">
        <v>1020133</v>
      </c>
      <c r="I2163" t="s">
        <v>17</v>
      </c>
      <c r="K2163" t="s">
        <v>6022</v>
      </c>
      <c r="L2163">
        <v>483</v>
      </c>
      <c r="M2163" t="s">
        <v>6023</v>
      </c>
    </row>
    <row r="2164" spans="1:13">
      <c r="A2164" t="s">
        <v>13</v>
      </c>
      <c r="B2164">
        <v>2313914</v>
      </c>
      <c r="C2164">
        <v>2314093</v>
      </c>
      <c r="E2164" t="s">
        <v>38</v>
      </c>
      <c r="F2164" t="s">
        <v>49</v>
      </c>
      <c r="H2164">
        <v>1020134</v>
      </c>
      <c r="I2164" t="s">
        <v>17</v>
      </c>
      <c r="K2164" t="s">
        <v>6024</v>
      </c>
      <c r="L2164">
        <v>59</v>
      </c>
      <c r="M2164" t="s">
        <v>6025</v>
      </c>
    </row>
    <row r="2165" spans="1:13">
      <c r="A2165" t="s">
        <v>13</v>
      </c>
      <c r="B2165">
        <v>2314234</v>
      </c>
      <c r="C2165">
        <v>2315487</v>
      </c>
      <c r="E2165" t="s">
        <v>38</v>
      </c>
      <c r="F2165" t="s">
        <v>1071</v>
      </c>
      <c r="H2165">
        <v>1020135</v>
      </c>
      <c r="I2165" t="s">
        <v>17</v>
      </c>
      <c r="K2165" t="s">
        <v>6026</v>
      </c>
      <c r="L2165">
        <v>417</v>
      </c>
      <c r="M2165" t="s">
        <v>6027</v>
      </c>
    </row>
    <row r="2166" spans="1:13">
      <c r="A2166" t="s">
        <v>13</v>
      </c>
      <c r="B2166">
        <v>2315676</v>
      </c>
      <c r="C2166">
        <v>2316413</v>
      </c>
      <c r="E2166" t="s">
        <v>38</v>
      </c>
      <c r="F2166" t="s">
        <v>6028</v>
      </c>
      <c r="H2166">
        <v>1020136</v>
      </c>
      <c r="I2166" t="s">
        <v>17</v>
      </c>
      <c r="K2166" t="s">
        <v>6029</v>
      </c>
      <c r="L2166">
        <v>245</v>
      </c>
      <c r="M2166" t="s">
        <v>6030</v>
      </c>
    </row>
    <row r="2167" spans="1:13">
      <c r="A2167" t="s">
        <v>13</v>
      </c>
      <c r="B2167">
        <v>2316580</v>
      </c>
      <c r="C2167">
        <v>2317551</v>
      </c>
      <c r="E2167" t="s">
        <v>38</v>
      </c>
      <c r="F2167" t="s">
        <v>6031</v>
      </c>
      <c r="H2167">
        <v>1020137</v>
      </c>
      <c r="I2167" t="s">
        <v>17</v>
      </c>
      <c r="K2167" t="s">
        <v>6032</v>
      </c>
      <c r="L2167">
        <v>323</v>
      </c>
      <c r="M2167" t="s">
        <v>6033</v>
      </c>
    </row>
    <row r="2168" spans="1:13">
      <c r="A2168" t="s">
        <v>13</v>
      </c>
      <c r="B2168">
        <v>2317631</v>
      </c>
      <c r="C2168">
        <v>2318776</v>
      </c>
      <c r="E2168" t="s">
        <v>38</v>
      </c>
      <c r="F2168" t="s">
        <v>6034</v>
      </c>
      <c r="G2168" t="s">
        <v>6035</v>
      </c>
      <c r="H2168">
        <v>1020138</v>
      </c>
      <c r="I2168" t="s">
        <v>17</v>
      </c>
      <c r="K2168" t="s">
        <v>6036</v>
      </c>
      <c r="L2168">
        <v>381</v>
      </c>
      <c r="M2168" t="s">
        <v>6037</v>
      </c>
    </row>
    <row r="2169" spans="1:13">
      <c r="A2169" t="s">
        <v>13</v>
      </c>
      <c r="B2169">
        <v>2318802</v>
      </c>
      <c r="C2169">
        <v>2319821</v>
      </c>
      <c r="E2169" t="s">
        <v>38</v>
      </c>
      <c r="F2169" t="s">
        <v>6038</v>
      </c>
      <c r="H2169">
        <v>1020139</v>
      </c>
      <c r="I2169" t="s">
        <v>17</v>
      </c>
      <c r="K2169" t="s">
        <v>6039</v>
      </c>
      <c r="L2169">
        <v>339</v>
      </c>
      <c r="M2169" t="s">
        <v>6040</v>
      </c>
    </row>
    <row r="2170" spans="1:13">
      <c r="A2170" t="s">
        <v>13</v>
      </c>
      <c r="B2170">
        <v>2319966</v>
      </c>
      <c r="C2170">
        <v>2320595</v>
      </c>
      <c r="E2170" t="s">
        <v>38</v>
      </c>
      <c r="F2170" t="s">
        <v>1978</v>
      </c>
      <c r="H2170">
        <v>1020140</v>
      </c>
      <c r="I2170" t="s">
        <v>17</v>
      </c>
      <c r="K2170" t="s">
        <v>6041</v>
      </c>
      <c r="L2170">
        <v>209</v>
      </c>
      <c r="M2170" t="s">
        <v>6042</v>
      </c>
    </row>
    <row r="2171" spans="1:13">
      <c r="A2171" t="s">
        <v>13</v>
      </c>
      <c r="B2171">
        <v>2321470</v>
      </c>
      <c r="C2171">
        <v>2323089</v>
      </c>
      <c r="E2171" t="s">
        <v>38</v>
      </c>
      <c r="F2171" t="s">
        <v>6043</v>
      </c>
      <c r="G2171" t="s">
        <v>6044</v>
      </c>
      <c r="H2171">
        <v>1020141</v>
      </c>
      <c r="I2171" t="s">
        <v>17</v>
      </c>
      <c r="K2171" t="s">
        <v>6045</v>
      </c>
      <c r="L2171">
        <v>539</v>
      </c>
      <c r="M2171" t="s">
        <v>6046</v>
      </c>
    </row>
    <row r="2172" spans="1:13">
      <c r="A2172" t="s">
        <v>13</v>
      </c>
      <c r="B2172">
        <v>2323086</v>
      </c>
      <c r="C2172">
        <v>2324312</v>
      </c>
      <c r="E2172" t="s">
        <v>38</v>
      </c>
      <c r="F2172" t="s">
        <v>6047</v>
      </c>
      <c r="H2172">
        <v>1020142</v>
      </c>
      <c r="I2172" t="s">
        <v>17</v>
      </c>
      <c r="K2172" t="s">
        <v>6048</v>
      </c>
      <c r="L2172">
        <v>408</v>
      </c>
      <c r="M2172" t="s">
        <v>6049</v>
      </c>
    </row>
    <row r="2173" spans="1:13">
      <c r="A2173" t="s">
        <v>13</v>
      </c>
      <c r="B2173">
        <v>2324309</v>
      </c>
      <c r="C2173">
        <v>2325199</v>
      </c>
      <c r="E2173" t="s">
        <v>38</v>
      </c>
      <c r="F2173" t="s">
        <v>6050</v>
      </c>
      <c r="H2173">
        <v>1020143</v>
      </c>
      <c r="I2173" t="s">
        <v>17</v>
      </c>
      <c r="K2173" t="s">
        <v>6051</v>
      </c>
      <c r="L2173">
        <v>296</v>
      </c>
      <c r="M2173" t="s">
        <v>6052</v>
      </c>
    </row>
    <row r="2174" spans="1:13">
      <c r="A2174" t="s">
        <v>13</v>
      </c>
      <c r="B2174">
        <v>2325271</v>
      </c>
      <c r="C2174">
        <v>2325888</v>
      </c>
      <c r="E2174" t="s">
        <v>38</v>
      </c>
      <c r="F2174" t="s">
        <v>6053</v>
      </c>
      <c r="H2174">
        <v>1020144</v>
      </c>
      <c r="I2174" t="s">
        <v>17</v>
      </c>
      <c r="K2174" t="s">
        <v>6054</v>
      </c>
      <c r="L2174">
        <v>205</v>
      </c>
      <c r="M2174" t="s">
        <v>6055</v>
      </c>
    </row>
    <row r="2175" spans="1:13">
      <c r="A2175" t="s">
        <v>13</v>
      </c>
      <c r="B2175">
        <v>2326470</v>
      </c>
      <c r="C2175">
        <v>2326901</v>
      </c>
      <c r="E2175" t="s">
        <v>38</v>
      </c>
      <c r="F2175" t="s">
        <v>6056</v>
      </c>
      <c r="H2175">
        <v>1020146</v>
      </c>
      <c r="I2175" t="s">
        <v>17</v>
      </c>
      <c r="K2175" t="s">
        <v>6057</v>
      </c>
      <c r="L2175">
        <v>143</v>
      </c>
      <c r="M2175" t="s">
        <v>6058</v>
      </c>
    </row>
    <row r="2176" spans="1:13">
      <c r="A2176" t="s">
        <v>13</v>
      </c>
      <c r="B2176">
        <v>2326919</v>
      </c>
      <c r="C2176">
        <v>2327998</v>
      </c>
      <c r="E2176" t="s">
        <v>38</v>
      </c>
      <c r="F2176" t="s">
        <v>6059</v>
      </c>
      <c r="H2176">
        <v>1020147</v>
      </c>
      <c r="I2176" t="s">
        <v>17</v>
      </c>
      <c r="K2176" t="s">
        <v>6060</v>
      </c>
      <c r="L2176">
        <v>359</v>
      </c>
      <c r="M2176" t="s">
        <v>6061</v>
      </c>
    </row>
    <row r="2177" spans="1:13">
      <c r="A2177" t="s">
        <v>13</v>
      </c>
      <c r="B2177">
        <v>2328517</v>
      </c>
      <c r="C2177">
        <v>2330439</v>
      </c>
      <c r="E2177" t="s">
        <v>14</v>
      </c>
      <c r="F2177" t="s">
        <v>6062</v>
      </c>
      <c r="G2177" t="s">
        <v>6063</v>
      </c>
      <c r="H2177">
        <v>1020148</v>
      </c>
      <c r="I2177" t="s">
        <v>17</v>
      </c>
      <c r="K2177" t="s">
        <v>6064</v>
      </c>
      <c r="L2177">
        <v>640</v>
      </c>
      <c r="M2177" t="s">
        <v>6065</v>
      </c>
    </row>
    <row r="2178" spans="1:13">
      <c r="A2178" t="s">
        <v>13</v>
      </c>
      <c r="B2178">
        <v>2330584</v>
      </c>
      <c r="C2178">
        <v>2330928</v>
      </c>
      <c r="E2178" t="s">
        <v>38</v>
      </c>
      <c r="F2178" t="s">
        <v>6066</v>
      </c>
      <c r="H2178">
        <v>1020149</v>
      </c>
      <c r="I2178" t="s">
        <v>17</v>
      </c>
      <c r="K2178" t="s">
        <v>6067</v>
      </c>
      <c r="L2178">
        <v>114</v>
      </c>
      <c r="M2178" t="s">
        <v>6068</v>
      </c>
    </row>
    <row r="2179" spans="1:13">
      <c r="A2179" t="s">
        <v>13</v>
      </c>
      <c r="B2179">
        <v>2331252</v>
      </c>
      <c r="C2179">
        <v>2331971</v>
      </c>
      <c r="E2179" t="s">
        <v>14</v>
      </c>
      <c r="F2179" t="s">
        <v>6069</v>
      </c>
      <c r="H2179">
        <v>1020150</v>
      </c>
      <c r="I2179" t="s">
        <v>17</v>
      </c>
      <c r="K2179" t="s">
        <v>6070</v>
      </c>
      <c r="L2179">
        <v>239</v>
      </c>
      <c r="M2179" t="s">
        <v>6071</v>
      </c>
    </row>
    <row r="2180" spans="1:13">
      <c r="A2180" t="s">
        <v>13</v>
      </c>
      <c r="B2180">
        <v>2331975</v>
      </c>
      <c r="C2180">
        <v>2332499</v>
      </c>
      <c r="E2180" t="s">
        <v>14</v>
      </c>
      <c r="F2180" t="s">
        <v>6072</v>
      </c>
      <c r="H2180">
        <v>1020151</v>
      </c>
      <c r="I2180" t="s">
        <v>17</v>
      </c>
      <c r="K2180" t="s">
        <v>6073</v>
      </c>
      <c r="L2180">
        <v>174</v>
      </c>
      <c r="M2180" t="s">
        <v>6074</v>
      </c>
    </row>
    <row r="2181" spans="1:13">
      <c r="A2181" t="s">
        <v>13</v>
      </c>
      <c r="B2181">
        <v>2332528</v>
      </c>
      <c r="C2181">
        <v>2333604</v>
      </c>
      <c r="E2181" t="s">
        <v>14</v>
      </c>
      <c r="F2181" t="s">
        <v>6075</v>
      </c>
      <c r="G2181" t="s">
        <v>6076</v>
      </c>
      <c r="H2181">
        <v>1020152</v>
      </c>
      <c r="I2181" t="s">
        <v>17</v>
      </c>
      <c r="K2181" t="s">
        <v>6077</v>
      </c>
      <c r="L2181">
        <v>358</v>
      </c>
      <c r="M2181" t="s">
        <v>6078</v>
      </c>
    </row>
    <row r="2182" spans="1:13">
      <c r="A2182" t="s">
        <v>13</v>
      </c>
      <c r="B2182">
        <v>2333616</v>
      </c>
      <c r="C2182">
        <v>2334539</v>
      </c>
      <c r="E2182" t="s">
        <v>14</v>
      </c>
      <c r="F2182" t="s">
        <v>6079</v>
      </c>
      <c r="H2182">
        <v>1020153</v>
      </c>
      <c r="I2182" t="s">
        <v>17</v>
      </c>
      <c r="K2182" t="s">
        <v>6080</v>
      </c>
      <c r="L2182">
        <v>307</v>
      </c>
      <c r="M2182" t="s">
        <v>6081</v>
      </c>
    </row>
    <row r="2183" spans="1:13">
      <c r="A2183" t="s">
        <v>13</v>
      </c>
      <c r="B2183">
        <v>2335026</v>
      </c>
      <c r="C2183">
        <v>2335787</v>
      </c>
      <c r="E2183" t="s">
        <v>38</v>
      </c>
      <c r="F2183" t="s">
        <v>871</v>
      </c>
      <c r="H2183">
        <v>1020154</v>
      </c>
      <c r="I2183" t="s">
        <v>17</v>
      </c>
      <c r="K2183" t="s">
        <v>6082</v>
      </c>
      <c r="L2183">
        <v>253</v>
      </c>
      <c r="M2183" t="s">
        <v>6083</v>
      </c>
    </row>
    <row r="2184" spans="1:13">
      <c r="A2184" t="s">
        <v>13</v>
      </c>
      <c r="B2184">
        <v>2335913</v>
      </c>
      <c r="C2184">
        <v>2337016</v>
      </c>
      <c r="E2184" t="s">
        <v>38</v>
      </c>
      <c r="F2184" t="s">
        <v>6084</v>
      </c>
      <c r="H2184">
        <v>1020155</v>
      </c>
      <c r="I2184" t="s">
        <v>17</v>
      </c>
      <c r="K2184" t="s">
        <v>6085</v>
      </c>
      <c r="L2184">
        <v>367</v>
      </c>
      <c r="M2184" t="s">
        <v>6086</v>
      </c>
    </row>
    <row r="2185" spans="1:13">
      <c r="A2185" t="s">
        <v>13</v>
      </c>
      <c r="B2185">
        <v>2337236</v>
      </c>
      <c r="C2185">
        <v>2338738</v>
      </c>
      <c r="E2185" t="s">
        <v>14</v>
      </c>
      <c r="F2185" t="s">
        <v>6087</v>
      </c>
      <c r="H2185">
        <v>1020156</v>
      </c>
      <c r="I2185" t="s">
        <v>17</v>
      </c>
      <c r="K2185" t="s">
        <v>6088</v>
      </c>
      <c r="L2185">
        <v>500</v>
      </c>
      <c r="M2185" t="s">
        <v>6089</v>
      </c>
    </row>
    <row r="2186" spans="1:13">
      <c r="A2186" t="s">
        <v>13</v>
      </c>
      <c r="B2186">
        <v>2338746</v>
      </c>
      <c r="C2186">
        <v>2339141</v>
      </c>
      <c r="E2186" t="s">
        <v>38</v>
      </c>
      <c r="F2186" t="s">
        <v>49</v>
      </c>
      <c r="H2186">
        <v>1020157</v>
      </c>
      <c r="I2186" t="s">
        <v>17</v>
      </c>
      <c r="K2186" t="s">
        <v>6090</v>
      </c>
      <c r="L2186">
        <v>131</v>
      </c>
      <c r="M2186" t="s">
        <v>6091</v>
      </c>
    </row>
    <row r="2187" spans="1:13">
      <c r="A2187" t="s">
        <v>13</v>
      </c>
      <c r="B2187">
        <v>2339270</v>
      </c>
      <c r="C2187">
        <v>2341297</v>
      </c>
      <c r="E2187" t="s">
        <v>14</v>
      </c>
      <c r="F2187" t="s">
        <v>6092</v>
      </c>
      <c r="G2187" t="s">
        <v>6093</v>
      </c>
      <c r="H2187">
        <v>1020158</v>
      </c>
      <c r="I2187" t="s">
        <v>17</v>
      </c>
      <c r="K2187" t="s">
        <v>6094</v>
      </c>
      <c r="L2187">
        <v>675</v>
      </c>
      <c r="M2187" t="s">
        <v>6095</v>
      </c>
    </row>
    <row r="2188" spans="1:13">
      <c r="A2188" t="s">
        <v>13</v>
      </c>
      <c r="B2188">
        <v>2341413</v>
      </c>
      <c r="C2188">
        <v>2342168</v>
      </c>
      <c r="E2188" t="s">
        <v>14</v>
      </c>
      <c r="F2188" t="s">
        <v>6096</v>
      </c>
      <c r="G2188" t="s">
        <v>6097</v>
      </c>
      <c r="H2188">
        <v>1020159</v>
      </c>
      <c r="I2188" t="s">
        <v>17</v>
      </c>
      <c r="K2188" t="s">
        <v>6098</v>
      </c>
      <c r="L2188">
        <v>251</v>
      </c>
      <c r="M2188" t="s">
        <v>6099</v>
      </c>
    </row>
    <row r="2189" spans="1:13">
      <c r="A2189" t="s">
        <v>13</v>
      </c>
      <c r="B2189">
        <v>2342305</v>
      </c>
      <c r="C2189">
        <v>2343351</v>
      </c>
      <c r="E2189" t="s">
        <v>14</v>
      </c>
      <c r="F2189" t="s">
        <v>6100</v>
      </c>
      <c r="G2189" t="s">
        <v>6101</v>
      </c>
      <c r="H2189">
        <v>1020160</v>
      </c>
      <c r="I2189" t="s">
        <v>17</v>
      </c>
      <c r="K2189" t="s">
        <v>6102</v>
      </c>
      <c r="L2189">
        <v>348</v>
      </c>
      <c r="M2189" t="s">
        <v>6103</v>
      </c>
    </row>
    <row r="2190" spans="1:13">
      <c r="A2190" t="s">
        <v>13</v>
      </c>
      <c r="B2190">
        <v>2343480</v>
      </c>
      <c r="C2190">
        <v>2344262</v>
      </c>
      <c r="E2190" t="s">
        <v>14</v>
      </c>
      <c r="F2190" t="s">
        <v>6104</v>
      </c>
      <c r="H2190">
        <v>1020161</v>
      </c>
      <c r="I2190" t="s">
        <v>17</v>
      </c>
      <c r="K2190" t="s">
        <v>6105</v>
      </c>
      <c r="L2190">
        <v>260</v>
      </c>
      <c r="M2190" t="s">
        <v>6106</v>
      </c>
    </row>
    <row r="2191" spans="1:13">
      <c r="A2191" t="s">
        <v>13</v>
      </c>
      <c r="B2191">
        <v>2344432</v>
      </c>
      <c r="C2191">
        <v>2346051</v>
      </c>
      <c r="E2191" t="s">
        <v>14</v>
      </c>
      <c r="F2191" t="s">
        <v>1728</v>
      </c>
      <c r="H2191">
        <v>1020162</v>
      </c>
      <c r="I2191" t="s">
        <v>17</v>
      </c>
      <c r="K2191" t="s">
        <v>6107</v>
      </c>
      <c r="L2191">
        <v>539</v>
      </c>
      <c r="M2191" t="s">
        <v>6108</v>
      </c>
    </row>
    <row r="2192" spans="1:13">
      <c r="A2192" t="s">
        <v>13</v>
      </c>
      <c r="B2192">
        <v>2346287</v>
      </c>
      <c r="C2192">
        <v>2347492</v>
      </c>
      <c r="E2192" t="s">
        <v>38</v>
      </c>
      <c r="F2192" t="s">
        <v>559</v>
      </c>
      <c r="H2192">
        <v>1020163</v>
      </c>
      <c r="I2192" t="s">
        <v>17</v>
      </c>
      <c r="K2192" t="s">
        <v>560</v>
      </c>
      <c r="L2192">
        <v>401</v>
      </c>
      <c r="M2192" t="s">
        <v>6109</v>
      </c>
    </row>
    <row r="2193" spans="1:13">
      <c r="A2193" t="s">
        <v>13</v>
      </c>
      <c r="B2193">
        <v>2348076</v>
      </c>
      <c r="C2193">
        <v>2348549</v>
      </c>
      <c r="E2193" t="s">
        <v>38</v>
      </c>
      <c r="F2193" t="s">
        <v>1970</v>
      </c>
      <c r="H2193">
        <v>1020164</v>
      </c>
      <c r="I2193" t="s">
        <v>17</v>
      </c>
      <c r="K2193" t="s">
        <v>6110</v>
      </c>
      <c r="L2193">
        <v>157</v>
      </c>
      <c r="M2193" t="s">
        <v>6111</v>
      </c>
    </row>
    <row r="2194" spans="1:13">
      <c r="A2194" t="s">
        <v>13</v>
      </c>
      <c r="B2194">
        <v>2348830</v>
      </c>
      <c r="C2194">
        <v>2350263</v>
      </c>
      <c r="E2194" t="s">
        <v>14</v>
      </c>
      <c r="F2194" t="s">
        <v>6112</v>
      </c>
      <c r="G2194" t="s">
        <v>6113</v>
      </c>
      <c r="H2194">
        <v>1020166</v>
      </c>
      <c r="I2194" t="s">
        <v>17</v>
      </c>
      <c r="K2194" t="s">
        <v>6114</v>
      </c>
      <c r="L2194">
        <v>477</v>
      </c>
      <c r="M2194" t="s">
        <v>6115</v>
      </c>
    </row>
    <row r="2195" spans="1:13">
      <c r="A2195" t="s">
        <v>13</v>
      </c>
      <c r="B2195">
        <v>2350406</v>
      </c>
      <c r="C2195">
        <v>2350573</v>
      </c>
      <c r="E2195" t="s">
        <v>38</v>
      </c>
      <c r="F2195" t="s">
        <v>49</v>
      </c>
      <c r="H2195">
        <v>44156734</v>
      </c>
      <c r="I2195" t="s">
        <v>17</v>
      </c>
      <c r="K2195" t="s">
        <v>6116</v>
      </c>
      <c r="L2195">
        <v>55</v>
      </c>
      <c r="M2195" t="s">
        <v>6117</v>
      </c>
    </row>
    <row r="2196" spans="1:13">
      <c r="A2196" t="s">
        <v>13</v>
      </c>
      <c r="B2196">
        <v>2350910</v>
      </c>
      <c r="C2196">
        <v>2351311</v>
      </c>
      <c r="E2196" t="s">
        <v>38</v>
      </c>
      <c r="F2196" t="s">
        <v>2600</v>
      </c>
      <c r="H2196">
        <v>1020168</v>
      </c>
      <c r="I2196" t="s">
        <v>17</v>
      </c>
      <c r="K2196" t="s">
        <v>6118</v>
      </c>
      <c r="L2196">
        <v>133</v>
      </c>
      <c r="M2196" t="s">
        <v>6119</v>
      </c>
    </row>
    <row r="2197" spans="1:13">
      <c r="A2197" t="s">
        <v>13</v>
      </c>
      <c r="B2197">
        <v>2351308</v>
      </c>
      <c r="C2197">
        <v>2351844</v>
      </c>
      <c r="E2197" t="s">
        <v>38</v>
      </c>
      <c r="F2197" t="s">
        <v>898</v>
      </c>
      <c r="H2197">
        <v>1020169</v>
      </c>
      <c r="I2197" t="s">
        <v>17</v>
      </c>
      <c r="K2197" t="s">
        <v>6120</v>
      </c>
      <c r="L2197">
        <v>178</v>
      </c>
      <c r="M2197" t="s">
        <v>6121</v>
      </c>
    </row>
    <row r="2198" spans="1:13">
      <c r="A2198" t="s">
        <v>13</v>
      </c>
      <c r="B2198">
        <v>2351924</v>
      </c>
      <c r="C2198">
        <v>2352832</v>
      </c>
      <c r="E2198" t="s">
        <v>14</v>
      </c>
      <c r="F2198" t="s">
        <v>6122</v>
      </c>
      <c r="H2198">
        <v>1020170</v>
      </c>
      <c r="I2198" t="s">
        <v>17</v>
      </c>
      <c r="K2198" t="s">
        <v>6123</v>
      </c>
      <c r="L2198">
        <v>302</v>
      </c>
      <c r="M2198" t="s">
        <v>6124</v>
      </c>
    </row>
    <row r="2199" spans="1:13">
      <c r="A2199" t="s">
        <v>13</v>
      </c>
      <c r="B2199">
        <v>2352834</v>
      </c>
      <c r="C2199">
        <v>2353229</v>
      </c>
      <c r="E2199" t="s">
        <v>14</v>
      </c>
      <c r="F2199" t="s">
        <v>478</v>
      </c>
      <c r="H2199">
        <v>1020171</v>
      </c>
      <c r="I2199" t="s">
        <v>17</v>
      </c>
      <c r="K2199" t="s">
        <v>6125</v>
      </c>
      <c r="L2199">
        <v>131</v>
      </c>
      <c r="M2199" t="s">
        <v>6126</v>
      </c>
    </row>
    <row r="2200" spans="1:13">
      <c r="A2200" t="s">
        <v>13</v>
      </c>
      <c r="B2200">
        <v>2353598</v>
      </c>
      <c r="C2200">
        <v>2355043</v>
      </c>
      <c r="E2200" t="s">
        <v>38</v>
      </c>
      <c r="F2200" t="s">
        <v>6127</v>
      </c>
      <c r="G2200" t="s">
        <v>6128</v>
      </c>
      <c r="H2200">
        <v>1020172</v>
      </c>
      <c r="I2200" t="s">
        <v>17</v>
      </c>
      <c r="K2200" t="s">
        <v>6129</v>
      </c>
      <c r="L2200">
        <v>481</v>
      </c>
      <c r="M2200" t="s">
        <v>6130</v>
      </c>
    </row>
    <row r="2201" spans="1:13">
      <c r="A2201" t="s">
        <v>13</v>
      </c>
      <c r="B2201">
        <v>2355184</v>
      </c>
      <c r="C2201">
        <v>2355402</v>
      </c>
      <c r="E2201" t="s">
        <v>14</v>
      </c>
      <c r="F2201" t="s">
        <v>49</v>
      </c>
      <c r="H2201">
        <v>1020173</v>
      </c>
      <c r="I2201" t="s">
        <v>17</v>
      </c>
      <c r="K2201" t="s">
        <v>6131</v>
      </c>
      <c r="L2201">
        <v>72</v>
      </c>
      <c r="M2201" t="s">
        <v>6132</v>
      </c>
    </row>
    <row r="2202" spans="1:13">
      <c r="A2202" t="s">
        <v>13</v>
      </c>
      <c r="B2202">
        <v>2355522</v>
      </c>
      <c r="C2202">
        <v>2356847</v>
      </c>
      <c r="E2202" t="s">
        <v>14</v>
      </c>
      <c r="F2202" t="s">
        <v>265</v>
      </c>
      <c r="H2202">
        <v>1020174</v>
      </c>
      <c r="I2202" t="s">
        <v>17</v>
      </c>
      <c r="K2202" t="s">
        <v>6133</v>
      </c>
      <c r="L2202">
        <v>441</v>
      </c>
      <c r="M2202" t="s">
        <v>6134</v>
      </c>
    </row>
    <row r="2203" spans="1:13">
      <c r="A2203" t="s">
        <v>13</v>
      </c>
      <c r="B2203">
        <v>2356864</v>
      </c>
      <c r="C2203">
        <v>2357358</v>
      </c>
      <c r="E2203" t="s">
        <v>14</v>
      </c>
      <c r="F2203" t="s">
        <v>265</v>
      </c>
      <c r="H2203">
        <v>92792304</v>
      </c>
      <c r="I2203" t="s">
        <v>17</v>
      </c>
      <c r="K2203" t="s">
        <v>6135</v>
      </c>
      <c r="L2203">
        <v>164</v>
      </c>
      <c r="M2203" t="s">
        <v>6136</v>
      </c>
    </row>
    <row r="2204" spans="1:13">
      <c r="A2204" t="s">
        <v>13</v>
      </c>
      <c r="B2204">
        <v>2357328</v>
      </c>
      <c r="C2204">
        <v>2357711</v>
      </c>
      <c r="E2204" t="s">
        <v>14</v>
      </c>
      <c r="F2204" t="s">
        <v>49</v>
      </c>
      <c r="H2204">
        <v>92792305</v>
      </c>
      <c r="I2204" t="s">
        <v>17</v>
      </c>
      <c r="K2204" t="s">
        <v>6137</v>
      </c>
      <c r="L2204">
        <v>127</v>
      </c>
      <c r="M2204" t="s">
        <v>6138</v>
      </c>
    </row>
    <row r="2205" spans="1:13">
      <c r="A2205" t="s">
        <v>13</v>
      </c>
      <c r="B2205">
        <v>2357772</v>
      </c>
      <c r="C2205">
        <v>2358134</v>
      </c>
      <c r="E2205" t="s">
        <v>14</v>
      </c>
      <c r="F2205" t="s">
        <v>49</v>
      </c>
      <c r="H2205">
        <v>92792306</v>
      </c>
      <c r="I2205" t="s">
        <v>17</v>
      </c>
      <c r="K2205" t="s">
        <v>6139</v>
      </c>
      <c r="L2205">
        <v>120</v>
      </c>
      <c r="M2205" t="s">
        <v>6140</v>
      </c>
    </row>
    <row r="2206" spans="1:13">
      <c r="A2206" t="s">
        <v>13</v>
      </c>
      <c r="B2206">
        <v>2358151</v>
      </c>
      <c r="C2206">
        <v>2358633</v>
      </c>
      <c r="E2206" t="s">
        <v>38</v>
      </c>
      <c r="F2206" t="s">
        <v>49</v>
      </c>
      <c r="H2206">
        <v>1020178</v>
      </c>
      <c r="I2206" t="s">
        <v>17</v>
      </c>
      <c r="K2206" t="s">
        <v>6141</v>
      </c>
      <c r="L2206">
        <v>160</v>
      </c>
      <c r="M2206" t="s">
        <v>6142</v>
      </c>
    </row>
    <row r="2207" spans="1:13">
      <c r="A2207" t="s">
        <v>13</v>
      </c>
      <c r="B2207">
        <v>2358770</v>
      </c>
      <c r="C2207">
        <v>2359417</v>
      </c>
      <c r="E2207" t="s">
        <v>38</v>
      </c>
      <c r="F2207" t="s">
        <v>6143</v>
      </c>
      <c r="H2207">
        <v>1020179</v>
      </c>
      <c r="I2207" t="s">
        <v>17</v>
      </c>
      <c r="K2207" t="s">
        <v>6144</v>
      </c>
      <c r="L2207">
        <v>215</v>
      </c>
      <c r="M2207" t="s">
        <v>6145</v>
      </c>
    </row>
    <row r="2208" spans="1:13">
      <c r="A2208" t="s">
        <v>13</v>
      </c>
      <c r="B2208">
        <v>2359612</v>
      </c>
      <c r="C2208">
        <v>2362749</v>
      </c>
      <c r="E2208" t="s">
        <v>38</v>
      </c>
      <c r="F2208" t="s">
        <v>6146</v>
      </c>
      <c r="H2208">
        <v>1020180</v>
      </c>
      <c r="I2208" t="s">
        <v>17</v>
      </c>
      <c r="K2208" t="s">
        <v>6147</v>
      </c>
      <c r="L2208">
        <v>1045</v>
      </c>
      <c r="M2208" t="s">
        <v>6148</v>
      </c>
    </row>
    <row r="2209" spans="1:13">
      <c r="A2209" t="s">
        <v>13</v>
      </c>
      <c r="B2209">
        <v>2362816</v>
      </c>
      <c r="C2209">
        <v>2364156</v>
      </c>
      <c r="E2209" t="s">
        <v>38</v>
      </c>
      <c r="F2209" t="s">
        <v>6149</v>
      </c>
      <c r="H2209">
        <v>1020181</v>
      </c>
      <c r="I2209" t="s">
        <v>17</v>
      </c>
      <c r="K2209" t="s">
        <v>6150</v>
      </c>
      <c r="L2209">
        <v>446</v>
      </c>
      <c r="M2209" t="s">
        <v>6151</v>
      </c>
    </row>
    <row r="2210" spans="1:13">
      <c r="A2210" t="s">
        <v>13</v>
      </c>
      <c r="B2210">
        <v>2364353</v>
      </c>
      <c r="C2210">
        <v>2365459</v>
      </c>
      <c r="E2210" t="s">
        <v>14</v>
      </c>
      <c r="F2210" t="s">
        <v>6152</v>
      </c>
      <c r="H2210">
        <v>1020182</v>
      </c>
      <c r="I2210" t="s">
        <v>17</v>
      </c>
      <c r="K2210" t="s">
        <v>6153</v>
      </c>
      <c r="L2210">
        <v>368</v>
      </c>
      <c r="M2210" t="s">
        <v>6154</v>
      </c>
    </row>
    <row r="2211" spans="1:13">
      <c r="A2211" t="s">
        <v>13</v>
      </c>
      <c r="B2211">
        <v>2365600</v>
      </c>
      <c r="C2211">
        <v>2367417</v>
      </c>
      <c r="E2211" t="s">
        <v>14</v>
      </c>
      <c r="F2211" t="s">
        <v>6155</v>
      </c>
      <c r="H2211">
        <v>1020183</v>
      </c>
      <c r="I2211" t="s">
        <v>17</v>
      </c>
      <c r="K2211" t="s">
        <v>6156</v>
      </c>
      <c r="L2211">
        <v>605</v>
      </c>
      <c r="M2211" t="s">
        <v>6157</v>
      </c>
    </row>
    <row r="2212" spans="1:13">
      <c r="A2212" t="s">
        <v>13</v>
      </c>
      <c r="B2212">
        <v>2367471</v>
      </c>
      <c r="C2212">
        <v>2367653</v>
      </c>
      <c r="E2212" t="s">
        <v>38</v>
      </c>
      <c r="F2212" t="s">
        <v>49</v>
      </c>
      <c r="H2212">
        <v>1020184</v>
      </c>
      <c r="I2212" t="s">
        <v>17</v>
      </c>
      <c r="K2212" t="s">
        <v>6158</v>
      </c>
      <c r="L2212">
        <v>60</v>
      </c>
      <c r="M2212" t="s">
        <v>6159</v>
      </c>
    </row>
    <row r="2213" spans="1:13">
      <c r="A2213" t="s">
        <v>13</v>
      </c>
      <c r="B2213">
        <v>2367792</v>
      </c>
      <c r="C2213">
        <v>2369087</v>
      </c>
      <c r="E2213" t="s">
        <v>14</v>
      </c>
      <c r="F2213" t="s">
        <v>6160</v>
      </c>
      <c r="H2213">
        <v>1020185</v>
      </c>
      <c r="I2213" t="s">
        <v>17</v>
      </c>
      <c r="K2213" t="s">
        <v>6161</v>
      </c>
      <c r="L2213">
        <v>431</v>
      </c>
      <c r="M2213" t="s">
        <v>6162</v>
      </c>
    </row>
    <row r="2214" spans="1:13">
      <c r="A2214" t="s">
        <v>13</v>
      </c>
      <c r="B2214">
        <v>2369114</v>
      </c>
      <c r="C2214">
        <v>2370523</v>
      </c>
      <c r="E2214" t="s">
        <v>38</v>
      </c>
      <c r="F2214" t="s">
        <v>6163</v>
      </c>
      <c r="H2214">
        <v>1020186</v>
      </c>
      <c r="I2214" t="s">
        <v>17</v>
      </c>
      <c r="K2214" t="s">
        <v>6164</v>
      </c>
      <c r="L2214">
        <v>469</v>
      </c>
      <c r="M2214" t="s">
        <v>6165</v>
      </c>
    </row>
    <row r="2215" spans="1:13">
      <c r="A2215" t="s">
        <v>13</v>
      </c>
      <c r="B2215">
        <v>2370919</v>
      </c>
      <c r="C2215">
        <v>2371326</v>
      </c>
      <c r="E2215" t="s">
        <v>38</v>
      </c>
      <c r="F2215" t="s">
        <v>6166</v>
      </c>
      <c r="G2215" t="s">
        <v>6167</v>
      </c>
      <c r="H2215">
        <v>2745353</v>
      </c>
      <c r="I2215" t="s">
        <v>6168</v>
      </c>
      <c r="M2215" t="s">
        <v>6169</v>
      </c>
    </row>
    <row r="2216" spans="1:13">
      <c r="A2216" t="s">
        <v>13</v>
      </c>
      <c r="B2216">
        <v>2371410</v>
      </c>
      <c r="C2216">
        <v>2372558</v>
      </c>
      <c r="E2216" t="s">
        <v>38</v>
      </c>
      <c r="F2216" t="s">
        <v>6170</v>
      </c>
      <c r="H2216">
        <v>1020188</v>
      </c>
      <c r="I2216" t="s">
        <v>17</v>
      </c>
      <c r="K2216" t="s">
        <v>6171</v>
      </c>
      <c r="L2216">
        <v>382</v>
      </c>
      <c r="M2216" t="s">
        <v>6172</v>
      </c>
    </row>
    <row r="2217" spans="1:13">
      <c r="A2217" t="s">
        <v>13</v>
      </c>
      <c r="B2217">
        <v>2372571</v>
      </c>
      <c r="C2217">
        <v>2373290</v>
      </c>
      <c r="E2217" t="s">
        <v>38</v>
      </c>
      <c r="F2217" t="s">
        <v>6173</v>
      </c>
      <c r="H2217">
        <v>1020189</v>
      </c>
      <c r="I2217" t="s">
        <v>17</v>
      </c>
      <c r="K2217" t="s">
        <v>6174</v>
      </c>
      <c r="L2217">
        <v>239</v>
      </c>
      <c r="M2217" t="s">
        <v>6175</v>
      </c>
    </row>
    <row r="2218" spans="1:13">
      <c r="A2218" t="s">
        <v>13</v>
      </c>
      <c r="B2218">
        <v>2373321</v>
      </c>
      <c r="C2218">
        <v>2374463</v>
      </c>
      <c r="E2218" t="s">
        <v>38</v>
      </c>
      <c r="F2218" t="s">
        <v>6176</v>
      </c>
      <c r="H2218">
        <v>1020190</v>
      </c>
      <c r="I2218" t="s">
        <v>17</v>
      </c>
      <c r="K2218" t="s">
        <v>6177</v>
      </c>
      <c r="L2218">
        <v>380</v>
      </c>
      <c r="M2218" t="s">
        <v>6178</v>
      </c>
    </row>
    <row r="2219" spans="1:13">
      <c r="A2219" t="s">
        <v>13</v>
      </c>
      <c r="B2219">
        <v>2374545</v>
      </c>
      <c r="C2219">
        <v>2375201</v>
      </c>
      <c r="E2219" t="s">
        <v>14</v>
      </c>
      <c r="F2219" t="s">
        <v>394</v>
      </c>
      <c r="H2219">
        <v>1020191</v>
      </c>
      <c r="I2219" t="s">
        <v>17</v>
      </c>
      <c r="K2219" t="s">
        <v>6179</v>
      </c>
      <c r="L2219">
        <v>218</v>
      </c>
      <c r="M2219" t="s">
        <v>6180</v>
      </c>
    </row>
    <row r="2220" spans="1:13">
      <c r="A2220" t="s">
        <v>13</v>
      </c>
      <c r="B2220">
        <v>2375188</v>
      </c>
      <c r="C2220">
        <v>2375688</v>
      </c>
      <c r="E2220" t="s">
        <v>14</v>
      </c>
      <c r="F2220" t="s">
        <v>6181</v>
      </c>
      <c r="H2220">
        <v>1020192</v>
      </c>
      <c r="I2220" t="s">
        <v>17</v>
      </c>
      <c r="K2220" t="s">
        <v>6182</v>
      </c>
      <c r="L2220">
        <v>166</v>
      </c>
      <c r="M2220" t="s">
        <v>6183</v>
      </c>
    </row>
    <row r="2221" spans="1:13">
      <c r="A2221" t="s">
        <v>13</v>
      </c>
      <c r="B2221">
        <v>2375723</v>
      </c>
      <c r="C2221">
        <v>2376724</v>
      </c>
      <c r="E2221" t="s">
        <v>14</v>
      </c>
      <c r="F2221" t="s">
        <v>6184</v>
      </c>
      <c r="H2221">
        <v>1020193</v>
      </c>
      <c r="I2221" t="s">
        <v>17</v>
      </c>
      <c r="K2221" t="s">
        <v>6185</v>
      </c>
      <c r="L2221">
        <v>333</v>
      </c>
      <c r="M2221" t="s">
        <v>6186</v>
      </c>
    </row>
    <row r="2222" spans="1:13">
      <c r="A2222" t="s">
        <v>13</v>
      </c>
      <c r="B2222">
        <v>2376996</v>
      </c>
      <c r="C2222">
        <v>2377727</v>
      </c>
      <c r="E2222" t="s">
        <v>38</v>
      </c>
      <c r="F2222" t="s">
        <v>141</v>
      </c>
      <c r="H2222">
        <v>44144986</v>
      </c>
      <c r="I2222" t="s">
        <v>142</v>
      </c>
      <c r="M2222" t="s">
        <v>6187</v>
      </c>
    </row>
    <row r="2223" spans="1:13">
      <c r="A2223" t="s">
        <v>13</v>
      </c>
      <c r="B2223">
        <v>2377900</v>
      </c>
      <c r="C2223">
        <v>2378280</v>
      </c>
      <c r="E2223" t="s">
        <v>14</v>
      </c>
      <c r="F2223" t="s">
        <v>138</v>
      </c>
      <c r="H2223">
        <v>1020196</v>
      </c>
      <c r="I2223" t="s">
        <v>17</v>
      </c>
      <c r="K2223" t="s">
        <v>6188</v>
      </c>
      <c r="L2223">
        <v>126</v>
      </c>
      <c r="M2223" t="s">
        <v>6189</v>
      </c>
    </row>
    <row r="2224" spans="1:13">
      <c r="A2224" t="s">
        <v>13</v>
      </c>
      <c r="B2224">
        <v>2378697</v>
      </c>
      <c r="C2224">
        <v>2378769</v>
      </c>
      <c r="E2224" t="s">
        <v>38</v>
      </c>
      <c r="F2224" t="s">
        <v>4745</v>
      </c>
      <c r="H2224">
        <v>2745351</v>
      </c>
      <c r="I2224" t="s">
        <v>62</v>
      </c>
      <c r="M2224" t="s">
        <v>6190</v>
      </c>
    </row>
    <row r="2225" spans="1:13">
      <c r="A2225" t="s">
        <v>13</v>
      </c>
      <c r="B2225">
        <v>2378882</v>
      </c>
      <c r="C2225">
        <v>2379313</v>
      </c>
      <c r="E2225" t="s">
        <v>38</v>
      </c>
      <c r="F2225" t="s">
        <v>6191</v>
      </c>
      <c r="H2225">
        <v>1020198</v>
      </c>
      <c r="I2225" t="s">
        <v>17</v>
      </c>
      <c r="K2225" t="s">
        <v>6192</v>
      </c>
      <c r="L2225">
        <v>143</v>
      </c>
      <c r="M2225" t="s">
        <v>6193</v>
      </c>
    </row>
    <row r="2226" spans="1:13">
      <c r="A2226" t="s">
        <v>13</v>
      </c>
      <c r="B2226">
        <v>2379980</v>
      </c>
      <c r="C2226">
        <v>2382748</v>
      </c>
      <c r="E2226" t="s">
        <v>14</v>
      </c>
      <c r="F2226" t="s">
        <v>6194</v>
      </c>
      <c r="G2226" t="s">
        <v>6195</v>
      </c>
      <c r="H2226">
        <v>1020200</v>
      </c>
      <c r="I2226" t="s">
        <v>17</v>
      </c>
      <c r="K2226" t="s">
        <v>6196</v>
      </c>
      <c r="L2226">
        <v>922</v>
      </c>
      <c r="M2226" t="s">
        <v>6197</v>
      </c>
    </row>
    <row r="2227" spans="1:13">
      <c r="A2227" t="s">
        <v>13</v>
      </c>
      <c r="B2227">
        <v>2382825</v>
      </c>
      <c r="C2227">
        <v>2383616</v>
      </c>
      <c r="E2227" t="s">
        <v>38</v>
      </c>
      <c r="F2227" t="s">
        <v>147</v>
      </c>
      <c r="H2227">
        <v>1020201</v>
      </c>
      <c r="I2227" t="s">
        <v>17</v>
      </c>
      <c r="K2227" t="s">
        <v>6198</v>
      </c>
      <c r="L2227">
        <v>263</v>
      </c>
      <c r="M2227" t="s">
        <v>6199</v>
      </c>
    </row>
    <row r="2228" spans="1:13">
      <c r="A2228" t="s">
        <v>13</v>
      </c>
      <c r="B2228">
        <v>2383620</v>
      </c>
      <c r="C2228">
        <v>2384510</v>
      </c>
      <c r="E2228" t="s">
        <v>38</v>
      </c>
      <c r="F2228" t="s">
        <v>124</v>
      </c>
      <c r="H2228">
        <v>1020202</v>
      </c>
      <c r="I2228" t="s">
        <v>17</v>
      </c>
      <c r="K2228" t="s">
        <v>6200</v>
      </c>
      <c r="L2228">
        <v>296</v>
      </c>
      <c r="M2228" t="s">
        <v>6201</v>
      </c>
    </row>
    <row r="2229" spans="1:13">
      <c r="A2229" t="s">
        <v>13</v>
      </c>
      <c r="B2229">
        <v>2384507</v>
      </c>
      <c r="C2229">
        <v>2385499</v>
      </c>
      <c r="E2229" t="s">
        <v>38</v>
      </c>
      <c r="F2229" t="s">
        <v>1008</v>
      </c>
      <c r="H2229">
        <v>1020203</v>
      </c>
      <c r="I2229" t="s">
        <v>17</v>
      </c>
      <c r="K2229" t="s">
        <v>6202</v>
      </c>
      <c r="L2229">
        <v>330</v>
      </c>
      <c r="M2229" t="s">
        <v>6203</v>
      </c>
    </row>
    <row r="2230" spans="1:13">
      <c r="A2230" t="s">
        <v>13</v>
      </c>
      <c r="B2230">
        <v>2385784</v>
      </c>
      <c r="C2230">
        <v>2385882</v>
      </c>
      <c r="E2230" t="s">
        <v>14</v>
      </c>
      <c r="F2230" t="s">
        <v>141</v>
      </c>
      <c r="H2230">
        <v>92792307</v>
      </c>
      <c r="I2230" t="s">
        <v>142</v>
      </c>
      <c r="M2230" t="s">
        <v>6204</v>
      </c>
    </row>
    <row r="2231" spans="1:13">
      <c r="A2231" t="s">
        <v>13</v>
      </c>
      <c r="B2231">
        <v>2385911</v>
      </c>
      <c r="C2231">
        <v>2386192</v>
      </c>
      <c r="E2231" t="s">
        <v>38</v>
      </c>
      <c r="F2231" t="s">
        <v>49</v>
      </c>
      <c r="H2231">
        <v>92792308</v>
      </c>
      <c r="I2231" t="s">
        <v>17</v>
      </c>
      <c r="K2231" t="s">
        <v>6205</v>
      </c>
      <c r="L2231">
        <v>93</v>
      </c>
      <c r="M2231" t="s">
        <v>6206</v>
      </c>
    </row>
    <row r="2232" spans="1:13">
      <c r="A2232" t="s">
        <v>13</v>
      </c>
      <c r="B2232">
        <v>2386210</v>
      </c>
      <c r="C2232">
        <v>2386584</v>
      </c>
      <c r="E2232" t="s">
        <v>14</v>
      </c>
      <c r="F2232" t="s">
        <v>49</v>
      </c>
      <c r="H2232">
        <v>92792309</v>
      </c>
      <c r="I2232" t="s">
        <v>17</v>
      </c>
      <c r="K2232" t="s">
        <v>6207</v>
      </c>
      <c r="L2232">
        <v>124</v>
      </c>
      <c r="M2232" t="s">
        <v>6208</v>
      </c>
    </row>
    <row r="2233" spans="1:13">
      <c r="A2233" t="s">
        <v>13</v>
      </c>
      <c r="B2233">
        <v>2386612</v>
      </c>
      <c r="C2233">
        <v>2387574</v>
      </c>
      <c r="E2233" t="s">
        <v>38</v>
      </c>
      <c r="F2233" t="s">
        <v>35</v>
      </c>
      <c r="H2233">
        <v>1020206</v>
      </c>
      <c r="I2233" t="s">
        <v>17</v>
      </c>
      <c r="K2233" t="s">
        <v>6209</v>
      </c>
      <c r="L2233">
        <v>320</v>
      </c>
      <c r="M2233" t="s">
        <v>6210</v>
      </c>
    </row>
    <row r="2234" spans="1:13">
      <c r="A2234" t="s">
        <v>13</v>
      </c>
      <c r="B2234">
        <v>2387668</v>
      </c>
      <c r="C2234">
        <v>2387961</v>
      </c>
      <c r="E2234" t="s">
        <v>14</v>
      </c>
      <c r="F2234" t="s">
        <v>6211</v>
      </c>
      <c r="H2234">
        <v>1020207</v>
      </c>
      <c r="I2234" t="s">
        <v>17</v>
      </c>
      <c r="K2234" t="s">
        <v>6212</v>
      </c>
      <c r="L2234">
        <v>97</v>
      </c>
      <c r="M2234" t="s">
        <v>6213</v>
      </c>
    </row>
    <row r="2235" spans="1:13">
      <c r="A2235" t="s">
        <v>13</v>
      </c>
      <c r="B2235">
        <v>2387998</v>
      </c>
      <c r="C2235">
        <v>2388825</v>
      </c>
      <c r="E2235" t="s">
        <v>14</v>
      </c>
      <c r="F2235" t="s">
        <v>3978</v>
      </c>
      <c r="H2235">
        <v>1020208</v>
      </c>
      <c r="I2235" t="s">
        <v>17</v>
      </c>
      <c r="K2235" t="s">
        <v>6214</v>
      </c>
      <c r="L2235">
        <v>275</v>
      </c>
      <c r="M2235" t="s">
        <v>6215</v>
      </c>
    </row>
    <row r="2236" spans="1:13">
      <c r="A2236" t="s">
        <v>13</v>
      </c>
      <c r="B2236">
        <v>2388839</v>
      </c>
      <c r="C2236">
        <v>2389873</v>
      </c>
      <c r="E2236" t="s">
        <v>14</v>
      </c>
      <c r="F2236" t="s">
        <v>6216</v>
      </c>
      <c r="H2236">
        <v>1020209</v>
      </c>
      <c r="I2236" t="s">
        <v>17</v>
      </c>
      <c r="K2236" t="s">
        <v>6217</v>
      </c>
      <c r="L2236">
        <v>344</v>
      </c>
      <c r="M2236" t="s">
        <v>6218</v>
      </c>
    </row>
    <row r="2237" spans="1:13">
      <c r="A2237" t="s">
        <v>13</v>
      </c>
      <c r="B2237">
        <v>2390432</v>
      </c>
      <c r="C2237">
        <v>2390860</v>
      </c>
      <c r="E2237" t="s">
        <v>38</v>
      </c>
      <c r="F2237" t="s">
        <v>49</v>
      </c>
      <c r="H2237">
        <v>1020210</v>
      </c>
      <c r="I2237" t="s">
        <v>17</v>
      </c>
      <c r="K2237" t="s">
        <v>6219</v>
      </c>
      <c r="L2237">
        <v>142</v>
      </c>
      <c r="M2237" t="s">
        <v>6220</v>
      </c>
    </row>
    <row r="2238" spans="1:13">
      <c r="A2238" t="s">
        <v>13</v>
      </c>
      <c r="B2238">
        <v>2391182</v>
      </c>
      <c r="C2238">
        <v>2391991</v>
      </c>
      <c r="E2238" t="s">
        <v>38</v>
      </c>
      <c r="F2238" t="s">
        <v>6221</v>
      </c>
      <c r="H2238">
        <v>1020211</v>
      </c>
      <c r="I2238" t="s">
        <v>17</v>
      </c>
      <c r="K2238" t="s">
        <v>6222</v>
      </c>
      <c r="L2238">
        <v>269</v>
      </c>
      <c r="M2238" t="s">
        <v>6223</v>
      </c>
    </row>
    <row r="2239" spans="1:13">
      <c r="A2239" t="s">
        <v>13</v>
      </c>
      <c r="B2239">
        <v>2392073</v>
      </c>
      <c r="C2239">
        <v>2392531</v>
      </c>
      <c r="E2239" t="s">
        <v>38</v>
      </c>
      <c r="F2239" t="s">
        <v>6224</v>
      </c>
      <c r="H2239">
        <v>1020212</v>
      </c>
      <c r="I2239" t="s">
        <v>17</v>
      </c>
      <c r="K2239" t="s">
        <v>6225</v>
      </c>
      <c r="L2239">
        <v>152</v>
      </c>
      <c r="M2239" t="s">
        <v>6226</v>
      </c>
    </row>
    <row r="2240" spans="1:13">
      <c r="A2240" t="s">
        <v>13</v>
      </c>
      <c r="B2240">
        <v>2392577</v>
      </c>
      <c r="C2240">
        <v>2393140</v>
      </c>
      <c r="E2240" t="s">
        <v>38</v>
      </c>
      <c r="F2240" t="s">
        <v>49</v>
      </c>
      <c r="H2240">
        <v>1020213</v>
      </c>
      <c r="I2240" t="s">
        <v>17</v>
      </c>
      <c r="K2240" t="s">
        <v>6227</v>
      </c>
      <c r="L2240">
        <v>187</v>
      </c>
      <c r="M2240" t="s">
        <v>6228</v>
      </c>
    </row>
    <row r="2241" spans="1:13">
      <c r="A2241" t="s">
        <v>13</v>
      </c>
      <c r="B2241">
        <v>2393165</v>
      </c>
      <c r="C2241">
        <v>2393407</v>
      </c>
      <c r="E2241" t="s">
        <v>14</v>
      </c>
      <c r="F2241" t="s">
        <v>49</v>
      </c>
      <c r="H2241">
        <v>1020214</v>
      </c>
      <c r="I2241" t="s">
        <v>17</v>
      </c>
      <c r="K2241" t="s">
        <v>6229</v>
      </c>
      <c r="L2241">
        <v>80</v>
      </c>
      <c r="M2241" t="s">
        <v>6230</v>
      </c>
    </row>
    <row r="2242" spans="1:13">
      <c r="A2242" t="s">
        <v>13</v>
      </c>
      <c r="B2242">
        <v>2393429</v>
      </c>
      <c r="C2242">
        <v>2393974</v>
      </c>
      <c r="E2242" t="s">
        <v>14</v>
      </c>
      <c r="F2242" t="s">
        <v>49</v>
      </c>
      <c r="H2242">
        <v>1020215</v>
      </c>
      <c r="I2242" t="s">
        <v>17</v>
      </c>
      <c r="K2242" t="s">
        <v>6231</v>
      </c>
      <c r="L2242">
        <v>181</v>
      </c>
      <c r="M2242" t="s">
        <v>6232</v>
      </c>
    </row>
    <row r="2243" spans="1:13">
      <c r="A2243" t="s">
        <v>13</v>
      </c>
      <c r="B2243">
        <v>2393971</v>
      </c>
      <c r="C2243">
        <v>2394399</v>
      </c>
      <c r="E2243" t="s">
        <v>38</v>
      </c>
      <c r="F2243" t="s">
        <v>49</v>
      </c>
      <c r="H2243">
        <v>1020216</v>
      </c>
      <c r="I2243" t="s">
        <v>17</v>
      </c>
      <c r="K2243" t="s">
        <v>6233</v>
      </c>
      <c r="L2243">
        <v>142</v>
      </c>
      <c r="M2243" t="s">
        <v>6234</v>
      </c>
    </row>
    <row r="2244" spans="1:13">
      <c r="A2244" t="s">
        <v>13</v>
      </c>
      <c r="B2244">
        <v>2394595</v>
      </c>
      <c r="C2244">
        <v>2394939</v>
      </c>
      <c r="E2244" t="s">
        <v>14</v>
      </c>
      <c r="F2244" t="s">
        <v>49</v>
      </c>
      <c r="H2244">
        <v>1020217</v>
      </c>
      <c r="I2244" t="s">
        <v>17</v>
      </c>
      <c r="K2244" t="s">
        <v>6235</v>
      </c>
      <c r="L2244">
        <v>114</v>
      </c>
      <c r="M2244" t="s">
        <v>6236</v>
      </c>
    </row>
    <row r="2245" spans="1:13">
      <c r="A2245" t="s">
        <v>13</v>
      </c>
      <c r="B2245">
        <v>2394990</v>
      </c>
      <c r="C2245">
        <v>2395066</v>
      </c>
      <c r="E2245" t="s">
        <v>38</v>
      </c>
      <c r="F2245" t="s">
        <v>61</v>
      </c>
      <c r="H2245">
        <v>2745318</v>
      </c>
      <c r="I2245" t="s">
        <v>62</v>
      </c>
      <c r="M2245" t="s">
        <v>6237</v>
      </c>
    </row>
    <row r="2246" spans="1:13">
      <c r="A2246" t="s">
        <v>13</v>
      </c>
      <c r="B2246">
        <v>2395217</v>
      </c>
      <c r="C2246">
        <v>2396767</v>
      </c>
      <c r="E2246" t="s">
        <v>14</v>
      </c>
      <c r="F2246" t="s">
        <v>6238</v>
      </c>
      <c r="H2246">
        <v>1020218</v>
      </c>
      <c r="I2246" t="s">
        <v>17</v>
      </c>
      <c r="K2246" t="s">
        <v>6239</v>
      </c>
      <c r="L2246">
        <v>516</v>
      </c>
      <c r="M2246" t="s">
        <v>6240</v>
      </c>
    </row>
    <row r="2247" spans="1:13">
      <c r="A2247" t="s">
        <v>13</v>
      </c>
      <c r="B2247">
        <v>2396848</v>
      </c>
      <c r="C2247">
        <v>2396920</v>
      </c>
      <c r="E2247" t="s">
        <v>14</v>
      </c>
      <c r="F2247" t="s">
        <v>6241</v>
      </c>
      <c r="H2247">
        <v>2745323</v>
      </c>
      <c r="I2247" t="s">
        <v>62</v>
      </c>
      <c r="M2247" t="s">
        <v>6242</v>
      </c>
    </row>
    <row r="2248" spans="1:13">
      <c r="A2248" t="s">
        <v>13</v>
      </c>
      <c r="B2248">
        <v>2397059</v>
      </c>
      <c r="C2248">
        <v>2397131</v>
      </c>
      <c r="E2248" t="s">
        <v>14</v>
      </c>
      <c r="F2248" t="s">
        <v>6241</v>
      </c>
      <c r="H2248">
        <v>2745342</v>
      </c>
      <c r="I2248" t="s">
        <v>62</v>
      </c>
      <c r="M2248" t="s">
        <v>6243</v>
      </c>
    </row>
    <row r="2249" spans="1:13">
      <c r="A2249" t="s">
        <v>13</v>
      </c>
      <c r="B2249">
        <v>2397265</v>
      </c>
      <c r="C2249">
        <v>2399103</v>
      </c>
      <c r="E2249" t="s">
        <v>14</v>
      </c>
      <c r="F2249" t="s">
        <v>6244</v>
      </c>
      <c r="H2249">
        <v>1020219</v>
      </c>
      <c r="I2249" t="s">
        <v>17</v>
      </c>
      <c r="K2249" t="s">
        <v>6245</v>
      </c>
      <c r="L2249">
        <v>612</v>
      </c>
      <c r="M2249" t="s">
        <v>6246</v>
      </c>
    </row>
    <row r="2250" spans="1:13">
      <c r="A2250" t="s">
        <v>13</v>
      </c>
      <c r="B2250">
        <v>2399159</v>
      </c>
      <c r="C2250">
        <v>2399401</v>
      </c>
      <c r="E2250" t="s">
        <v>14</v>
      </c>
      <c r="F2250" t="s">
        <v>49</v>
      </c>
      <c r="H2250">
        <v>1020220</v>
      </c>
      <c r="I2250" t="s">
        <v>17</v>
      </c>
      <c r="K2250" t="s">
        <v>6247</v>
      </c>
      <c r="L2250">
        <v>80</v>
      </c>
      <c r="M2250" t="s">
        <v>6248</v>
      </c>
    </row>
    <row r="2251" spans="1:13">
      <c r="A2251" t="s">
        <v>13</v>
      </c>
      <c r="B2251">
        <v>2399403</v>
      </c>
      <c r="C2251">
        <v>2401304</v>
      </c>
      <c r="E2251" t="s">
        <v>38</v>
      </c>
      <c r="F2251" t="s">
        <v>6249</v>
      </c>
      <c r="G2251" t="s">
        <v>6250</v>
      </c>
      <c r="H2251">
        <v>1020221</v>
      </c>
      <c r="I2251" t="s">
        <v>17</v>
      </c>
      <c r="K2251" t="s">
        <v>6251</v>
      </c>
      <c r="L2251">
        <v>633</v>
      </c>
      <c r="M2251" t="s">
        <v>6252</v>
      </c>
    </row>
    <row r="2252" spans="1:13">
      <c r="A2252" t="s">
        <v>13</v>
      </c>
      <c r="B2252">
        <v>2401344</v>
      </c>
      <c r="C2252">
        <v>2401838</v>
      </c>
      <c r="E2252" t="s">
        <v>14</v>
      </c>
      <c r="F2252" t="s">
        <v>6253</v>
      </c>
      <c r="H2252">
        <v>1020222</v>
      </c>
      <c r="I2252" t="s">
        <v>17</v>
      </c>
      <c r="K2252" t="s">
        <v>6254</v>
      </c>
      <c r="L2252">
        <v>164</v>
      </c>
      <c r="M2252" t="s">
        <v>6255</v>
      </c>
    </row>
    <row r="2253" spans="1:13">
      <c r="A2253" t="s">
        <v>13</v>
      </c>
      <c r="B2253">
        <v>2401839</v>
      </c>
      <c r="C2253">
        <v>2402084</v>
      </c>
      <c r="E2253" t="s">
        <v>14</v>
      </c>
      <c r="F2253" t="s">
        <v>49</v>
      </c>
      <c r="H2253">
        <v>1020223</v>
      </c>
      <c r="I2253" t="s">
        <v>17</v>
      </c>
      <c r="K2253" t="s">
        <v>6256</v>
      </c>
      <c r="L2253">
        <v>81</v>
      </c>
      <c r="M2253" t="s">
        <v>6257</v>
      </c>
    </row>
    <row r="2254" spans="1:13">
      <c r="A2254" t="s">
        <v>13</v>
      </c>
      <c r="B2254">
        <v>2402142</v>
      </c>
      <c r="C2254">
        <v>2404013</v>
      </c>
      <c r="E2254" t="s">
        <v>38</v>
      </c>
      <c r="F2254" t="s">
        <v>6258</v>
      </c>
      <c r="G2254" t="s">
        <v>6259</v>
      </c>
      <c r="H2254">
        <v>1020224</v>
      </c>
      <c r="I2254" t="s">
        <v>17</v>
      </c>
      <c r="K2254" t="s">
        <v>6260</v>
      </c>
      <c r="L2254">
        <v>623</v>
      </c>
      <c r="M2254" t="s">
        <v>6261</v>
      </c>
    </row>
    <row r="2255" spans="1:13">
      <c r="A2255" t="s">
        <v>13</v>
      </c>
      <c r="B2255">
        <v>2404985</v>
      </c>
      <c r="C2255">
        <v>2406259</v>
      </c>
      <c r="E2255" t="s">
        <v>38</v>
      </c>
      <c r="F2255" t="s">
        <v>6262</v>
      </c>
      <c r="H2255">
        <v>1020226</v>
      </c>
      <c r="I2255" t="s">
        <v>17</v>
      </c>
      <c r="K2255" t="s">
        <v>6263</v>
      </c>
      <c r="L2255">
        <v>424</v>
      </c>
      <c r="M2255" t="s">
        <v>6264</v>
      </c>
    </row>
    <row r="2256" spans="1:13">
      <c r="A2256" t="s">
        <v>13</v>
      </c>
      <c r="B2256">
        <v>2406260</v>
      </c>
      <c r="C2256">
        <v>2406862</v>
      </c>
      <c r="E2256" t="s">
        <v>38</v>
      </c>
      <c r="F2256" t="s">
        <v>2066</v>
      </c>
      <c r="H2256">
        <v>1020227</v>
      </c>
      <c r="I2256" t="s">
        <v>17</v>
      </c>
      <c r="K2256" t="s">
        <v>6265</v>
      </c>
      <c r="L2256">
        <v>200</v>
      </c>
      <c r="M2256" t="s">
        <v>6266</v>
      </c>
    </row>
    <row r="2257" spans="1:13">
      <c r="A2257" t="s">
        <v>13</v>
      </c>
      <c r="B2257">
        <v>2406979</v>
      </c>
      <c r="C2257">
        <v>2409033</v>
      </c>
      <c r="E2257" t="s">
        <v>14</v>
      </c>
      <c r="F2257" t="s">
        <v>6267</v>
      </c>
      <c r="H2257">
        <v>1020228</v>
      </c>
      <c r="I2257" t="s">
        <v>17</v>
      </c>
      <c r="K2257" t="s">
        <v>6268</v>
      </c>
      <c r="L2257">
        <v>684</v>
      </c>
      <c r="M2257" t="s">
        <v>6269</v>
      </c>
    </row>
    <row r="2258" spans="1:13">
      <c r="A2258" t="s">
        <v>13</v>
      </c>
      <c r="B2258">
        <v>2409777</v>
      </c>
      <c r="C2258">
        <v>2410265</v>
      </c>
      <c r="E2258" t="s">
        <v>38</v>
      </c>
      <c r="F2258" t="s">
        <v>49</v>
      </c>
      <c r="H2258">
        <v>1020229</v>
      </c>
      <c r="I2258" t="s">
        <v>17</v>
      </c>
      <c r="K2258" t="s">
        <v>6270</v>
      </c>
      <c r="L2258">
        <v>162</v>
      </c>
      <c r="M2258" t="s">
        <v>6271</v>
      </c>
    </row>
    <row r="2259" spans="1:13">
      <c r="A2259" t="s">
        <v>13</v>
      </c>
      <c r="B2259">
        <v>2410278</v>
      </c>
      <c r="C2259">
        <v>2410862</v>
      </c>
      <c r="E2259" t="s">
        <v>38</v>
      </c>
      <c r="F2259" t="s">
        <v>49</v>
      </c>
      <c r="H2259">
        <v>1020230</v>
      </c>
      <c r="I2259" t="s">
        <v>17</v>
      </c>
      <c r="K2259" t="s">
        <v>6272</v>
      </c>
      <c r="L2259">
        <v>194</v>
      </c>
      <c r="M2259" t="s">
        <v>6273</v>
      </c>
    </row>
    <row r="2260" spans="1:13">
      <c r="A2260" t="s">
        <v>13</v>
      </c>
      <c r="B2260">
        <v>2410954</v>
      </c>
      <c r="C2260">
        <v>2412339</v>
      </c>
      <c r="E2260" t="s">
        <v>38</v>
      </c>
      <c r="F2260" t="s">
        <v>6274</v>
      </c>
      <c r="H2260">
        <v>1020231</v>
      </c>
      <c r="I2260" t="s">
        <v>17</v>
      </c>
      <c r="K2260" t="s">
        <v>6275</v>
      </c>
      <c r="L2260">
        <v>461</v>
      </c>
      <c r="M2260" t="s">
        <v>6276</v>
      </c>
    </row>
    <row r="2261" spans="1:13">
      <c r="A2261" t="s">
        <v>13</v>
      </c>
      <c r="B2261">
        <v>2412581</v>
      </c>
      <c r="C2261">
        <v>2412952</v>
      </c>
      <c r="E2261" t="s">
        <v>14</v>
      </c>
      <c r="F2261" t="s">
        <v>801</v>
      </c>
      <c r="H2261">
        <v>1020232</v>
      </c>
      <c r="I2261" t="s">
        <v>17</v>
      </c>
      <c r="K2261" t="s">
        <v>6277</v>
      </c>
      <c r="L2261">
        <v>123</v>
      </c>
      <c r="M2261" t="s">
        <v>6278</v>
      </c>
    </row>
    <row r="2262" spans="1:13">
      <c r="A2262" t="s">
        <v>13</v>
      </c>
      <c r="B2262">
        <v>2412993</v>
      </c>
      <c r="C2262">
        <v>2413427</v>
      </c>
      <c r="E2262" t="s">
        <v>14</v>
      </c>
      <c r="F2262" t="s">
        <v>6279</v>
      </c>
      <c r="H2262">
        <v>1020233</v>
      </c>
      <c r="I2262" t="s">
        <v>17</v>
      </c>
      <c r="K2262" t="s">
        <v>6280</v>
      </c>
      <c r="L2262">
        <v>144</v>
      </c>
      <c r="M2262" t="s">
        <v>6281</v>
      </c>
    </row>
    <row r="2263" spans="1:13">
      <c r="A2263" t="s">
        <v>13</v>
      </c>
      <c r="B2263">
        <v>2413569</v>
      </c>
      <c r="C2263">
        <v>2415122</v>
      </c>
      <c r="E2263" t="s">
        <v>14</v>
      </c>
      <c r="F2263" t="s">
        <v>2205</v>
      </c>
      <c r="H2263">
        <v>1020234</v>
      </c>
      <c r="I2263" t="s">
        <v>17</v>
      </c>
      <c r="K2263" t="s">
        <v>6282</v>
      </c>
      <c r="L2263">
        <v>517</v>
      </c>
      <c r="M2263" t="s">
        <v>6283</v>
      </c>
    </row>
    <row r="2264" spans="1:13">
      <c r="A2264" t="s">
        <v>13</v>
      </c>
      <c r="B2264">
        <v>2415296</v>
      </c>
      <c r="C2264">
        <v>2416369</v>
      </c>
      <c r="E2264" t="s">
        <v>38</v>
      </c>
      <c r="F2264" t="s">
        <v>6284</v>
      </c>
      <c r="H2264">
        <v>1020235</v>
      </c>
      <c r="I2264" t="s">
        <v>17</v>
      </c>
      <c r="K2264" t="s">
        <v>6285</v>
      </c>
      <c r="L2264">
        <v>357</v>
      </c>
      <c r="M2264" t="s">
        <v>6286</v>
      </c>
    </row>
    <row r="2265" spans="1:13">
      <c r="A2265" t="s">
        <v>13</v>
      </c>
      <c r="B2265">
        <v>2416369</v>
      </c>
      <c r="C2265">
        <v>2417100</v>
      </c>
      <c r="E2265" t="s">
        <v>38</v>
      </c>
      <c r="F2265" t="s">
        <v>2852</v>
      </c>
      <c r="H2265">
        <v>1020236</v>
      </c>
      <c r="I2265" t="s">
        <v>17</v>
      </c>
      <c r="K2265" t="s">
        <v>6287</v>
      </c>
      <c r="L2265">
        <v>243</v>
      </c>
      <c r="M2265" t="s">
        <v>6288</v>
      </c>
    </row>
    <row r="2266" spans="1:13">
      <c r="A2266" t="s">
        <v>13</v>
      </c>
      <c r="B2266">
        <v>2417220</v>
      </c>
      <c r="C2266">
        <v>2417948</v>
      </c>
      <c r="E2266" t="s">
        <v>38</v>
      </c>
      <c r="F2266" t="s">
        <v>6289</v>
      </c>
      <c r="G2266" t="s">
        <v>6290</v>
      </c>
      <c r="H2266">
        <v>1020237</v>
      </c>
      <c r="I2266" t="s">
        <v>17</v>
      </c>
      <c r="K2266" t="s">
        <v>6291</v>
      </c>
      <c r="L2266">
        <v>242</v>
      </c>
      <c r="M2266" t="s">
        <v>6292</v>
      </c>
    </row>
    <row r="2267" spans="1:13">
      <c r="A2267" t="s">
        <v>13</v>
      </c>
      <c r="B2267">
        <v>2417967</v>
      </c>
      <c r="C2267">
        <v>2418884</v>
      </c>
      <c r="E2267" t="s">
        <v>38</v>
      </c>
      <c r="F2267" t="s">
        <v>6293</v>
      </c>
      <c r="G2267" t="s">
        <v>6294</v>
      </c>
      <c r="H2267">
        <v>1020238</v>
      </c>
      <c r="I2267" t="s">
        <v>17</v>
      </c>
      <c r="K2267" t="s">
        <v>6295</v>
      </c>
      <c r="L2267">
        <v>305</v>
      </c>
      <c r="M2267" t="s">
        <v>6296</v>
      </c>
    </row>
    <row r="2268" spans="1:13">
      <c r="A2268" t="s">
        <v>13</v>
      </c>
      <c r="B2268">
        <v>2418988</v>
      </c>
      <c r="C2268">
        <v>2420310</v>
      </c>
      <c r="E2268" t="s">
        <v>38</v>
      </c>
      <c r="F2268" t="s">
        <v>3397</v>
      </c>
      <c r="H2268">
        <v>1020239</v>
      </c>
      <c r="I2268" t="s">
        <v>17</v>
      </c>
      <c r="K2268" t="s">
        <v>6297</v>
      </c>
      <c r="L2268">
        <v>440</v>
      </c>
      <c r="M2268" t="s">
        <v>6298</v>
      </c>
    </row>
    <row r="2269" spans="1:13">
      <c r="A2269" t="s">
        <v>13</v>
      </c>
      <c r="B2269">
        <v>2420311</v>
      </c>
      <c r="C2269">
        <v>2420901</v>
      </c>
      <c r="E2269" t="s">
        <v>38</v>
      </c>
      <c r="F2269" t="s">
        <v>6299</v>
      </c>
      <c r="G2269" t="s">
        <v>6300</v>
      </c>
      <c r="H2269">
        <v>1020240</v>
      </c>
      <c r="I2269" t="s">
        <v>17</v>
      </c>
      <c r="K2269" t="s">
        <v>6301</v>
      </c>
      <c r="L2269">
        <v>196</v>
      </c>
      <c r="M2269" t="s">
        <v>6302</v>
      </c>
    </row>
    <row r="2270" spans="1:13">
      <c r="A2270" t="s">
        <v>13</v>
      </c>
      <c r="B2270">
        <v>2420898</v>
      </c>
      <c r="C2270">
        <v>2421884</v>
      </c>
      <c r="E2270" t="s">
        <v>38</v>
      </c>
      <c r="F2270" t="s">
        <v>229</v>
      </c>
      <c r="H2270">
        <v>1020241</v>
      </c>
      <c r="I2270" t="s">
        <v>17</v>
      </c>
      <c r="K2270" t="s">
        <v>6303</v>
      </c>
      <c r="L2270">
        <v>328</v>
      </c>
      <c r="M2270" t="s">
        <v>6304</v>
      </c>
    </row>
    <row r="2271" spans="1:13">
      <c r="A2271" t="s">
        <v>13</v>
      </c>
      <c r="B2271">
        <v>2421973</v>
      </c>
      <c r="C2271">
        <v>2422698</v>
      </c>
      <c r="E2271" t="s">
        <v>38</v>
      </c>
      <c r="F2271" t="s">
        <v>6305</v>
      </c>
      <c r="H2271">
        <v>1020242</v>
      </c>
      <c r="I2271" t="s">
        <v>17</v>
      </c>
      <c r="K2271" t="s">
        <v>6306</v>
      </c>
      <c r="L2271">
        <v>241</v>
      </c>
      <c r="M2271" t="s">
        <v>6307</v>
      </c>
    </row>
    <row r="2272" spans="1:13">
      <c r="A2272" t="s">
        <v>13</v>
      </c>
      <c r="B2272">
        <v>2422698</v>
      </c>
      <c r="C2272">
        <v>2423846</v>
      </c>
      <c r="E2272" t="s">
        <v>38</v>
      </c>
      <c r="F2272" t="s">
        <v>6308</v>
      </c>
      <c r="G2272" t="s">
        <v>6309</v>
      </c>
      <c r="H2272">
        <v>1020243</v>
      </c>
      <c r="I2272" t="s">
        <v>17</v>
      </c>
      <c r="K2272" t="s">
        <v>6310</v>
      </c>
      <c r="L2272">
        <v>382</v>
      </c>
      <c r="M2272" t="s">
        <v>6311</v>
      </c>
    </row>
    <row r="2273" spans="1:13">
      <c r="A2273" t="s">
        <v>13</v>
      </c>
      <c r="B2273">
        <v>2423913</v>
      </c>
      <c r="C2273">
        <v>2424941</v>
      </c>
      <c r="E2273" t="s">
        <v>38</v>
      </c>
      <c r="F2273" t="s">
        <v>6312</v>
      </c>
      <c r="G2273" t="s">
        <v>6313</v>
      </c>
      <c r="H2273">
        <v>1020244</v>
      </c>
      <c r="I2273" t="s">
        <v>17</v>
      </c>
      <c r="K2273" t="s">
        <v>6314</v>
      </c>
      <c r="L2273">
        <v>342</v>
      </c>
      <c r="M2273" t="s">
        <v>6315</v>
      </c>
    </row>
    <row r="2274" spans="1:13">
      <c r="A2274" t="s">
        <v>13</v>
      </c>
      <c r="B2274">
        <v>2424963</v>
      </c>
      <c r="C2274">
        <v>2426105</v>
      </c>
      <c r="E2274" t="s">
        <v>38</v>
      </c>
      <c r="F2274" t="s">
        <v>6316</v>
      </c>
      <c r="G2274" t="s">
        <v>6317</v>
      </c>
      <c r="H2274">
        <v>1020245</v>
      </c>
      <c r="I2274" t="s">
        <v>17</v>
      </c>
      <c r="K2274" t="s">
        <v>6318</v>
      </c>
      <c r="L2274">
        <v>380</v>
      </c>
      <c r="M2274" t="s">
        <v>6319</v>
      </c>
    </row>
    <row r="2275" spans="1:13">
      <c r="A2275" t="s">
        <v>13</v>
      </c>
      <c r="B2275">
        <v>2426203</v>
      </c>
      <c r="C2275">
        <v>2426703</v>
      </c>
      <c r="E2275" t="s">
        <v>14</v>
      </c>
      <c r="F2275" t="s">
        <v>49</v>
      </c>
      <c r="H2275">
        <v>1020246</v>
      </c>
      <c r="I2275" t="s">
        <v>17</v>
      </c>
      <c r="K2275" t="s">
        <v>6320</v>
      </c>
      <c r="L2275">
        <v>166</v>
      </c>
      <c r="M2275" t="s">
        <v>6321</v>
      </c>
    </row>
    <row r="2276" spans="1:13">
      <c r="A2276" t="s">
        <v>13</v>
      </c>
      <c r="B2276">
        <v>2426774</v>
      </c>
      <c r="C2276">
        <v>2427454</v>
      </c>
      <c r="E2276" t="s">
        <v>38</v>
      </c>
      <c r="F2276" t="s">
        <v>49</v>
      </c>
      <c r="H2276">
        <v>1020247</v>
      </c>
      <c r="I2276" t="s">
        <v>17</v>
      </c>
      <c r="K2276" t="s">
        <v>6322</v>
      </c>
      <c r="L2276">
        <v>226</v>
      </c>
      <c r="M2276" t="s">
        <v>6323</v>
      </c>
    </row>
    <row r="2277" spans="1:13">
      <c r="A2277" t="s">
        <v>13</v>
      </c>
      <c r="B2277">
        <v>2427805</v>
      </c>
      <c r="C2277">
        <v>2428185</v>
      </c>
      <c r="E2277" t="s">
        <v>38</v>
      </c>
      <c r="F2277" t="s">
        <v>49</v>
      </c>
      <c r="H2277">
        <v>1020248</v>
      </c>
      <c r="I2277" t="s">
        <v>17</v>
      </c>
      <c r="K2277" t="s">
        <v>6324</v>
      </c>
      <c r="L2277">
        <v>126</v>
      </c>
      <c r="M2277" t="s">
        <v>6325</v>
      </c>
    </row>
    <row r="2278" spans="1:13">
      <c r="A2278" t="s">
        <v>13</v>
      </c>
      <c r="B2278">
        <v>2428182</v>
      </c>
      <c r="C2278">
        <v>2430029</v>
      </c>
      <c r="E2278" t="s">
        <v>38</v>
      </c>
      <c r="F2278" t="s">
        <v>6326</v>
      </c>
      <c r="H2278">
        <v>1020249</v>
      </c>
      <c r="I2278" t="s">
        <v>17</v>
      </c>
      <c r="K2278" t="s">
        <v>6327</v>
      </c>
      <c r="L2278">
        <v>615</v>
      </c>
      <c r="M2278" t="s">
        <v>6328</v>
      </c>
    </row>
    <row r="2279" spans="1:13">
      <c r="A2279" t="s">
        <v>13</v>
      </c>
      <c r="B2279">
        <v>2430297</v>
      </c>
      <c r="C2279">
        <v>2432417</v>
      </c>
      <c r="E2279" t="s">
        <v>14</v>
      </c>
      <c r="F2279" t="s">
        <v>6329</v>
      </c>
      <c r="G2279" t="s">
        <v>6330</v>
      </c>
      <c r="H2279">
        <v>1020250</v>
      </c>
      <c r="I2279" t="s">
        <v>17</v>
      </c>
      <c r="K2279" t="s">
        <v>6331</v>
      </c>
      <c r="L2279">
        <v>706</v>
      </c>
      <c r="M2279" t="s">
        <v>6332</v>
      </c>
    </row>
    <row r="2280" spans="1:13">
      <c r="A2280" t="s">
        <v>13</v>
      </c>
      <c r="B2280">
        <v>2432509</v>
      </c>
      <c r="C2280">
        <v>2434374</v>
      </c>
      <c r="E2280" t="s">
        <v>14</v>
      </c>
      <c r="F2280" t="s">
        <v>147</v>
      </c>
      <c r="H2280">
        <v>1020251</v>
      </c>
      <c r="I2280" t="s">
        <v>17</v>
      </c>
      <c r="K2280" t="s">
        <v>6333</v>
      </c>
      <c r="L2280">
        <v>621</v>
      </c>
      <c r="M2280" t="s">
        <v>6334</v>
      </c>
    </row>
    <row r="2281" spans="1:13">
      <c r="A2281" t="s">
        <v>13</v>
      </c>
      <c r="B2281">
        <v>2434438</v>
      </c>
      <c r="C2281">
        <v>2434578</v>
      </c>
      <c r="E2281" t="s">
        <v>38</v>
      </c>
      <c r="F2281" t="s">
        <v>49</v>
      </c>
      <c r="H2281">
        <v>44156736</v>
      </c>
      <c r="I2281" t="s">
        <v>17</v>
      </c>
      <c r="K2281" t="s">
        <v>6335</v>
      </c>
      <c r="L2281">
        <v>46</v>
      </c>
      <c r="M2281" t="s">
        <v>6336</v>
      </c>
    </row>
    <row r="2282" spans="1:13">
      <c r="A2282" t="s">
        <v>13</v>
      </c>
      <c r="B2282">
        <v>2434571</v>
      </c>
      <c r="C2282">
        <v>2434777</v>
      </c>
      <c r="E2282" t="s">
        <v>38</v>
      </c>
      <c r="F2282" t="s">
        <v>49</v>
      </c>
      <c r="H2282">
        <v>44144988</v>
      </c>
      <c r="I2282" t="s">
        <v>17</v>
      </c>
      <c r="K2282" t="s">
        <v>6337</v>
      </c>
      <c r="L2282">
        <v>68</v>
      </c>
      <c r="M2282" t="s">
        <v>6338</v>
      </c>
    </row>
    <row r="2283" spans="1:13">
      <c r="A2283" t="s">
        <v>13</v>
      </c>
      <c r="B2283">
        <v>2434803</v>
      </c>
      <c r="C2283">
        <v>2436839</v>
      </c>
      <c r="E2283" t="s">
        <v>38</v>
      </c>
      <c r="F2283" t="s">
        <v>6339</v>
      </c>
      <c r="H2283">
        <v>1020252</v>
      </c>
      <c r="I2283" t="s">
        <v>17</v>
      </c>
      <c r="K2283" t="s">
        <v>6340</v>
      </c>
      <c r="L2283">
        <v>678</v>
      </c>
      <c r="M2283" t="s">
        <v>6341</v>
      </c>
    </row>
    <row r="2284" spans="1:13">
      <c r="A2284" t="s">
        <v>13</v>
      </c>
      <c r="B2284">
        <v>2436872</v>
      </c>
      <c r="C2284">
        <v>2438053</v>
      </c>
      <c r="E2284" t="s">
        <v>14</v>
      </c>
      <c r="F2284" t="s">
        <v>6342</v>
      </c>
      <c r="H2284">
        <v>1020253</v>
      </c>
      <c r="I2284" t="s">
        <v>17</v>
      </c>
      <c r="K2284" t="s">
        <v>6343</v>
      </c>
      <c r="L2284">
        <v>393</v>
      </c>
      <c r="M2284" t="s">
        <v>6344</v>
      </c>
    </row>
    <row r="2285" spans="1:13">
      <c r="A2285" t="s">
        <v>13</v>
      </c>
      <c r="B2285">
        <v>2438096</v>
      </c>
      <c r="C2285">
        <v>2439910</v>
      </c>
      <c r="E2285" t="s">
        <v>14</v>
      </c>
      <c r="F2285" t="s">
        <v>6345</v>
      </c>
      <c r="G2285" t="s">
        <v>6346</v>
      </c>
      <c r="H2285">
        <v>1020254</v>
      </c>
      <c r="I2285" t="s">
        <v>17</v>
      </c>
      <c r="K2285" t="s">
        <v>6347</v>
      </c>
      <c r="L2285">
        <v>604</v>
      </c>
      <c r="M2285" t="s">
        <v>6348</v>
      </c>
    </row>
    <row r="2286" spans="1:13">
      <c r="A2286" t="s">
        <v>13</v>
      </c>
      <c r="B2286">
        <v>2439907</v>
      </c>
      <c r="C2286">
        <v>2440998</v>
      </c>
      <c r="E2286" t="s">
        <v>14</v>
      </c>
      <c r="F2286" t="s">
        <v>6349</v>
      </c>
      <c r="H2286">
        <v>1020255</v>
      </c>
      <c r="I2286" t="s">
        <v>17</v>
      </c>
      <c r="K2286" t="s">
        <v>6350</v>
      </c>
      <c r="L2286">
        <v>363</v>
      </c>
      <c r="M2286" t="s">
        <v>6351</v>
      </c>
    </row>
    <row r="2287" spans="1:13">
      <c r="A2287" t="s">
        <v>13</v>
      </c>
      <c r="B2287">
        <v>2441003</v>
      </c>
      <c r="C2287">
        <v>2441572</v>
      </c>
      <c r="E2287" t="s">
        <v>38</v>
      </c>
      <c r="F2287" t="s">
        <v>6352</v>
      </c>
      <c r="G2287" t="s">
        <v>6353</v>
      </c>
      <c r="H2287">
        <v>1020256</v>
      </c>
      <c r="I2287" t="s">
        <v>17</v>
      </c>
      <c r="K2287" t="s">
        <v>6354</v>
      </c>
      <c r="L2287">
        <v>189</v>
      </c>
      <c r="M2287" t="s">
        <v>6355</v>
      </c>
    </row>
    <row r="2288" spans="1:13">
      <c r="A2288" t="s">
        <v>13</v>
      </c>
      <c r="B2288">
        <v>2441600</v>
      </c>
      <c r="C2288">
        <v>2443357</v>
      </c>
      <c r="E2288" t="s">
        <v>38</v>
      </c>
      <c r="F2288" t="s">
        <v>49</v>
      </c>
      <c r="H2288">
        <v>1020257</v>
      </c>
      <c r="I2288" t="s">
        <v>17</v>
      </c>
      <c r="K2288" t="s">
        <v>6356</v>
      </c>
      <c r="L2288">
        <v>585</v>
      </c>
      <c r="M2288" t="s">
        <v>6357</v>
      </c>
    </row>
    <row r="2289" spans="1:13">
      <c r="A2289" t="s">
        <v>13</v>
      </c>
      <c r="B2289">
        <v>2443354</v>
      </c>
      <c r="C2289">
        <v>2443920</v>
      </c>
      <c r="E2289" t="s">
        <v>38</v>
      </c>
      <c r="F2289" t="s">
        <v>6358</v>
      </c>
      <c r="H2289">
        <v>1020258</v>
      </c>
      <c r="I2289" t="s">
        <v>17</v>
      </c>
      <c r="K2289" t="s">
        <v>6359</v>
      </c>
      <c r="L2289">
        <v>188</v>
      </c>
      <c r="M2289" t="s">
        <v>6360</v>
      </c>
    </row>
    <row r="2290" spans="1:13">
      <c r="A2290" t="s">
        <v>13</v>
      </c>
      <c r="B2290">
        <v>2444031</v>
      </c>
      <c r="C2290">
        <v>2444552</v>
      </c>
      <c r="E2290" t="s">
        <v>38</v>
      </c>
      <c r="F2290" t="s">
        <v>49</v>
      </c>
      <c r="H2290">
        <v>1020259</v>
      </c>
      <c r="I2290" t="s">
        <v>17</v>
      </c>
      <c r="K2290" t="s">
        <v>6361</v>
      </c>
      <c r="L2290">
        <v>173</v>
      </c>
      <c r="M2290" t="s">
        <v>6362</v>
      </c>
    </row>
    <row r="2291" spans="1:13">
      <c r="A2291" t="s">
        <v>13</v>
      </c>
      <c r="B2291">
        <v>2444607</v>
      </c>
      <c r="C2291">
        <v>2445713</v>
      </c>
      <c r="E2291" t="s">
        <v>14</v>
      </c>
      <c r="F2291" t="s">
        <v>6363</v>
      </c>
      <c r="H2291">
        <v>1020260</v>
      </c>
      <c r="I2291" t="s">
        <v>17</v>
      </c>
      <c r="K2291" t="s">
        <v>6364</v>
      </c>
      <c r="L2291">
        <v>368</v>
      </c>
      <c r="M2291" t="s">
        <v>6365</v>
      </c>
    </row>
    <row r="2292" spans="1:13">
      <c r="A2292" t="s">
        <v>13</v>
      </c>
      <c r="B2292">
        <v>2445717</v>
      </c>
      <c r="C2292">
        <v>2446997</v>
      </c>
      <c r="E2292" t="s">
        <v>14</v>
      </c>
      <c r="F2292" t="s">
        <v>6366</v>
      </c>
      <c r="G2292" t="s">
        <v>6367</v>
      </c>
      <c r="H2292">
        <v>1020261</v>
      </c>
      <c r="I2292" t="s">
        <v>17</v>
      </c>
      <c r="K2292" t="s">
        <v>6368</v>
      </c>
      <c r="L2292">
        <v>426</v>
      </c>
      <c r="M2292" t="s">
        <v>6369</v>
      </c>
    </row>
    <row r="2293" spans="1:13">
      <c r="A2293" t="s">
        <v>13</v>
      </c>
      <c r="B2293">
        <v>2447022</v>
      </c>
      <c r="C2293">
        <v>2448002</v>
      </c>
      <c r="E2293" t="s">
        <v>14</v>
      </c>
      <c r="F2293" t="s">
        <v>2071</v>
      </c>
      <c r="H2293">
        <v>1020262</v>
      </c>
      <c r="I2293" t="s">
        <v>17</v>
      </c>
      <c r="K2293" t="s">
        <v>6370</v>
      </c>
      <c r="L2293">
        <v>326</v>
      </c>
      <c r="M2293" t="s">
        <v>6371</v>
      </c>
    </row>
    <row r="2294" spans="1:13">
      <c r="A2294" t="s">
        <v>13</v>
      </c>
      <c r="B2294">
        <v>2448326</v>
      </c>
      <c r="C2294">
        <v>2450173</v>
      </c>
      <c r="E2294" t="s">
        <v>38</v>
      </c>
      <c r="F2294" t="s">
        <v>6372</v>
      </c>
      <c r="H2294">
        <v>1020263</v>
      </c>
      <c r="I2294" t="s">
        <v>17</v>
      </c>
      <c r="K2294" t="s">
        <v>6373</v>
      </c>
      <c r="L2294">
        <v>615</v>
      </c>
      <c r="M2294" t="s">
        <v>6374</v>
      </c>
    </row>
    <row r="2295" spans="1:13">
      <c r="A2295" t="s">
        <v>13</v>
      </c>
      <c r="B2295">
        <v>2450321</v>
      </c>
      <c r="C2295">
        <v>2450839</v>
      </c>
      <c r="E2295" t="s">
        <v>38</v>
      </c>
      <c r="F2295" t="s">
        <v>49</v>
      </c>
      <c r="H2295">
        <v>1020264</v>
      </c>
      <c r="I2295" t="s">
        <v>17</v>
      </c>
      <c r="K2295" t="s">
        <v>6375</v>
      </c>
      <c r="L2295">
        <v>172</v>
      </c>
      <c r="M2295" t="s">
        <v>6376</v>
      </c>
    </row>
    <row r="2296" spans="1:13">
      <c r="A2296" t="s">
        <v>13</v>
      </c>
      <c r="B2296">
        <v>2450857</v>
      </c>
      <c r="C2296">
        <v>2451786</v>
      </c>
      <c r="E2296" t="s">
        <v>38</v>
      </c>
      <c r="F2296" t="s">
        <v>6377</v>
      </c>
      <c r="H2296">
        <v>1020265</v>
      </c>
      <c r="I2296" t="s">
        <v>17</v>
      </c>
      <c r="K2296" t="s">
        <v>6378</v>
      </c>
      <c r="L2296">
        <v>309</v>
      </c>
      <c r="M2296" t="s">
        <v>6379</v>
      </c>
    </row>
    <row r="2297" spans="1:13">
      <c r="A2297" t="s">
        <v>13</v>
      </c>
      <c r="B2297">
        <v>2451792</v>
      </c>
      <c r="C2297">
        <v>2454638</v>
      </c>
      <c r="E2297" t="s">
        <v>38</v>
      </c>
      <c r="F2297" t="s">
        <v>6380</v>
      </c>
      <c r="H2297">
        <v>1020266</v>
      </c>
      <c r="I2297" t="s">
        <v>17</v>
      </c>
      <c r="K2297" t="s">
        <v>6381</v>
      </c>
      <c r="L2297">
        <v>948</v>
      </c>
      <c r="M2297" t="s">
        <v>6382</v>
      </c>
    </row>
    <row r="2298" spans="1:13">
      <c r="A2298" t="s">
        <v>13</v>
      </c>
      <c r="B2298">
        <v>2454717</v>
      </c>
      <c r="C2298">
        <v>2455439</v>
      </c>
      <c r="E2298" t="s">
        <v>14</v>
      </c>
      <c r="F2298" t="s">
        <v>1930</v>
      </c>
      <c r="H2298">
        <v>1020267</v>
      </c>
      <c r="I2298" t="s">
        <v>17</v>
      </c>
      <c r="K2298" t="s">
        <v>6383</v>
      </c>
      <c r="L2298">
        <v>240</v>
      </c>
      <c r="M2298" t="s">
        <v>6384</v>
      </c>
    </row>
    <row r="2299" spans="1:13">
      <c r="A2299" t="s">
        <v>13</v>
      </c>
      <c r="B2299">
        <v>2455450</v>
      </c>
      <c r="C2299">
        <v>2455707</v>
      </c>
      <c r="E2299" t="s">
        <v>38</v>
      </c>
      <c r="F2299" t="s">
        <v>49</v>
      </c>
      <c r="H2299">
        <v>1020268</v>
      </c>
      <c r="I2299" t="s">
        <v>17</v>
      </c>
      <c r="K2299" t="s">
        <v>6385</v>
      </c>
      <c r="L2299">
        <v>85</v>
      </c>
      <c r="M2299" t="s">
        <v>6386</v>
      </c>
    </row>
    <row r="2300" spans="1:13">
      <c r="A2300" t="s">
        <v>13</v>
      </c>
      <c r="B2300">
        <v>2455718</v>
      </c>
      <c r="C2300">
        <v>2457067</v>
      </c>
      <c r="E2300" t="s">
        <v>38</v>
      </c>
      <c r="F2300" t="s">
        <v>6387</v>
      </c>
      <c r="H2300">
        <v>1020269</v>
      </c>
      <c r="I2300" t="s">
        <v>17</v>
      </c>
      <c r="K2300" t="s">
        <v>6388</v>
      </c>
      <c r="L2300">
        <v>449</v>
      </c>
      <c r="M2300" t="s">
        <v>6389</v>
      </c>
    </row>
    <row r="2301" spans="1:13">
      <c r="A2301" t="s">
        <v>13</v>
      </c>
      <c r="B2301">
        <v>2457335</v>
      </c>
      <c r="C2301">
        <v>2457613</v>
      </c>
      <c r="E2301" t="s">
        <v>38</v>
      </c>
      <c r="F2301" t="s">
        <v>49</v>
      </c>
      <c r="H2301">
        <v>92792310</v>
      </c>
      <c r="I2301" t="s">
        <v>17</v>
      </c>
      <c r="K2301" t="s">
        <v>6390</v>
      </c>
      <c r="L2301">
        <v>92</v>
      </c>
      <c r="M2301" t="s">
        <v>6391</v>
      </c>
    </row>
    <row r="2302" spans="1:13">
      <c r="A2302" t="s">
        <v>13</v>
      </c>
      <c r="B2302">
        <v>2457864</v>
      </c>
      <c r="C2302">
        <v>2459375</v>
      </c>
      <c r="E2302" t="s">
        <v>14</v>
      </c>
      <c r="F2302" t="s">
        <v>1008</v>
      </c>
      <c r="H2302">
        <v>1020271</v>
      </c>
      <c r="I2302" t="s">
        <v>17</v>
      </c>
      <c r="K2302" t="s">
        <v>6392</v>
      </c>
      <c r="L2302">
        <v>503</v>
      </c>
      <c r="M2302" t="s">
        <v>6393</v>
      </c>
    </row>
    <row r="2303" spans="1:13">
      <c r="A2303" t="s">
        <v>13</v>
      </c>
      <c r="B2303">
        <v>2459372</v>
      </c>
      <c r="C2303">
        <v>2460340</v>
      </c>
      <c r="E2303" t="s">
        <v>14</v>
      </c>
      <c r="F2303" t="s">
        <v>124</v>
      </c>
      <c r="H2303">
        <v>1020272</v>
      </c>
      <c r="I2303" t="s">
        <v>17</v>
      </c>
      <c r="K2303" t="s">
        <v>6394</v>
      </c>
      <c r="L2303">
        <v>322</v>
      </c>
      <c r="M2303" t="s">
        <v>6395</v>
      </c>
    </row>
    <row r="2304" spans="1:13">
      <c r="A2304" t="s">
        <v>13</v>
      </c>
      <c r="B2304">
        <v>2460341</v>
      </c>
      <c r="C2304">
        <v>2461171</v>
      </c>
      <c r="E2304" t="s">
        <v>14</v>
      </c>
      <c r="F2304" t="s">
        <v>124</v>
      </c>
      <c r="H2304">
        <v>1020273</v>
      </c>
      <c r="I2304" t="s">
        <v>17</v>
      </c>
      <c r="K2304" t="s">
        <v>6396</v>
      </c>
      <c r="L2304">
        <v>276</v>
      </c>
      <c r="M2304" t="s">
        <v>6397</v>
      </c>
    </row>
    <row r="2305" spans="1:13">
      <c r="A2305" t="s">
        <v>13</v>
      </c>
      <c r="B2305">
        <v>2461164</v>
      </c>
      <c r="C2305">
        <v>2462603</v>
      </c>
      <c r="E2305" t="s">
        <v>14</v>
      </c>
      <c r="F2305" t="s">
        <v>6398</v>
      </c>
      <c r="H2305">
        <v>1020274</v>
      </c>
      <c r="I2305" t="s">
        <v>17</v>
      </c>
      <c r="K2305" t="s">
        <v>6399</v>
      </c>
      <c r="L2305">
        <v>479</v>
      </c>
      <c r="M2305" t="s">
        <v>6400</v>
      </c>
    </row>
    <row r="2306" spans="1:13">
      <c r="A2306" t="s">
        <v>13</v>
      </c>
      <c r="B2306">
        <v>2462600</v>
      </c>
      <c r="C2306">
        <v>2463151</v>
      </c>
      <c r="E2306" t="s">
        <v>38</v>
      </c>
      <c r="F2306" t="s">
        <v>6401</v>
      </c>
      <c r="G2306" t="s">
        <v>6402</v>
      </c>
      <c r="H2306">
        <v>1020275</v>
      </c>
      <c r="I2306" t="s">
        <v>17</v>
      </c>
      <c r="K2306" t="s">
        <v>6403</v>
      </c>
      <c r="L2306">
        <v>183</v>
      </c>
      <c r="M2306" t="s">
        <v>6404</v>
      </c>
    </row>
    <row r="2307" spans="1:13">
      <c r="A2307" t="s">
        <v>13</v>
      </c>
      <c r="B2307">
        <v>2463242</v>
      </c>
      <c r="C2307">
        <v>2464147</v>
      </c>
      <c r="E2307" t="s">
        <v>14</v>
      </c>
      <c r="F2307" t="s">
        <v>3850</v>
      </c>
      <c r="H2307">
        <v>1020276</v>
      </c>
      <c r="I2307" t="s">
        <v>17</v>
      </c>
      <c r="K2307" t="s">
        <v>6405</v>
      </c>
      <c r="L2307">
        <v>301</v>
      </c>
      <c r="M2307" t="s">
        <v>6406</v>
      </c>
    </row>
    <row r="2308" spans="1:13">
      <c r="A2308" t="s">
        <v>13</v>
      </c>
      <c r="B2308">
        <v>2464372</v>
      </c>
      <c r="C2308">
        <v>2465772</v>
      </c>
      <c r="E2308" t="s">
        <v>14</v>
      </c>
      <c r="F2308" t="s">
        <v>6407</v>
      </c>
      <c r="H2308">
        <v>1020277</v>
      </c>
      <c r="I2308" t="s">
        <v>17</v>
      </c>
      <c r="K2308" t="s">
        <v>6408</v>
      </c>
      <c r="L2308">
        <v>466</v>
      </c>
      <c r="M2308" t="s">
        <v>6409</v>
      </c>
    </row>
    <row r="2309" spans="1:13">
      <c r="A2309" t="s">
        <v>13</v>
      </c>
      <c r="B2309">
        <v>2466036</v>
      </c>
      <c r="C2309">
        <v>2467010</v>
      </c>
      <c r="E2309" t="s">
        <v>38</v>
      </c>
      <c r="F2309" t="s">
        <v>3573</v>
      </c>
      <c r="H2309">
        <v>1020278</v>
      </c>
      <c r="I2309" t="s">
        <v>17</v>
      </c>
      <c r="K2309" t="s">
        <v>6410</v>
      </c>
      <c r="L2309">
        <v>324</v>
      </c>
      <c r="M2309" t="s">
        <v>6411</v>
      </c>
    </row>
    <row r="2310" spans="1:13">
      <c r="A2310" t="s">
        <v>13</v>
      </c>
      <c r="B2310">
        <v>2467159</v>
      </c>
      <c r="C2310">
        <v>2467926</v>
      </c>
      <c r="E2310" t="s">
        <v>14</v>
      </c>
      <c r="F2310" t="s">
        <v>6412</v>
      </c>
      <c r="H2310">
        <v>1020279</v>
      </c>
      <c r="I2310" t="s">
        <v>17</v>
      </c>
      <c r="K2310" t="s">
        <v>6413</v>
      </c>
      <c r="L2310">
        <v>255</v>
      </c>
      <c r="M2310" t="s">
        <v>6414</v>
      </c>
    </row>
    <row r="2311" spans="1:13">
      <c r="A2311" t="s">
        <v>13</v>
      </c>
      <c r="B2311">
        <v>2467923</v>
      </c>
      <c r="C2311">
        <v>2470142</v>
      </c>
      <c r="E2311" t="s">
        <v>38</v>
      </c>
      <c r="F2311" t="s">
        <v>6415</v>
      </c>
      <c r="G2311" t="s">
        <v>6416</v>
      </c>
      <c r="H2311">
        <v>1020280</v>
      </c>
      <c r="I2311" t="s">
        <v>17</v>
      </c>
      <c r="K2311" t="s">
        <v>6417</v>
      </c>
      <c r="L2311">
        <v>739</v>
      </c>
      <c r="M2311" t="s">
        <v>6418</v>
      </c>
    </row>
    <row r="2312" spans="1:13">
      <c r="A2312" t="s">
        <v>13</v>
      </c>
      <c r="B2312">
        <v>2470741</v>
      </c>
      <c r="C2312">
        <v>2472039</v>
      </c>
      <c r="E2312" t="s">
        <v>14</v>
      </c>
      <c r="F2312" t="s">
        <v>6419</v>
      </c>
      <c r="G2312" t="s">
        <v>6420</v>
      </c>
      <c r="H2312">
        <v>1020281</v>
      </c>
      <c r="I2312" t="s">
        <v>17</v>
      </c>
      <c r="K2312" t="s">
        <v>6421</v>
      </c>
      <c r="L2312">
        <v>432</v>
      </c>
      <c r="M2312" t="s">
        <v>6422</v>
      </c>
    </row>
    <row r="2313" spans="1:13">
      <c r="A2313" t="s">
        <v>13</v>
      </c>
      <c r="B2313">
        <v>2472251</v>
      </c>
      <c r="C2313">
        <v>2472823</v>
      </c>
      <c r="E2313" t="s">
        <v>14</v>
      </c>
      <c r="F2313" t="s">
        <v>6423</v>
      </c>
      <c r="G2313" t="s">
        <v>6424</v>
      </c>
      <c r="H2313">
        <v>1020282</v>
      </c>
      <c r="I2313" t="s">
        <v>17</v>
      </c>
      <c r="K2313" t="s">
        <v>6425</v>
      </c>
      <c r="L2313">
        <v>190</v>
      </c>
      <c r="M2313" t="s">
        <v>6426</v>
      </c>
    </row>
    <row r="2314" spans="1:13">
      <c r="A2314" t="s">
        <v>13</v>
      </c>
      <c r="B2314">
        <v>2472891</v>
      </c>
      <c r="C2314">
        <v>2473553</v>
      </c>
      <c r="E2314" t="s">
        <v>38</v>
      </c>
      <c r="F2314" t="s">
        <v>89</v>
      </c>
      <c r="H2314">
        <v>1020283</v>
      </c>
      <c r="I2314" t="s">
        <v>17</v>
      </c>
      <c r="K2314" t="s">
        <v>6427</v>
      </c>
      <c r="L2314">
        <v>220</v>
      </c>
      <c r="M2314" t="s">
        <v>6428</v>
      </c>
    </row>
    <row r="2315" spans="1:13">
      <c r="A2315" t="s">
        <v>13</v>
      </c>
      <c r="B2315">
        <v>2473654</v>
      </c>
      <c r="C2315">
        <v>2475546</v>
      </c>
      <c r="E2315" t="s">
        <v>14</v>
      </c>
      <c r="F2315" t="s">
        <v>6372</v>
      </c>
      <c r="H2315">
        <v>1020284</v>
      </c>
      <c r="I2315" t="s">
        <v>17</v>
      </c>
      <c r="K2315" t="s">
        <v>6429</v>
      </c>
      <c r="L2315">
        <v>630</v>
      </c>
      <c r="M2315" t="s">
        <v>6430</v>
      </c>
    </row>
    <row r="2316" spans="1:13">
      <c r="A2316" t="s">
        <v>13</v>
      </c>
      <c r="B2316">
        <v>2475838</v>
      </c>
      <c r="C2316">
        <v>2476119</v>
      </c>
      <c r="E2316" t="s">
        <v>38</v>
      </c>
      <c r="F2316" t="s">
        <v>6431</v>
      </c>
      <c r="H2316">
        <v>1020285</v>
      </c>
      <c r="I2316" t="s">
        <v>17</v>
      </c>
      <c r="K2316" t="s">
        <v>6432</v>
      </c>
      <c r="L2316">
        <v>93</v>
      </c>
      <c r="M2316" t="s">
        <v>6433</v>
      </c>
    </row>
    <row r="2317" spans="1:13">
      <c r="A2317" t="s">
        <v>13</v>
      </c>
      <c r="B2317">
        <v>2476498</v>
      </c>
      <c r="C2317">
        <v>2477496</v>
      </c>
      <c r="E2317" t="s">
        <v>14</v>
      </c>
      <c r="F2317" t="s">
        <v>49</v>
      </c>
      <c r="H2317">
        <v>1020286</v>
      </c>
      <c r="I2317" t="s">
        <v>17</v>
      </c>
      <c r="K2317" t="s">
        <v>6434</v>
      </c>
      <c r="L2317">
        <v>332</v>
      </c>
      <c r="M2317" t="s">
        <v>6435</v>
      </c>
    </row>
    <row r="2318" spans="1:13">
      <c r="A2318" t="s">
        <v>13</v>
      </c>
      <c r="B2318">
        <v>2477651</v>
      </c>
      <c r="C2318">
        <v>2479255</v>
      </c>
      <c r="E2318" t="s">
        <v>14</v>
      </c>
      <c r="F2318" t="s">
        <v>6436</v>
      </c>
      <c r="H2318">
        <v>1020287</v>
      </c>
      <c r="I2318" t="s">
        <v>17</v>
      </c>
      <c r="K2318" t="s">
        <v>6437</v>
      </c>
      <c r="L2318">
        <v>534</v>
      </c>
      <c r="M2318" t="s">
        <v>6438</v>
      </c>
    </row>
    <row r="2319" spans="1:13">
      <c r="A2319" t="s">
        <v>13</v>
      </c>
      <c r="B2319">
        <v>2479380</v>
      </c>
      <c r="C2319">
        <v>2479766</v>
      </c>
      <c r="E2319" t="s">
        <v>14</v>
      </c>
      <c r="F2319" t="s">
        <v>49</v>
      </c>
      <c r="H2319">
        <v>1020288</v>
      </c>
      <c r="I2319" t="s">
        <v>17</v>
      </c>
      <c r="K2319" t="s">
        <v>6439</v>
      </c>
      <c r="L2319">
        <v>128</v>
      </c>
      <c r="M2319" t="s">
        <v>6440</v>
      </c>
    </row>
    <row r="2320" spans="1:13">
      <c r="A2320" t="s">
        <v>13</v>
      </c>
      <c r="B2320">
        <v>2479896</v>
      </c>
      <c r="C2320">
        <v>2481209</v>
      </c>
      <c r="E2320" t="s">
        <v>38</v>
      </c>
      <c r="F2320" t="s">
        <v>6441</v>
      </c>
      <c r="H2320">
        <v>1020289</v>
      </c>
      <c r="I2320" t="s">
        <v>17</v>
      </c>
      <c r="K2320" t="s">
        <v>6442</v>
      </c>
      <c r="L2320">
        <v>437</v>
      </c>
      <c r="M2320" t="s">
        <v>6443</v>
      </c>
    </row>
    <row r="2321" spans="1:13">
      <c r="A2321" t="s">
        <v>13</v>
      </c>
      <c r="B2321">
        <v>2481211</v>
      </c>
      <c r="C2321">
        <v>2481732</v>
      </c>
      <c r="E2321" t="s">
        <v>38</v>
      </c>
      <c r="F2321" t="s">
        <v>6444</v>
      </c>
      <c r="H2321">
        <v>1020290</v>
      </c>
      <c r="I2321" t="s">
        <v>17</v>
      </c>
      <c r="K2321" t="s">
        <v>6445</v>
      </c>
      <c r="L2321">
        <v>173</v>
      </c>
      <c r="M2321" t="s">
        <v>6446</v>
      </c>
    </row>
    <row r="2322" spans="1:13">
      <c r="A2322" t="s">
        <v>13</v>
      </c>
      <c r="B2322">
        <v>2481732</v>
      </c>
      <c r="C2322">
        <v>2482388</v>
      </c>
      <c r="E2322" t="s">
        <v>38</v>
      </c>
      <c r="F2322" t="s">
        <v>6447</v>
      </c>
      <c r="G2322" t="s">
        <v>6448</v>
      </c>
      <c r="H2322">
        <v>1020291</v>
      </c>
      <c r="I2322" t="s">
        <v>17</v>
      </c>
      <c r="K2322" t="s">
        <v>6449</v>
      </c>
      <c r="L2322">
        <v>218</v>
      </c>
      <c r="M2322" t="s">
        <v>6450</v>
      </c>
    </row>
    <row r="2323" spans="1:13">
      <c r="A2323" t="s">
        <v>13</v>
      </c>
      <c r="B2323">
        <v>2482546</v>
      </c>
      <c r="C2323">
        <v>2484393</v>
      </c>
      <c r="E2323" t="s">
        <v>38</v>
      </c>
      <c r="F2323" t="s">
        <v>6451</v>
      </c>
      <c r="G2323" t="s">
        <v>6452</v>
      </c>
      <c r="H2323">
        <v>1020292</v>
      </c>
      <c r="I2323" t="s">
        <v>17</v>
      </c>
      <c r="K2323" t="s">
        <v>6453</v>
      </c>
      <c r="L2323">
        <v>615</v>
      </c>
      <c r="M2323" t="s">
        <v>6454</v>
      </c>
    </row>
    <row r="2324" spans="1:13">
      <c r="A2324" t="s">
        <v>13</v>
      </c>
      <c r="B2324">
        <v>2484662</v>
      </c>
      <c r="C2324">
        <v>2485273</v>
      </c>
      <c r="E2324" t="s">
        <v>14</v>
      </c>
      <c r="F2324" t="s">
        <v>6455</v>
      </c>
      <c r="H2324">
        <v>1020293</v>
      </c>
      <c r="I2324" t="s">
        <v>17</v>
      </c>
      <c r="K2324" t="s">
        <v>6456</v>
      </c>
      <c r="L2324">
        <v>203</v>
      </c>
      <c r="M2324" t="s">
        <v>6457</v>
      </c>
    </row>
    <row r="2325" spans="1:13">
      <c r="A2325" t="s">
        <v>13</v>
      </c>
      <c r="B2325">
        <v>2485474</v>
      </c>
      <c r="C2325">
        <v>2485737</v>
      </c>
      <c r="E2325" t="s">
        <v>14</v>
      </c>
      <c r="F2325" t="s">
        <v>6458</v>
      </c>
      <c r="G2325" t="s">
        <v>6459</v>
      </c>
      <c r="H2325">
        <v>1020294</v>
      </c>
      <c r="I2325" t="s">
        <v>17</v>
      </c>
      <c r="K2325" t="s">
        <v>6460</v>
      </c>
      <c r="L2325">
        <v>87</v>
      </c>
      <c r="M2325" t="s">
        <v>6461</v>
      </c>
    </row>
    <row r="2326" spans="1:13">
      <c r="A2326" t="s">
        <v>13</v>
      </c>
      <c r="B2326">
        <v>2485799</v>
      </c>
      <c r="C2326">
        <v>2486470</v>
      </c>
      <c r="E2326" t="s">
        <v>38</v>
      </c>
      <c r="F2326" t="s">
        <v>463</v>
      </c>
      <c r="H2326">
        <v>1020295</v>
      </c>
      <c r="I2326" t="s">
        <v>17</v>
      </c>
      <c r="K2326" t="s">
        <v>6462</v>
      </c>
      <c r="L2326">
        <v>223</v>
      </c>
      <c r="M2326" t="s">
        <v>6463</v>
      </c>
    </row>
    <row r="2327" spans="1:13">
      <c r="A2327" t="s">
        <v>13</v>
      </c>
      <c r="B2327">
        <v>2486475</v>
      </c>
      <c r="C2327">
        <v>2486876</v>
      </c>
      <c r="E2327" t="s">
        <v>38</v>
      </c>
      <c r="F2327" t="s">
        <v>420</v>
      </c>
      <c r="H2327">
        <v>1020296</v>
      </c>
      <c r="I2327" t="s">
        <v>17</v>
      </c>
      <c r="K2327" t="s">
        <v>6464</v>
      </c>
      <c r="L2327">
        <v>133</v>
      </c>
      <c r="M2327" t="s">
        <v>6465</v>
      </c>
    </row>
    <row r="2328" spans="1:13">
      <c r="A2328" t="s">
        <v>13</v>
      </c>
      <c r="B2328">
        <v>2486908</v>
      </c>
      <c r="C2328">
        <v>2487903</v>
      </c>
      <c r="E2328" t="s">
        <v>38</v>
      </c>
      <c r="F2328" t="s">
        <v>6466</v>
      </c>
      <c r="G2328" t="s">
        <v>6467</v>
      </c>
      <c r="H2328">
        <v>1020297</v>
      </c>
      <c r="I2328" t="s">
        <v>17</v>
      </c>
      <c r="K2328" t="s">
        <v>6468</v>
      </c>
      <c r="L2328">
        <v>331</v>
      </c>
      <c r="M2328" t="s">
        <v>6469</v>
      </c>
    </row>
    <row r="2329" spans="1:13">
      <c r="A2329" t="s">
        <v>13</v>
      </c>
      <c r="B2329">
        <v>2487910</v>
      </c>
      <c r="C2329">
        <v>2489574</v>
      </c>
      <c r="E2329" t="s">
        <v>38</v>
      </c>
      <c r="F2329" t="s">
        <v>6470</v>
      </c>
      <c r="H2329">
        <v>1020298</v>
      </c>
      <c r="I2329" t="s">
        <v>17</v>
      </c>
      <c r="K2329" t="s">
        <v>6471</v>
      </c>
      <c r="L2329">
        <v>554</v>
      </c>
      <c r="M2329" t="s">
        <v>6472</v>
      </c>
    </row>
    <row r="2330" spans="1:13">
      <c r="A2330" t="s">
        <v>13</v>
      </c>
      <c r="B2330">
        <v>2489571</v>
      </c>
      <c r="C2330">
        <v>2490224</v>
      </c>
      <c r="E2330" t="s">
        <v>38</v>
      </c>
      <c r="F2330" t="s">
        <v>6473</v>
      </c>
      <c r="H2330">
        <v>1020299</v>
      </c>
      <c r="I2330" t="s">
        <v>17</v>
      </c>
      <c r="K2330" t="s">
        <v>6474</v>
      </c>
      <c r="L2330">
        <v>217</v>
      </c>
      <c r="M2330" t="s">
        <v>6475</v>
      </c>
    </row>
    <row r="2331" spans="1:13">
      <c r="A2331" t="s">
        <v>13</v>
      </c>
      <c r="B2331">
        <v>2490288</v>
      </c>
      <c r="C2331">
        <v>2491112</v>
      </c>
      <c r="E2331" t="s">
        <v>38</v>
      </c>
      <c r="F2331" t="s">
        <v>6476</v>
      </c>
      <c r="H2331">
        <v>1020300</v>
      </c>
      <c r="I2331" t="s">
        <v>17</v>
      </c>
      <c r="K2331" t="s">
        <v>6477</v>
      </c>
      <c r="L2331">
        <v>274</v>
      </c>
      <c r="M2331" t="s">
        <v>6478</v>
      </c>
    </row>
    <row r="2332" spans="1:13">
      <c r="A2332" t="s">
        <v>13</v>
      </c>
      <c r="B2332">
        <v>2491149</v>
      </c>
      <c r="C2332">
        <v>2491859</v>
      </c>
      <c r="E2332" t="s">
        <v>38</v>
      </c>
      <c r="F2332" t="s">
        <v>1279</v>
      </c>
      <c r="H2332">
        <v>1020301</v>
      </c>
      <c r="I2332" t="s">
        <v>17</v>
      </c>
      <c r="K2332" t="s">
        <v>6479</v>
      </c>
      <c r="L2332">
        <v>236</v>
      </c>
      <c r="M2332" t="s">
        <v>6480</v>
      </c>
    </row>
    <row r="2333" spans="1:13">
      <c r="A2333" t="s">
        <v>13</v>
      </c>
      <c r="B2333">
        <v>2491871</v>
      </c>
      <c r="C2333">
        <v>2492344</v>
      </c>
      <c r="E2333" t="s">
        <v>38</v>
      </c>
      <c r="F2333" t="s">
        <v>6481</v>
      </c>
      <c r="G2333" t="s">
        <v>6482</v>
      </c>
      <c r="H2333">
        <v>1020302</v>
      </c>
      <c r="I2333" t="s">
        <v>17</v>
      </c>
      <c r="K2333" t="s">
        <v>6483</v>
      </c>
      <c r="L2333">
        <v>157</v>
      </c>
      <c r="M2333" t="s">
        <v>6484</v>
      </c>
    </row>
    <row r="2334" spans="1:13">
      <c r="A2334" t="s">
        <v>13</v>
      </c>
      <c r="B2334">
        <v>2492499</v>
      </c>
      <c r="C2334">
        <v>2493155</v>
      </c>
      <c r="E2334" t="s">
        <v>38</v>
      </c>
      <c r="F2334" t="s">
        <v>6485</v>
      </c>
      <c r="G2334" t="s">
        <v>6486</v>
      </c>
      <c r="H2334">
        <v>1020303</v>
      </c>
      <c r="I2334" t="s">
        <v>17</v>
      </c>
      <c r="K2334" t="s">
        <v>6487</v>
      </c>
      <c r="L2334">
        <v>218</v>
      </c>
      <c r="M2334" t="s">
        <v>6488</v>
      </c>
    </row>
    <row r="2335" spans="1:13">
      <c r="A2335" t="s">
        <v>13</v>
      </c>
      <c r="B2335">
        <v>2493213</v>
      </c>
      <c r="C2335">
        <v>2494238</v>
      </c>
      <c r="E2335" t="s">
        <v>38</v>
      </c>
      <c r="F2335" t="s">
        <v>6489</v>
      </c>
      <c r="H2335">
        <v>1020304</v>
      </c>
      <c r="I2335" t="s">
        <v>17</v>
      </c>
      <c r="K2335" t="s">
        <v>6490</v>
      </c>
      <c r="L2335">
        <v>341</v>
      </c>
      <c r="M2335" t="s">
        <v>6491</v>
      </c>
    </row>
    <row r="2336" spans="1:13">
      <c r="A2336" t="s">
        <v>13</v>
      </c>
      <c r="B2336">
        <v>2494337</v>
      </c>
      <c r="C2336">
        <v>2495635</v>
      </c>
      <c r="E2336" t="s">
        <v>38</v>
      </c>
      <c r="F2336" t="s">
        <v>6492</v>
      </c>
      <c r="H2336">
        <v>1020305</v>
      </c>
      <c r="I2336" t="s">
        <v>17</v>
      </c>
      <c r="K2336" t="s">
        <v>6493</v>
      </c>
      <c r="L2336">
        <v>432</v>
      </c>
      <c r="M2336" t="s">
        <v>6494</v>
      </c>
    </row>
    <row r="2337" spans="1:13">
      <c r="A2337" t="s">
        <v>13</v>
      </c>
      <c r="B2337">
        <v>2495694</v>
      </c>
      <c r="C2337">
        <v>2496608</v>
      </c>
      <c r="E2337" t="s">
        <v>38</v>
      </c>
      <c r="F2337" t="s">
        <v>243</v>
      </c>
      <c r="H2337">
        <v>1020306</v>
      </c>
      <c r="I2337" t="s">
        <v>17</v>
      </c>
      <c r="K2337" t="s">
        <v>6495</v>
      </c>
      <c r="L2337">
        <v>304</v>
      </c>
      <c r="M2337" t="s">
        <v>6496</v>
      </c>
    </row>
    <row r="2338" spans="1:13">
      <c r="A2338" t="s">
        <v>13</v>
      </c>
      <c r="B2338">
        <v>2496668</v>
      </c>
      <c r="C2338">
        <v>2497777</v>
      </c>
      <c r="E2338" t="s">
        <v>38</v>
      </c>
      <c r="F2338" t="s">
        <v>6497</v>
      </c>
      <c r="G2338" t="s">
        <v>6498</v>
      </c>
      <c r="H2338">
        <v>1020307</v>
      </c>
      <c r="I2338" t="s">
        <v>17</v>
      </c>
      <c r="K2338" t="s">
        <v>6499</v>
      </c>
      <c r="L2338">
        <v>369</v>
      </c>
      <c r="M2338" t="s">
        <v>6500</v>
      </c>
    </row>
    <row r="2339" spans="1:13">
      <c r="A2339" t="s">
        <v>13</v>
      </c>
      <c r="B2339">
        <v>2498007</v>
      </c>
      <c r="C2339">
        <v>2499512</v>
      </c>
      <c r="E2339" t="s">
        <v>38</v>
      </c>
      <c r="F2339" t="s">
        <v>6501</v>
      </c>
      <c r="G2339" t="s">
        <v>6502</v>
      </c>
      <c r="H2339">
        <v>1020308</v>
      </c>
      <c r="I2339" t="s">
        <v>17</v>
      </c>
      <c r="K2339" t="s">
        <v>6503</v>
      </c>
      <c r="L2339">
        <v>501</v>
      </c>
      <c r="M2339" t="s">
        <v>6504</v>
      </c>
    </row>
    <row r="2340" spans="1:13">
      <c r="A2340" t="s">
        <v>13</v>
      </c>
      <c r="B2340">
        <v>2499694</v>
      </c>
      <c r="C2340">
        <v>2501673</v>
      </c>
      <c r="E2340" t="s">
        <v>14</v>
      </c>
      <c r="F2340" t="s">
        <v>6505</v>
      </c>
      <c r="H2340">
        <v>1020309</v>
      </c>
      <c r="I2340" t="s">
        <v>17</v>
      </c>
      <c r="K2340" t="s">
        <v>6506</v>
      </c>
      <c r="L2340">
        <v>659</v>
      </c>
      <c r="M2340" t="s">
        <v>6507</v>
      </c>
    </row>
    <row r="2341" spans="1:13">
      <c r="A2341" t="s">
        <v>13</v>
      </c>
      <c r="B2341">
        <v>2501733</v>
      </c>
      <c r="C2341">
        <v>2502650</v>
      </c>
      <c r="E2341" t="s">
        <v>38</v>
      </c>
      <c r="F2341" t="s">
        <v>336</v>
      </c>
      <c r="H2341">
        <v>1020310</v>
      </c>
      <c r="I2341" t="s">
        <v>17</v>
      </c>
      <c r="K2341" t="s">
        <v>6508</v>
      </c>
      <c r="L2341">
        <v>305</v>
      </c>
      <c r="M2341" t="s">
        <v>6509</v>
      </c>
    </row>
    <row r="2342" spans="1:13">
      <c r="A2342" t="s">
        <v>13</v>
      </c>
      <c r="B2342">
        <v>2502736</v>
      </c>
      <c r="C2342">
        <v>2503359</v>
      </c>
      <c r="E2342" t="s">
        <v>14</v>
      </c>
      <c r="F2342" t="s">
        <v>49</v>
      </c>
      <c r="H2342">
        <v>1020311</v>
      </c>
      <c r="I2342" t="s">
        <v>17</v>
      </c>
      <c r="K2342" t="s">
        <v>6510</v>
      </c>
      <c r="L2342">
        <v>207</v>
      </c>
      <c r="M2342" t="s">
        <v>6511</v>
      </c>
    </row>
    <row r="2343" spans="1:13">
      <c r="A2343" t="s">
        <v>13</v>
      </c>
      <c r="B2343">
        <v>2503537</v>
      </c>
      <c r="C2343">
        <v>2503809</v>
      </c>
      <c r="E2343" t="s">
        <v>14</v>
      </c>
      <c r="F2343" t="s">
        <v>49</v>
      </c>
      <c r="H2343">
        <v>44144989</v>
      </c>
      <c r="I2343" t="s">
        <v>17</v>
      </c>
      <c r="K2343" t="s">
        <v>6512</v>
      </c>
      <c r="L2343">
        <v>90</v>
      </c>
      <c r="M2343" t="s">
        <v>6513</v>
      </c>
    </row>
    <row r="2344" spans="1:13">
      <c r="A2344" t="s">
        <v>13</v>
      </c>
      <c r="B2344">
        <v>2503982</v>
      </c>
      <c r="C2344">
        <v>2504248</v>
      </c>
      <c r="E2344" t="s">
        <v>38</v>
      </c>
      <c r="F2344" t="s">
        <v>6514</v>
      </c>
      <c r="G2344" t="s">
        <v>6515</v>
      </c>
      <c r="H2344">
        <v>1020312</v>
      </c>
      <c r="I2344" t="s">
        <v>17</v>
      </c>
      <c r="K2344" t="s">
        <v>6516</v>
      </c>
      <c r="L2344">
        <v>88</v>
      </c>
      <c r="M2344" t="s">
        <v>6517</v>
      </c>
    </row>
    <row r="2345" spans="1:13">
      <c r="A2345" t="s">
        <v>13</v>
      </c>
      <c r="B2345">
        <v>2504298</v>
      </c>
      <c r="C2345">
        <v>2504603</v>
      </c>
      <c r="E2345" t="s">
        <v>38</v>
      </c>
      <c r="F2345" t="s">
        <v>6518</v>
      </c>
      <c r="G2345" t="s">
        <v>6519</v>
      </c>
      <c r="H2345">
        <v>1020313</v>
      </c>
      <c r="I2345" t="s">
        <v>17</v>
      </c>
      <c r="K2345" t="s">
        <v>6520</v>
      </c>
      <c r="L2345">
        <v>101</v>
      </c>
      <c r="M2345" t="s">
        <v>6521</v>
      </c>
    </row>
    <row r="2346" spans="1:13">
      <c r="A2346" t="s">
        <v>13</v>
      </c>
      <c r="B2346">
        <v>2504829</v>
      </c>
      <c r="C2346">
        <v>2507894</v>
      </c>
      <c r="E2346" t="s">
        <v>38</v>
      </c>
      <c r="F2346" t="s">
        <v>6522</v>
      </c>
      <c r="H2346">
        <v>1020314</v>
      </c>
      <c r="I2346" t="s">
        <v>17</v>
      </c>
      <c r="K2346" t="s">
        <v>6523</v>
      </c>
      <c r="L2346">
        <v>1021</v>
      </c>
      <c r="M2346" t="s">
        <v>6524</v>
      </c>
    </row>
    <row r="2347" spans="1:13">
      <c r="A2347" t="s">
        <v>13</v>
      </c>
      <c r="B2347">
        <v>2508107</v>
      </c>
      <c r="C2347">
        <v>2508844</v>
      </c>
      <c r="E2347" t="s">
        <v>14</v>
      </c>
      <c r="F2347" t="s">
        <v>49</v>
      </c>
      <c r="H2347">
        <v>1020315</v>
      </c>
      <c r="I2347" t="s">
        <v>17</v>
      </c>
      <c r="K2347" t="s">
        <v>6525</v>
      </c>
      <c r="L2347">
        <v>245</v>
      </c>
      <c r="M2347" t="s">
        <v>6526</v>
      </c>
    </row>
    <row r="2348" spans="1:13">
      <c r="A2348" t="s">
        <v>13</v>
      </c>
      <c r="B2348">
        <v>2508923</v>
      </c>
      <c r="C2348">
        <v>2509507</v>
      </c>
      <c r="E2348" t="s">
        <v>14</v>
      </c>
      <c r="F2348" t="s">
        <v>141</v>
      </c>
      <c r="H2348">
        <v>1020316</v>
      </c>
      <c r="I2348" t="s">
        <v>142</v>
      </c>
      <c r="M2348" t="s">
        <v>6527</v>
      </c>
    </row>
    <row r="2349" spans="1:13">
      <c r="A2349" t="s">
        <v>13</v>
      </c>
      <c r="B2349">
        <v>2509521</v>
      </c>
      <c r="C2349">
        <v>2510831</v>
      </c>
      <c r="E2349" t="s">
        <v>38</v>
      </c>
      <c r="F2349" t="s">
        <v>3038</v>
      </c>
      <c r="H2349">
        <v>1020317</v>
      </c>
      <c r="I2349" t="s">
        <v>17</v>
      </c>
      <c r="K2349" t="s">
        <v>6528</v>
      </c>
      <c r="L2349">
        <v>436</v>
      </c>
      <c r="M2349" t="s">
        <v>6529</v>
      </c>
    </row>
    <row r="2350" spans="1:13">
      <c r="A2350" t="s">
        <v>13</v>
      </c>
      <c r="B2350">
        <v>2510963</v>
      </c>
      <c r="C2350">
        <v>2511427</v>
      </c>
      <c r="E2350" t="s">
        <v>14</v>
      </c>
      <c r="F2350" t="s">
        <v>141</v>
      </c>
      <c r="H2350">
        <v>1020318</v>
      </c>
      <c r="I2350" t="s">
        <v>142</v>
      </c>
      <c r="M2350" t="s">
        <v>6530</v>
      </c>
    </row>
    <row r="2351" spans="1:13">
      <c r="A2351" t="s">
        <v>13</v>
      </c>
      <c r="B2351">
        <v>2511428</v>
      </c>
      <c r="C2351">
        <v>2511880</v>
      </c>
      <c r="E2351" t="s">
        <v>14</v>
      </c>
      <c r="F2351" t="s">
        <v>2993</v>
      </c>
      <c r="H2351">
        <v>1020319</v>
      </c>
      <c r="I2351" t="s">
        <v>17</v>
      </c>
      <c r="K2351" t="s">
        <v>6531</v>
      </c>
      <c r="L2351">
        <v>150</v>
      </c>
      <c r="M2351" t="s">
        <v>6532</v>
      </c>
    </row>
    <row r="2352" spans="1:13">
      <c r="A2352" t="s">
        <v>13</v>
      </c>
      <c r="B2352">
        <v>2511947</v>
      </c>
      <c r="C2352">
        <v>2512357</v>
      </c>
      <c r="E2352" t="s">
        <v>38</v>
      </c>
      <c r="F2352" t="s">
        <v>6533</v>
      </c>
      <c r="G2352" t="s">
        <v>6534</v>
      </c>
      <c r="H2352">
        <v>1020320</v>
      </c>
      <c r="I2352" t="s">
        <v>17</v>
      </c>
      <c r="K2352" t="s">
        <v>6535</v>
      </c>
      <c r="L2352">
        <v>136</v>
      </c>
      <c r="M2352" t="s">
        <v>6536</v>
      </c>
    </row>
    <row r="2353" spans="1:13">
      <c r="A2353" t="s">
        <v>13</v>
      </c>
      <c r="B2353">
        <v>2512407</v>
      </c>
      <c r="C2353">
        <v>2512727</v>
      </c>
      <c r="E2353" t="s">
        <v>38</v>
      </c>
      <c r="F2353" t="s">
        <v>49</v>
      </c>
      <c r="H2353">
        <v>1020321</v>
      </c>
      <c r="I2353" t="s">
        <v>17</v>
      </c>
      <c r="K2353" t="s">
        <v>6537</v>
      </c>
      <c r="L2353">
        <v>106</v>
      </c>
      <c r="M2353" t="s">
        <v>6538</v>
      </c>
    </row>
    <row r="2354" spans="1:13">
      <c r="A2354" t="s">
        <v>13</v>
      </c>
      <c r="B2354">
        <v>2512804</v>
      </c>
      <c r="C2354">
        <v>2513148</v>
      </c>
      <c r="E2354" t="s">
        <v>14</v>
      </c>
      <c r="F2354" t="s">
        <v>549</v>
      </c>
      <c r="H2354">
        <v>1020322</v>
      </c>
      <c r="I2354" t="s">
        <v>17</v>
      </c>
      <c r="K2354" t="s">
        <v>6539</v>
      </c>
      <c r="L2354">
        <v>114</v>
      </c>
      <c r="M2354" t="s">
        <v>6540</v>
      </c>
    </row>
    <row r="2355" spans="1:13">
      <c r="A2355" t="s">
        <v>13</v>
      </c>
      <c r="B2355">
        <v>2513152</v>
      </c>
      <c r="C2355">
        <v>2513619</v>
      </c>
      <c r="E2355" t="s">
        <v>38</v>
      </c>
      <c r="F2355" t="s">
        <v>2094</v>
      </c>
      <c r="H2355">
        <v>1020323</v>
      </c>
      <c r="I2355" t="s">
        <v>17</v>
      </c>
      <c r="K2355" t="s">
        <v>6541</v>
      </c>
      <c r="L2355">
        <v>155</v>
      </c>
      <c r="M2355" t="s">
        <v>6542</v>
      </c>
    </row>
    <row r="2356" spans="1:13">
      <c r="A2356" t="s">
        <v>13</v>
      </c>
      <c r="B2356">
        <v>2513690</v>
      </c>
      <c r="C2356">
        <v>2514115</v>
      </c>
      <c r="E2356" t="s">
        <v>38</v>
      </c>
      <c r="F2356" t="s">
        <v>6543</v>
      </c>
      <c r="H2356">
        <v>1020324</v>
      </c>
      <c r="I2356" t="s">
        <v>17</v>
      </c>
      <c r="K2356" t="s">
        <v>6544</v>
      </c>
      <c r="L2356">
        <v>141</v>
      </c>
      <c r="M2356" t="s">
        <v>6545</v>
      </c>
    </row>
    <row r="2357" spans="1:13">
      <c r="A2357" t="s">
        <v>13</v>
      </c>
      <c r="B2357">
        <v>2514112</v>
      </c>
      <c r="C2357">
        <v>2515635</v>
      </c>
      <c r="E2357" t="s">
        <v>38</v>
      </c>
      <c r="F2357" t="s">
        <v>6546</v>
      </c>
      <c r="G2357" t="s">
        <v>6547</v>
      </c>
      <c r="H2357">
        <v>1020325</v>
      </c>
      <c r="I2357" t="s">
        <v>17</v>
      </c>
      <c r="K2357" t="s">
        <v>6548</v>
      </c>
      <c r="L2357">
        <v>507</v>
      </c>
      <c r="M2357" t="s">
        <v>6549</v>
      </c>
    </row>
    <row r="2358" spans="1:13">
      <c r="A2358" t="s">
        <v>13</v>
      </c>
      <c r="B2358">
        <v>2515635</v>
      </c>
      <c r="C2358">
        <v>2518346</v>
      </c>
      <c r="E2358" t="s">
        <v>38</v>
      </c>
      <c r="F2358" t="s">
        <v>6550</v>
      </c>
      <c r="H2358">
        <v>1020326</v>
      </c>
      <c r="I2358" t="s">
        <v>17</v>
      </c>
      <c r="K2358" t="s">
        <v>6551</v>
      </c>
      <c r="L2358">
        <v>903</v>
      </c>
      <c r="M2358" t="s">
        <v>6552</v>
      </c>
    </row>
    <row r="2359" spans="1:13">
      <c r="A2359" t="s">
        <v>13</v>
      </c>
      <c r="B2359">
        <v>2518396</v>
      </c>
      <c r="C2359">
        <v>2519973</v>
      </c>
      <c r="E2359" t="s">
        <v>38</v>
      </c>
      <c r="F2359" t="s">
        <v>5488</v>
      </c>
      <c r="H2359">
        <v>1020327</v>
      </c>
      <c r="I2359" t="s">
        <v>17</v>
      </c>
      <c r="K2359" t="s">
        <v>6553</v>
      </c>
      <c r="L2359">
        <v>525</v>
      </c>
      <c r="M2359" t="s">
        <v>6554</v>
      </c>
    </row>
    <row r="2360" spans="1:13">
      <c r="A2360" t="s">
        <v>13</v>
      </c>
      <c r="B2360">
        <v>2520210</v>
      </c>
      <c r="C2360">
        <v>2521664</v>
      </c>
      <c r="E2360" t="s">
        <v>14</v>
      </c>
      <c r="F2360" t="s">
        <v>6555</v>
      </c>
      <c r="H2360">
        <v>1020328</v>
      </c>
      <c r="I2360" t="s">
        <v>17</v>
      </c>
      <c r="K2360" t="s">
        <v>6556</v>
      </c>
      <c r="L2360">
        <v>484</v>
      </c>
      <c r="M2360" t="s">
        <v>6557</v>
      </c>
    </row>
    <row r="2361" spans="1:13">
      <c r="A2361" t="s">
        <v>13</v>
      </c>
      <c r="B2361">
        <v>2521665</v>
      </c>
      <c r="C2361">
        <v>2522252</v>
      </c>
      <c r="E2361" t="s">
        <v>38</v>
      </c>
      <c r="F2361" t="s">
        <v>3167</v>
      </c>
      <c r="H2361">
        <v>1020329</v>
      </c>
      <c r="I2361" t="s">
        <v>17</v>
      </c>
      <c r="K2361" t="s">
        <v>6558</v>
      </c>
      <c r="L2361">
        <v>195</v>
      </c>
      <c r="M2361" t="s">
        <v>6559</v>
      </c>
    </row>
    <row r="2362" spans="1:13">
      <c r="A2362" t="s">
        <v>13</v>
      </c>
      <c r="B2362">
        <v>2522263</v>
      </c>
      <c r="C2362">
        <v>2523249</v>
      </c>
      <c r="E2362" t="s">
        <v>38</v>
      </c>
      <c r="F2362" t="s">
        <v>6560</v>
      </c>
      <c r="H2362">
        <v>1020330</v>
      </c>
      <c r="I2362" t="s">
        <v>17</v>
      </c>
      <c r="K2362" t="s">
        <v>6561</v>
      </c>
      <c r="L2362">
        <v>328</v>
      </c>
      <c r="M2362" t="s">
        <v>6562</v>
      </c>
    </row>
    <row r="2363" spans="1:13">
      <c r="A2363" t="s">
        <v>13</v>
      </c>
      <c r="B2363">
        <v>2523562</v>
      </c>
      <c r="C2363">
        <v>2524341</v>
      </c>
      <c r="E2363" t="s">
        <v>14</v>
      </c>
      <c r="F2363" t="s">
        <v>1126</v>
      </c>
      <c r="H2363">
        <v>1020331</v>
      </c>
      <c r="I2363" t="s">
        <v>17</v>
      </c>
      <c r="K2363" t="s">
        <v>6563</v>
      </c>
      <c r="L2363">
        <v>259</v>
      </c>
      <c r="M2363" t="s">
        <v>6564</v>
      </c>
    </row>
    <row r="2364" spans="1:13">
      <c r="A2364" t="s">
        <v>13</v>
      </c>
      <c r="B2364">
        <v>2524338</v>
      </c>
      <c r="C2364">
        <v>2524871</v>
      </c>
      <c r="E2364" t="s">
        <v>38</v>
      </c>
      <c r="F2364" t="s">
        <v>2479</v>
      </c>
      <c r="H2364">
        <v>1020332</v>
      </c>
      <c r="I2364" t="s">
        <v>17</v>
      </c>
      <c r="K2364" t="s">
        <v>6565</v>
      </c>
      <c r="L2364">
        <v>177</v>
      </c>
      <c r="M2364" t="s">
        <v>6566</v>
      </c>
    </row>
    <row r="2365" spans="1:13">
      <c r="A2365" t="s">
        <v>13</v>
      </c>
      <c r="B2365">
        <v>2525100</v>
      </c>
      <c r="C2365">
        <v>2526230</v>
      </c>
      <c r="E2365" t="s">
        <v>14</v>
      </c>
      <c r="F2365" t="s">
        <v>6567</v>
      </c>
      <c r="H2365">
        <v>1020333</v>
      </c>
      <c r="I2365" t="s">
        <v>17</v>
      </c>
      <c r="K2365" t="s">
        <v>6568</v>
      </c>
      <c r="L2365">
        <v>376</v>
      </c>
      <c r="M2365" t="s">
        <v>6569</v>
      </c>
    </row>
    <row r="2366" spans="1:13">
      <c r="A2366" t="s">
        <v>13</v>
      </c>
      <c r="B2366">
        <v>2526234</v>
      </c>
      <c r="C2366">
        <v>2527211</v>
      </c>
      <c r="E2366" t="s">
        <v>14</v>
      </c>
      <c r="F2366" t="s">
        <v>6570</v>
      </c>
      <c r="H2366">
        <v>1020334</v>
      </c>
      <c r="I2366" t="s">
        <v>17</v>
      </c>
      <c r="K2366" t="s">
        <v>6571</v>
      </c>
      <c r="L2366">
        <v>325</v>
      </c>
      <c r="M2366" t="s">
        <v>6572</v>
      </c>
    </row>
    <row r="2367" spans="1:13">
      <c r="A2367" t="s">
        <v>13</v>
      </c>
      <c r="B2367">
        <v>2527223</v>
      </c>
      <c r="C2367">
        <v>2528563</v>
      </c>
      <c r="E2367" t="s">
        <v>14</v>
      </c>
      <c r="F2367" t="s">
        <v>265</v>
      </c>
      <c r="H2367">
        <v>1020335</v>
      </c>
      <c r="I2367" t="s">
        <v>17</v>
      </c>
      <c r="K2367" t="s">
        <v>6573</v>
      </c>
      <c r="L2367">
        <v>446</v>
      </c>
      <c r="M2367" t="s">
        <v>6574</v>
      </c>
    </row>
    <row r="2368" spans="1:13">
      <c r="A2368" t="s">
        <v>13</v>
      </c>
      <c r="B2368">
        <v>2528549</v>
      </c>
      <c r="C2368">
        <v>2529481</v>
      </c>
      <c r="E2368" t="s">
        <v>38</v>
      </c>
      <c r="F2368" t="s">
        <v>6377</v>
      </c>
      <c r="H2368">
        <v>1020336</v>
      </c>
      <c r="I2368" t="s">
        <v>17</v>
      </c>
      <c r="K2368" t="s">
        <v>6575</v>
      </c>
      <c r="L2368">
        <v>310</v>
      </c>
      <c r="M2368" t="s">
        <v>6576</v>
      </c>
    </row>
    <row r="2369" spans="1:13">
      <c r="A2369" t="s">
        <v>13</v>
      </c>
      <c r="B2369">
        <v>2529482</v>
      </c>
      <c r="C2369">
        <v>2530762</v>
      </c>
      <c r="E2369" t="s">
        <v>38</v>
      </c>
      <c r="F2369" t="s">
        <v>6577</v>
      </c>
      <c r="G2369" t="s">
        <v>6578</v>
      </c>
      <c r="H2369">
        <v>1020337</v>
      </c>
      <c r="I2369" t="s">
        <v>17</v>
      </c>
      <c r="K2369" t="s">
        <v>6579</v>
      </c>
      <c r="L2369">
        <v>426</v>
      </c>
      <c r="M2369" t="s">
        <v>6580</v>
      </c>
    </row>
    <row r="2370" spans="1:13">
      <c r="A2370" t="s">
        <v>13</v>
      </c>
      <c r="B2370">
        <v>2530892</v>
      </c>
      <c r="C2370">
        <v>2531980</v>
      </c>
      <c r="E2370" t="s">
        <v>14</v>
      </c>
      <c r="F2370" t="s">
        <v>1533</v>
      </c>
      <c r="H2370">
        <v>1020338</v>
      </c>
      <c r="I2370" t="s">
        <v>17</v>
      </c>
      <c r="K2370" t="s">
        <v>6581</v>
      </c>
      <c r="L2370">
        <v>362</v>
      </c>
      <c r="M2370" t="s">
        <v>6582</v>
      </c>
    </row>
    <row r="2371" spans="1:13">
      <c r="A2371" t="s">
        <v>13</v>
      </c>
      <c r="B2371">
        <v>2531967</v>
      </c>
      <c r="C2371">
        <v>2532602</v>
      </c>
      <c r="E2371" t="s">
        <v>38</v>
      </c>
      <c r="F2371" t="s">
        <v>6583</v>
      </c>
      <c r="H2371">
        <v>1020339</v>
      </c>
      <c r="I2371" t="s">
        <v>17</v>
      </c>
      <c r="K2371" t="s">
        <v>6584</v>
      </c>
      <c r="L2371">
        <v>211</v>
      </c>
      <c r="M2371" t="s">
        <v>6585</v>
      </c>
    </row>
    <row r="2372" spans="1:13">
      <c r="A2372" t="s">
        <v>13</v>
      </c>
      <c r="B2372">
        <v>2532602</v>
      </c>
      <c r="C2372">
        <v>2533345</v>
      </c>
      <c r="E2372" t="s">
        <v>38</v>
      </c>
      <c r="F2372" t="s">
        <v>6586</v>
      </c>
      <c r="H2372">
        <v>1020340</v>
      </c>
      <c r="I2372" t="s">
        <v>17</v>
      </c>
      <c r="K2372" t="s">
        <v>6587</v>
      </c>
      <c r="L2372">
        <v>247</v>
      </c>
      <c r="M2372" t="s">
        <v>6588</v>
      </c>
    </row>
    <row r="2373" spans="1:13">
      <c r="A2373" t="s">
        <v>13</v>
      </c>
      <c r="B2373">
        <v>2533419</v>
      </c>
      <c r="C2373">
        <v>2534186</v>
      </c>
      <c r="E2373" t="s">
        <v>14</v>
      </c>
      <c r="F2373" t="s">
        <v>6589</v>
      </c>
      <c r="H2373">
        <v>1020341</v>
      </c>
      <c r="I2373" t="s">
        <v>17</v>
      </c>
      <c r="K2373" t="s">
        <v>6590</v>
      </c>
      <c r="L2373">
        <v>255</v>
      </c>
      <c r="M2373" t="s">
        <v>6591</v>
      </c>
    </row>
    <row r="2374" spans="1:13">
      <c r="A2374" t="s">
        <v>13</v>
      </c>
      <c r="B2374">
        <v>2534202</v>
      </c>
      <c r="C2374">
        <v>2535428</v>
      </c>
      <c r="E2374" t="s">
        <v>14</v>
      </c>
      <c r="F2374" t="s">
        <v>6592</v>
      </c>
      <c r="H2374">
        <v>1020342</v>
      </c>
      <c r="I2374" t="s">
        <v>17</v>
      </c>
      <c r="K2374" t="s">
        <v>6593</v>
      </c>
      <c r="L2374">
        <v>408</v>
      </c>
      <c r="M2374" t="s">
        <v>6594</v>
      </c>
    </row>
    <row r="2375" spans="1:13">
      <c r="A2375" t="s">
        <v>13</v>
      </c>
      <c r="B2375">
        <v>2535431</v>
      </c>
      <c r="C2375">
        <v>2536186</v>
      </c>
      <c r="E2375" t="s">
        <v>14</v>
      </c>
      <c r="F2375" t="s">
        <v>6595</v>
      </c>
      <c r="G2375" t="s">
        <v>6596</v>
      </c>
      <c r="H2375">
        <v>1020343</v>
      </c>
      <c r="I2375" t="s">
        <v>17</v>
      </c>
      <c r="K2375" t="s">
        <v>6597</v>
      </c>
      <c r="L2375">
        <v>251</v>
      </c>
      <c r="M2375" t="s">
        <v>6598</v>
      </c>
    </row>
    <row r="2376" spans="1:13">
      <c r="A2376" t="s">
        <v>13</v>
      </c>
      <c r="B2376">
        <v>2536197</v>
      </c>
      <c r="C2376">
        <v>2538260</v>
      </c>
      <c r="E2376" t="s">
        <v>14</v>
      </c>
      <c r="F2376" t="s">
        <v>6599</v>
      </c>
      <c r="H2376">
        <v>1020344</v>
      </c>
      <c r="I2376" t="s">
        <v>17</v>
      </c>
      <c r="K2376" t="s">
        <v>6600</v>
      </c>
      <c r="L2376">
        <v>687</v>
      </c>
      <c r="M2376" t="s">
        <v>6601</v>
      </c>
    </row>
    <row r="2377" spans="1:13">
      <c r="A2377" t="s">
        <v>13</v>
      </c>
      <c r="B2377">
        <v>2538246</v>
      </c>
      <c r="C2377">
        <v>2538614</v>
      </c>
      <c r="E2377" t="s">
        <v>38</v>
      </c>
      <c r="F2377" t="s">
        <v>6602</v>
      </c>
      <c r="G2377" t="s">
        <v>6603</v>
      </c>
      <c r="H2377">
        <v>1020345</v>
      </c>
      <c r="I2377" t="s">
        <v>17</v>
      </c>
      <c r="K2377" t="s">
        <v>6604</v>
      </c>
      <c r="L2377">
        <v>122</v>
      </c>
      <c r="M2377" t="s">
        <v>6605</v>
      </c>
    </row>
    <row r="2378" spans="1:13">
      <c r="A2378" t="s">
        <v>13</v>
      </c>
      <c r="B2378">
        <v>2538614</v>
      </c>
      <c r="C2378">
        <v>2539732</v>
      </c>
      <c r="E2378" t="s">
        <v>38</v>
      </c>
      <c r="F2378" t="s">
        <v>6606</v>
      </c>
      <c r="G2378" t="s">
        <v>6607</v>
      </c>
      <c r="H2378">
        <v>1020346</v>
      </c>
      <c r="I2378" t="s">
        <v>17</v>
      </c>
      <c r="K2378" t="s">
        <v>6608</v>
      </c>
      <c r="L2378">
        <v>372</v>
      </c>
      <c r="M2378" t="s">
        <v>6609</v>
      </c>
    </row>
    <row r="2379" spans="1:13">
      <c r="A2379" t="s">
        <v>13</v>
      </c>
      <c r="B2379">
        <v>2539707</v>
      </c>
      <c r="C2379">
        <v>2540321</v>
      </c>
      <c r="E2379" t="s">
        <v>38</v>
      </c>
      <c r="F2379" t="s">
        <v>6610</v>
      </c>
      <c r="G2379" t="s">
        <v>6611</v>
      </c>
      <c r="H2379">
        <v>1020347</v>
      </c>
      <c r="I2379" t="s">
        <v>17</v>
      </c>
      <c r="K2379" t="s">
        <v>6612</v>
      </c>
      <c r="L2379">
        <v>204</v>
      </c>
      <c r="M2379" t="s">
        <v>6613</v>
      </c>
    </row>
    <row r="2380" spans="1:13">
      <c r="A2380" t="s">
        <v>13</v>
      </c>
      <c r="B2380">
        <v>2540333</v>
      </c>
      <c r="C2380">
        <v>2541025</v>
      </c>
      <c r="E2380" t="s">
        <v>38</v>
      </c>
      <c r="F2380" t="s">
        <v>3303</v>
      </c>
      <c r="G2380" t="s">
        <v>6614</v>
      </c>
      <c r="H2380">
        <v>1020348</v>
      </c>
      <c r="I2380" t="s">
        <v>17</v>
      </c>
      <c r="K2380" t="s">
        <v>6615</v>
      </c>
      <c r="L2380">
        <v>230</v>
      </c>
      <c r="M2380" t="s">
        <v>6616</v>
      </c>
    </row>
    <row r="2381" spans="1:13">
      <c r="A2381" t="s">
        <v>13</v>
      </c>
      <c r="B2381">
        <v>2541185</v>
      </c>
      <c r="C2381">
        <v>2542351</v>
      </c>
      <c r="E2381" t="s">
        <v>38</v>
      </c>
      <c r="F2381" t="s">
        <v>2205</v>
      </c>
      <c r="H2381">
        <v>1020349</v>
      </c>
      <c r="I2381" t="s">
        <v>17</v>
      </c>
      <c r="K2381" t="s">
        <v>6617</v>
      </c>
      <c r="L2381">
        <v>388</v>
      </c>
      <c r="M2381" t="s">
        <v>6618</v>
      </c>
    </row>
    <row r="2382" spans="1:13">
      <c r="A2382" t="s">
        <v>13</v>
      </c>
      <c r="B2382">
        <v>2542510</v>
      </c>
      <c r="C2382">
        <v>2542803</v>
      </c>
      <c r="E2382" t="s">
        <v>38</v>
      </c>
      <c r="F2382" t="s">
        <v>6619</v>
      </c>
      <c r="G2382" t="s">
        <v>6620</v>
      </c>
      <c r="H2382">
        <v>1020350</v>
      </c>
      <c r="I2382" t="s">
        <v>17</v>
      </c>
      <c r="K2382" t="s">
        <v>6621</v>
      </c>
      <c r="L2382">
        <v>97</v>
      </c>
      <c r="M2382" t="s">
        <v>6622</v>
      </c>
    </row>
    <row r="2383" spans="1:13">
      <c r="A2383" t="s">
        <v>13</v>
      </c>
      <c r="B2383">
        <v>2542816</v>
      </c>
      <c r="C2383">
        <v>2543937</v>
      </c>
      <c r="E2383" t="s">
        <v>38</v>
      </c>
      <c r="F2383" t="s">
        <v>6623</v>
      </c>
      <c r="H2383">
        <v>1020351</v>
      </c>
      <c r="I2383" t="s">
        <v>17</v>
      </c>
      <c r="K2383" t="s">
        <v>6624</v>
      </c>
      <c r="L2383">
        <v>373</v>
      </c>
      <c r="M2383" t="s">
        <v>6625</v>
      </c>
    </row>
    <row r="2384" spans="1:13">
      <c r="A2384" t="s">
        <v>13</v>
      </c>
      <c r="B2384">
        <v>2544020</v>
      </c>
      <c r="C2384">
        <v>2544877</v>
      </c>
      <c r="E2384" t="s">
        <v>38</v>
      </c>
      <c r="F2384" t="s">
        <v>6626</v>
      </c>
      <c r="G2384" t="s">
        <v>6627</v>
      </c>
      <c r="H2384">
        <v>1020352</v>
      </c>
      <c r="I2384" t="s">
        <v>17</v>
      </c>
      <c r="K2384" t="s">
        <v>6628</v>
      </c>
      <c r="L2384">
        <v>285</v>
      </c>
      <c r="M2384" t="s">
        <v>6629</v>
      </c>
    </row>
    <row r="2385" spans="1:13">
      <c r="A2385" t="s">
        <v>13</v>
      </c>
      <c r="B2385">
        <v>2545295</v>
      </c>
      <c r="C2385">
        <v>2546788</v>
      </c>
      <c r="E2385" t="s">
        <v>14</v>
      </c>
      <c r="F2385" t="s">
        <v>6630</v>
      </c>
      <c r="G2385" t="s">
        <v>6631</v>
      </c>
      <c r="H2385">
        <v>1020353</v>
      </c>
      <c r="I2385" t="s">
        <v>17</v>
      </c>
      <c r="K2385" t="s">
        <v>6632</v>
      </c>
      <c r="L2385">
        <v>497</v>
      </c>
      <c r="M2385" t="s">
        <v>6633</v>
      </c>
    </row>
    <row r="2386" spans="1:13">
      <c r="A2386" t="s">
        <v>13</v>
      </c>
      <c r="B2386">
        <v>2546828</v>
      </c>
      <c r="C2386">
        <v>2547322</v>
      </c>
      <c r="E2386" t="s">
        <v>14</v>
      </c>
      <c r="F2386" t="s">
        <v>6634</v>
      </c>
      <c r="G2386" t="s">
        <v>6635</v>
      </c>
      <c r="H2386">
        <v>1020354</v>
      </c>
      <c r="I2386" t="s">
        <v>17</v>
      </c>
      <c r="K2386" t="s">
        <v>6636</v>
      </c>
      <c r="L2386">
        <v>164</v>
      </c>
      <c r="M2386" t="s">
        <v>6637</v>
      </c>
    </row>
    <row r="2387" spans="1:13">
      <c r="A2387" t="s">
        <v>13</v>
      </c>
      <c r="B2387">
        <v>2547334</v>
      </c>
      <c r="C2387">
        <v>2548872</v>
      </c>
      <c r="E2387" t="s">
        <v>14</v>
      </c>
      <c r="F2387" t="s">
        <v>6638</v>
      </c>
      <c r="G2387" t="s">
        <v>6639</v>
      </c>
      <c r="H2387">
        <v>1020355</v>
      </c>
      <c r="I2387" t="s">
        <v>17</v>
      </c>
      <c r="K2387" t="s">
        <v>6640</v>
      </c>
      <c r="L2387">
        <v>512</v>
      </c>
      <c r="M2387" t="s">
        <v>6641</v>
      </c>
    </row>
    <row r="2388" spans="1:13">
      <c r="A2388" t="s">
        <v>13</v>
      </c>
      <c r="B2388">
        <v>2548869</v>
      </c>
      <c r="C2388">
        <v>2549699</v>
      </c>
      <c r="E2388" t="s">
        <v>14</v>
      </c>
      <c r="F2388" t="s">
        <v>6642</v>
      </c>
      <c r="H2388">
        <v>1020356</v>
      </c>
      <c r="I2388" t="s">
        <v>17</v>
      </c>
      <c r="K2388" t="s">
        <v>6643</v>
      </c>
      <c r="L2388">
        <v>276</v>
      </c>
      <c r="M2388" t="s">
        <v>6644</v>
      </c>
    </row>
    <row r="2389" spans="1:13">
      <c r="A2389" t="s">
        <v>13</v>
      </c>
      <c r="B2389">
        <v>2549772</v>
      </c>
      <c r="C2389">
        <v>2552459</v>
      </c>
      <c r="E2389" t="s">
        <v>14</v>
      </c>
      <c r="F2389" t="s">
        <v>3368</v>
      </c>
      <c r="H2389">
        <v>1020357</v>
      </c>
      <c r="I2389" t="s">
        <v>17</v>
      </c>
      <c r="K2389" t="s">
        <v>6645</v>
      </c>
      <c r="L2389">
        <v>895</v>
      </c>
      <c r="M2389" t="s">
        <v>6646</v>
      </c>
    </row>
    <row r="2390" spans="1:13">
      <c r="A2390" t="s">
        <v>13</v>
      </c>
      <c r="B2390">
        <v>2552606</v>
      </c>
      <c r="C2390">
        <v>2553946</v>
      </c>
      <c r="E2390" t="s">
        <v>14</v>
      </c>
      <c r="F2390" t="s">
        <v>265</v>
      </c>
      <c r="H2390">
        <v>1020358</v>
      </c>
      <c r="I2390" t="s">
        <v>17</v>
      </c>
      <c r="K2390" t="s">
        <v>6647</v>
      </c>
      <c r="L2390">
        <v>446</v>
      </c>
      <c r="M2390" t="s">
        <v>6648</v>
      </c>
    </row>
    <row r="2391" spans="1:13">
      <c r="A2391" t="s">
        <v>13</v>
      </c>
      <c r="B2391">
        <v>2554027</v>
      </c>
      <c r="C2391">
        <v>2555271</v>
      </c>
      <c r="E2391" t="s">
        <v>14</v>
      </c>
      <c r="F2391" t="s">
        <v>6649</v>
      </c>
      <c r="H2391">
        <v>1020359</v>
      </c>
      <c r="I2391" t="s">
        <v>17</v>
      </c>
      <c r="K2391" t="s">
        <v>6650</v>
      </c>
      <c r="L2391">
        <v>414</v>
      </c>
      <c r="M2391" t="s">
        <v>6651</v>
      </c>
    </row>
    <row r="2392" spans="1:13">
      <c r="A2392" t="s">
        <v>13</v>
      </c>
      <c r="B2392">
        <v>2555315</v>
      </c>
      <c r="C2392">
        <v>2555941</v>
      </c>
      <c r="E2392" t="s">
        <v>38</v>
      </c>
      <c r="F2392" t="s">
        <v>6652</v>
      </c>
      <c r="H2392">
        <v>1020360</v>
      </c>
      <c r="I2392" t="s">
        <v>17</v>
      </c>
      <c r="K2392" t="s">
        <v>6653</v>
      </c>
      <c r="L2392">
        <v>208</v>
      </c>
      <c r="M2392" t="s">
        <v>6654</v>
      </c>
    </row>
    <row r="2393" spans="1:13">
      <c r="A2393" t="s">
        <v>13</v>
      </c>
      <c r="B2393">
        <v>2555976</v>
      </c>
      <c r="C2393">
        <v>2556569</v>
      </c>
      <c r="E2393" t="s">
        <v>38</v>
      </c>
      <c r="F2393" t="s">
        <v>6652</v>
      </c>
      <c r="H2393">
        <v>1020361</v>
      </c>
      <c r="I2393" t="s">
        <v>17</v>
      </c>
      <c r="K2393" t="s">
        <v>6655</v>
      </c>
      <c r="L2393">
        <v>197</v>
      </c>
      <c r="M2393" t="s">
        <v>6656</v>
      </c>
    </row>
    <row r="2394" spans="1:13">
      <c r="A2394" t="s">
        <v>13</v>
      </c>
      <c r="B2394">
        <v>2556758</v>
      </c>
      <c r="C2394">
        <v>2558107</v>
      </c>
      <c r="E2394" t="s">
        <v>38</v>
      </c>
      <c r="F2394" t="s">
        <v>6657</v>
      </c>
      <c r="G2394" t="s">
        <v>6658</v>
      </c>
      <c r="H2394">
        <v>1020362</v>
      </c>
      <c r="I2394" t="s">
        <v>17</v>
      </c>
      <c r="K2394" t="s">
        <v>6659</v>
      </c>
      <c r="L2394">
        <v>449</v>
      </c>
      <c r="M2394" t="s">
        <v>6660</v>
      </c>
    </row>
    <row r="2395" spans="1:13">
      <c r="A2395" t="s">
        <v>13</v>
      </c>
      <c r="B2395">
        <v>2558224</v>
      </c>
      <c r="C2395">
        <v>2558297</v>
      </c>
      <c r="E2395" t="s">
        <v>38</v>
      </c>
      <c r="F2395" t="s">
        <v>845</v>
      </c>
      <c r="H2395">
        <v>2745356</v>
      </c>
      <c r="I2395" t="s">
        <v>62</v>
      </c>
      <c r="M2395" t="s">
        <v>6661</v>
      </c>
    </row>
    <row r="2396" spans="1:13">
      <c r="A2396" t="s">
        <v>13</v>
      </c>
      <c r="B2396">
        <v>2558610</v>
      </c>
      <c r="C2396">
        <v>2559107</v>
      </c>
      <c r="E2396" t="s">
        <v>14</v>
      </c>
      <c r="F2396" t="s">
        <v>801</v>
      </c>
      <c r="H2396">
        <v>1020363</v>
      </c>
      <c r="I2396" t="s">
        <v>17</v>
      </c>
      <c r="K2396" t="s">
        <v>6662</v>
      </c>
      <c r="L2396">
        <v>165</v>
      </c>
      <c r="M2396" t="s">
        <v>6663</v>
      </c>
    </row>
    <row r="2397" spans="1:13">
      <c r="A2397" t="s">
        <v>13</v>
      </c>
      <c r="B2397">
        <v>2559107</v>
      </c>
      <c r="C2397">
        <v>2560135</v>
      </c>
      <c r="E2397" t="s">
        <v>14</v>
      </c>
      <c r="F2397" t="s">
        <v>6221</v>
      </c>
      <c r="H2397">
        <v>1020364</v>
      </c>
      <c r="I2397" t="s">
        <v>17</v>
      </c>
      <c r="K2397" t="s">
        <v>6664</v>
      </c>
      <c r="L2397">
        <v>342</v>
      </c>
      <c r="M2397" t="s">
        <v>6665</v>
      </c>
    </row>
    <row r="2398" spans="1:13">
      <c r="A2398" t="s">
        <v>13</v>
      </c>
      <c r="B2398">
        <v>2560132</v>
      </c>
      <c r="C2398">
        <v>2560590</v>
      </c>
      <c r="E2398" t="s">
        <v>14</v>
      </c>
      <c r="F2398" t="s">
        <v>1970</v>
      </c>
      <c r="H2398">
        <v>1020365</v>
      </c>
      <c r="I2398" t="s">
        <v>17</v>
      </c>
      <c r="K2398" t="s">
        <v>6666</v>
      </c>
      <c r="L2398">
        <v>152</v>
      </c>
      <c r="M2398" t="s">
        <v>6667</v>
      </c>
    </row>
    <row r="2399" spans="1:13">
      <c r="A2399" t="s">
        <v>13</v>
      </c>
      <c r="B2399">
        <v>2560609</v>
      </c>
      <c r="C2399">
        <v>2560680</v>
      </c>
      <c r="E2399" t="s">
        <v>38</v>
      </c>
      <c r="F2399" t="s">
        <v>4743</v>
      </c>
      <c r="H2399">
        <v>2745345</v>
      </c>
      <c r="I2399" t="s">
        <v>62</v>
      </c>
      <c r="M2399" t="s">
        <v>6668</v>
      </c>
    </row>
    <row r="2400" spans="1:13">
      <c r="A2400" t="s">
        <v>13</v>
      </c>
      <c r="B2400">
        <v>2561116</v>
      </c>
      <c r="C2400">
        <v>2561367</v>
      </c>
      <c r="E2400" t="s">
        <v>14</v>
      </c>
      <c r="F2400" t="s">
        <v>3368</v>
      </c>
      <c r="H2400">
        <v>1020366</v>
      </c>
      <c r="I2400" t="s">
        <v>17</v>
      </c>
      <c r="K2400" t="s">
        <v>6669</v>
      </c>
      <c r="L2400">
        <v>83</v>
      </c>
      <c r="M2400" t="s">
        <v>6670</v>
      </c>
    </row>
    <row r="2401" spans="1:13">
      <c r="A2401" t="s">
        <v>13</v>
      </c>
      <c r="B2401">
        <v>2561481</v>
      </c>
      <c r="C2401">
        <v>2562645</v>
      </c>
      <c r="E2401" t="s">
        <v>38</v>
      </c>
      <c r="F2401" t="s">
        <v>141</v>
      </c>
      <c r="H2401">
        <v>44144990</v>
      </c>
      <c r="I2401" t="s">
        <v>142</v>
      </c>
      <c r="M2401" t="s">
        <v>6671</v>
      </c>
    </row>
    <row r="2402" spans="1:13">
      <c r="A2402" t="s">
        <v>13</v>
      </c>
      <c r="B2402">
        <v>2562964</v>
      </c>
      <c r="C2402">
        <v>2563851</v>
      </c>
      <c r="E2402" t="s">
        <v>14</v>
      </c>
      <c r="F2402" t="s">
        <v>49</v>
      </c>
      <c r="H2402">
        <v>1020369</v>
      </c>
      <c r="I2402" t="s">
        <v>17</v>
      </c>
      <c r="K2402" t="s">
        <v>6672</v>
      </c>
      <c r="L2402">
        <v>295</v>
      </c>
      <c r="M2402" t="s">
        <v>6673</v>
      </c>
    </row>
    <row r="2403" spans="1:13">
      <c r="A2403" t="s">
        <v>13</v>
      </c>
      <c r="B2403">
        <v>2563930</v>
      </c>
      <c r="C2403">
        <v>2564403</v>
      </c>
      <c r="E2403" t="s">
        <v>38</v>
      </c>
      <c r="F2403" t="s">
        <v>6674</v>
      </c>
      <c r="H2403">
        <v>1020370</v>
      </c>
      <c r="I2403" t="s">
        <v>17</v>
      </c>
      <c r="K2403" t="s">
        <v>6675</v>
      </c>
      <c r="L2403">
        <v>157</v>
      </c>
      <c r="M2403" t="s">
        <v>6676</v>
      </c>
    </row>
    <row r="2404" spans="1:13">
      <c r="A2404" t="s">
        <v>13</v>
      </c>
      <c r="B2404">
        <v>2564548</v>
      </c>
      <c r="C2404">
        <v>2565246</v>
      </c>
      <c r="E2404" t="s">
        <v>38</v>
      </c>
      <c r="F2404" t="s">
        <v>5252</v>
      </c>
      <c r="H2404">
        <v>1020371</v>
      </c>
      <c r="I2404" t="s">
        <v>17</v>
      </c>
      <c r="K2404" t="s">
        <v>6677</v>
      </c>
      <c r="L2404">
        <v>232</v>
      </c>
      <c r="M2404" t="s">
        <v>6678</v>
      </c>
    </row>
    <row r="2405" spans="1:13">
      <c r="A2405" t="s">
        <v>13</v>
      </c>
      <c r="B2405">
        <v>2565621</v>
      </c>
      <c r="C2405">
        <v>2566232</v>
      </c>
      <c r="E2405" t="s">
        <v>38</v>
      </c>
      <c r="F2405" t="s">
        <v>78</v>
      </c>
      <c r="H2405">
        <v>1020372</v>
      </c>
      <c r="I2405" t="s">
        <v>17</v>
      </c>
      <c r="K2405" t="s">
        <v>6679</v>
      </c>
      <c r="L2405">
        <v>203</v>
      </c>
      <c r="M2405" t="s">
        <v>6680</v>
      </c>
    </row>
    <row r="2406" spans="1:13">
      <c r="A2406" t="s">
        <v>13</v>
      </c>
      <c r="B2406">
        <v>2566346</v>
      </c>
      <c r="C2406">
        <v>2568949</v>
      </c>
      <c r="E2406" t="s">
        <v>14</v>
      </c>
      <c r="F2406" t="s">
        <v>6681</v>
      </c>
      <c r="G2406" t="s">
        <v>6682</v>
      </c>
      <c r="H2406">
        <v>1020373</v>
      </c>
      <c r="I2406" t="s">
        <v>17</v>
      </c>
      <c r="K2406" t="s">
        <v>6683</v>
      </c>
      <c r="L2406">
        <v>867</v>
      </c>
      <c r="M2406" t="s">
        <v>6684</v>
      </c>
    </row>
    <row r="2407" spans="1:13">
      <c r="A2407" t="s">
        <v>13</v>
      </c>
      <c r="B2407">
        <v>2569212</v>
      </c>
      <c r="C2407">
        <v>2570297</v>
      </c>
      <c r="E2407" t="s">
        <v>14</v>
      </c>
      <c r="F2407" t="s">
        <v>6685</v>
      </c>
      <c r="H2407">
        <v>1020374</v>
      </c>
      <c r="I2407" t="s">
        <v>17</v>
      </c>
      <c r="K2407" t="s">
        <v>6686</v>
      </c>
      <c r="L2407">
        <v>361</v>
      </c>
      <c r="M2407" t="s">
        <v>6687</v>
      </c>
    </row>
    <row r="2408" spans="1:13">
      <c r="A2408" t="s">
        <v>13</v>
      </c>
      <c r="B2408">
        <v>2570307</v>
      </c>
      <c r="C2408">
        <v>2571284</v>
      </c>
      <c r="E2408" t="s">
        <v>38</v>
      </c>
      <c r="F2408" t="s">
        <v>49</v>
      </c>
      <c r="H2408">
        <v>1020375</v>
      </c>
      <c r="I2408" t="s">
        <v>17</v>
      </c>
      <c r="K2408" t="s">
        <v>6688</v>
      </c>
      <c r="L2408">
        <v>325</v>
      </c>
      <c r="M2408" t="s">
        <v>6689</v>
      </c>
    </row>
    <row r="2409" spans="1:13">
      <c r="A2409" t="s">
        <v>13</v>
      </c>
      <c r="B2409">
        <v>2571511</v>
      </c>
      <c r="C2409">
        <v>2572179</v>
      </c>
      <c r="E2409" t="s">
        <v>14</v>
      </c>
      <c r="F2409" t="s">
        <v>49</v>
      </c>
      <c r="H2409">
        <v>1020376</v>
      </c>
      <c r="I2409" t="s">
        <v>17</v>
      </c>
      <c r="K2409" t="s">
        <v>6690</v>
      </c>
      <c r="L2409">
        <v>222</v>
      </c>
      <c r="M2409" t="s">
        <v>6691</v>
      </c>
    </row>
    <row r="2410" spans="1:13">
      <c r="A2410" t="s">
        <v>13</v>
      </c>
      <c r="B2410">
        <v>2572194</v>
      </c>
      <c r="C2410">
        <v>2572352</v>
      </c>
      <c r="E2410" t="s">
        <v>14</v>
      </c>
      <c r="F2410" t="s">
        <v>49</v>
      </c>
      <c r="H2410">
        <v>44156737</v>
      </c>
      <c r="I2410" t="s">
        <v>17</v>
      </c>
      <c r="K2410" t="s">
        <v>6692</v>
      </c>
      <c r="L2410">
        <v>52</v>
      </c>
      <c r="M2410" t="s">
        <v>6693</v>
      </c>
    </row>
    <row r="2411" spans="1:13">
      <c r="A2411" t="s">
        <v>13</v>
      </c>
      <c r="B2411">
        <v>2572349</v>
      </c>
      <c r="C2411">
        <v>2573844</v>
      </c>
      <c r="E2411" t="s">
        <v>38</v>
      </c>
      <c r="F2411" t="s">
        <v>141</v>
      </c>
      <c r="G2411" t="s">
        <v>6694</v>
      </c>
      <c r="H2411">
        <v>18194967</v>
      </c>
      <c r="I2411" t="s">
        <v>142</v>
      </c>
      <c r="M2411" t="s">
        <v>6695</v>
      </c>
    </row>
    <row r="2412" spans="1:13">
      <c r="A2412" t="s">
        <v>13</v>
      </c>
      <c r="B2412">
        <v>2573841</v>
      </c>
      <c r="C2412">
        <v>2574665</v>
      </c>
      <c r="E2412" t="s">
        <v>38</v>
      </c>
      <c r="F2412" t="s">
        <v>1829</v>
      </c>
      <c r="H2412">
        <v>1020380</v>
      </c>
      <c r="I2412" t="s">
        <v>17</v>
      </c>
      <c r="K2412" t="s">
        <v>6696</v>
      </c>
      <c r="L2412">
        <v>274</v>
      </c>
      <c r="M2412" t="s">
        <v>6697</v>
      </c>
    </row>
    <row r="2413" spans="1:13">
      <c r="A2413" t="s">
        <v>13</v>
      </c>
      <c r="B2413">
        <v>2574778</v>
      </c>
      <c r="C2413">
        <v>2575899</v>
      </c>
      <c r="E2413" t="s">
        <v>38</v>
      </c>
      <c r="F2413" t="s">
        <v>265</v>
      </c>
      <c r="H2413">
        <v>1020381</v>
      </c>
      <c r="I2413" t="s">
        <v>17</v>
      </c>
      <c r="K2413" t="s">
        <v>6698</v>
      </c>
      <c r="L2413">
        <v>373</v>
      </c>
      <c r="M2413" t="s">
        <v>6699</v>
      </c>
    </row>
    <row r="2414" spans="1:13">
      <c r="A2414" t="s">
        <v>13</v>
      </c>
      <c r="B2414">
        <v>2575979</v>
      </c>
      <c r="C2414">
        <v>2577214</v>
      </c>
      <c r="E2414" t="s">
        <v>38</v>
      </c>
      <c r="F2414" t="s">
        <v>6700</v>
      </c>
      <c r="H2414">
        <v>1020382</v>
      </c>
      <c r="I2414" t="s">
        <v>17</v>
      </c>
      <c r="K2414" t="s">
        <v>6701</v>
      </c>
      <c r="L2414">
        <v>411</v>
      </c>
      <c r="M2414" t="s">
        <v>6702</v>
      </c>
    </row>
    <row r="2415" spans="1:13">
      <c r="A2415" t="s">
        <v>13</v>
      </c>
      <c r="B2415">
        <v>2577230</v>
      </c>
      <c r="C2415">
        <v>2578873</v>
      </c>
      <c r="E2415" t="s">
        <v>38</v>
      </c>
      <c r="F2415" t="s">
        <v>6398</v>
      </c>
      <c r="H2415">
        <v>1020383</v>
      </c>
      <c r="I2415" t="s">
        <v>17</v>
      </c>
      <c r="K2415" t="s">
        <v>6703</v>
      </c>
      <c r="L2415">
        <v>547</v>
      </c>
      <c r="M2415" t="s">
        <v>6704</v>
      </c>
    </row>
    <row r="2416" spans="1:13">
      <c r="A2416" t="s">
        <v>13</v>
      </c>
      <c r="B2416">
        <v>2578877</v>
      </c>
      <c r="C2416">
        <v>2579761</v>
      </c>
      <c r="E2416" t="s">
        <v>38</v>
      </c>
      <c r="F2416" t="s">
        <v>124</v>
      </c>
      <c r="H2416">
        <v>1020384</v>
      </c>
      <c r="I2416" t="s">
        <v>17</v>
      </c>
      <c r="K2416" t="s">
        <v>6705</v>
      </c>
      <c r="L2416">
        <v>294</v>
      </c>
      <c r="M2416" t="s">
        <v>6706</v>
      </c>
    </row>
    <row r="2417" spans="1:13">
      <c r="A2417" t="s">
        <v>13</v>
      </c>
      <c r="B2417">
        <v>2579767</v>
      </c>
      <c r="C2417">
        <v>2580708</v>
      </c>
      <c r="E2417" t="s">
        <v>38</v>
      </c>
      <c r="F2417" t="s">
        <v>124</v>
      </c>
      <c r="H2417">
        <v>1020385</v>
      </c>
      <c r="I2417" t="s">
        <v>17</v>
      </c>
      <c r="K2417" t="s">
        <v>6707</v>
      </c>
      <c r="L2417">
        <v>313</v>
      </c>
      <c r="M2417" t="s">
        <v>6708</v>
      </c>
    </row>
    <row r="2418" spans="1:13">
      <c r="A2418" t="s">
        <v>13</v>
      </c>
      <c r="B2418">
        <v>2580709</v>
      </c>
      <c r="C2418">
        <v>2582418</v>
      </c>
      <c r="E2418" t="s">
        <v>38</v>
      </c>
      <c r="F2418" t="s">
        <v>6709</v>
      </c>
      <c r="H2418">
        <v>1020386</v>
      </c>
      <c r="I2418" t="s">
        <v>17</v>
      </c>
      <c r="K2418" t="s">
        <v>6710</v>
      </c>
      <c r="L2418">
        <v>569</v>
      </c>
      <c r="M2418" t="s">
        <v>6711</v>
      </c>
    </row>
    <row r="2419" spans="1:13">
      <c r="A2419" t="s">
        <v>13</v>
      </c>
      <c r="B2419">
        <v>2582565</v>
      </c>
      <c r="C2419">
        <v>2584508</v>
      </c>
      <c r="E2419" t="s">
        <v>14</v>
      </c>
      <c r="F2419" t="s">
        <v>5883</v>
      </c>
      <c r="H2419">
        <v>1020387</v>
      </c>
      <c r="I2419" t="s">
        <v>17</v>
      </c>
      <c r="K2419" t="s">
        <v>6712</v>
      </c>
      <c r="L2419">
        <v>647</v>
      </c>
      <c r="M2419" t="s">
        <v>6713</v>
      </c>
    </row>
    <row r="2420" spans="1:13">
      <c r="A2420" t="s">
        <v>13</v>
      </c>
      <c r="B2420">
        <v>2584560</v>
      </c>
      <c r="C2420">
        <v>2585930</v>
      </c>
      <c r="E2420" t="s">
        <v>14</v>
      </c>
      <c r="F2420" t="s">
        <v>6714</v>
      </c>
      <c r="H2420">
        <v>1020388</v>
      </c>
      <c r="I2420" t="s">
        <v>17</v>
      </c>
      <c r="K2420" t="s">
        <v>6715</v>
      </c>
      <c r="L2420">
        <v>456</v>
      </c>
      <c r="M2420" t="s">
        <v>6716</v>
      </c>
    </row>
    <row r="2421" spans="1:13">
      <c r="A2421" t="s">
        <v>13</v>
      </c>
      <c r="B2421">
        <v>2586214</v>
      </c>
      <c r="C2421">
        <v>2587767</v>
      </c>
      <c r="E2421" t="s">
        <v>14</v>
      </c>
      <c r="F2421" t="s">
        <v>2205</v>
      </c>
      <c r="H2421">
        <v>1020389</v>
      </c>
      <c r="I2421" t="s">
        <v>17</v>
      </c>
      <c r="K2421" t="s">
        <v>6717</v>
      </c>
      <c r="L2421">
        <v>517</v>
      </c>
      <c r="M2421" t="s">
        <v>6718</v>
      </c>
    </row>
    <row r="2422" spans="1:13">
      <c r="A2422" t="s">
        <v>13</v>
      </c>
      <c r="B2422">
        <v>2587977</v>
      </c>
      <c r="C2422">
        <v>2588726</v>
      </c>
      <c r="E2422" t="s">
        <v>14</v>
      </c>
      <c r="F2422" t="s">
        <v>842</v>
      </c>
      <c r="H2422">
        <v>1020390</v>
      </c>
      <c r="I2422" t="s">
        <v>17</v>
      </c>
      <c r="K2422" t="s">
        <v>6719</v>
      </c>
      <c r="L2422">
        <v>249</v>
      </c>
      <c r="M2422" t="s">
        <v>6720</v>
      </c>
    </row>
    <row r="2423" spans="1:13">
      <c r="A2423" t="s">
        <v>13</v>
      </c>
      <c r="B2423">
        <v>2588723</v>
      </c>
      <c r="C2423">
        <v>2589433</v>
      </c>
      <c r="E2423" t="s">
        <v>38</v>
      </c>
      <c r="F2423" t="s">
        <v>1841</v>
      </c>
      <c r="H2423">
        <v>1020391</v>
      </c>
      <c r="I2423" t="s">
        <v>17</v>
      </c>
      <c r="K2423" t="s">
        <v>6721</v>
      </c>
      <c r="L2423">
        <v>236</v>
      </c>
      <c r="M2423" t="s">
        <v>6722</v>
      </c>
    </row>
    <row r="2424" spans="1:13">
      <c r="A2424" t="s">
        <v>13</v>
      </c>
      <c r="B2424">
        <v>2589566</v>
      </c>
      <c r="C2424">
        <v>2590306</v>
      </c>
      <c r="E2424" t="s">
        <v>14</v>
      </c>
      <c r="F2424" t="s">
        <v>1126</v>
      </c>
      <c r="H2424">
        <v>1020392</v>
      </c>
      <c r="I2424" t="s">
        <v>17</v>
      </c>
      <c r="K2424" t="s">
        <v>6723</v>
      </c>
      <c r="L2424">
        <v>246</v>
      </c>
      <c r="M2424" t="s">
        <v>6724</v>
      </c>
    </row>
    <row r="2425" spans="1:13">
      <c r="A2425" t="s">
        <v>13</v>
      </c>
      <c r="B2425">
        <v>2590310</v>
      </c>
      <c r="C2425">
        <v>2591470</v>
      </c>
      <c r="E2425" t="s">
        <v>38</v>
      </c>
      <c r="F2425" t="s">
        <v>6725</v>
      </c>
      <c r="H2425">
        <v>1020393</v>
      </c>
      <c r="I2425" t="s">
        <v>17</v>
      </c>
      <c r="K2425" t="s">
        <v>6726</v>
      </c>
      <c r="L2425">
        <v>386</v>
      </c>
      <c r="M2425" t="s">
        <v>6727</v>
      </c>
    </row>
    <row r="2426" spans="1:13">
      <c r="A2426" t="s">
        <v>13</v>
      </c>
      <c r="B2426">
        <v>2591572</v>
      </c>
      <c r="C2426">
        <v>2592357</v>
      </c>
      <c r="E2426" t="s">
        <v>38</v>
      </c>
      <c r="F2426" t="s">
        <v>147</v>
      </c>
      <c r="H2426">
        <v>1020394</v>
      </c>
      <c r="I2426" t="s">
        <v>17</v>
      </c>
      <c r="K2426" t="s">
        <v>6728</v>
      </c>
      <c r="L2426">
        <v>261</v>
      </c>
      <c r="M2426" t="s">
        <v>6729</v>
      </c>
    </row>
    <row r="2427" spans="1:13">
      <c r="A2427" t="s">
        <v>13</v>
      </c>
      <c r="B2427">
        <v>2592403</v>
      </c>
      <c r="C2427">
        <v>2592798</v>
      </c>
      <c r="E2427" t="s">
        <v>14</v>
      </c>
      <c r="F2427" t="s">
        <v>6730</v>
      </c>
      <c r="H2427">
        <v>1020395</v>
      </c>
      <c r="I2427" t="s">
        <v>17</v>
      </c>
      <c r="K2427" t="s">
        <v>6731</v>
      </c>
      <c r="L2427">
        <v>131</v>
      </c>
      <c r="M2427" t="s">
        <v>6732</v>
      </c>
    </row>
    <row r="2428" spans="1:13">
      <c r="A2428" t="s">
        <v>13</v>
      </c>
      <c r="B2428">
        <v>2592839</v>
      </c>
      <c r="C2428">
        <v>2593969</v>
      </c>
      <c r="E2428" t="s">
        <v>14</v>
      </c>
      <c r="F2428" t="s">
        <v>6733</v>
      </c>
      <c r="G2428" t="s">
        <v>6734</v>
      </c>
      <c r="H2428">
        <v>1020396</v>
      </c>
      <c r="I2428" t="s">
        <v>17</v>
      </c>
      <c r="K2428" t="s">
        <v>6735</v>
      </c>
      <c r="L2428">
        <v>376</v>
      </c>
      <c r="M2428" t="s">
        <v>6736</v>
      </c>
    </row>
    <row r="2429" spans="1:13">
      <c r="A2429" t="s">
        <v>13</v>
      </c>
      <c r="B2429">
        <v>2593966</v>
      </c>
      <c r="C2429">
        <v>2594595</v>
      </c>
      <c r="E2429" t="s">
        <v>38</v>
      </c>
      <c r="F2429" t="s">
        <v>49</v>
      </c>
      <c r="H2429">
        <v>1020397</v>
      </c>
      <c r="I2429" t="s">
        <v>17</v>
      </c>
      <c r="K2429" t="s">
        <v>6737</v>
      </c>
      <c r="L2429">
        <v>209</v>
      </c>
      <c r="M2429" t="s">
        <v>6738</v>
      </c>
    </row>
    <row r="2430" spans="1:13">
      <c r="A2430" t="s">
        <v>13</v>
      </c>
      <c r="B2430">
        <v>2594595</v>
      </c>
      <c r="C2430">
        <v>2595062</v>
      </c>
      <c r="E2430" t="s">
        <v>38</v>
      </c>
      <c r="F2430" t="s">
        <v>4710</v>
      </c>
      <c r="H2430">
        <v>1020398</v>
      </c>
      <c r="I2430" t="s">
        <v>17</v>
      </c>
      <c r="K2430" t="s">
        <v>6739</v>
      </c>
      <c r="L2430">
        <v>155</v>
      </c>
      <c r="M2430" t="s">
        <v>6740</v>
      </c>
    </row>
    <row r="2431" spans="1:13">
      <c r="A2431" t="s">
        <v>13</v>
      </c>
      <c r="B2431">
        <v>2595186</v>
      </c>
      <c r="C2431">
        <v>2595809</v>
      </c>
      <c r="E2431" t="s">
        <v>38</v>
      </c>
      <c r="F2431" t="s">
        <v>6741</v>
      </c>
      <c r="H2431">
        <v>1020399</v>
      </c>
      <c r="I2431" t="s">
        <v>17</v>
      </c>
      <c r="K2431" t="s">
        <v>6742</v>
      </c>
      <c r="L2431">
        <v>207</v>
      </c>
      <c r="M2431" t="s">
        <v>6743</v>
      </c>
    </row>
    <row r="2432" spans="1:13">
      <c r="A2432" t="s">
        <v>13</v>
      </c>
      <c r="B2432">
        <v>2596046</v>
      </c>
      <c r="C2432">
        <v>2597716</v>
      </c>
      <c r="E2432" t="s">
        <v>38</v>
      </c>
      <c r="F2432" t="s">
        <v>6744</v>
      </c>
      <c r="G2432" t="s">
        <v>6745</v>
      </c>
      <c r="H2432">
        <v>1020401</v>
      </c>
      <c r="I2432" t="s">
        <v>17</v>
      </c>
      <c r="K2432" t="s">
        <v>6746</v>
      </c>
      <c r="L2432">
        <v>556</v>
      </c>
      <c r="M2432" t="s">
        <v>6747</v>
      </c>
    </row>
    <row r="2433" spans="1:13">
      <c r="A2433" t="s">
        <v>13</v>
      </c>
      <c r="B2433">
        <v>2597867</v>
      </c>
      <c r="C2433">
        <v>2598484</v>
      </c>
      <c r="E2433" t="s">
        <v>38</v>
      </c>
      <c r="F2433" t="s">
        <v>5139</v>
      </c>
      <c r="H2433">
        <v>1020402</v>
      </c>
      <c r="I2433" t="s">
        <v>17</v>
      </c>
      <c r="K2433" t="s">
        <v>6748</v>
      </c>
      <c r="L2433">
        <v>205</v>
      </c>
      <c r="M2433" t="s">
        <v>6749</v>
      </c>
    </row>
    <row r="2434" spans="1:13">
      <c r="A2434" t="s">
        <v>13</v>
      </c>
      <c r="B2434">
        <v>2598660</v>
      </c>
      <c r="C2434">
        <v>2600813</v>
      </c>
      <c r="E2434" t="s">
        <v>38</v>
      </c>
      <c r="F2434" t="s">
        <v>6750</v>
      </c>
      <c r="H2434">
        <v>1020403</v>
      </c>
      <c r="I2434" t="s">
        <v>17</v>
      </c>
      <c r="K2434" t="s">
        <v>6751</v>
      </c>
      <c r="L2434">
        <v>717</v>
      </c>
      <c r="M2434" t="s">
        <v>6752</v>
      </c>
    </row>
    <row r="2435" spans="1:13">
      <c r="A2435" t="s">
        <v>13</v>
      </c>
      <c r="B2435">
        <v>2601022</v>
      </c>
      <c r="C2435">
        <v>2601095</v>
      </c>
      <c r="E2435" t="s">
        <v>14</v>
      </c>
      <c r="F2435" t="s">
        <v>669</v>
      </c>
      <c r="H2435">
        <v>2745303</v>
      </c>
      <c r="I2435" t="s">
        <v>62</v>
      </c>
      <c r="M2435" t="s">
        <v>6753</v>
      </c>
    </row>
    <row r="2436" spans="1:13">
      <c r="A2436" t="s">
        <v>13</v>
      </c>
      <c r="B2436">
        <v>2601462</v>
      </c>
      <c r="C2436">
        <v>2602883</v>
      </c>
      <c r="E2436" t="s">
        <v>14</v>
      </c>
      <c r="F2436" t="s">
        <v>6754</v>
      </c>
      <c r="H2436">
        <v>1020404</v>
      </c>
      <c r="I2436" t="s">
        <v>17</v>
      </c>
      <c r="K2436" t="s">
        <v>6755</v>
      </c>
      <c r="L2436">
        <v>473</v>
      </c>
      <c r="M2436" t="s">
        <v>6756</v>
      </c>
    </row>
    <row r="2437" spans="1:13">
      <c r="A2437" t="s">
        <v>13</v>
      </c>
      <c r="B2437">
        <v>2602959</v>
      </c>
      <c r="C2437">
        <v>2603031</v>
      </c>
      <c r="E2437" t="s">
        <v>14</v>
      </c>
      <c r="F2437" t="s">
        <v>6757</v>
      </c>
      <c r="H2437">
        <v>2745300</v>
      </c>
      <c r="I2437" t="s">
        <v>62</v>
      </c>
      <c r="M2437" t="s">
        <v>6758</v>
      </c>
    </row>
    <row r="2438" spans="1:13">
      <c r="A2438" t="s">
        <v>13</v>
      </c>
      <c r="B2438">
        <v>2603943</v>
      </c>
      <c r="C2438">
        <v>2604584</v>
      </c>
      <c r="E2438" t="s">
        <v>38</v>
      </c>
      <c r="F2438" t="s">
        <v>6759</v>
      </c>
      <c r="G2438" t="s">
        <v>6760</v>
      </c>
      <c r="H2438">
        <v>1020405</v>
      </c>
      <c r="I2438" t="s">
        <v>17</v>
      </c>
      <c r="K2438" t="s">
        <v>6761</v>
      </c>
      <c r="L2438">
        <v>213</v>
      </c>
      <c r="M2438" t="s">
        <v>6762</v>
      </c>
    </row>
    <row r="2439" spans="1:13">
      <c r="A2439" t="s">
        <v>13</v>
      </c>
      <c r="B2439">
        <v>2604607</v>
      </c>
      <c r="C2439">
        <v>2605521</v>
      </c>
      <c r="E2439" t="s">
        <v>38</v>
      </c>
      <c r="F2439" t="s">
        <v>2089</v>
      </c>
      <c r="H2439">
        <v>1020406</v>
      </c>
      <c r="I2439" t="s">
        <v>17</v>
      </c>
      <c r="K2439" t="s">
        <v>6763</v>
      </c>
      <c r="L2439">
        <v>304</v>
      </c>
      <c r="M2439" t="s">
        <v>6764</v>
      </c>
    </row>
    <row r="2440" spans="1:13">
      <c r="A2440" t="s">
        <v>13</v>
      </c>
      <c r="B2440">
        <v>2605525</v>
      </c>
      <c r="C2440">
        <v>2606370</v>
      </c>
      <c r="E2440" t="s">
        <v>38</v>
      </c>
      <c r="F2440" t="s">
        <v>2089</v>
      </c>
      <c r="H2440">
        <v>1020407</v>
      </c>
      <c r="I2440" t="s">
        <v>17</v>
      </c>
      <c r="K2440" t="s">
        <v>6765</v>
      </c>
      <c r="L2440">
        <v>281</v>
      </c>
      <c r="M2440" t="s">
        <v>6766</v>
      </c>
    </row>
    <row r="2441" spans="1:13">
      <c r="A2441" t="s">
        <v>13</v>
      </c>
      <c r="B2441">
        <v>2606559</v>
      </c>
      <c r="C2441">
        <v>2607890</v>
      </c>
      <c r="E2441" t="s">
        <v>38</v>
      </c>
      <c r="F2441" t="s">
        <v>1008</v>
      </c>
      <c r="H2441">
        <v>1020408</v>
      </c>
      <c r="I2441" t="s">
        <v>17</v>
      </c>
      <c r="K2441" t="s">
        <v>6767</v>
      </c>
      <c r="L2441">
        <v>443</v>
      </c>
      <c r="M2441" t="s">
        <v>6768</v>
      </c>
    </row>
    <row r="2442" spans="1:13">
      <c r="A2442" t="s">
        <v>13</v>
      </c>
      <c r="B2442">
        <v>2608183</v>
      </c>
      <c r="C2442">
        <v>2609382</v>
      </c>
      <c r="E2442" t="s">
        <v>38</v>
      </c>
      <c r="F2442" t="s">
        <v>6769</v>
      </c>
      <c r="H2442">
        <v>1020409</v>
      </c>
      <c r="I2442" t="s">
        <v>17</v>
      </c>
      <c r="K2442" t="s">
        <v>6770</v>
      </c>
      <c r="L2442">
        <v>399</v>
      </c>
      <c r="M2442" t="s">
        <v>6771</v>
      </c>
    </row>
    <row r="2443" spans="1:13">
      <c r="A2443" t="s">
        <v>13</v>
      </c>
      <c r="B2443">
        <v>2609336</v>
      </c>
      <c r="C2443">
        <v>2609479</v>
      </c>
      <c r="E2443" t="s">
        <v>38</v>
      </c>
      <c r="F2443" t="s">
        <v>49</v>
      </c>
      <c r="H2443">
        <v>92792311</v>
      </c>
      <c r="I2443" t="s">
        <v>17</v>
      </c>
      <c r="K2443" t="s">
        <v>6772</v>
      </c>
      <c r="L2443">
        <v>47</v>
      </c>
      <c r="M2443" t="s">
        <v>6773</v>
      </c>
    </row>
    <row r="2444" spans="1:13">
      <c r="A2444" t="s">
        <v>13</v>
      </c>
      <c r="B2444">
        <v>2609510</v>
      </c>
      <c r="C2444">
        <v>2610640</v>
      </c>
      <c r="E2444" t="s">
        <v>38</v>
      </c>
      <c r="F2444" t="s">
        <v>147</v>
      </c>
      <c r="H2444">
        <v>1020410</v>
      </c>
      <c r="I2444" t="s">
        <v>17</v>
      </c>
      <c r="K2444" t="s">
        <v>6774</v>
      </c>
      <c r="L2444">
        <v>376</v>
      </c>
      <c r="M2444" t="s">
        <v>6775</v>
      </c>
    </row>
    <row r="2445" spans="1:13">
      <c r="A2445" t="s">
        <v>13</v>
      </c>
      <c r="B2445">
        <v>2610846</v>
      </c>
      <c r="C2445">
        <v>2611595</v>
      </c>
      <c r="E2445" t="s">
        <v>38</v>
      </c>
      <c r="F2445" t="s">
        <v>141</v>
      </c>
      <c r="H2445">
        <v>1020411</v>
      </c>
      <c r="I2445" t="s">
        <v>142</v>
      </c>
      <c r="M2445" t="s">
        <v>6776</v>
      </c>
    </row>
    <row r="2446" spans="1:13">
      <c r="A2446" t="s">
        <v>13</v>
      </c>
      <c r="B2446">
        <v>2611524</v>
      </c>
      <c r="C2446">
        <v>2612276</v>
      </c>
      <c r="E2446" t="s">
        <v>14</v>
      </c>
      <c r="F2446" t="s">
        <v>4373</v>
      </c>
      <c r="H2446">
        <v>1020412</v>
      </c>
      <c r="I2446" t="s">
        <v>17</v>
      </c>
      <c r="K2446" t="s">
        <v>6777</v>
      </c>
      <c r="L2446">
        <v>250</v>
      </c>
      <c r="M2446" t="s">
        <v>6778</v>
      </c>
    </row>
    <row r="2447" spans="1:13">
      <c r="A2447" t="s">
        <v>13</v>
      </c>
      <c r="B2447">
        <v>2612456</v>
      </c>
      <c r="C2447">
        <v>2612593</v>
      </c>
      <c r="E2447" t="s">
        <v>38</v>
      </c>
      <c r="F2447" t="s">
        <v>49</v>
      </c>
      <c r="H2447">
        <v>44144991</v>
      </c>
      <c r="I2447" t="s">
        <v>17</v>
      </c>
      <c r="K2447" t="s">
        <v>6779</v>
      </c>
      <c r="L2447">
        <v>45</v>
      </c>
      <c r="M2447" t="s">
        <v>6780</v>
      </c>
    </row>
    <row r="2448" spans="1:13">
      <c r="A2448" t="s">
        <v>13</v>
      </c>
      <c r="B2448">
        <v>2612628</v>
      </c>
      <c r="C2448">
        <v>2612897</v>
      </c>
      <c r="E2448" t="s">
        <v>38</v>
      </c>
      <c r="F2448" t="s">
        <v>49</v>
      </c>
      <c r="H2448">
        <v>18194968</v>
      </c>
      <c r="I2448" t="s">
        <v>17</v>
      </c>
      <c r="K2448" t="s">
        <v>6781</v>
      </c>
      <c r="L2448">
        <v>89</v>
      </c>
      <c r="M2448" t="s">
        <v>6782</v>
      </c>
    </row>
    <row r="2449" spans="1:13">
      <c r="A2449" t="s">
        <v>13</v>
      </c>
      <c r="B2449">
        <v>2613074</v>
      </c>
      <c r="C2449">
        <v>2613637</v>
      </c>
      <c r="E2449" t="s">
        <v>38</v>
      </c>
      <c r="F2449" t="s">
        <v>3368</v>
      </c>
      <c r="H2449">
        <v>1020413</v>
      </c>
      <c r="I2449" t="s">
        <v>17</v>
      </c>
      <c r="K2449" t="s">
        <v>6783</v>
      </c>
      <c r="L2449">
        <v>187</v>
      </c>
      <c r="M2449" t="s">
        <v>6784</v>
      </c>
    </row>
    <row r="2450" spans="1:13">
      <c r="A2450" t="s">
        <v>13</v>
      </c>
      <c r="B2450">
        <v>2613881</v>
      </c>
      <c r="C2450">
        <v>2614504</v>
      </c>
      <c r="E2450" t="s">
        <v>14</v>
      </c>
      <c r="F2450" t="s">
        <v>141</v>
      </c>
      <c r="H2450">
        <v>1020414</v>
      </c>
      <c r="I2450" t="s">
        <v>142</v>
      </c>
      <c r="M2450" t="s">
        <v>6785</v>
      </c>
    </row>
    <row r="2451" spans="1:13">
      <c r="A2451" t="s">
        <v>13</v>
      </c>
      <c r="B2451">
        <v>2614536</v>
      </c>
      <c r="C2451">
        <v>2615414</v>
      </c>
      <c r="E2451" t="s">
        <v>14</v>
      </c>
      <c r="F2451" t="s">
        <v>6786</v>
      </c>
      <c r="G2451" t="s">
        <v>6787</v>
      </c>
      <c r="H2451">
        <v>1020415</v>
      </c>
      <c r="I2451" t="s">
        <v>17</v>
      </c>
      <c r="K2451" t="s">
        <v>6788</v>
      </c>
      <c r="L2451">
        <v>292</v>
      </c>
      <c r="M2451" t="s">
        <v>6789</v>
      </c>
    </row>
    <row r="2452" spans="1:13">
      <c r="A2452" t="s">
        <v>13</v>
      </c>
      <c r="B2452">
        <v>2615937</v>
      </c>
      <c r="C2452">
        <v>2617121</v>
      </c>
      <c r="E2452" t="s">
        <v>38</v>
      </c>
      <c r="F2452" t="s">
        <v>6790</v>
      </c>
      <c r="G2452" t="s">
        <v>6791</v>
      </c>
      <c r="H2452">
        <v>1020416</v>
      </c>
      <c r="I2452" t="s">
        <v>17</v>
      </c>
      <c r="K2452" t="s">
        <v>6792</v>
      </c>
      <c r="L2452">
        <v>394</v>
      </c>
      <c r="M2452" t="s">
        <v>6793</v>
      </c>
    </row>
    <row r="2453" spans="1:13">
      <c r="A2453" t="s">
        <v>13</v>
      </c>
      <c r="B2453">
        <v>2617247</v>
      </c>
      <c r="C2453">
        <v>2617999</v>
      </c>
      <c r="E2453" t="s">
        <v>14</v>
      </c>
      <c r="F2453" t="s">
        <v>5815</v>
      </c>
      <c r="H2453">
        <v>1020417</v>
      </c>
      <c r="I2453" t="s">
        <v>17</v>
      </c>
      <c r="K2453" t="s">
        <v>6794</v>
      </c>
      <c r="L2453">
        <v>250</v>
      </c>
      <c r="M2453" t="s">
        <v>6795</v>
      </c>
    </row>
    <row r="2454" spans="1:13">
      <c r="A2454" t="s">
        <v>13</v>
      </c>
      <c r="B2454">
        <v>2618073</v>
      </c>
      <c r="C2454">
        <v>2618873</v>
      </c>
      <c r="E2454" t="s">
        <v>14</v>
      </c>
      <c r="F2454" t="s">
        <v>6796</v>
      </c>
      <c r="G2454" t="s">
        <v>6797</v>
      </c>
      <c r="H2454">
        <v>1020418</v>
      </c>
      <c r="I2454" t="s">
        <v>17</v>
      </c>
      <c r="K2454" t="s">
        <v>6798</v>
      </c>
      <c r="L2454">
        <v>266</v>
      </c>
      <c r="M2454" t="s">
        <v>6799</v>
      </c>
    </row>
    <row r="2455" spans="1:13">
      <c r="A2455" t="s">
        <v>13</v>
      </c>
      <c r="B2455">
        <v>2618883</v>
      </c>
      <c r="C2455">
        <v>2619542</v>
      </c>
      <c r="E2455" t="s">
        <v>14</v>
      </c>
      <c r="F2455" t="s">
        <v>6800</v>
      </c>
      <c r="G2455" t="s">
        <v>6801</v>
      </c>
      <c r="H2455">
        <v>1020419</v>
      </c>
      <c r="I2455" t="s">
        <v>17</v>
      </c>
      <c r="K2455" t="s">
        <v>6802</v>
      </c>
      <c r="L2455">
        <v>219</v>
      </c>
      <c r="M2455" t="s">
        <v>6803</v>
      </c>
    </row>
    <row r="2456" spans="1:13">
      <c r="A2456" t="s">
        <v>13</v>
      </c>
      <c r="B2456">
        <v>2619539</v>
      </c>
      <c r="C2456">
        <v>2620783</v>
      </c>
      <c r="E2456" t="s">
        <v>38</v>
      </c>
      <c r="F2456" t="s">
        <v>391</v>
      </c>
      <c r="H2456">
        <v>1020420</v>
      </c>
      <c r="I2456" t="s">
        <v>17</v>
      </c>
      <c r="K2456" t="s">
        <v>6804</v>
      </c>
      <c r="L2456">
        <v>414</v>
      </c>
      <c r="M2456" t="s">
        <v>6805</v>
      </c>
    </row>
    <row r="2457" spans="1:13">
      <c r="A2457" t="s">
        <v>13</v>
      </c>
      <c r="B2457">
        <v>2620971</v>
      </c>
      <c r="C2457">
        <v>2622182</v>
      </c>
      <c r="E2457" t="s">
        <v>38</v>
      </c>
      <c r="F2457" t="s">
        <v>1631</v>
      </c>
      <c r="H2457">
        <v>1020421</v>
      </c>
      <c r="I2457" t="s">
        <v>17</v>
      </c>
      <c r="K2457" t="s">
        <v>6806</v>
      </c>
      <c r="L2457">
        <v>403</v>
      </c>
      <c r="M2457" t="s">
        <v>6807</v>
      </c>
    </row>
    <row r="2458" spans="1:13">
      <c r="A2458" t="s">
        <v>13</v>
      </c>
      <c r="B2458">
        <v>2622649</v>
      </c>
      <c r="C2458">
        <v>2622724</v>
      </c>
      <c r="E2458" t="s">
        <v>14</v>
      </c>
      <c r="F2458" t="s">
        <v>6808</v>
      </c>
      <c r="H2458">
        <v>2745314</v>
      </c>
      <c r="I2458" t="s">
        <v>62</v>
      </c>
      <c r="M2458" t="s">
        <v>6809</v>
      </c>
    </row>
    <row r="2459" spans="1:13">
      <c r="A2459" t="s">
        <v>13</v>
      </c>
      <c r="B2459">
        <v>2622812</v>
      </c>
      <c r="C2459">
        <v>2622884</v>
      </c>
      <c r="E2459" t="s">
        <v>14</v>
      </c>
      <c r="F2459" t="s">
        <v>6808</v>
      </c>
      <c r="H2459">
        <v>2745316</v>
      </c>
      <c r="I2459" t="s">
        <v>62</v>
      </c>
      <c r="M2459" t="s">
        <v>6810</v>
      </c>
    </row>
    <row r="2460" spans="1:13">
      <c r="A2460" t="s">
        <v>13</v>
      </c>
      <c r="B2460">
        <v>2622962</v>
      </c>
      <c r="C2460">
        <v>2623609</v>
      </c>
      <c r="E2460" t="s">
        <v>14</v>
      </c>
      <c r="F2460" t="s">
        <v>420</v>
      </c>
      <c r="H2460">
        <v>1020422</v>
      </c>
      <c r="I2460" t="s">
        <v>17</v>
      </c>
      <c r="K2460" t="s">
        <v>6811</v>
      </c>
      <c r="L2460">
        <v>215</v>
      </c>
      <c r="M2460" t="s">
        <v>6812</v>
      </c>
    </row>
    <row r="2461" spans="1:13">
      <c r="A2461" t="s">
        <v>13</v>
      </c>
      <c r="B2461">
        <v>2623619</v>
      </c>
      <c r="C2461">
        <v>2623771</v>
      </c>
      <c r="E2461" t="s">
        <v>38</v>
      </c>
      <c r="F2461" t="s">
        <v>49</v>
      </c>
      <c r="H2461">
        <v>1020423</v>
      </c>
      <c r="I2461" t="s">
        <v>17</v>
      </c>
      <c r="K2461" t="s">
        <v>6813</v>
      </c>
      <c r="L2461">
        <v>50</v>
      </c>
      <c r="M2461" t="s">
        <v>6814</v>
      </c>
    </row>
    <row r="2462" spans="1:13">
      <c r="A2462" t="s">
        <v>13</v>
      </c>
      <c r="B2462">
        <v>2624049</v>
      </c>
      <c r="C2462">
        <v>2625359</v>
      </c>
      <c r="E2462" t="s">
        <v>38</v>
      </c>
      <c r="F2462" t="s">
        <v>3038</v>
      </c>
      <c r="H2462">
        <v>1020425</v>
      </c>
      <c r="I2462" t="s">
        <v>17</v>
      </c>
      <c r="K2462" t="s">
        <v>3039</v>
      </c>
      <c r="L2462">
        <v>436</v>
      </c>
      <c r="M2462" t="s">
        <v>6815</v>
      </c>
    </row>
    <row r="2463" spans="1:13">
      <c r="A2463" t="s">
        <v>13</v>
      </c>
      <c r="B2463">
        <v>2625601</v>
      </c>
      <c r="C2463">
        <v>2625810</v>
      </c>
      <c r="E2463" t="s">
        <v>14</v>
      </c>
      <c r="F2463" t="s">
        <v>49</v>
      </c>
      <c r="H2463">
        <v>1020426</v>
      </c>
      <c r="I2463" t="s">
        <v>17</v>
      </c>
      <c r="K2463" t="s">
        <v>6816</v>
      </c>
      <c r="L2463">
        <v>69</v>
      </c>
      <c r="M2463" t="s">
        <v>6817</v>
      </c>
    </row>
    <row r="2464" spans="1:13">
      <c r="A2464" t="s">
        <v>13</v>
      </c>
      <c r="B2464">
        <v>2625807</v>
      </c>
      <c r="C2464">
        <v>2626448</v>
      </c>
      <c r="E2464" t="s">
        <v>38</v>
      </c>
      <c r="F2464" t="s">
        <v>49</v>
      </c>
      <c r="H2464">
        <v>1020427</v>
      </c>
      <c r="I2464" t="s">
        <v>17</v>
      </c>
      <c r="K2464" t="s">
        <v>6818</v>
      </c>
      <c r="L2464">
        <v>213</v>
      </c>
      <c r="M2464" t="s">
        <v>6819</v>
      </c>
    </row>
    <row r="2465" spans="1:13">
      <c r="A2465" t="s">
        <v>13</v>
      </c>
      <c r="B2465">
        <v>2626491</v>
      </c>
      <c r="C2465">
        <v>2627732</v>
      </c>
      <c r="E2465" t="s">
        <v>38</v>
      </c>
      <c r="F2465" t="s">
        <v>6820</v>
      </c>
      <c r="H2465">
        <v>1020428</v>
      </c>
      <c r="I2465" t="s">
        <v>17</v>
      </c>
      <c r="K2465" t="s">
        <v>6821</v>
      </c>
      <c r="L2465">
        <v>413</v>
      </c>
      <c r="M2465" t="s">
        <v>6822</v>
      </c>
    </row>
    <row r="2466" spans="1:13">
      <c r="A2466" t="s">
        <v>13</v>
      </c>
      <c r="B2466">
        <v>2627777</v>
      </c>
      <c r="C2466">
        <v>2628088</v>
      </c>
      <c r="E2466" t="s">
        <v>14</v>
      </c>
      <c r="F2466" t="s">
        <v>532</v>
      </c>
      <c r="H2466">
        <v>44144993</v>
      </c>
      <c r="I2466" t="s">
        <v>17</v>
      </c>
      <c r="K2466" t="s">
        <v>6823</v>
      </c>
      <c r="L2466">
        <v>103</v>
      </c>
      <c r="M2466" t="s">
        <v>6824</v>
      </c>
    </row>
    <row r="2467" spans="1:13">
      <c r="A2467" t="s">
        <v>13</v>
      </c>
      <c r="B2467">
        <v>2627970</v>
      </c>
      <c r="C2467">
        <v>2628380</v>
      </c>
      <c r="E2467" t="s">
        <v>14</v>
      </c>
      <c r="F2467" t="s">
        <v>121</v>
      </c>
      <c r="H2467">
        <v>44144994</v>
      </c>
      <c r="I2467" t="s">
        <v>17</v>
      </c>
      <c r="K2467" t="s">
        <v>6825</v>
      </c>
      <c r="L2467">
        <v>136</v>
      </c>
      <c r="M2467" t="s">
        <v>6826</v>
      </c>
    </row>
    <row r="2468" spans="1:13">
      <c r="A2468" t="s">
        <v>13</v>
      </c>
      <c r="B2468">
        <v>2628440</v>
      </c>
      <c r="C2468">
        <v>2628856</v>
      </c>
      <c r="E2468" t="s">
        <v>14</v>
      </c>
      <c r="F2468" t="s">
        <v>121</v>
      </c>
      <c r="H2468">
        <v>44144995</v>
      </c>
      <c r="I2468" t="s">
        <v>17</v>
      </c>
      <c r="K2468" t="s">
        <v>6827</v>
      </c>
      <c r="L2468">
        <v>138</v>
      </c>
      <c r="M2468" t="s">
        <v>6828</v>
      </c>
    </row>
    <row r="2469" spans="1:13">
      <c r="A2469" t="s">
        <v>13</v>
      </c>
      <c r="B2469">
        <v>2628927</v>
      </c>
      <c r="C2469">
        <v>2630483</v>
      </c>
      <c r="E2469" t="s">
        <v>14</v>
      </c>
      <c r="F2469" t="s">
        <v>6829</v>
      </c>
      <c r="G2469" t="s">
        <v>6830</v>
      </c>
      <c r="H2469">
        <v>1020431</v>
      </c>
      <c r="I2469" t="s">
        <v>17</v>
      </c>
      <c r="K2469" t="s">
        <v>6831</v>
      </c>
      <c r="L2469">
        <v>518</v>
      </c>
      <c r="M2469" t="s">
        <v>6832</v>
      </c>
    </row>
    <row r="2470" spans="1:13">
      <c r="A2470" t="s">
        <v>13</v>
      </c>
      <c r="B2470">
        <v>2630637</v>
      </c>
      <c r="C2470">
        <v>2631140</v>
      </c>
      <c r="E2470" t="s">
        <v>14</v>
      </c>
      <c r="F2470" t="s">
        <v>6833</v>
      </c>
      <c r="H2470">
        <v>1020432</v>
      </c>
      <c r="I2470" t="s">
        <v>17</v>
      </c>
      <c r="K2470" t="s">
        <v>6834</v>
      </c>
      <c r="L2470">
        <v>167</v>
      </c>
      <c r="M2470" t="s">
        <v>6835</v>
      </c>
    </row>
    <row r="2471" spans="1:13">
      <c r="A2471" t="s">
        <v>13</v>
      </c>
      <c r="B2471">
        <v>2631304</v>
      </c>
      <c r="C2471">
        <v>2632470</v>
      </c>
      <c r="E2471" t="s">
        <v>14</v>
      </c>
      <c r="F2471" t="s">
        <v>2205</v>
      </c>
      <c r="H2471">
        <v>1020433</v>
      </c>
      <c r="I2471" t="s">
        <v>17</v>
      </c>
      <c r="K2471" t="s">
        <v>6836</v>
      </c>
      <c r="L2471">
        <v>388</v>
      </c>
      <c r="M2471" t="s">
        <v>6837</v>
      </c>
    </row>
    <row r="2472" spans="1:13">
      <c r="A2472" t="s">
        <v>13</v>
      </c>
      <c r="B2472">
        <v>2632544</v>
      </c>
      <c r="C2472">
        <v>2633104</v>
      </c>
      <c r="E2472" t="s">
        <v>14</v>
      </c>
      <c r="F2472" t="s">
        <v>6838</v>
      </c>
      <c r="H2472">
        <v>1020434</v>
      </c>
      <c r="I2472" t="s">
        <v>17</v>
      </c>
      <c r="K2472" t="s">
        <v>6839</v>
      </c>
      <c r="L2472">
        <v>186</v>
      </c>
      <c r="M2472" t="s">
        <v>6840</v>
      </c>
    </row>
    <row r="2473" spans="1:13">
      <c r="A2473" t="s">
        <v>13</v>
      </c>
      <c r="B2473">
        <v>2633144</v>
      </c>
      <c r="C2473">
        <v>2633419</v>
      </c>
      <c r="E2473" t="s">
        <v>38</v>
      </c>
      <c r="F2473" t="s">
        <v>6841</v>
      </c>
      <c r="H2473">
        <v>1020435</v>
      </c>
      <c r="I2473" t="s">
        <v>17</v>
      </c>
      <c r="K2473" t="s">
        <v>6842</v>
      </c>
      <c r="L2473">
        <v>91</v>
      </c>
      <c r="M2473" t="s">
        <v>6843</v>
      </c>
    </row>
    <row r="2474" spans="1:13">
      <c r="A2474" t="s">
        <v>13</v>
      </c>
      <c r="B2474">
        <v>2633592</v>
      </c>
      <c r="C2474">
        <v>2634068</v>
      </c>
      <c r="E2474" t="s">
        <v>14</v>
      </c>
      <c r="F2474" t="s">
        <v>6844</v>
      </c>
      <c r="G2474" t="s">
        <v>6845</v>
      </c>
      <c r="H2474">
        <v>1020436</v>
      </c>
      <c r="I2474" t="s">
        <v>17</v>
      </c>
      <c r="K2474" t="s">
        <v>6846</v>
      </c>
      <c r="L2474">
        <v>158</v>
      </c>
      <c r="M2474" t="s">
        <v>6847</v>
      </c>
    </row>
    <row r="2475" spans="1:13">
      <c r="A2475" t="s">
        <v>13</v>
      </c>
      <c r="B2475">
        <v>2634090</v>
      </c>
      <c r="C2475">
        <v>2634755</v>
      </c>
      <c r="E2475" t="s">
        <v>14</v>
      </c>
      <c r="F2475" t="s">
        <v>1126</v>
      </c>
      <c r="H2475">
        <v>1020437</v>
      </c>
      <c r="I2475" t="s">
        <v>17</v>
      </c>
      <c r="K2475" t="s">
        <v>6848</v>
      </c>
      <c r="L2475">
        <v>221</v>
      </c>
      <c r="M2475" t="s">
        <v>6849</v>
      </c>
    </row>
    <row r="2476" spans="1:13">
      <c r="A2476" t="s">
        <v>13</v>
      </c>
      <c r="B2476">
        <v>2634745</v>
      </c>
      <c r="C2476">
        <v>2635152</v>
      </c>
      <c r="E2476" t="s">
        <v>38</v>
      </c>
      <c r="F2476" t="s">
        <v>6850</v>
      </c>
      <c r="H2476">
        <v>1020438</v>
      </c>
      <c r="I2476" t="s">
        <v>17</v>
      </c>
      <c r="K2476" t="s">
        <v>6851</v>
      </c>
      <c r="L2476">
        <v>135</v>
      </c>
      <c r="M2476" t="s">
        <v>6852</v>
      </c>
    </row>
    <row r="2477" spans="1:13">
      <c r="A2477" t="s">
        <v>13</v>
      </c>
      <c r="B2477">
        <v>2635163</v>
      </c>
      <c r="C2477">
        <v>2636497</v>
      </c>
      <c r="E2477" t="s">
        <v>38</v>
      </c>
      <c r="F2477" t="s">
        <v>3247</v>
      </c>
      <c r="H2477">
        <v>1020439</v>
      </c>
      <c r="I2477" t="s">
        <v>17</v>
      </c>
      <c r="K2477" t="s">
        <v>6853</v>
      </c>
      <c r="L2477">
        <v>444</v>
      </c>
      <c r="M2477" t="s">
        <v>6854</v>
      </c>
    </row>
    <row r="2478" spans="1:13">
      <c r="A2478" t="s">
        <v>13</v>
      </c>
      <c r="B2478">
        <v>2637238</v>
      </c>
      <c r="C2478">
        <v>2637645</v>
      </c>
      <c r="E2478" t="s">
        <v>38</v>
      </c>
      <c r="F2478" t="s">
        <v>49</v>
      </c>
      <c r="H2478">
        <v>1020441</v>
      </c>
      <c r="I2478" t="s">
        <v>17</v>
      </c>
      <c r="K2478" t="s">
        <v>6855</v>
      </c>
      <c r="L2478">
        <v>135</v>
      </c>
      <c r="M2478" t="s">
        <v>6856</v>
      </c>
    </row>
    <row r="2479" spans="1:13">
      <c r="A2479" t="s">
        <v>13</v>
      </c>
      <c r="B2479">
        <v>2638647</v>
      </c>
      <c r="C2479">
        <v>2647637</v>
      </c>
      <c r="E2479" t="s">
        <v>38</v>
      </c>
      <c r="F2479" t="s">
        <v>2422</v>
      </c>
      <c r="H2479">
        <v>1020442</v>
      </c>
      <c r="I2479" t="s">
        <v>17</v>
      </c>
      <c r="K2479" t="s">
        <v>6857</v>
      </c>
      <c r="L2479">
        <v>2996</v>
      </c>
      <c r="M2479" t="s">
        <v>6858</v>
      </c>
    </row>
    <row r="2480" spans="1:13">
      <c r="A2480" t="s">
        <v>13</v>
      </c>
      <c r="B2480">
        <v>2647920</v>
      </c>
      <c r="C2480">
        <v>2648126</v>
      </c>
      <c r="E2480" t="s">
        <v>38</v>
      </c>
      <c r="F2480" t="s">
        <v>49</v>
      </c>
      <c r="H2480">
        <v>44144996</v>
      </c>
      <c r="I2480" t="s">
        <v>17</v>
      </c>
      <c r="K2480" t="s">
        <v>6859</v>
      </c>
      <c r="L2480">
        <v>68</v>
      </c>
      <c r="M2480" t="s">
        <v>6860</v>
      </c>
    </row>
    <row r="2481" spans="1:13">
      <c r="A2481" t="s">
        <v>13</v>
      </c>
      <c r="B2481">
        <v>2648233</v>
      </c>
      <c r="C2481">
        <v>2649417</v>
      </c>
      <c r="E2481" t="s">
        <v>38</v>
      </c>
      <c r="F2481" t="s">
        <v>1402</v>
      </c>
      <c r="H2481">
        <v>1020443</v>
      </c>
      <c r="I2481" t="s">
        <v>17</v>
      </c>
      <c r="K2481" t="s">
        <v>6861</v>
      </c>
      <c r="L2481">
        <v>394</v>
      </c>
      <c r="M2481" t="s">
        <v>6862</v>
      </c>
    </row>
    <row r="2482" spans="1:13">
      <c r="A2482" t="s">
        <v>13</v>
      </c>
      <c r="B2482">
        <v>2649593</v>
      </c>
      <c r="C2482">
        <v>2650168</v>
      </c>
      <c r="E2482" t="s">
        <v>14</v>
      </c>
      <c r="F2482" t="s">
        <v>2482</v>
      </c>
      <c r="H2482">
        <v>1020444</v>
      </c>
      <c r="I2482" t="s">
        <v>17</v>
      </c>
      <c r="K2482" t="s">
        <v>6863</v>
      </c>
      <c r="L2482">
        <v>191</v>
      </c>
      <c r="M2482" t="s">
        <v>6864</v>
      </c>
    </row>
    <row r="2483" spans="1:13">
      <c r="A2483" t="s">
        <v>13</v>
      </c>
      <c r="B2483">
        <v>2650248</v>
      </c>
      <c r="C2483">
        <v>2650329</v>
      </c>
      <c r="E2483" t="s">
        <v>38</v>
      </c>
      <c r="F2483" t="s">
        <v>179</v>
      </c>
      <c r="H2483">
        <v>2745330</v>
      </c>
      <c r="I2483" t="s">
        <v>62</v>
      </c>
      <c r="M2483" t="s">
        <v>6865</v>
      </c>
    </row>
    <row r="2484" spans="1:13">
      <c r="A2484" t="s">
        <v>13</v>
      </c>
      <c r="B2484">
        <v>2650442</v>
      </c>
      <c r="C2484">
        <v>2650906</v>
      </c>
      <c r="E2484" t="s">
        <v>14</v>
      </c>
      <c r="F2484" t="s">
        <v>49</v>
      </c>
      <c r="H2484">
        <v>1020445</v>
      </c>
      <c r="I2484" t="s">
        <v>17</v>
      </c>
      <c r="K2484" t="s">
        <v>6866</v>
      </c>
      <c r="L2484">
        <v>154</v>
      </c>
      <c r="M2484" t="s">
        <v>6867</v>
      </c>
    </row>
    <row r="2485" spans="1:13">
      <c r="A2485" t="s">
        <v>13</v>
      </c>
      <c r="B2485">
        <v>2650987</v>
      </c>
      <c r="C2485">
        <v>2651343</v>
      </c>
      <c r="E2485" t="s">
        <v>14</v>
      </c>
      <c r="F2485" t="s">
        <v>4713</v>
      </c>
      <c r="H2485">
        <v>1020446</v>
      </c>
      <c r="I2485" t="s">
        <v>17</v>
      </c>
      <c r="K2485" t="s">
        <v>6868</v>
      </c>
      <c r="L2485">
        <v>118</v>
      </c>
      <c r="M2485" t="s">
        <v>6869</v>
      </c>
    </row>
    <row r="2486" spans="1:13">
      <c r="A2486" t="s">
        <v>13</v>
      </c>
      <c r="B2486">
        <v>2651418</v>
      </c>
      <c r="C2486">
        <v>2652038</v>
      </c>
      <c r="E2486" t="s">
        <v>38</v>
      </c>
      <c r="F2486" t="s">
        <v>6870</v>
      </c>
      <c r="G2486" t="s">
        <v>6871</v>
      </c>
      <c r="H2486">
        <v>1020447</v>
      </c>
      <c r="I2486" t="s">
        <v>17</v>
      </c>
      <c r="K2486" t="s">
        <v>6872</v>
      </c>
      <c r="L2486">
        <v>206</v>
      </c>
      <c r="M2486" t="s">
        <v>6873</v>
      </c>
    </row>
    <row r="2487" spans="1:13">
      <c r="A2487" t="s">
        <v>13</v>
      </c>
      <c r="B2487">
        <v>2652065</v>
      </c>
      <c r="C2487">
        <v>2652802</v>
      </c>
      <c r="E2487" t="s">
        <v>38</v>
      </c>
      <c r="F2487" t="s">
        <v>6874</v>
      </c>
      <c r="G2487" t="s">
        <v>6875</v>
      </c>
      <c r="H2487">
        <v>1020448</v>
      </c>
      <c r="I2487" t="s">
        <v>17</v>
      </c>
      <c r="K2487" t="s">
        <v>6876</v>
      </c>
      <c r="L2487">
        <v>245</v>
      </c>
      <c r="M2487" t="s">
        <v>6877</v>
      </c>
    </row>
    <row r="2488" spans="1:13">
      <c r="A2488" t="s">
        <v>13</v>
      </c>
      <c r="B2488">
        <v>2653007</v>
      </c>
      <c r="C2488">
        <v>2653219</v>
      </c>
      <c r="E2488" t="s">
        <v>38</v>
      </c>
      <c r="F2488" t="s">
        <v>49</v>
      </c>
      <c r="H2488">
        <v>1020449</v>
      </c>
      <c r="I2488" t="s">
        <v>17</v>
      </c>
      <c r="K2488" t="s">
        <v>6878</v>
      </c>
      <c r="L2488">
        <v>70</v>
      </c>
      <c r="M2488" t="s">
        <v>6879</v>
      </c>
    </row>
    <row r="2489" spans="1:13">
      <c r="A2489" t="s">
        <v>13</v>
      </c>
      <c r="B2489">
        <v>2653324</v>
      </c>
      <c r="C2489">
        <v>2654013</v>
      </c>
      <c r="E2489" t="s">
        <v>38</v>
      </c>
      <c r="F2489" t="s">
        <v>49</v>
      </c>
      <c r="H2489">
        <v>1020450</v>
      </c>
      <c r="I2489" t="s">
        <v>17</v>
      </c>
      <c r="K2489" t="s">
        <v>6880</v>
      </c>
      <c r="L2489">
        <v>229</v>
      </c>
      <c r="M2489" t="s">
        <v>6881</v>
      </c>
    </row>
    <row r="2490" spans="1:13">
      <c r="A2490" t="s">
        <v>13</v>
      </c>
      <c r="B2490">
        <v>2654048</v>
      </c>
      <c r="C2490">
        <v>2654763</v>
      </c>
      <c r="E2490" t="s">
        <v>38</v>
      </c>
      <c r="F2490" t="s">
        <v>141</v>
      </c>
      <c r="H2490">
        <v>1020451</v>
      </c>
      <c r="I2490" t="s">
        <v>142</v>
      </c>
      <c r="M2490" t="s">
        <v>6882</v>
      </c>
    </row>
    <row r="2491" spans="1:13">
      <c r="A2491" t="s">
        <v>13</v>
      </c>
      <c r="B2491">
        <v>2654873</v>
      </c>
      <c r="C2491">
        <v>2656198</v>
      </c>
      <c r="E2491" t="s">
        <v>38</v>
      </c>
      <c r="F2491" t="s">
        <v>6883</v>
      </c>
      <c r="H2491">
        <v>1020452</v>
      </c>
      <c r="I2491" t="s">
        <v>17</v>
      </c>
      <c r="K2491" t="s">
        <v>6884</v>
      </c>
      <c r="L2491">
        <v>441</v>
      </c>
      <c r="M2491" t="s">
        <v>6885</v>
      </c>
    </row>
    <row r="2492" spans="1:13">
      <c r="A2492" t="s">
        <v>13</v>
      </c>
      <c r="B2492">
        <v>2656331</v>
      </c>
      <c r="C2492">
        <v>2657049</v>
      </c>
      <c r="E2492" t="s">
        <v>14</v>
      </c>
      <c r="F2492" t="s">
        <v>141</v>
      </c>
      <c r="H2492">
        <v>1020453</v>
      </c>
      <c r="I2492" t="s">
        <v>142</v>
      </c>
      <c r="M2492" t="s">
        <v>6886</v>
      </c>
    </row>
    <row r="2493" spans="1:13">
      <c r="A2493" t="s">
        <v>13</v>
      </c>
      <c r="B2493">
        <v>2657734</v>
      </c>
      <c r="C2493">
        <v>2658501</v>
      </c>
      <c r="E2493" t="s">
        <v>38</v>
      </c>
      <c r="F2493" t="s">
        <v>6887</v>
      </c>
      <c r="G2493" t="s">
        <v>6888</v>
      </c>
      <c r="H2493">
        <v>1020456</v>
      </c>
      <c r="I2493" t="s">
        <v>17</v>
      </c>
      <c r="K2493" t="s">
        <v>6889</v>
      </c>
      <c r="L2493">
        <v>255</v>
      </c>
      <c r="M2493" t="s">
        <v>6890</v>
      </c>
    </row>
    <row r="2494" spans="1:13">
      <c r="A2494" t="s">
        <v>13</v>
      </c>
      <c r="B2494">
        <v>2658604</v>
      </c>
      <c r="C2494">
        <v>2659458</v>
      </c>
      <c r="E2494" t="s">
        <v>38</v>
      </c>
      <c r="F2494" t="s">
        <v>6891</v>
      </c>
      <c r="G2494" t="s">
        <v>6892</v>
      </c>
      <c r="H2494">
        <v>1020457</v>
      </c>
      <c r="I2494" t="s">
        <v>17</v>
      </c>
      <c r="K2494" t="s">
        <v>6893</v>
      </c>
      <c r="L2494">
        <v>284</v>
      </c>
      <c r="M2494" t="s">
        <v>6894</v>
      </c>
    </row>
    <row r="2495" spans="1:13">
      <c r="A2495" t="s">
        <v>13</v>
      </c>
      <c r="B2495">
        <v>2659515</v>
      </c>
      <c r="C2495">
        <v>2660135</v>
      </c>
      <c r="E2495" t="s">
        <v>14</v>
      </c>
      <c r="F2495" t="s">
        <v>6895</v>
      </c>
      <c r="H2495">
        <v>1020458</v>
      </c>
      <c r="I2495" t="s">
        <v>17</v>
      </c>
      <c r="K2495" t="s">
        <v>6896</v>
      </c>
      <c r="L2495">
        <v>206</v>
      </c>
      <c r="M2495" t="s">
        <v>6897</v>
      </c>
    </row>
    <row r="2496" spans="1:13">
      <c r="A2496" t="s">
        <v>13</v>
      </c>
      <c r="B2496">
        <v>2660145</v>
      </c>
      <c r="C2496">
        <v>2660639</v>
      </c>
      <c r="E2496" t="s">
        <v>38</v>
      </c>
      <c r="F2496" t="s">
        <v>285</v>
      </c>
      <c r="H2496">
        <v>1020459</v>
      </c>
      <c r="I2496" t="s">
        <v>17</v>
      </c>
      <c r="K2496" t="s">
        <v>6898</v>
      </c>
      <c r="L2496">
        <v>164</v>
      </c>
      <c r="M2496" t="s">
        <v>6899</v>
      </c>
    </row>
    <row r="2497" spans="1:13">
      <c r="A2497" t="s">
        <v>13</v>
      </c>
      <c r="B2497">
        <v>2660669</v>
      </c>
      <c r="C2497">
        <v>2661418</v>
      </c>
      <c r="E2497" t="s">
        <v>38</v>
      </c>
      <c r="F2497" t="s">
        <v>135</v>
      </c>
      <c r="H2497">
        <v>1020461</v>
      </c>
      <c r="I2497" t="s">
        <v>17</v>
      </c>
      <c r="K2497" t="s">
        <v>6900</v>
      </c>
      <c r="L2497">
        <v>249</v>
      </c>
      <c r="M2497" t="s">
        <v>6901</v>
      </c>
    </row>
    <row r="2498" spans="1:13">
      <c r="A2498" t="s">
        <v>13</v>
      </c>
      <c r="B2498">
        <v>2661415</v>
      </c>
      <c r="C2498">
        <v>2662329</v>
      </c>
      <c r="E2498" t="s">
        <v>38</v>
      </c>
      <c r="F2498" t="s">
        <v>6902</v>
      </c>
      <c r="H2498">
        <v>1020462</v>
      </c>
      <c r="I2498" t="s">
        <v>17</v>
      </c>
      <c r="K2498" t="s">
        <v>6903</v>
      </c>
      <c r="L2498">
        <v>304</v>
      </c>
      <c r="M2498" t="s">
        <v>6904</v>
      </c>
    </row>
    <row r="2499" spans="1:13">
      <c r="A2499" t="s">
        <v>13</v>
      </c>
      <c r="B2499">
        <v>2662329</v>
      </c>
      <c r="C2499">
        <v>2662868</v>
      </c>
      <c r="E2499" t="s">
        <v>38</v>
      </c>
      <c r="F2499" t="s">
        <v>6905</v>
      </c>
      <c r="H2499">
        <v>1020463</v>
      </c>
      <c r="I2499" t="s">
        <v>17</v>
      </c>
      <c r="K2499" t="s">
        <v>6906</v>
      </c>
      <c r="L2499">
        <v>179</v>
      </c>
      <c r="M2499" t="s">
        <v>6907</v>
      </c>
    </row>
    <row r="2500" spans="1:13">
      <c r="A2500" t="s">
        <v>13</v>
      </c>
      <c r="B2500">
        <v>2662881</v>
      </c>
      <c r="C2500">
        <v>2663183</v>
      </c>
      <c r="E2500" t="s">
        <v>38</v>
      </c>
      <c r="F2500" t="s">
        <v>6908</v>
      </c>
      <c r="G2500" t="s">
        <v>6909</v>
      </c>
      <c r="H2500">
        <v>1020464</v>
      </c>
      <c r="I2500" t="s">
        <v>17</v>
      </c>
      <c r="K2500" t="s">
        <v>6910</v>
      </c>
      <c r="L2500">
        <v>100</v>
      </c>
      <c r="M2500" t="s">
        <v>6911</v>
      </c>
    </row>
    <row r="2501" spans="1:13">
      <c r="A2501" t="s">
        <v>13</v>
      </c>
      <c r="B2501">
        <v>2663513</v>
      </c>
      <c r="C2501">
        <v>2664064</v>
      </c>
      <c r="E2501" t="s">
        <v>14</v>
      </c>
      <c r="F2501" t="s">
        <v>2003</v>
      </c>
      <c r="H2501">
        <v>1020465</v>
      </c>
      <c r="I2501" t="s">
        <v>17</v>
      </c>
      <c r="K2501" t="s">
        <v>6912</v>
      </c>
      <c r="L2501">
        <v>183</v>
      </c>
      <c r="M2501" t="s">
        <v>6913</v>
      </c>
    </row>
    <row r="2502" spans="1:13">
      <c r="A2502" t="s">
        <v>13</v>
      </c>
      <c r="B2502">
        <v>2664061</v>
      </c>
      <c r="C2502">
        <v>2665401</v>
      </c>
      <c r="E2502" t="s">
        <v>14</v>
      </c>
      <c r="F2502" t="s">
        <v>6914</v>
      </c>
      <c r="H2502">
        <v>1020466</v>
      </c>
      <c r="I2502" t="s">
        <v>17</v>
      </c>
      <c r="K2502" t="s">
        <v>6915</v>
      </c>
      <c r="L2502">
        <v>446</v>
      </c>
      <c r="M2502" t="s">
        <v>6916</v>
      </c>
    </row>
    <row r="2503" spans="1:13">
      <c r="A2503" t="s">
        <v>13</v>
      </c>
      <c r="B2503">
        <v>2665861</v>
      </c>
      <c r="C2503">
        <v>2667858</v>
      </c>
      <c r="E2503" t="s">
        <v>14</v>
      </c>
      <c r="F2503" t="s">
        <v>6917</v>
      </c>
      <c r="H2503">
        <v>1020468</v>
      </c>
      <c r="I2503" t="s">
        <v>17</v>
      </c>
      <c r="K2503" t="s">
        <v>6918</v>
      </c>
      <c r="L2503">
        <v>665</v>
      </c>
      <c r="M2503" t="s">
        <v>6919</v>
      </c>
    </row>
    <row r="2504" spans="1:13">
      <c r="A2504" t="s">
        <v>13</v>
      </c>
      <c r="B2504">
        <v>2667868</v>
      </c>
      <c r="C2504">
        <v>2668761</v>
      </c>
      <c r="E2504" t="s">
        <v>38</v>
      </c>
      <c r="F2504" t="s">
        <v>49</v>
      </c>
      <c r="H2504">
        <v>1020469</v>
      </c>
      <c r="I2504" t="s">
        <v>17</v>
      </c>
      <c r="K2504" t="s">
        <v>6920</v>
      </c>
      <c r="L2504">
        <v>297</v>
      </c>
      <c r="M2504" t="s">
        <v>6921</v>
      </c>
    </row>
    <row r="2505" spans="1:13">
      <c r="A2505" t="s">
        <v>13</v>
      </c>
      <c r="B2505">
        <v>2668837</v>
      </c>
      <c r="C2505">
        <v>2669562</v>
      </c>
      <c r="E2505" t="s">
        <v>38</v>
      </c>
      <c r="F2505" t="s">
        <v>2702</v>
      </c>
      <c r="H2505">
        <v>1020470</v>
      </c>
      <c r="I2505" t="s">
        <v>17</v>
      </c>
      <c r="K2505" t="s">
        <v>6922</v>
      </c>
      <c r="L2505">
        <v>241</v>
      </c>
      <c r="M2505" t="s">
        <v>6923</v>
      </c>
    </row>
    <row r="2506" spans="1:13">
      <c r="A2506" t="s">
        <v>13</v>
      </c>
      <c r="B2506">
        <v>2669555</v>
      </c>
      <c r="C2506">
        <v>2670856</v>
      </c>
      <c r="E2506" t="s">
        <v>38</v>
      </c>
      <c r="F2506" t="s">
        <v>6924</v>
      </c>
      <c r="G2506" t="s">
        <v>6925</v>
      </c>
      <c r="H2506">
        <v>1020471</v>
      </c>
      <c r="I2506" t="s">
        <v>17</v>
      </c>
      <c r="K2506" t="s">
        <v>6926</v>
      </c>
      <c r="L2506">
        <v>433</v>
      </c>
      <c r="M2506" t="s">
        <v>6927</v>
      </c>
    </row>
    <row r="2507" spans="1:13">
      <c r="A2507" t="s">
        <v>13</v>
      </c>
      <c r="B2507">
        <v>2671061</v>
      </c>
      <c r="C2507">
        <v>2672815</v>
      </c>
      <c r="E2507" t="s">
        <v>38</v>
      </c>
      <c r="F2507" t="s">
        <v>6928</v>
      </c>
      <c r="G2507" t="s">
        <v>6929</v>
      </c>
      <c r="H2507">
        <v>1020472</v>
      </c>
      <c r="I2507" t="s">
        <v>17</v>
      </c>
      <c r="K2507" t="s">
        <v>6930</v>
      </c>
      <c r="L2507">
        <v>584</v>
      </c>
      <c r="M2507" t="s">
        <v>6931</v>
      </c>
    </row>
    <row r="2508" spans="1:13">
      <c r="A2508" t="s">
        <v>13</v>
      </c>
      <c r="B2508">
        <v>2673336</v>
      </c>
      <c r="C2508">
        <v>2674340</v>
      </c>
      <c r="E2508" t="s">
        <v>38</v>
      </c>
      <c r="F2508" t="s">
        <v>6932</v>
      </c>
      <c r="G2508" t="s">
        <v>6933</v>
      </c>
      <c r="H2508">
        <v>1020473</v>
      </c>
      <c r="I2508" t="s">
        <v>17</v>
      </c>
      <c r="K2508" t="s">
        <v>6934</v>
      </c>
      <c r="L2508">
        <v>334</v>
      </c>
      <c r="M2508" t="s">
        <v>6935</v>
      </c>
    </row>
    <row r="2509" spans="1:13">
      <c r="A2509" t="s">
        <v>13</v>
      </c>
      <c r="B2509">
        <v>2674805</v>
      </c>
      <c r="C2509">
        <v>2675293</v>
      </c>
      <c r="E2509" t="s">
        <v>14</v>
      </c>
      <c r="F2509" t="s">
        <v>6936</v>
      </c>
      <c r="H2509">
        <v>1020474</v>
      </c>
      <c r="I2509" t="s">
        <v>17</v>
      </c>
      <c r="K2509" t="s">
        <v>6937</v>
      </c>
      <c r="L2509">
        <v>162</v>
      </c>
      <c r="M2509" t="s">
        <v>6938</v>
      </c>
    </row>
    <row r="2510" spans="1:13">
      <c r="A2510" t="s">
        <v>13</v>
      </c>
      <c r="B2510">
        <v>2675516</v>
      </c>
      <c r="C2510">
        <v>2676244</v>
      </c>
      <c r="E2510" t="s">
        <v>14</v>
      </c>
      <c r="F2510" t="s">
        <v>4846</v>
      </c>
      <c r="H2510">
        <v>1020475</v>
      </c>
      <c r="I2510" t="s">
        <v>17</v>
      </c>
      <c r="K2510" t="s">
        <v>6939</v>
      </c>
      <c r="L2510">
        <v>242</v>
      </c>
      <c r="M2510" t="s">
        <v>6940</v>
      </c>
    </row>
    <row r="2511" spans="1:13">
      <c r="A2511" t="s">
        <v>13</v>
      </c>
      <c r="B2511">
        <v>2676241</v>
      </c>
      <c r="C2511">
        <v>2676903</v>
      </c>
      <c r="E2511" t="s">
        <v>38</v>
      </c>
      <c r="F2511" t="s">
        <v>1873</v>
      </c>
      <c r="H2511">
        <v>1020476</v>
      </c>
      <c r="I2511" t="s">
        <v>17</v>
      </c>
      <c r="K2511" t="s">
        <v>6941</v>
      </c>
      <c r="L2511">
        <v>220</v>
      </c>
      <c r="M2511" t="s">
        <v>6942</v>
      </c>
    </row>
    <row r="2512" spans="1:13">
      <c r="A2512" t="s">
        <v>13</v>
      </c>
      <c r="B2512">
        <v>2676964</v>
      </c>
      <c r="C2512">
        <v>2677194</v>
      </c>
      <c r="E2512" t="s">
        <v>38</v>
      </c>
      <c r="F2512" t="s">
        <v>141</v>
      </c>
      <c r="H2512">
        <v>1020477</v>
      </c>
      <c r="I2512" t="s">
        <v>142</v>
      </c>
      <c r="M2512" t="s">
        <v>6943</v>
      </c>
    </row>
    <row r="2513" spans="1:13">
      <c r="A2513" t="s">
        <v>13</v>
      </c>
      <c r="B2513">
        <v>2677476</v>
      </c>
      <c r="C2513">
        <v>2679581</v>
      </c>
      <c r="E2513" t="s">
        <v>38</v>
      </c>
      <c r="F2513" t="s">
        <v>6944</v>
      </c>
      <c r="G2513" t="s">
        <v>6945</v>
      </c>
      <c r="H2513">
        <v>1020478</v>
      </c>
      <c r="I2513" t="s">
        <v>17</v>
      </c>
      <c r="K2513" t="s">
        <v>6946</v>
      </c>
      <c r="L2513">
        <v>701</v>
      </c>
      <c r="M2513" t="s">
        <v>6947</v>
      </c>
    </row>
    <row r="2514" spans="1:13">
      <c r="A2514" t="s">
        <v>13</v>
      </c>
      <c r="B2514">
        <v>2679682</v>
      </c>
      <c r="C2514">
        <v>2680128</v>
      </c>
      <c r="E2514" t="s">
        <v>38</v>
      </c>
      <c r="F2514" t="s">
        <v>6948</v>
      </c>
      <c r="G2514" t="s">
        <v>6949</v>
      </c>
      <c r="H2514">
        <v>1020479</v>
      </c>
      <c r="I2514" t="s">
        <v>17</v>
      </c>
      <c r="K2514" t="s">
        <v>6950</v>
      </c>
      <c r="L2514">
        <v>148</v>
      </c>
      <c r="M2514" t="s">
        <v>6951</v>
      </c>
    </row>
    <row r="2515" spans="1:13">
      <c r="A2515" t="s">
        <v>13</v>
      </c>
      <c r="B2515">
        <v>2680417</v>
      </c>
      <c r="C2515">
        <v>2680650</v>
      </c>
      <c r="E2515" t="s">
        <v>38</v>
      </c>
      <c r="F2515" t="s">
        <v>6952</v>
      </c>
      <c r="G2515" t="s">
        <v>6953</v>
      </c>
      <c r="H2515">
        <v>1020480</v>
      </c>
      <c r="I2515" t="s">
        <v>17</v>
      </c>
      <c r="K2515" t="s">
        <v>6954</v>
      </c>
      <c r="L2515">
        <v>77</v>
      </c>
      <c r="M2515" t="s">
        <v>6955</v>
      </c>
    </row>
    <row r="2516" spans="1:13">
      <c r="A2516" t="s">
        <v>13</v>
      </c>
      <c r="B2516">
        <v>2681221</v>
      </c>
      <c r="C2516">
        <v>2681343</v>
      </c>
      <c r="E2516" t="s">
        <v>38</v>
      </c>
      <c r="F2516" t="s">
        <v>6956</v>
      </c>
      <c r="G2516" t="s">
        <v>6957</v>
      </c>
      <c r="H2516">
        <v>18194970</v>
      </c>
      <c r="I2516" t="s">
        <v>17</v>
      </c>
      <c r="K2516" t="s">
        <v>6958</v>
      </c>
      <c r="L2516">
        <v>40</v>
      </c>
      <c r="M2516" t="s">
        <v>6959</v>
      </c>
    </row>
    <row r="2517" spans="1:13">
      <c r="A2517" t="s">
        <v>13</v>
      </c>
      <c r="B2517">
        <v>2681547</v>
      </c>
      <c r="C2517">
        <v>2682380</v>
      </c>
      <c r="E2517" t="s">
        <v>14</v>
      </c>
      <c r="F2517" t="s">
        <v>6960</v>
      </c>
      <c r="G2517" t="s">
        <v>6961</v>
      </c>
      <c r="H2517">
        <v>1020481</v>
      </c>
      <c r="I2517" t="s">
        <v>17</v>
      </c>
      <c r="K2517" t="s">
        <v>6962</v>
      </c>
      <c r="L2517">
        <v>277</v>
      </c>
      <c r="M2517" t="s">
        <v>6963</v>
      </c>
    </row>
    <row r="2518" spans="1:13">
      <c r="A2518" t="s">
        <v>13</v>
      </c>
      <c r="B2518">
        <v>2682377</v>
      </c>
      <c r="C2518">
        <v>2683126</v>
      </c>
      <c r="E2518" t="s">
        <v>38</v>
      </c>
      <c r="F2518" t="s">
        <v>6964</v>
      </c>
      <c r="H2518">
        <v>1020482</v>
      </c>
      <c r="I2518" t="s">
        <v>17</v>
      </c>
      <c r="K2518" t="s">
        <v>6965</v>
      </c>
      <c r="L2518">
        <v>249</v>
      </c>
      <c r="M2518" t="s">
        <v>6966</v>
      </c>
    </row>
    <row r="2519" spans="1:13">
      <c r="A2519" t="s">
        <v>13</v>
      </c>
      <c r="B2519">
        <v>2683129</v>
      </c>
      <c r="C2519">
        <v>2683542</v>
      </c>
      <c r="E2519" t="s">
        <v>38</v>
      </c>
      <c r="F2519" t="s">
        <v>6967</v>
      </c>
      <c r="H2519">
        <v>1020483</v>
      </c>
      <c r="I2519" t="s">
        <v>17</v>
      </c>
      <c r="K2519" t="s">
        <v>6968</v>
      </c>
      <c r="L2519">
        <v>137</v>
      </c>
      <c r="M2519" t="s">
        <v>6969</v>
      </c>
    </row>
    <row r="2520" spans="1:13">
      <c r="A2520" t="s">
        <v>13</v>
      </c>
      <c r="B2520">
        <v>2683625</v>
      </c>
      <c r="C2520">
        <v>2684647</v>
      </c>
      <c r="E2520" t="s">
        <v>38</v>
      </c>
      <c r="F2520" t="s">
        <v>6970</v>
      </c>
      <c r="H2520">
        <v>1020484</v>
      </c>
      <c r="I2520" t="s">
        <v>17</v>
      </c>
      <c r="K2520" t="s">
        <v>6971</v>
      </c>
      <c r="L2520">
        <v>340</v>
      </c>
      <c r="M2520" t="s">
        <v>6972</v>
      </c>
    </row>
    <row r="2521" spans="1:13">
      <c r="A2521" t="s">
        <v>13</v>
      </c>
      <c r="B2521">
        <v>2684920</v>
      </c>
      <c r="C2521">
        <v>2686293</v>
      </c>
      <c r="E2521" t="s">
        <v>14</v>
      </c>
      <c r="F2521" t="s">
        <v>6973</v>
      </c>
      <c r="H2521">
        <v>1020485</v>
      </c>
      <c r="I2521" t="s">
        <v>17</v>
      </c>
      <c r="K2521" t="s">
        <v>6974</v>
      </c>
      <c r="L2521">
        <v>457</v>
      </c>
      <c r="M2521" t="s">
        <v>6975</v>
      </c>
    </row>
    <row r="2522" spans="1:13">
      <c r="A2522" t="s">
        <v>13</v>
      </c>
      <c r="B2522">
        <v>2686316</v>
      </c>
      <c r="C2522">
        <v>2687152</v>
      </c>
      <c r="E2522" t="s">
        <v>14</v>
      </c>
      <c r="F2522" t="s">
        <v>6976</v>
      </c>
      <c r="H2522">
        <v>1020486</v>
      </c>
      <c r="I2522" t="s">
        <v>17</v>
      </c>
      <c r="K2522" t="s">
        <v>6977</v>
      </c>
      <c r="L2522">
        <v>278</v>
      </c>
      <c r="M2522" t="s">
        <v>6978</v>
      </c>
    </row>
    <row r="2523" spans="1:13">
      <c r="A2523" t="s">
        <v>13</v>
      </c>
      <c r="B2523">
        <v>2687229</v>
      </c>
      <c r="C2523">
        <v>2687301</v>
      </c>
      <c r="E2523" t="s">
        <v>38</v>
      </c>
      <c r="F2523" t="s">
        <v>64</v>
      </c>
      <c r="H2523">
        <v>2745309</v>
      </c>
      <c r="I2523" t="s">
        <v>62</v>
      </c>
      <c r="M2523" t="s">
        <v>6979</v>
      </c>
    </row>
    <row r="2524" spans="1:13">
      <c r="A2524" t="s">
        <v>13</v>
      </c>
      <c r="B2524">
        <v>2687447</v>
      </c>
      <c r="C2524">
        <v>2688172</v>
      </c>
      <c r="E2524" t="s">
        <v>38</v>
      </c>
      <c r="F2524" t="s">
        <v>78</v>
      </c>
      <c r="H2524">
        <v>1020487</v>
      </c>
      <c r="I2524" t="s">
        <v>17</v>
      </c>
      <c r="K2524" t="s">
        <v>6980</v>
      </c>
      <c r="L2524">
        <v>241</v>
      </c>
      <c r="M2524" t="s">
        <v>6981</v>
      </c>
    </row>
    <row r="2525" spans="1:13">
      <c r="A2525" t="s">
        <v>13</v>
      </c>
      <c r="B2525">
        <v>2688387</v>
      </c>
      <c r="C2525">
        <v>2690051</v>
      </c>
      <c r="E2525" t="s">
        <v>38</v>
      </c>
      <c r="F2525" t="s">
        <v>6982</v>
      </c>
      <c r="G2525" t="s">
        <v>6983</v>
      </c>
      <c r="H2525">
        <v>1020488</v>
      </c>
      <c r="I2525" t="s">
        <v>17</v>
      </c>
      <c r="K2525" t="s">
        <v>6984</v>
      </c>
      <c r="L2525">
        <v>554</v>
      </c>
      <c r="M2525" t="s">
        <v>6985</v>
      </c>
    </row>
    <row r="2526" spans="1:13">
      <c r="A2526" t="s">
        <v>13</v>
      </c>
      <c r="B2526">
        <v>2690151</v>
      </c>
      <c r="C2526">
        <v>2690441</v>
      </c>
      <c r="E2526" t="s">
        <v>14</v>
      </c>
      <c r="F2526" t="s">
        <v>6986</v>
      </c>
      <c r="H2526">
        <v>1020489</v>
      </c>
      <c r="I2526" t="s">
        <v>17</v>
      </c>
      <c r="K2526" t="s">
        <v>6987</v>
      </c>
      <c r="L2526">
        <v>96</v>
      </c>
      <c r="M2526" t="s">
        <v>6988</v>
      </c>
    </row>
    <row r="2527" spans="1:13">
      <c r="A2527" t="s">
        <v>13</v>
      </c>
      <c r="B2527">
        <v>2690438</v>
      </c>
      <c r="C2527">
        <v>2690764</v>
      </c>
      <c r="E2527" t="s">
        <v>14</v>
      </c>
      <c r="F2527" t="s">
        <v>6989</v>
      </c>
      <c r="H2527">
        <v>1020490</v>
      </c>
      <c r="I2527" t="s">
        <v>17</v>
      </c>
      <c r="K2527" t="s">
        <v>6990</v>
      </c>
      <c r="L2527">
        <v>108</v>
      </c>
      <c r="M2527" t="s">
        <v>6991</v>
      </c>
    </row>
    <row r="2528" spans="1:13">
      <c r="A2528" t="s">
        <v>13</v>
      </c>
      <c r="B2528">
        <v>2690774</v>
      </c>
      <c r="C2528">
        <v>2691568</v>
      </c>
      <c r="E2528" t="s">
        <v>14</v>
      </c>
      <c r="F2528" t="s">
        <v>6992</v>
      </c>
      <c r="H2528">
        <v>1020491</v>
      </c>
      <c r="I2528" t="s">
        <v>17</v>
      </c>
      <c r="K2528" t="s">
        <v>6993</v>
      </c>
      <c r="L2528">
        <v>264</v>
      </c>
      <c r="M2528" t="s">
        <v>6994</v>
      </c>
    </row>
    <row r="2529" spans="1:13">
      <c r="A2529" t="s">
        <v>13</v>
      </c>
      <c r="B2529">
        <v>2691690</v>
      </c>
      <c r="C2529">
        <v>2693057</v>
      </c>
      <c r="E2529" t="s">
        <v>14</v>
      </c>
      <c r="F2529" t="s">
        <v>6995</v>
      </c>
      <c r="H2529">
        <v>1020492</v>
      </c>
      <c r="I2529" t="s">
        <v>17</v>
      </c>
      <c r="K2529" t="s">
        <v>6996</v>
      </c>
      <c r="L2529">
        <v>455</v>
      </c>
      <c r="M2529" t="s">
        <v>6997</v>
      </c>
    </row>
    <row r="2530" spans="1:13">
      <c r="A2530" t="s">
        <v>13</v>
      </c>
      <c r="B2530">
        <v>2693300</v>
      </c>
      <c r="C2530">
        <v>2694922</v>
      </c>
      <c r="E2530" t="s">
        <v>14</v>
      </c>
      <c r="F2530" t="s">
        <v>2295</v>
      </c>
      <c r="H2530">
        <v>1020493</v>
      </c>
      <c r="I2530" t="s">
        <v>17</v>
      </c>
      <c r="K2530" t="s">
        <v>6998</v>
      </c>
      <c r="L2530">
        <v>540</v>
      </c>
      <c r="M2530" t="s">
        <v>6999</v>
      </c>
    </row>
    <row r="2531" spans="1:13">
      <c r="A2531" t="s">
        <v>13</v>
      </c>
      <c r="B2531">
        <v>2695318</v>
      </c>
      <c r="C2531">
        <v>2695692</v>
      </c>
      <c r="E2531" t="s">
        <v>38</v>
      </c>
      <c r="F2531" t="s">
        <v>141</v>
      </c>
      <c r="H2531">
        <v>1020495</v>
      </c>
      <c r="I2531" t="s">
        <v>142</v>
      </c>
      <c r="M2531" t="s">
        <v>7000</v>
      </c>
    </row>
    <row r="2532" spans="1:13">
      <c r="A2532" t="s">
        <v>13</v>
      </c>
      <c r="B2532">
        <v>2695813</v>
      </c>
      <c r="C2532">
        <v>2697216</v>
      </c>
      <c r="E2532" t="s">
        <v>14</v>
      </c>
      <c r="F2532" t="s">
        <v>4450</v>
      </c>
      <c r="H2532">
        <v>1020496</v>
      </c>
      <c r="I2532" t="s">
        <v>17</v>
      </c>
      <c r="K2532" t="s">
        <v>4451</v>
      </c>
      <c r="L2532">
        <v>467</v>
      </c>
      <c r="M2532" t="s">
        <v>7001</v>
      </c>
    </row>
    <row r="2533" spans="1:13">
      <c r="A2533" t="s">
        <v>13</v>
      </c>
      <c r="B2533">
        <v>2697381</v>
      </c>
      <c r="C2533">
        <v>2698097</v>
      </c>
      <c r="E2533" t="s">
        <v>38</v>
      </c>
      <c r="F2533" t="s">
        <v>7002</v>
      </c>
      <c r="H2533">
        <v>1020497</v>
      </c>
      <c r="I2533" t="s">
        <v>17</v>
      </c>
      <c r="K2533" t="s">
        <v>7003</v>
      </c>
      <c r="L2533">
        <v>238</v>
      </c>
      <c r="M2533" t="s">
        <v>7004</v>
      </c>
    </row>
    <row r="2534" spans="1:13">
      <c r="A2534" t="s">
        <v>13</v>
      </c>
      <c r="B2534">
        <v>2698192</v>
      </c>
      <c r="C2534">
        <v>2699580</v>
      </c>
      <c r="E2534" t="s">
        <v>38</v>
      </c>
      <c r="F2534" t="s">
        <v>7005</v>
      </c>
      <c r="H2534">
        <v>1020498</v>
      </c>
      <c r="I2534" t="s">
        <v>17</v>
      </c>
      <c r="K2534" t="s">
        <v>7006</v>
      </c>
      <c r="L2534">
        <v>462</v>
      </c>
      <c r="M2534" t="s">
        <v>7007</v>
      </c>
    </row>
    <row r="2535" spans="1:13">
      <c r="A2535" t="s">
        <v>13</v>
      </c>
      <c r="B2535">
        <v>2699924</v>
      </c>
      <c r="C2535">
        <v>2702485</v>
      </c>
      <c r="E2535" t="s">
        <v>38</v>
      </c>
      <c r="F2535" t="s">
        <v>124</v>
      </c>
      <c r="H2535">
        <v>1020499</v>
      </c>
      <c r="I2535" t="s">
        <v>17</v>
      </c>
      <c r="K2535" t="s">
        <v>7008</v>
      </c>
      <c r="L2535">
        <v>853</v>
      </c>
      <c r="M2535" t="s">
        <v>7009</v>
      </c>
    </row>
    <row r="2536" spans="1:13">
      <c r="A2536" t="s">
        <v>13</v>
      </c>
      <c r="B2536">
        <v>2702485</v>
      </c>
      <c r="C2536">
        <v>2703339</v>
      </c>
      <c r="E2536" t="s">
        <v>38</v>
      </c>
      <c r="F2536" t="s">
        <v>147</v>
      </c>
      <c r="H2536">
        <v>1020500</v>
      </c>
      <c r="I2536" t="s">
        <v>17</v>
      </c>
      <c r="K2536" t="s">
        <v>7010</v>
      </c>
      <c r="L2536">
        <v>284</v>
      </c>
      <c r="M2536" t="s">
        <v>7011</v>
      </c>
    </row>
    <row r="2537" spans="1:13">
      <c r="A2537" t="s">
        <v>13</v>
      </c>
      <c r="B2537">
        <v>2703712</v>
      </c>
      <c r="C2537">
        <v>2703828</v>
      </c>
      <c r="E2537" t="s">
        <v>38</v>
      </c>
      <c r="F2537" t="s">
        <v>262</v>
      </c>
      <c r="G2537" t="s">
        <v>263</v>
      </c>
      <c r="H2537">
        <v>2745311</v>
      </c>
      <c r="I2537" t="s">
        <v>258</v>
      </c>
      <c r="M2537" t="s">
        <v>7012</v>
      </c>
    </row>
    <row r="2538" spans="1:13">
      <c r="A2538" t="s">
        <v>13</v>
      </c>
      <c r="B2538">
        <v>2703948</v>
      </c>
      <c r="C2538">
        <v>2707035</v>
      </c>
      <c r="E2538" t="s">
        <v>38</v>
      </c>
      <c r="F2538" t="s">
        <v>260</v>
      </c>
      <c r="H2538">
        <v>2745339</v>
      </c>
      <c r="I2538" t="s">
        <v>258</v>
      </c>
      <c r="M2538" t="s">
        <v>7013</v>
      </c>
    </row>
    <row r="2539" spans="1:13">
      <c r="A2539" t="s">
        <v>13</v>
      </c>
      <c r="B2539">
        <v>2707427</v>
      </c>
      <c r="C2539">
        <v>2708950</v>
      </c>
      <c r="E2539" t="s">
        <v>38</v>
      </c>
      <c r="F2539" t="s">
        <v>257</v>
      </c>
      <c r="H2539">
        <v>2745317</v>
      </c>
      <c r="I2539" t="s">
        <v>258</v>
      </c>
      <c r="M2539" t="s">
        <v>7014</v>
      </c>
    </row>
    <row r="2540" spans="1:13">
      <c r="A2540" t="s">
        <v>13</v>
      </c>
      <c r="B2540">
        <v>2709879</v>
      </c>
      <c r="C2540">
        <v>2710559</v>
      </c>
      <c r="E2540" t="s">
        <v>14</v>
      </c>
      <c r="F2540" t="s">
        <v>514</v>
      </c>
      <c r="H2540">
        <v>1020501</v>
      </c>
      <c r="I2540" t="s">
        <v>17</v>
      </c>
      <c r="K2540" t="s">
        <v>7015</v>
      </c>
      <c r="L2540">
        <v>226</v>
      </c>
      <c r="M2540" t="s">
        <v>7016</v>
      </c>
    </row>
    <row r="2541" spans="1:13">
      <c r="A2541" t="s">
        <v>13</v>
      </c>
      <c r="B2541">
        <v>2710629</v>
      </c>
      <c r="C2541">
        <v>2711300</v>
      </c>
      <c r="E2541" t="s">
        <v>14</v>
      </c>
      <c r="F2541" t="s">
        <v>141</v>
      </c>
      <c r="H2541">
        <v>1020502</v>
      </c>
      <c r="I2541" t="s">
        <v>142</v>
      </c>
      <c r="M2541" t="s">
        <v>7017</v>
      </c>
    </row>
    <row r="2542" spans="1:13">
      <c r="A2542" t="s">
        <v>13</v>
      </c>
      <c r="B2542">
        <v>2711851</v>
      </c>
      <c r="C2542">
        <v>2712378</v>
      </c>
      <c r="E2542" t="s">
        <v>14</v>
      </c>
      <c r="F2542" t="s">
        <v>1169</v>
      </c>
      <c r="H2542">
        <v>1020503</v>
      </c>
      <c r="I2542" t="s">
        <v>17</v>
      </c>
      <c r="K2542" t="s">
        <v>7018</v>
      </c>
      <c r="L2542">
        <v>175</v>
      </c>
      <c r="M2542" t="s">
        <v>7019</v>
      </c>
    </row>
    <row r="2543" spans="1:13">
      <c r="A2543" t="s">
        <v>13</v>
      </c>
      <c r="B2543">
        <v>2712579</v>
      </c>
      <c r="C2543">
        <v>2712695</v>
      </c>
      <c r="E2543" t="s">
        <v>38</v>
      </c>
      <c r="F2543" t="s">
        <v>262</v>
      </c>
      <c r="G2543" t="s">
        <v>263</v>
      </c>
      <c r="H2543">
        <v>2745313</v>
      </c>
      <c r="I2543" t="s">
        <v>258</v>
      </c>
      <c r="M2543" t="s">
        <v>7020</v>
      </c>
    </row>
    <row r="2544" spans="1:13">
      <c r="A2544" t="s">
        <v>13</v>
      </c>
      <c r="B2544">
        <v>2712815</v>
      </c>
      <c r="C2544">
        <v>2715902</v>
      </c>
      <c r="E2544" t="s">
        <v>38</v>
      </c>
      <c r="F2544" t="s">
        <v>260</v>
      </c>
      <c r="H2544">
        <v>2745335</v>
      </c>
      <c r="I2544" t="s">
        <v>258</v>
      </c>
      <c r="M2544" t="s">
        <v>7021</v>
      </c>
    </row>
    <row r="2545" spans="1:13">
      <c r="A2545" t="s">
        <v>13</v>
      </c>
      <c r="B2545">
        <v>2716294</v>
      </c>
      <c r="C2545">
        <v>2717817</v>
      </c>
      <c r="E2545" t="s">
        <v>38</v>
      </c>
      <c r="F2545" t="s">
        <v>257</v>
      </c>
      <c r="H2545">
        <v>2745340</v>
      </c>
      <c r="I2545" t="s">
        <v>258</v>
      </c>
      <c r="M2545" t="s">
        <v>7022</v>
      </c>
    </row>
    <row r="2546" spans="1:13">
      <c r="A2546" t="s">
        <v>13</v>
      </c>
      <c r="B2546">
        <v>2718434</v>
      </c>
      <c r="C2546">
        <v>2719690</v>
      </c>
      <c r="E2546" t="s">
        <v>38</v>
      </c>
      <c r="F2546" t="s">
        <v>1052</v>
      </c>
      <c r="G2546" t="s">
        <v>7023</v>
      </c>
      <c r="H2546">
        <v>1020505</v>
      </c>
      <c r="I2546" t="s">
        <v>17</v>
      </c>
      <c r="K2546" t="s">
        <v>7024</v>
      </c>
      <c r="L2546">
        <v>418</v>
      </c>
      <c r="M2546" t="s">
        <v>7025</v>
      </c>
    </row>
    <row r="2547" spans="1:13">
      <c r="A2547" t="s">
        <v>13</v>
      </c>
      <c r="B2547">
        <v>2719751</v>
      </c>
      <c r="C2547">
        <v>2720323</v>
      </c>
      <c r="E2547" t="s">
        <v>14</v>
      </c>
      <c r="F2547" t="s">
        <v>7026</v>
      </c>
      <c r="H2547">
        <v>1020506</v>
      </c>
      <c r="I2547" t="s">
        <v>17</v>
      </c>
      <c r="K2547" t="s">
        <v>7027</v>
      </c>
      <c r="L2547">
        <v>190</v>
      </c>
      <c r="M2547" t="s">
        <v>7028</v>
      </c>
    </row>
    <row r="2548" spans="1:13">
      <c r="A2548" t="s">
        <v>13</v>
      </c>
      <c r="B2548">
        <v>2720383</v>
      </c>
      <c r="C2548">
        <v>2721228</v>
      </c>
      <c r="E2548" t="s">
        <v>38</v>
      </c>
      <c r="F2548" t="s">
        <v>7029</v>
      </c>
      <c r="G2548" t="s">
        <v>7030</v>
      </c>
      <c r="H2548">
        <v>1020507</v>
      </c>
      <c r="I2548" t="s">
        <v>17</v>
      </c>
      <c r="K2548" t="s">
        <v>7031</v>
      </c>
      <c r="L2548">
        <v>281</v>
      </c>
      <c r="M2548" t="s">
        <v>7032</v>
      </c>
    </row>
    <row r="2549" spans="1:13">
      <c r="A2549" t="s">
        <v>13</v>
      </c>
      <c r="B2549">
        <v>2721926</v>
      </c>
      <c r="C2549">
        <v>2722861</v>
      </c>
      <c r="E2549" t="s">
        <v>14</v>
      </c>
      <c r="F2549" t="s">
        <v>7033</v>
      </c>
      <c r="G2549" t="s">
        <v>7034</v>
      </c>
      <c r="H2549">
        <v>1020508</v>
      </c>
      <c r="I2549" t="s">
        <v>17</v>
      </c>
      <c r="K2549" t="s">
        <v>7035</v>
      </c>
      <c r="L2549">
        <v>311</v>
      </c>
      <c r="M2549" t="s">
        <v>7036</v>
      </c>
    </row>
    <row r="2550" spans="1:13">
      <c r="A2550" t="s">
        <v>13</v>
      </c>
      <c r="B2550">
        <v>2723047</v>
      </c>
      <c r="C2550">
        <v>2723613</v>
      </c>
      <c r="E2550" t="s">
        <v>14</v>
      </c>
      <c r="F2550" t="s">
        <v>7037</v>
      </c>
      <c r="G2550" t="s">
        <v>7038</v>
      </c>
      <c r="H2550">
        <v>1020509</v>
      </c>
      <c r="I2550" t="s">
        <v>17</v>
      </c>
      <c r="K2550" t="s">
        <v>7039</v>
      </c>
      <c r="L2550">
        <v>188</v>
      </c>
      <c r="M2550" t="s">
        <v>7040</v>
      </c>
    </row>
    <row r="2551" spans="1:13">
      <c r="A2551" t="s">
        <v>13</v>
      </c>
      <c r="B2551">
        <v>2723768</v>
      </c>
      <c r="C2551">
        <v>2724058</v>
      </c>
      <c r="E2551" t="s">
        <v>38</v>
      </c>
      <c r="F2551" t="s">
        <v>549</v>
      </c>
      <c r="H2551">
        <v>1020510</v>
      </c>
      <c r="I2551" t="s">
        <v>17</v>
      </c>
      <c r="K2551" t="s">
        <v>7041</v>
      </c>
      <c r="L2551">
        <v>96</v>
      </c>
      <c r="M2551" t="s">
        <v>7042</v>
      </c>
    </row>
    <row r="2552" spans="1:13">
      <c r="A2552" t="s">
        <v>13</v>
      </c>
      <c r="B2552">
        <v>2724175</v>
      </c>
      <c r="C2552">
        <v>2724250</v>
      </c>
      <c r="E2552" t="s">
        <v>38</v>
      </c>
      <c r="F2552" t="s">
        <v>7043</v>
      </c>
      <c r="H2552">
        <v>2745320</v>
      </c>
      <c r="I2552" t="s">
        <v>62</v>
      </c>
      <c r="M2552" t="s">
        <v>7044</v>
      </c>
    </row>
    <row r="2553" spans="1:13">
      <c r="A2553" t="s">
        <v>13</v>
      </c>
      <c r="B2553">
        <v>2724283</v>
      </c>
      <c r="C2553">
        <v>2724356</v>
      </c>
      <c r="E2553" t="s">
        <v>38</v>
      </c>
      <c r="F2553" t="s">
        <v>7045</v>
      </c>
      <c r="H2553">
        <v>2745321</v>
      </c>
      <c r="I2553" t="s">
        <v>62</v>
      </c>
      <c r="M2553" t="s">
        <v>7046</v>
      </c>
    </row>
    <row r="2554" spans="1:13">
      <c r="A2554" t="s">
        <v>13</v>
      </c>
      <c r="B2554">
        <v>2724476</v>
      </c>
      <c r="C2554">
        <v>2725360</v>
      </c>
      <c r="E2554" t="s">
        <v>38</v>
      </c>
      <c r="F2554" t="s">
        <v>7047</v>
      </c>
      <c r="G2554" t="s">
        <v>7048</v>
      </c>
      <c r="H2554">
        <v>1020511</v>
      </c>
      <c r="I2554" t="s">
        <v>17</v>
      </c>
      <c r="K2554" t="s">
        <v>7049</v>
      </c>
      <c r="L2554">
        <v>294</v>
      </c>
      <c r="M2554" t="s">
        <v>7050</v>
      </c>
    </row>
    <row r="2555" spans="1:13">
      <c r="A2555" t="s">
        <v>13</v>
      </c>
      <c r="B2555">
        <v>2725382</v>
      </c>
      <c r="C2555">
        <v>2726578</v>
      </c>
      <c r="E2555" t="s">
        <v>38</v>
      </c>
      <c r="F2555" t="s">
        <v>7051</v>
      </c>
      <c r="G2555" t="s">
        <v>7052</v>
      </c>
      <c r="H2555">
        <v>1020512</v>
      </c>
      <c r="I2555" t="s">
        <v>17</v>
      </c>
      <c r="K2555" t="s">
        <v>7053</v>
      </c>
      <c r="L2555">
        <v>398</v>
      </c>
      <c r="M2555" t="s">
        <v>7054</v>
      </c>
    </row>
    <row r="2556" spans="1:13">
      <c r="A2556" t="s">
        <v>13</v>
      </c>
      <c r="B2556">
        <v>2727079</v>
      </c>
      <c r="C2556">
        <v>2727152</v>
      </c>
      <c r="E2556" t="s">
        <v>38</v>
      </c>
      <c r="F2556" t="s">
        <v>7045</v>
      </c>
      <c r="H2556">
        <v>2745326</v>
      </c>
      <c r="I2556" t="s">
        <v>62</v>
      </c>
      <c r="M2556" t="s">
        <v>7055</v>
      </c>
    </row>
    <row r="2557" spans="1:13">
      <c r="A2557" t="s">
        <v>13</v>
      </c>
      <c r="B2557">
        <v>2727194</v>
      </c>
      <c r="C2557">
        <v>2727266</v>
      </c>
      <c r="E2557" t="s">
        <v>38</v>
      </c>
      <c r="F2557" t="s">
        <v>3685</v>
      </c>
      <c r="H2557">
        <v>2745328</v>
      </c>
      <c r="I2557" t="s">
        <v>62</v>
      </c>
      <c r="M2557" t="s">
        <v>7056</v>
      </c>
    </row>
    <row r="2558" spans="1:13">
      <c r="A2558" t="s">
        <v>13</v>
      </c>
      <c r="B2558">
        <v>2727397</v>
      </c>
      <c r="C2558">
        <v>2728134</v>
      </c>
      <c r="E2558" t="s">
        <v>38</v>
      </c>
      <c r="F2558" t="s">
        <v>7057</v>
      </c>
      <c r="H2558">
        <v>1020513</v>
      </c>
      <c r="I2558" t="s">
        <v>17</v>
      </c>
      <c r="K2558" t="s">
        <v>7058</v>
      </c>
      <c r="L2558">
        <v>245</v>
      </c>
      <c r="M2558" t="s">
        <v>7059</v>
      </c>
    </row>
    <row r="2559" spans="1:13">
      <c r="A2559" t="s">
        <v>13</v>
      </c>
      <c r="B2559">
        <v>2728205</v>
      </c>
      <c r="C2559">
        <v>2729026</v>
      </c>
      <c r="E2559" t="s">
        <v>38</v>
      </c>
      <c r="F2559" t="s">
        <v>391</v>
      </c>
      <c r="H2559">
        <v>1020514</v>
      </c>
      <c r="I2559" t="s">
        <v>17</v>
      </c>
      <c r="K2559" t="s">
        <v>7060</v>
      </c>
      <c r="L2559">
        <v>273</v>
      </c>
      <c r="M2559" t="s">
        <v>7061</v>
      </c>
    </row>
    <row r="2560" spans="1:13">
      <c r="A2560" t="s">
        <v>13</v>
      </c>
      <c r="B2560">
        <v>2729136</v>
      </c>
      <c r="C2560">
        <v>2729208</v>
      </c>
      <c r="E2560" t="s">
        <v>38</v>
      </c>
      <c r="F2560" t="s">
        <v>6808</v>
      </c>
      <c r="H2560">
        <v>2745372</v>
      </c>
      <c r="I2560" t="s">
        <v>62</v>
      </c>
      <c r="M2560" t="s">
        <v>7062</v>
      </c>
    </row>
    <row r="2561" spans="1:13">
      <c r="A2561" t="s">
        <v>13</v>
      </c>
      <c r="B2561">
        <v>2729376</v>
      </c>
      <c r="C2561">
        <v>2730884</v>
      </c>
      <c r="E2561" t="s">
        <v>38</v>
      </c>
      <c r="F2561" t="s">
        <v>7063</v>
      </c>
      <c r="H2561">
        <v>1020515</v>
      </c>
      <c r="I2561" t="s">
        <v>17</v>
      </c>
      <c r="K2561" t="s">
        <v>7064</v>
      </c>
      <c r="L2561">
        <v>502</v>
      </c>
      <c r="M2561" t="s">
        <v>7065</v>
      </c>
    </row>
    <row r="2562" spans="1:13">
      <c r="A2562" t="s">
        <v>13</v>
      </c>
      <c r="B2562">
        <v>2731377</v>
      </c>
      <c r="C2562">
        <v>2732522</v>
      </c>
      <c r="E2562" t="s">
        <v>14</v>
      </c>
      <c r="F2562" t="s">
        <v>7066</v>
      </c>
      <c r="G2562" t="s">
        <v>7067</v>
      </c>
      <c r="H2562">
        <v>1020516</v>
      </c>
      <c r="I2562" t="s">
        <v>17</v>
      </c>
      <c r="K2562" t="s">
        <v>7068</v>
      </c>
      <c r="L2562">
        <v>381</v>
      </c>
      <c r="M2562" t="s">
        <v>7069</v>
      </c>
    </row>
    <row r="2563" spans="1:13">
      <c r="A2563" t="s">
        <v>13</v>
      </c>
      <c r="B2563">
        <v>2732637</v>
      </c>
      <c r="C2563">
        <v>2733371</v>
      </c>
      <c r="E2563" t="s">
        <v>14</v>
      </c>
      <c r="F2563" t="s">
        <v>7070</v>
      </c>
      <c r="G2563" t="s">
        <v>7071</v>
      </c>
      <c r="H2563">
        <v>1020517</v>
      </c>
      <c r="I2563" t="s">
        <v>17</v>
      </c>
      <c r="K2563" t="s">
        <v>7072</v>
      </c>
      <c r="L2563">
        <v>244</v>
      </c>
      <c r="M2563" t="s">
        <v>7073</v>
      </c>
    </row>
    <row r="2564" spans="1:13">
      <c r="A2564" t="s">
        <v>13</v>
      </c>
      <c r="B2564">
        <v>2733453</v>
      </c>
      <c r="C2564">
        <v>2734226</v>
      </c>
      <c r="E2564" t="s">
        <v>38</v>
      </c>
      <c r="F2564" t="s">
        <v>7074</v>
      </c>
      <c r="G2564" t="s">
        <v>7075</v>
      </c>
      <c r="H2564">
        <v>1020518</v>
      </c>
      <c r="I2564" t="s">
        <v>17</v>
      </c>
      <c r="K2564" t="s">
        <v>7076</v>
      </c>
      <c r="L2564">
        <v>257</v>
      </c>
      <c r="M2564" t="s">
        <v>7077</v>
      </c>
    </row>
    <row r="2565" spans="1:13">
      <c r="A2565" t="s">
        <v>13</v>
      </c>
      <c r="B2565">
        <v>2734262</v>
      </c>
      <c r="C2565">
        <v>2735185</v>
      </c>
      <c r="E2565" t="s">
        <v>38</v>
      </c>
      <c r="F2565" t="s">
        <v>7078</v>
      </c>
      <c r="G2565" t="s">
        <v>7079</v>
      </c>
      <c r="H2565">
        <v>1020519</v>
      </c>
      <c r="I2565" t="s">
        <v>17</v>
      </c>
      <c r="K2565" t="s">
        <v>7080</v>
      </c>
      <c r="L2565">
        <v>307</v>
      </c>
      <c r="M2565" t="s">
        <v>7081</v>
      </c>
    </row>
    <row r="2566" spans="1:13">
      <c r="A2566" t="s">
        <v>13</v>
      </c>
      <c r="B2566">
        <v>2735200</v>
      </c>
      <c r="C2566">
        <v>2736267</v>
      </c>
      <c r="E2566" t="s">
        <v>38</v>
      </c>
      <c r="F2566" t="s">
        <v>7082</v>
      </c>
      <c r="G2566" t="s">
        <v>7083</v>
      </c>
      <c r="H2566">
        <v>1020520</v>
      </c>
      <c r="I2566" t="s">
        <v>17</v>
      </c>
      <c r="K2566" t="s">
        <v>7084</v>
      </c>
      <c r="L2566">
        <v>355</v>
      </c>
      <c r="M2566" t="s">
        <v>7085</v>
      </c>
    </row>
    <row r="2567" spans="1:13">
      <c r="A2567" t="s">
        <v>13</v>
      </c>
      <c r="B2567">
        <v>2736412</v>
      </c>
      <c r="C2567">
        <v>2737539</v>
      </c>
      <c r="E2567" t="s">
        <v>38</v>
      </c>
      <c r="F2567" t="s">
        <v>7086</v>
      </c>
      <c r="G2567" t="s">
        <v>7087</v>
      </c>
      <c r="H2567">
        <v>1020521</v>
      </c>
      <c r="I2567" t="s">
        <v>17</v>
      </c>
      <c r="K2567" t="s">
        <v>7088</v>
      </c>
      <c r="L2567">
        <v>375</v>
      </c>
      <c r="M2567" t="s">
        <v>7089</v>
      </c>
    </row>
    <row r="2568" spans="1:13">
      <c r="A2568" t="s">
        <v>13</v>
      </c>
      <c r="B2568">
        <v>2737834</v>
      </c>
      <c r="C2568">
        <v>2738712</v>
      </c>
      <c r="E2568" t="s">
        <v>38</v>
      </c>
      <c r="F2568" t="s">
        <v>7090</v>
      </c>
      <c r="G2568" t="s">
        <v>7091</v>
      </c>
      <c r="H2568">
        <v>1020522</v>
      </c>
      <c r="I2568" t="s">
        <v>17</v>
      </c>
      <c r="K2568" t="s">
        <v>7092</v>
      </c>
      <c r="L2568">
        <v>292</v>
      </c>
      <c r="M2568" t="s">
        <v>7093</v>
      </c>
    </row>
    <row r="2569" spans="1:13">
      <c r="A2569" t="s">
        <v>13</v>
      </c>
      <c r="B2569">
        <v>2738772</v>
      </c>
      <c r="C2569">
        <v>2739557</v>
      </c>
      <c r="E2569" t="s">
        <v>14</v>
      </c>
      <c r="F2569" t="s">
        <v>1166</v>
      </c>
      <c r="H2569">
        <v>1020523</v>
      </c>
      <c r="I2569" t="s">
        <v>17</v>
      </c>
      <c r="K2569" t="s">
        <v>7094</v>
      </c>
      <c r="L2569">
        <v>261</v>
      </c>
      <c r="M2569" t="s">
        <v>7095</v>
      </c>
    </row>
    <row r="2570" spans="1:13">
      <c r="A2570" t="s">
        <v>13</v>
      </c>
      <c r="B2570">
        <v>2739554</v>
      </c>
      <c r="C2570">
        <v>2740672</v>
      </c>
      <c r="E2570" t="s">
        <v>38</v>
      </c>
      <c r="F2570" t="s">
        <v>7096</v>
      </c>
      <c r="H2570">
        <v>1020524</v>
      </c>
      <c r="I2570" t="s">
        <v>17</v>
      </c>
      <c r="K2570" t="s">
        <v>7097</v>
      </c>
      <c r="L2570">
        <v>372</v>
      </c>
      <c r="M2570" t="s">
        <v>7098</v>
      </c>
    </row>
    <row r="2571" spans="1:13">
      <c r="A2571" t="s">
        <v>13</v>
      </c>
      <c r="B2571">
        <v>2740671</v>
      </c>
      <c r="C2571">
        <v>2741360</v>
      </c>
      <c r="E2571" t="s">
        <v>14</v>
      </c>
      <c r="F2571" t="s">
        <v>7099</v>
      </c>
      <c r="H2571">
        <v>1020525</v>
      </c>
      <c r="I2571" t="s">
        <v>17</v>
      </c>
      <c r="K2571" t="s">
        <v>7100</v>
      </c>
      <c r="L2571">
        <v>229</v>
      </c>
      <c r="M2571" t="s">
        <v>7101</v>
      </c>
    </row>
    <row r="2572" spans="1:13">
      <c r="A2572" t="s">
        <v>13</v>
      </c>
      <c r="B2572">
        <v>2741634</v>
      </c>
      <c r="C2572">
        <v>2742578</v>
      </c>
      <c r="E2572" t="s">
        <v>38</v>
      </c>
      <c r="F2572" t="s">
        <v>7102</v>
      </c>
      <c r="H2572">
        <v>1020526</v>
      </c>
      <c r="I2572" t="s">
        <v>17</v>
      </c>
      <c r="K2572" t="s">
        <v>7103</v>
      </c>
      <c r="L2572">
        <v>314</v>
      </c>
      <c r="M2572" t="s">
        <v>7104</v>
      </c>
    </row>
    <row r="2573" spans="1:13">
      <c r="A2573" t="s">
        <v>13</v>
      </c>
      <c r="B2573">
        <v>2742668</v>
      </c>
      <c r="C2573">
        <v>2743789</v>
      </c>
      <c r="E2573" t="s">
        <v>14</v>
      </c>
      <c r="F2573" t="s">
        <v>7105</v>
      </c>
      <c r="H2573">
        <v>1020527</v>
      </c>
      <c r="I2573" t="s">
        <v>17</v>
      </c>
      <c r="K2573" t="s">
        <v>7106</v>
      </c>
      <c r="L2573">
        <v>373</v>
      </c>
      <c r="M2573" t="s">
        <v>7107</v>
      </c>
    </row>
    <row r="2574" spans="1:13">
      <c r="A2574" t="s">
        <v>13</v>
      </c>
      <c r="B2574">
        <v>2744011</v>
      </c>
      <c r="C2574">
        <v>2744226</v>
      </c>
      <c r="E2574" t="s">
        <v>14</v>
      </c>
      <c r="F2574" t="s">
        <v>7108</v>
      </c>
      <c r="H2574">
        <v>1020528</v>
      </c>
      <c r="I2574" t="s">
        <v>17</v>
      </c>
      <c r="K2574" t="s">
        <v>7109</v>
      </c>
      <c r="L2574">
        <v>71</v>
      </c>
      <c r="M2574" t="s">
        <v>7110</v>
      </c>
    </row>
    <row r="2575" spans="1:13">
      <c r="A2575" t="s">
        <v>13</v>
      </c>
      <c r="B2575">
        <v>2744879</v>
      </c>
      <c r="C2575">
        <v>2745955</v>
      </c>
      <c r="E2575" t="s">
        <v>38</v>
      </c>
      <c r="F2575" t="s">
        <v>7111</v>
      </c>
      <c r="G2575" t="s">
        <v>7112</v>
      </c>
      <c r="H2575">
        <v>1020529</v>
      </c>
      <c r="I2575" t="s">
        <v>17</v>
      </c>
      <c r="K2575" t="s">
        <v>7113</v>
      </c>
      <c r="L2575">
        <v>358</v>
      </c>
      <c r="M2575" t="s">
        <v>7114</v>
      </c>
    </row>
    <row r="2576" spans="1:13">
      <c r="A2576" t="s">
        <v>13</v>
      </c>
      <c r="B2576">
        <v>2746081</v>
      </c>
      <c r="C2576">
        <v>2747565</v>
      </c>
      <c r="E2576" t="s">
        <v>38</v>
      </c>
      <c r="F2576" t="s">
        <v>7115</v>
      </c>
      <c r="G2576" t="s">
        <v>7116</v>
      </c>
      <c r="H2576">
        <v>1020530</v>
      </c>
      <c r="I2576" t="s">
        <v>17</v>
      </c>
      <c r="K2576" t="s">
        <v>7117</v>
      </c>
      <c r="L2576">
        <v>494</v>
      </c>
      <c r="M2576" t="s">
        <v>7118</v>
      </c>
    </row>
    <row r="2577" spans="1:13">
      <c r="A2577" t="s">
        <v>13</v>
      </c>
      <c r="B2577">
        <v>2747681</v>
      </c>
      <c r="C2577">
        <v>2748058</v>
      </c>
      <c r="E2577" t="s">
        <v>38</v>
      </c>
      <c r="F2577" t="s">
        <v>7119</v>
      </c>
      <c r="H2577">
        <v>1020531</v>
      </c>
      <c r="I2577" t="s">
        <v>17</v>
      </c>
      <c r="K2577" t="s">
        <v>7120</v>
      </c>
      <c r="L2577">
        <v>125</v>
      </c>
      <c r="M2577" t="s">
        <v>7121</v>
      </c>
    </row>
    <row r="2578" spans="1:13">
      <c r="A2578" t="s">
        <v>13</v>
      </c>
      <c r="B2578">
        <v>2748096</v>
      </c>
      <c r="C2578">
        <v>2749115</v>
      </c>
      <c r="E2578" t="s">
        <v>14</v>
      </c>
      <c r="F2578" t="s">
        <v>4710</v>
      </c>
      <c r="H2578">
        <v>1020532</v>
      </c>
      <c r="I2578" t="s">
        <v>17</v>
      </c>
      <c r="K2578" t="s">
        <v>7122</v>
      </c>
      <c r="L2578">
        <v>339</v>
      </c>
      <c r="M2578" t="s">
        <v>7123</v>
      </c>
    </row>
    <row r="2579" spans="1:13">
      <c r="A2579" t="s">
        <v>13</v>
      </c>
      <c r="B2579">
        <v>2749160</v>
      </c>
      <c r="C2579">
        <v>2749924</v>
      </c>
      <c r="E2579" t="s">
        <v>38</v>
      </c>
      <c r="F2579" t="s">
        <v>7124</v>
      </c>
      <c r="H2579">
        <v>1020533</v>
      </c>
      <c r="I2579" t="s">
        <v>17</v>
      </c>
      <c r="K2579" t="s">
        <v>7125</v>
      </c>
      <c r="L2579">
        <v>254</v>
      </c>
      <c r="M2579" t="s">
        <v>7126</v>
      </c>
    </row>
    <row r="2580" spans="1:13">
      <c r="A2580" t="s">
        <v>13</v>
      </c>
      <c r="B2580">
        <v>2750025</v>
      </c>
      <c r="C2580">
        <v>2752313</v>
      </c>
      <c r="E2580" t="s">
        <v>38</v>
      </c>
      <c r="F2580" t="s">
        <v>7127</v>
      </c>
      <c r="G2580" t="s">
        <v>7128</v>
      </c>
      <c r="H2580">
        <v>1020534</v>
      </c>
      <c r="I2580" t="s">
        <v>17</v>
      </c>
      <c r="K2580" t="s">
        <v>7129</v>
      </c>
      <c r="L2580">
        <v>762</v>
      </c>
      <c r="M2580" t="s">
        <v>7130</v>
      </c>
    </row>
    <row r="2581" spans="1:13">
      <c r="A2581" t="s">
        <v>13</v>
      </c>
      <c r="B2581">
        <v>2752325</v>
      </c>
      <c r="C2581">
        <v>2752996</v>
      </c>
      <c r="E2581" t="s">
        <v>38</v>
      </c>
      <c r="F2581" t="s">
        <v>7131</v>
      </c>
      <c r="G2581" t="s">
        <v>7132</v>
      </c>
      <c r="H2581">
        <v>1020535</v>
      </c>
      <c r="I2581" t="s">
        <v>17</v>
      </c>
      <c r="K2581" t="s">
        <v>7133</v>
      </c>
      <c r="L2581">
        <v>223</v>
      </c>
      <c r="M2581" t="s">
        <v>7134</v>
      </c>
    </row>
    <row r="2582" spans="1:13">
      <c r="A2582" t="s">
        <v>13</v>
      </c>
      <c r="B2582">
        <v>2752993</v>
      </c>
      <c r="C2582">
        <v>2753238</v>
      </c>
      <c r="E2582" t="s">
        <v>38</v>
      </c>
      <c r="F2582" t="s">
        <v>7135</v>
      </c>
      <c r="G2582" t="s">
        <v>7136</v>
      </c>
      <c r="H2582">
        <v>1020536</v>
      </c>
      <c r="I2582" t="s">
        <v>17</v>
      </c>
      <c r="K2582" t="s">
        <v>7137</v>
      </c>
      <c r="L2582">
        <v>81</v>
      </c>
      <c r="M2582" t="s">
        <v>7138</v>
      </c>
    </row>
    <row r="2583" spans="1:13">
      <c r="A2583" t="s">
        <v>13</v>
      </c>
      <c r="B2583">
        <v>2753326</v>
      </c>
      <c r="C2583">
        <v>2753805</v>
      </c>
      <c r="E2583" t="s">
        <v>38</v>
      </c>
      <c r="F2583" t="s">
        <v>7139</v>
      </c>
      <c r="H2583">
        <v>1020537</v>
      </c>
      <c r="I2583" t="s">
        <v>17</v>
      </c>
      <c r="K2583" t="s">
        <v>7140</v>
      </c>
      <c r="L2583">
        <v>159</v>
      </c>
      <c r="M2583" t="s">
        <v>7141</v>
      </c>
    </row>
    <row r="2584" spans="1:13">
      <c r="A2584" t="s">
        <v>13</v>
      </c>
      <c r="B2584">
        <v>2753993</v>
      </c>
      <c r="C2584">
        <v>2756743</v>
      </c>
      <c r="E2584" t="s">
        <v>14</v>
      </c>
      <c r="F2584" t="s">
        <v>7142</v>
      </c>
      <c r="H2584">
        <v>1020538</v>
      </c>
      <c r="I2584" t="s">
        <v>17</v>
      </c>
      <c r="K2584" t="s">
        <v>7143</v>
      </c>
      <c r="L2584">
        <v>916</v>
      </c>
      <c r="M2584" t="s">
        <v>7144</v>
      </c>
    </row>
    <row r="2585" spans="1:13">
      <c r="A2585" t="s">
        <v>13</v>
      </c>
      <c r="B2585">
        <v>2757127</v>
      </c>
      <c r="C2585">
        <v>2757816</v>
      </c>
      <c r="E2585" t="s">
        <v>38</v>
      </c>
      <c r="F2585" t="s">
        <v>7145</v>
      </c>
      <c r="H2585">
        <v>1020540</v>
      </c>
      <c r="I2585" t="s">
        <v>17</v>
      </c>
      <c r="K2585" t="s">
        <v>7146</v>
      </c>
      <c r="L2585">
        <v>229</v>
      </c>
      <c r="M2585" t="s">
        <v>7147</v>
      </c>
    </row>
    <row r="2586" spans="1:13">
      <c r="A2586" t="s">
        <v>13</v>
      </c>
      <c r="B2586">
        <v>2757861</v>
      </c>
      <c r="C2586">
        <v>2759201</v>
      </c>
      <c r="E2586" t="s">
        <v>38</v>
      </c>
      <c r="F2586" t="s">
        <v>7148</v>
      </c>
      <c r="H2586">
        <v>1020541</v>
      </c>
      <c r="I2586" t="s">
        <v>17</v>
      </c>
      <c r="K2586" t="s">
        <v>7149</v>
      </c>
      <c r="L2586">
        <v>446</v>
      </c>
      <c r="M2586" t="s">
        <v>7150</v>
      </c>
    </row>
    <row r="2587" spans="1:13">
      <c r="A2587" t="s">
        <v>13</v>
      </c>
      <c r="B2587">
        <v>2759530</v>
      </c>
      <c r="C2587">
        <v>2761650</v>
      </c>
      <c r="E2587" t="s">
        <v>38</v>
      </c>
      <c r="F2587" t="s">
        <v>7151</v>
      </c>
      <c r="H2587">
        <v>1020542</v>
      </c>
      <c r="I2587" t="s">
        <v>17</v>
      </c>
      <c r="K2587" t="s">
        <v>7152</v>
      </c>
      <c r="L2587">
        <v>706</v>
      </c>
      <c r="M2587" t="s">
        <v>7153</v>
      </c>
    </row>
    <row r="2588" spans="1:13">
      <c r="A2588" t="s">
        <v>13</v>
      </c>
      <c r="B2588">
        <v>2761783</v>
      </c>
      <c r="C2588">
        <v>2762676</v>
      </c>
      <c r="E2588" t="s">
        <v>38</v>
      </c>
      <c r="F2588" t="s">
        <v>7154</v>
      </c>
      <c r="H2588">
        <v>1020543</v>
      </c>
      <c r="I2588" t="s">
        <v>17</v>
      </c>
      <c r="K2588" t="s">
        <v>7155</v>
      </c>
      <c r="L2588">
        <v>297</v>
      </c>
      <c r="M2588" t="s">
        <v>7156</v>
      </c>
    </row>
    <row r="2589" spans="1:13">
      <c r="A2589" t="s">
        <v>13</v>
      </c>
      <c r="B2589">
        <v>2763502</v>
      </c>
      <c r="C2589">
        <v>2764941</v>
      </c>
      <c r="E2589" t="s">
        <v>38</v>
      </c>
      <c r="F2589" t="s">
        <v>5644</v>
      </c>
      <c r="G2589" t="s">
        <v>7157</v>
      </c>
      <c r="H2589">
        <v>1020544</v>
      </c>
      <c r="I2589" t="s">
        <v>17</v>
      </c>
      <c r="K2589" t="s">
        <v>7158</v>
      </c>
      <c r="L2589">
        <v>479</v>
      </c>
      <c r="M2589" t="s">
        <v>7159</v>
      </c>
    </row>
    <row r="2590" spans="1:13">
      <c r="A2590" t="s">
        <v>13</v>
      </c>
      <c r="B2590">
        <v>2764976</v>
      </c>
      <c r="C2590">
        <v>2766085</v>
      </c>
      <c r="E2590" t="s">
        <v>38</v>
      </c>
      <c r="F2590" t="s">
        <v>2355</v>
      </c>
      <c r="H2590">
        <v>1020545</v>
      </c>
      <c r="I2590" t="s">
        <v>17</v>
      </c>
      <c r="K2590" t="s">
        <v>7160</v>
      </c>
      <c r="L2590">
        <v>369</v>
      </c>
      <c r="M2590" t="s">
        <v>7161</v>
      </c>
    </row>
    <row r="2591" spans="1:13">
      <c r="A2591" t="s">
        <v>13</v>
      </c>
      <c r="B2591">
        <v>2766156</v>
      </c>
      <c r="C2591">
        <v>2767421</v>
      </c>
      <c r="E2591" t="s">
        <v>38</v>
      </c>
      <c r="F2591" t="s">
        <v>7162</v>
      </c>
      <c r="G2591" t="s">
        <v>7163</v>
      </c>
      <c r="H2591">
        <v>1020546</v>
      </c>
      <c r="I2591" t="s">
        <v>17</v>
      </c>
      <c r="K2591" t="s">
        <v>7164</v>
      </c>
      <c r="L2591">
        <v>421</v>
      </c>
      <c r="M2591" t="s">
        <v>7165</v>
      </c>
    </row>
    <row r="2592" spans="1:13">
      <c r="A2592" t="s">
        <v>13</v>
      </c>
      <c r="B2592">
        <v>2767587</v>
      </c>
      <c r="C2592">
        <v>2767997</v>
      </c>
      <c r="E2592" t="s">
        <v>14</v>
      </c>
      <c r="F2592" t="s">
        <v>4727</v>
      </c>
      <c r="H2592">
        <v>1020547</v>
      </c>
      <c r="I2592" t="s">
        <v>17</v>
      </c>
      <c r="K2592" t="s">
        <v>7166</v>
      </c>
      <c r="L2592">
        <v>136</v>
      </c>
      <c r="M2592" t="s">
        <v>7167</v>
      </c>
    </row>
    <row r="2593" spans="1:13">
      <c r="A2593" t="s">
        <v>13</v>
      </c>
      <c r="B2593">
        <v>2768341</v>
      </c>
      <c r="C2593">
        <v>2769096</v>
      </c>
      <c r="E2593" t="s">
        <v>38</v>
      </c>
      <c r="F2593" t="s">
        <v>1169</v>
      </c>
      <c r="H2593">
        <v>1020549</v>
      </c>
      <c r="I2593" t="s">
        <v>17</v>
      </c>
      <c r="K2593" t="s">
        <v>7168</v>
      </c>
      <c r="L2593">
        <v>251</v>
      </c>
      <c r="M2593" t="s">
        <v>7169</v>
      </c>
    </row>
    <row r="2594" spans="1:13">
      <c r="A2594" t="s">
        <v>13</v>
      </c>
      <c r="B2594">
        <v>2769154</v>
      </c>
      <c r="C2594">
        <v>2770599</v>
      </c>
      <c r="E2594" t="s">
        <v>38</v>
      </c>
      <c r="F2594" t="s">
        <v>7170</v>
      </c>
      <c r="H2594">
        <v>1020550</v>
      </c>
      <c r="I2594" t="s">
        <v>17</v>
      </c>
      <c r="K2594" t="s">
        <v>7171</v>
      </c>
      <c r="L2594">
        <v>481</v>
      </c>
      <c r="M2594" t="s">
        <v>7172</v>
      </c>
    </row>
    <row r="2595" spans="1:13">
      <c r="A2595" t="s">
        <v>13</v>
      </c>
      <c r="B2595">
        <v>2770715</v>
      </c>
      <c r="C2595">
        <v>2771986</v>
      </c>
      <c r="E2595" t="s">
        <v>14</v>
      </c>
      <c r="F2595" t="s">
        <v>7173</v>
      </c>
      <c r="H2595">
        <v>1020551</v>
      </c>
      <c r="I2595" t="s">
        <v>17</v>
      </c>
      <c r="K2595" t="s">
        <v>7174</v>
      </c>
      <c r="L2595">
        <v>423</v>
      </c>
      <c r="M2595" t="s">
        <v>7175</v>
      </c>
    </row>
    <row r="2596" spans="1:13">
      <c r="A2596" t="s">
        <v>13</v>
      </c>
      <c r="B2596">
        <v>2771990</v>
      </c>
      <c r="C2596">
        <v>2772664</v>
      </c>
      <c r="E2596" t="s">
        <v>14</v>
      </c>
      <c r="F2596" t="s">
        <v>7176</v>
      </c>
      <c r="G2596" t="s">
        <v>7177</v>
      </c>
      <c r="H2596">
        <v>1020552</v>
      </c>
      <c r="I2596" t="s">
        <v>17</v>
      </c>
      <c r="K2596" t="s">
        <v>7178</v>
      </c>
      <c r="L2596">
        <v>224</v>
      </c>
      <c r="M2596" t="s">
        <v>7179</v>
      </c>
    </row>
    <row r="2597" spans="1:13">
      <c r="A2597" t="s">
        <v>13</v>
      </c>
      <c r="B2597">
        <v>2772642</v>
      </c>
      <c r="C2597">
        <v>2774099</v>
      </c>
      <c r="E2597" t="s">
        <v>38</v>
      </c>
      <c r="F2597" t="s">
        <v>237</v>
      </c>
      <c r="H2597">
        <v>1020553</v>
      </c>
      <c r="I2597" t="s">
        <v>17</v>
      </c>
      <c r="K2597" t="s">
        <v>7180</v>
      </c>
      <c r="L2597">
        <v>485</v>
      </c>
      <c r="M2597" t="s">
        <v>7181</v>
      </c>
    </row>
    <row r="2598" spans="1:13">
      <c r="A2598" t="s">
        <v>13</v>
      </c>
      <c r="B2598">
        <v>2774108</v>
      </c>
      <c r="C2598">
        <v>2774815</v>
      </c>
      <c r="E2598" t="s">
        <v>38</v>
      </c>
      <c r="F2598" t="s">
        <v>835</v>
      </c>
      <c r="H2598">
        <v>1020554</v>
      </c>
      <c r="I2598" t="s">
        <v>17</v>
      </c>
      <c r="K2598" t="s">
        <v>7182</v>
      </c>
      <c r="L2598">
        <v>235</v>
      </c>
      <c r="M2598" t="s">
        <v>7183</v>
      </c>
    </row>
    <row r="2599" spans="1:13">
      <c r="A2599" t="s">
        <v>13</v>
      </c>
      <c r="B2599">
        <v>2774935</v>
      </c>
      <c r="C2599">
        <v>2775690</v>
      </c>
      <c r="E2599" t="s">
        <v>38</v>
      </c>
      <c r="F2599" t="s">
        <v>4077</v>
      </c>
      <c r="H2599">
        <v>1020555</v>
      </c>
      <c r="I2599" t="s">
        <v>17</v>
      </c>
      <c r="K2599" t="s">
        <v>7184</v>
      </c>
      <c r="L2599">
        <v>251</v>
      </c>
      <c r="M2599" t="s">
        <v>7185</v>
      </c>
    </row>
    <row r="2600" spans="1:13">
      <c r="A2600" t="s">
        <v>13</v>
      </c>
      <c r="B2600">
        <v>2775738</v>
      </c>
      <c r="C2600">
        <v>2776769</v>
      </c>
      <c r="E2600" t="s">
        <v>38</v>
      </c>
      <c r="F2600" t="s">
        <v>7186</v>
      </c>
      <c r="H2600">
        <v>1020556</v>
      </c>
      <c r="I2600" t="s">
        <v>17</v>
      </c>
      <c r="K2600" t="s">
        <v>7187</v>
      </c>
      <c r="L2600">
        <v>343</v>
      </c>
      <c r="M2600" t="s">
        <v>7188</v>
      </c>
    </row>
    <row r="2601" spans="1:13">
      <c r="A2601" t="s">
        <v>13</v>
      </c>
      <c r="B2601">
        <v>2776766</v>
      </c>
      <c r="C2601">
        <v>2778505</v>
      </c>
      <c r="E2601" t="s">
        <v>38</v>
      </c>
      <c r="F2601" t="s">
        <v>7189</v>
      </c>
      <c r="H2601">
        <v>1020557</v>
      </c>
      <c r="I2601" t="s">
        <v>17</v>
      </c>
      <c r="K2601" t="s">
        <v>7190</v>
      </c>
      <c r="L2601">
        <v>579</v>
      </c>
      <c r="M2601" t="s">
        <v>7191</v>
      </c>
    </row>
    <row r="2602" spans="1:13">
      <c r="A2602" t="s">
        <v>13</v>
      </c>
      <c r="B2602">
        <v>2778966</v>
      </c>
      <c r="C2602">
        <v>2780450</v>
      </c>
      <c r="E2602" t="s">
        <v>14</v>
      </c>
      <c r="F2602" t="s">
        <v>265</v>
      </c>
      <c r="H2602">
        <v>1020558</v>
      </c>
      <c r="I2602" t="s">
        <v>17</v>
      </c>
      <c r="K2602" t="s">
        <v>7192</v>
      </c>
      <c r="L2602">
        <v>494</v>
      </c>
      <c r="M2602" t="s">
        <v>7193</v>
      </c>
    </row>
    <row r="2603" spans="1:13">
      <c r="A2603" t="s">
        <v>13</v>
      </c>
      <c r="B2603">
        <v>2780440</v>
      </c>
      <c r="C2603">
        <v>2780973</v>
      </c>
      <c r="E2603" t="s">
        <v>14</v>
      </c>
      <c r="F2603" t="s">
        <v>1126</v>
      </c>
      <c r="H2603">
        <v>1020559</v>
      </c>
      <c r="I2603" t="s">
        <v>17</v>
      </c>
      <c r="K2603" t="s">
        <v>7194</v>
      </c>
      <c r="L2603">
        <v>177</v>
      </c>
      <c r="M2603" t="s">
        <v>7195</v>
      </c>
    </row>
    <row r="2604" spans="1:13">
      <c r="A2604" t="s">
        <v>13</v>
      </c>
      <c r="B2604">
        <v>2780997</v>
      </c>
      <c r="C2604">
        <v>2782319</v>
      </c>
      <c r="E2604" t="s">
        <v>14</v>
      </c>
      <c r="F2604" t="s">
        <v>265</v>
      </c>
      <c r="H2604">
        <v>1020560</v>
      </c>
      <c r="I2604" t="s">
        <v>17</v>
      </c>
      <c r="K2604" t="s">
        <v>7196</v>
      </c>
      <c r="L2604">
        <v>440</v>
      </c>
      <c r="M2604" t="s">
        <v>7197</v>
      </c>
    </row>
    <row r="2605" spans="1:13">
      <c r="A2605" t="s">
        <v>13</v>
      </c>
      <c r="B2605">
        <v>2782338</v>
      </c>
      <c r="C2605">
        <v>2784482</v>
      </c>
      <c r="E2605" t="s">
        <v>38</v>
      </c>
      <c r="F2605" t="s">
        <v>7198</v>
      </c>
      <c r="H2605">
        <v>1020561</v>
      </c>
      <c r="I2605" t="s">
        <v>17</v>
      </c>
      <c r="K2605" t="s">
        <v>7199</v>
      </c>
      <c r="L2605">
        <v>714</v>
      </c>
      <c r="M2605" t="s">
        <v>7200</v>
      </c>
    </row>
    <row r="2606" spans="1:13">
      <c r="A2606" t="s">
        <v>13</v>
      </c>
      <c r="B2606">
        <v>2784654</v>
      </c>
      <c r="C2606">
        <v>2785616</v>
      </c>
      <c r="E2606" t="s">
        <v>38</v>
      </c>
      <c r="F2606" t="s">
        <v>7201</v>
      </c>
      <c r="H2606">
        <v>1020562</v>
      </c>
      <c r="I2606" t="s">
        <v>17</v>
      </c>
      <c r="K2606" t="s">
        <v>7202</v>
      </c>
      <c r="L2606">
        <v>320</v>
      </c>
      <c r="M2606" t="s">
        <v>7203</v>
      </c>
    </row>
    <row r="2607" spans="1:13">
      <c r="A2607" t="s">
        <v>13</v>
      </c>
      <c r="B2607">
        <v>2785649</v>
      </c>
      <c r="C2607">
        <v>2786356</v>
      </c>
      <c r="E2607" t="s">
        <v>38</v>
      </c>
      <c r="F2607" t="s">
        <v>69</v>
      </c>
      <c r="H2607">
        <v>1020563</v>
      </c>
      <c r="I2607" t="s">
        <v>17</v>
      </c>
      <c r="K2607" t="s">
        <v>7204</v>
      </c>
      <c r="L2607">
        <v>235</v>
      </c>
      <c r="M2607" t="s">
        <v>7205</v>
      </c>
    </row>
    <row r="2608" spans="1:13">
      <c r="A2608" t="s">
        <v>13</v>
      </c>
      <c r="B2608">
        <v>2786754</v>
      </c>
      <c r="C2608">
        <v>2787716</v>
      </c>
      <c r="E2608" t="s">
        <v>38</v>
      </c>
      <c r="F2608" t="s">
        <v>7206</v>
      </c>
      <c r="H2608">
        <v>1020564</v>
      </c>
      <c r="I2608" t="s">
        <v>17</v>
      </c>
      <c r="K2608" t="s">
        <v>7207</v>
      </c>
      <c r="L2608">
        <v>320</v>
      </c>
      <c r="M2608" t="s">
        <v>7208</v>
      </c>
    </row>
    <row r="2609" spans="1:13">
      <c r="A2609" t="s">
        <v>13</v>
      </c>
      <c r="B2609">
        <v>2787783</v>
      </c>
      <c r="C2609">
        <v>2788598</v>
      </c>
      <c r="E2609" t="s">
        <v>14</v>
      </c>
      <c r="F2609" t="s">
        <v>7209</v>
      </c>
      <c r="H2609">
        <v>1020565</v>
      </c>
      <c r="I2609" t="s">
        <v>17</v>
      </c>
      <c r="K2609" t="s">
        <v>7210</v>
      </c>
      <c r="L2609">
        <v>271</v>
      </c>
      <c r="M2609" t="s">
        <v>7211</v>
      </c>
    </row>
    <row r="2610" spans="1:13">
      <c r="A2610" t="s">
        <v>13</v>
      </c>
      <c r="B2610">
        <v>2788585</v>
      </c>
      <c r="C2610">
        <v>2789400</v>
      </c>
      <c r="E2610" t="s">
        <v>38</v>
      </c>
      <c r="F2610" t="s">
        <v>2653</v>
      </c>
      <c r="H2610">
        <v>1020566</v>
      </c>
      <c r="I2610" t="s">
        <v>17</v>
      </c>
      <c r="K2610" t="s">
        <v>7212</v>
      </c>
      <c r="L2610">
        <v>271</v>
      </c>
      <c r="M2610" t="s">
        <v>7213</v>
      </c>
    </row>
    <row r="2611" spans="1:13">
      <c r="A2611" t="s">
        <v>13</v>
      </c>
      <c r="B2611">
        <v>2789475</v>
      </c>
      <c r="C2611">
        <v>2789906</v>
      </c>
      <c r="E2611" t="s">
        <v>38</v>
      </c>
      <c r="F2611" t="s">
        <v>49</v>
      </c>
      <c r="H2611">
        <v>1020567</v>
      </c>
      <c r="I2611" t="s">
        <v>17</v>
      </c>
      <c r="K2611" t="s">
        <v>7214</v>
      </c>
      <c r="L2611">
        <v>143</v>
      </c>
      <c r="M2611" t="s">
        <v>7215</v>
      </c>
    </row>
    <row r="2612" spans="1:13">
      <c r="A2612" t="s">
        <v>13</v>
      </c>
      <c r="B2612">
        <v>2790153</v>
      </c>
      <c r="C2612">
        <v>2790554</v>
      </c>
      <c r="E2612" t="s">
        <v>14</v>
      </c>
      <c r="F2612" t="s">
        <v>138</v>
      </c>
      <c r="H2612">
        <v>1020568</v>
      </c>
      <c r="I2612" t="s">
        <v>17</v>
      </c>
      <c r="K2612" t="s">
        <v>7216</v>
      </c>
      <c r="L2612">
        <v>133</v>
      </c>
      <c r="M2612" t="s">
        <v>7217</v>
      </c>
    </row>
    <row r="2613" spans="1:13">
      <c r="A2613" t="s">
        <v>13</v>
      </c>
      <c r="B2613">
        <v>2790763</v>
      </c>
      <c r="C2613">
        <v>2790835</v>
      </c>
      <c r="E2613" t="s">
        <v>38</v>
      </c>
      <c r="F2613" t="s">
        <v>948</v>
      </c>
      <c r="H2613">
        <v>2745299</v>
      </c>
      <c r="I2613" t="s">
        <v>62</v>
      </c>
      <c r="M2613" t="s">
        <v>7218</v>
      </c>
    </row>
    <row r="2614" spans="1:13">
      <c r="A2614" t="s">
        <v>13</v>
      </c>
      <c r="B2614">
        <v>2790983</v>
      </c>
      <c r="C2614">
        <v>2792452</v>
      </c>
      <c r="E2614" t="s">
        <v>14</v>
      </c>
      <c r="F2614" t="s">
        <v>7219</v>
      </c>
      <c r="G2614" t="s">
        <v>7220</v>
      </c>
      <c r="H2614">
        <v>1020569</v>
      </c>
      <c r="I2614" t="s">
        <v>17</v>
      </c>
      <c r="K2614" t="s">
        <v>7221</v>
      </c>
      <c r="L2614">
        <v>489</v>
      </c>
      <c r="M2614" t="s">
        <v>7222</v>
      </c>
    </row>
    <row r="2615" spans="1:13">
      <c r="A2615" t="s">
        <v>13</v>
      </c>
      <c r="B2615">
        <v>2792532</v>
      </c>
      <c r="C2615">
        <v>2792861</v>
      </c>
      <c r="E2615" t="s">
        <v>14</v>
      </c>
      <c r="F2615" t="s">
        <v>49</v>
      </c>
      <c r="H2615">
        <v>1020570</v>
      </c>
      <c r="I2615" t="s">
        <v>17</v>
      </c>
      <c r="K2615" t="s">
        <v>7223</v>
      </c>
      <c r="L2615">
        <v>109</v>
      </c>
      <c r="M2615" t="s">
        <v>7224</v>
      </c>
    </row>
    <row r="2616" spans="1:13">
      <c r="A2616" t="s">
        <v>13</v>
      </c>
      <c r="B2616">
        <v>2792874</v>
      </c>
      <c r="C2616">
        <v>2794331</v>
      </c>
      <c r="E2616" t="s">
        <v>14</v>
      </c>
      <c r="F2616" t="s">
        <v>7225</v>
      </c>
      <c r="H2616">
        <v>1020571</v>
      </c>
      <c r="I2616" t="s">
        <v>17</v>
      </c>
      <c r="K2616" t="s">
        <v>7226</v>
      </c>
      <c r="L2616">
        <v>485</v>
      </c>
      <c r="M2616" t="s">
        <v>7227</v>
      </c>
    </row>
    <row r="2617" spans="1:13">
      <c r="A2617" t="s">
        <v>13</v>
      </c>
      <c r="B2617">
        <v>2794328</v>
      </c>
      <c r="C2617">
        <v>2794816</v>
      </c>
      <c r="E2617" t="s">
        <v>14</v>
      </c>
      <c r="F2617" t="s">
        <v>409</v>
      </c>
      <c r="H2617">
        <v>1020572</v>
      </c>
      <c r="I2617" t="s">
        <v>17</v>
      </c>
      <c r="K2617" t="s">
        <v>7228</v>
      </c>
      <c r="L2617">
        <v>162</v>
      </c>
      <c r="M2617" t="s">
        <v>7229</v>
      </c>
    </row>
    <row r="2618" spans="1:13">
      <c r="A2618" t="s">
        <v>13</v>
      </c>
      <c r="B2618">
        <v>2794871</v>
      </c>
      <c r="C2618">
        <v>2795641</v>
      </c>
      <c r="E2618" t="s">
        <v>14</v>
      </c>
      <c r="F2618" t="s">
        <v>7230</v>
      </c>
      <c r="G2618" t="s">
        <v>7231</v>
      </c>
      <c r="H2618">
        <v>1020573</v>
      </c>
      <c r="I2618" t="s">
        <v>17</v>
      </c>
      <c r="K2618" t="s">
        <v>7232</v>
      </c>
      <c r="L2618">
        <v>256</v>
      </c>
      <c r="M2618" t="s">
        <v>7233</v>
      </c>
    </row>
    <row r="2619" spans="1:13">
      <c r="A2619" t="s">
        <v>13</v>
      </c>
      <c r="B2619">
        <v>2795674</v>
      </c>
      <c r="C2619">
        <v>2796756</v>
      </c>
      <c r="E2619" t="s">
        <v>38</v>
      </c>
      <c r="F2619" t="s">
        <v>532</v>
      </c>
      <c r="H2619">
        <v>1020574</v>
      </c>
      <c r="I2619" t="s">
        <v>17</v>
      </c>
      <c r="K2619" t="s">
        <v>7234</v>
      </c>
      <c r="L2619">
        <v>360</v>
      </c>
      <c r="M2619" t="s">
        <v>7235</v>
      </c>
    </row>
    <row r="2620" spans="1:13">
      <c r="A2620" t="s">
        <v>13</v>
      </c>
      <c r="B2620">
        <v>2796857</v>
      </c>
      <c r="C2620">
        <v>2797810</v>
      </c>
      <c r="E2620" t="s">
        <v>14</v>
      </c>
      <c r="F2620" t="s">
        <v>7236</v>
      </c>
      <c r="H2620">
        <v>1020575</v>
      </c>
      <c r="I2620" t="s">
        <v>17</v>
      </c>
      <c r="K2620" t="s">
        <v>7237</v>
      </c>
      <c r="L2620">
        <v>317</v>
      </c>
      <c r="M2620" t="s">
        <v>7238</v>
      </c>
    </row>
    <row r="2621" spans="1:13">
      <c r="A2621" t="s">
        <v>13</v>
      </c>
      <c r="B2621">
        <v>2797821</v>
      </c>
      <c r="C2621">
        <v>2798513</v>
      </c>
      <c r="E2621" t="s">
        <v>14</v>
      </c>
      <c r="F2621" t="s">
        <v>7239</v>
      </c>
      <c r="H2621">
        <v>1020576</v>
      </c>
      <c r="I2621" t="s">
        <v>17</v>
      </c>
      <c r="K2621" t="s">
        <v>7240</v>
      </c>
      <c r="L2621">
        <v>230</v>
      </c>
      <c r="M2621" t="s">
        <v>7241</v>
      </c>
    </row>
    <row r="2622" spans="1:13">
      <c r="A2622" t="s">
        <v>13</v>
      </c>
      <c r="B2622">
        <v>2798514</v>
      </c>
      <c r="C2622">
        <v>2799395</v>
      </c>
      <c r="E2622" t="s">
        <v>14</v>
      </c>
      <c r="F2622" t="s">
        <v>7242</v>
      </c>
      <c r="H2622">
        <v>1020577</v>
      </c>
      <c r="I2622" t="s">
        <v>17</v>
      </c>
      <c r="K2622" t="s">
        <v>7243</v>
      </c>
      <c r="L2622">
        <v>293</v>
      </c>
      <c r="M2622" t="s">
        <v>7244</v>
      </c>
    </row>
    <row r="2623" spans="1:13">
      <c r="A2623" t="s">
        <v>13</v>
      </c>
      <c r="B2623">
        <v>2799593</v>
      </c>
      <c r="C2623">
        <v>2801038</v>
      </c>
      <c r="E2623" t="s">
        <v>14</v>
      </c>
      <c r="F2623" t="s">
        <v>2074</v>
      </c>
      <c r="H2623">
        <v>1020578</v>
      </c>
      <c r="I2623" t="s">
        <v>17</v>
      </c>
      <c r="K2623" t="s">
        <v>2075</v>
      </c>
      <c r="L2623">
        <v>481</v>
      </c>
      <c r="M2623" t="s">
        <v>7245</v>
      </c>
    </row>
    <row r="2624" spans="1:13">
      <c r="A2624" t="s">
        <v>13</v>
      </c>
      <c r="B2624">
        <v>2801556</v>
      </c>
      <c r="C2624">
        <v>2803247</v>
      </c>
      <c r="E2624" t="s">
        <v>38</v>
      </c>
      <c r="F2624" t="s">
        <v>7246</v>
      </c>
      <c r="H2624">
        <v>1020580</v>
      </c>
      <c r="I2624" t="s">
        <v>17</v>
      </c>
      <c r="K2624" t="s">
        <v>7247</v>
      </c>
      <c r="L2624">
        <v>563</v>
      </c>
      <c r="M2624" t="s">
        <v>7248</v>
      </c>
    </row>
    <row r="2625" spans="1:13">
      <c r="A2625" t="s">
        <v>13</v>
      </c>
      <c r="B2625">
        <v>2803248</v>
      </c>
      <c r="C2625">
        <v>2803997</v>
      </c>
      <c r="E2625" t="s">
        <v>38</v>
      </c>
      <c r="F2625" t="s">
        <v>7249</v>
      </c>
      <c r="H2625">
        <v>1020581</v>
      </c>
      <c r="I2625" t="s">
        <v>17</v>
      </c>
      <c r="K2625" t="s">
        <v>7250</v>
      </c>
      <c r="L2625">
        <v>249</v>
      </c>
      <c r="M2625" t="s">
        <v>7251</v>
      </c>
    </row>
    <row r="2626" spans="1:13">
      <c r="A2626" t="s">
        <v>13</v>
      </c>
      <c r="B2626">
        <v>2804072</v>
      </c>
      <c r="C2626">
        <v>2805111</v>
      </c>
      <c r="E2626" t="s">
        <v>38</v>
      </c>
      <c r="F2626" t="s">
        <v>141</v>
      </c>
      <c r="H2626">
        <v>97006780</v>
      </c>
      <c r="I2626" t="s">
        <v>142</v>
      </c>
      <c r="M2626" t="s">
        <v>7252</v>
      </c>
    </row>
    <row r="2627" spans="1:13">
      <c r="A2627" t="s">
        <v>13</v>
      </c>
      <c r="B2627">
        <v>2805111</v>
      </c>
      <c r="C2627">
        <v>2806442</v>
      </c>
      <c r="E2627" t="s">
        <v>38</v>
      </c>
      <c r="F2627" t="s">
        <v>141</v>
      </c>
      <c r="H2627">
        <v>97006781</v>
      </c>
      <c r="I2627" t="s">
        <v>142</v>
      </c>
      <c r="M2627" t="s">
        <v>7253</v>
      </c>
    </row>
    <row r="2628" spans="1:13">
      <c r="A2628" t="s">
        <v>13</v>
      </c>
      <c r="B2628">
        <v>2806597</v>
      </c>
      <c r="C2628">
        <v>2807253</v>
      </c>
      <c r="E2628" t="s">
        <v>38</v>
      </c>
      <c r="F2628" t="s">
        <v>1618</v>
      </c>
      <c r="H2628">
        <v>1020587</v>
      </c>
      <c r="I2628" t="s">
        <v>17</v>
      </c>
      <c r="K2628" t="s">
        <v>7254</v>
      </c>
      <c r="L2628">
        <v>218</v>
      </c>
      <c r="M2628" t="s">
        <v>7255</v>
      </c>
    </row>
    <row r="2629" spans="1:13">
      <c r="A2629" t="s">
        <v>13</v>
      </c>
      <c r="B2629">
        <v>2807424</v>
      </c>
      <c r="C2629">
        <v>2808365</v>
      </c>
      <c r="E2629" t="s">
        <v>38</v>
      </c>
      <c r="F2629" t="s">
        <v>7256</v>
      </c>
      <c r="G2629" t="s">
        <v>7257</v>
      </c>
      <c r="H2629">
        <v>1020588</v>
      </c>
      <c r="I2629" t="s">
        <v>17</v>
      </c>
      <c r="K2629" t="s">
        <v>7258</v>
      </c>
      <c r="L2629">
        <v>313</v>
      </c>
      <c r="M2629" t="s">
        <v>7259</v>
      </c>
    </row>
    <row r="2630" spans="1:13">
      <c r="A2630" t="s">
        <v>13</v>
      </c>
      <c r="B2630">
        <v>2808397</v>
      </c>
      <c r="C2630">
        <v>2809779</v>
      </c>
      <c r="E2630" t="s">
        <v>38</v>
      </c>
      <c r="F2630" t="s">
        <v>7260</v>
      </c>
      <c r="G2630" t="s">
        <v>7261</v>
      </c>
      <c r="H2630">
        <v>1020589</v>
      </c>
      <c r="I2630" t="s">
        <v>17</v>
      </c>
      <c r="K2630" t="s">
        <v>7262</v>
      </c>
      <c r="L2630">
        <v>460</v>
      </c>
      <c r="M2630" t="s">
        <v>7263</v>
      </c>
    </row>
    <row r="2631" spans="1:13">
      <c r="A2631" t="s">
        <v>13</v>
      </c>
      <c r="B2631">
        <v>2809822</v>
      </c>
      <c r="C2631">
        <v>2811807</v>
      </c>
      <c r="E2631" t="s">
        <v>38</v>
      </c>
      <c r="F2631" t="s">
        <v>7264</v>
      </c>
      <c r="H2631">
        <v>1020590</v>
      </c>
      <c r="I2631" t="s">
        <v>17</v>
      </c>
      <c r="K2631" t="s">
        <v>7265</v>
      </c>
      <c r="L2631">
        <v>661</v>
      </c>
      <c r="M2631" t="s">
        <v>7266</v>
      </c>
    </row>
    <row r="2632" spans="1:13">
      <c r="A2632" t="s">
        <v>13</v>
      </c>
      <c r="B2632">
        <v>2811958</v>
      </c>
      <c r="C2632">
        <v>2813259</v>
      </c>
      <c r="E2632" t="s">
        <v>38</v>
      </c>
      <c r="F2632" t="s">
        <v>7267</v>
      </c>
      <c r="G2632" t="s">
        <v>7268</v>
      </c>
      <c r="H2632">
        <v>1020591</v>
      </c>
      <c r="I2632" t="s">
        <v>17</v>
      </c>
      <c r="K2632" t="s">
        <v>7269</v>
      </c>
      <c r="L2632">
        <v>433</v>
      </c>
      <c r="M2632" t="s">
        <v>7270</v>
      </c>
    </row>
    <row r="2633" spans="1:13">
      <c r="A2633" t="s">
        <v>13</v>
      </c>
      <c r="B2633">
        <v>2813277</v>
      </c>
      <c r="C2633">
        <v>2814038</v>
      </c>
      <c r="E2633" t="s">
        <v>38</v>
      </c>
      <c r="F2633" t="s">
        <v>7271</v>
      </c>
      <c r="G2633" t="s">
        <v>7272</v>
      </c>
      <c r="H2633">
        <v>1020592</v>
      </c>
      <c r="I2633" t="s">
        <v>17</v>
      </c>
      <c r="K2633" t="s">
        <v>7273</v>
      </c>
      <c r="L2633">
        <v>253</v>
      </c>
      <c r="M2633" t="s">
        <v>7274</v>
      </c>
    </row>
    <row r="2634" spans="1:13">
      <c r="A2634" t="s">
        <v>13</v>
      </c>
      <c r="B2634">
        <v>2814079</v>
      </c>
      <c r="C2634">
        <v>2815245</v>
      </c>
      <c r="E2634" t="s">
        <v>38</v>
      </c>
      <c r="F2634" t="s">
        <v>7275</v>
      </c>
      <c r="H2634">
        <v>1020593</v>
      </c>
      <c r="I2634" t="s">
        <v>17</v>
      </c>
      <c r="K2634" t="s">
        <v>7276</v>
      </c>
      <c r="L2634">
        <v>388</v>
      </c>
      <c r="M2634" t="s">
        <v>7277</v>
      </c>
    </row>
    <row r="2635" spans="1:13">
      <c r="A2635" t="s">
        <v>13</v>
      </c>
      <c r="B2635">
        <v>2815459</v>
      </c>
      <c r="C2635">
        <v>2816397</v>
      </c>
      <c r="E2635" t="s">
        <v>14</v>
      </c>
      <c r="F2635" t="s">
        <v>7278</v>
      </c>
      <c r="H2635">
        <v>1020594</v>
      </c>
      <c r="I2635" t="s">
        <v>17</v>
      </c>
      <c r="K2635" t="s">
        <v>7279</v>
      </c>
      <c r="L2635">
        <v>312</v>
      </c>
      <c r="M2635" t="s">
        <v>7280</v>
      </c>
    </row>
    <row r="2636" spans="1:13">
      <c r="A2636" t="s">
        <v>13</v>
      </c>
      <c r="B2636">
        <v>2816410</v>
      </c>
      <c r="C2636">
        <v>2817321</v>
      </c>
      <c r="E2636" t="s">
        <v>14</v>
      </c>
      <c r="F2636" t="s">
        <v>7281</v>
      </c>
      <c r="H2636">
        <v>1020595</v>
      </c>
      <c r="I2636" t="s">
        <v>17</v>
      </c>
      <c r="K2636" t="s">
        <v>7282</v>
      </c>
      <c r="L2636">
        <v>303</v>
      </c>
      <c r="M2636" t="s">
        <v>7283</v>
      </c>
    </row>
    <row r="2637" spans="1:13">
      <c r="A2637" t="s">
        <v>13</v>
      </c>
      <c r="B2637">
        <v>2817364</v>
      </c>
      <c r="C2637">
        <v>2818062</v>
      </c>
      <c r="E2637" t="s">
        <v>14</v>
      </c>
      <c r="F2637" t="s">
        <v>7284</v>
      </c>
      <c r="H2637">
        <v>1020597</v>
      </c>
      <c r="I2637" t="s">
        <v>17</v>
      </c>
      <c r="K2637" t="s">
        <v>7285</v>
      </c>
      <c r="L2637">
        <v>232</v>
      </c>
      <c r="M2637" t="s">
        <v>7286</v>
      </c>
    </row>
    <row r="2638" spans="1:13">
      <c r="A2638" t="s">
        <v>13</v>
      </c>
      <c r="B2638">
        <v>2818348</v>
      </c>
      <c r="C2638">
        <v>2819565</v>
      </c>
      <c r="E2638" t="s">
        <v>38</v>
      </c>
      <c r="F2638" t="s">
        <v>4381</v>
      </c>
      <c r="H2638">
        <v>1020598</v>
      </c>
      <c r="I2638" t="s">
        <v>17</v>
      </c>
      <c r="K2638" t="s">
        <v>7287</v>
      </c>
      <c r="L2638">
        <v>405</v>
      </c>
      <c r="M2638" t="s">
        <v>7288</v>
      </c>
    </row>
    <row r="2639" spans="1:13">
      <c r="A2639" t="s">
        <v>13</v>
      </c>
      <c r="B2639">
        <v>2819555</v>
      </c>
      <c r="C2639">
        <v>2820277</v>
      </c>
      <c r="E2639" t="s">
        <v>38</v>
      </c>
      <c r="F2639" t="s">
        <v>4846</v>
      </c>
      <c r="H2639">
        <v>1020599</v>
      </c>
      <c r="I2639" t="s">
        <v>17</v>
      </c>
      <c r="K2639" t="s">
        <v>7289</v>
      </c>
      <c r="L2639">
        <v>240</v>
      </c>
      <c r="M2639" t="s">
        <v>7290</v>
      </c>
    </row>
    <row r="2640" spans="1:13">
      <c r="A2640" t="s">
        <v>13</v>
      </c>
      <c r="B2640">
        <v>2820585</v>
      </c>
      <c r="C2640">
        <v>2822195</v>
      </c>
      <c r="E2640" t="s">
        <v>14</v>
      </c>
      <c r="F2640" t="s">
        <v>1008</v>
      </c>
      <c r="H2640">
        <v>1020600</v>
      </c>
      <c r="I2640" t="s">
        <v>17</v>
      </c>
      <c r="K2640" t="s">
        <v>7291</v>
      </c>
      <c r="L2640">
        <v>536</v>
      </c>
      <c r="M2640" t="s">
        <v>7292</v>
      </c>
    </row>
    <row r="2641" spans="1:13">
      <c r="A2641" t="s">
        <v>13</v>
      </c>
      <c r="B2641">
        <v>2822376</v>
      </c>
      <c r="C2641">
        <v>2823341</v>
      </c>
      <c r="E2641" t="s">
        <v>14</v>
      </c>
      <c r="F2641" t="s">
        <v>124</v>
      </c>
      <c r="H2641">
        <v>1020601</v>
      </c>
      <c r="I2641" t="s">
        <v>17</v>
      </c>
      <c r="K2641" t="s">
        <v>7293</v>
      </c>
      <c r="L2641">
        <v>321</v>
      </c>
      <c r="M2641" t="s">
        <v>7294</v>
      </c>
    </row>
    <row r="2642" spans="1:13">
      <c r="A2642" t="s">
        <v>13</v>
      </c>
      <c r="B2642">
        <v>2823342</v>
      </c>
      <c r="C2642">
        <v>2825345</v>
      </c>
      <c r="E2642" t="s">
        <v>14</v>
      </c>
      <c r="F2642" t="s">
        <v>7295</v>
      </c>
      <c r="H2642">
        <v>44145002</v>
      </c>
      <c r="I2642" t="s">
        <v>17</v>
      </c>
      <c r="K2642" t="s">
        <v>7296</v>
      </c>
      <c r="L2642">
        <v>667</v>
      </c>
      <c r="M2642" t="s">
        <v>7297</v>
      </c>
    </row>
    <row r="2643" spans="1:13">
      <c r="A2643" t="s">
        <v>13</v>
      </c>
      <c r="B2643">
        <v>2825342</v>
      </c>
      <c r="C2643">
        <v>2826160</v>
      </c>
      <c r="E2643" t="s">
        <v>14</v>
      </c>
      <c r="F2643" t="s">
        <v>147</v>
      </c>
      <c r="H2643">
        <v>1020603</v>
      </c>
      <c r="I2643" t="s">
        <v>17</v>
      </c>
      <c r="K2643" t="s">
        <v>7298</v>
      </c>
      <c r="L2643">
        <v>272</v>
      </c>
      <c r="M2643" t="s">
        <v>7299</v>
      </c>
    </row>
    <row r="2644" spans="1:13">
      <c r="A2644" t="s">
        <v>13</v>
      </c>
      <c r="B2644">
        <v>2826213</v>
      </c>
      <c r="C2644">
        <v>2826836</v>
      </c>
      <c r="E2644" t="s">
        <v>38</v>
      </c>
      <c r="F2644" t="s">
        <v>463</v>
      </c>
      <c r="H2644">
        <v>1020604</v>
      </c>
      <c r="I2644" t="s">
        <v>17</v>
      </c>
      <c r="K2644" t="s">
        <v>7300</v>
      </c>
      <c r="L2644">
        <v>207</v>
      </c>
      <c r="M2644" t="s">
        <v>7301</v>
      </c>
    </row>
    <row r="2645" spans="1:13">
      <c r="A2645" t="s">
        <v>13</v>
      </c>
      <c r="B2645">
        <v>2826908</v>
      </c>
      <c r="C2645">
        <v>2827408</v>
      </c>
      <c r="E2645" t="s">
        <v>14</v>
      </c>
      <c r="F2645" t="s">
        <v>788</v>
      </c>
      <c r="H2645">
        <v>1020605</v>
      </c>
      <c r="I2645" t="s">
        <v>17</v>
      </c>
      <c r="K2645" t="s">
        <v>7302</v>
      </c>
      <c r="L2645">
        <v>166</v>
      </c>
      <c r="M2645" t="s">
        <v>7303</v>
      </c>
    </row>
    <row r="2646" spans="1:13">
      <c r="A2646" t="s">
        <v>13</v>
      </c>
      <c r="B2646">
        <v>2827456</v>
      </c>
      <c r="C2646">
        <v>2827818</v>
      </c>
      <c r="E2646" t="s">
        <v>38</v>
      </c>
      <c r="F2646" t="s">
        <v>49</v>
      </c>
      <c r="H2646">
        <v>1020606</v>
      </c>
      <c r="I2646" t="s">
        <v>17</v>
      </c>
      <c r="K2646" t="s">
        <v>7304</v>
      </c>
      <c r="L2646">
        <v>120</v>
      </c>
      <c r="M2646" t="s">
        <v>7305</v>
      </c>
    </row>
    <row r="2647" spans="1:13">
      <c r="A2647" t="s">
        <v>13</v>
      </c>
      <c r="B2647">
        <v>2827902</v>
      </c>
      <c r="C2647">
        <v>2828384</v>
      </c>
      <c r="E2647" t="s">
        <v>38</v>
      </c>
      <c r="F2647" t="s">
        <v>7306</v>
      </c>
      <c r="G2647" t="s">
        <v>7307</v>
      </c>
      <c r="H2647">
        <v>1020607</v>
      </c>
      <c r="I2647" t="s">
        <v>17</v>
      </c>
      <c r="K2647" t="s">
        <v>7308</v>
      </c>
      <c r="L2647">
        <v>160</v>
      </c>
      <c r="M2647" t="s">
        <v>7309</v>
      </c>
    </row>
    <row r="2648" spans="1:13">
      <c r="A2648" t="s">
        <v>13</v>
      </c>
      <c r="B2648">
        <v>2828377</v>
      </c>
      <c r="C2648">
        <v>2829147</v>
      </c>
      <c r="E2648" t="s">
        <v>38</v>
      </c>
      <c r="F2648" t="s">
        <v>7310</v>
      </c>
      <c r="G2648" t="s">
        <v>7311</v>
      </c>
      <c r="H2648">
        <v>1020608</v>
      </c>
      <c r="I2648" t="s">
        <v>17</v>
      </c>
      <c r="K2648" t="s">
        <v>7312</v>
      </c>
      <c r="L2648">
        <v>256</v>
      </c>
      <c r="M2648" t="s">
        <v>7313</v>
      </c>
    </row>
    <row r="2649" spans="1:13">
      <c r="A2649" t="s">
        <v>13</v>
      </c>
      <c r="B2649">
        <v>2829154</v>
      </c>
      <c r="C2649">
        <v>2829750</v>
      </c>
      <c r="E2649" t="s">
        <v>38</v>
      </c>
      <c r="F2649" t="s">
        <v>7314</v>
      </c>
      <c r="H2649">
        <v>1020609</v>
      </c>
      <c r="I2649" t="s">
        <v>17</v>
      </c>
      <c r="K2649" t="s">
        <v>7315</v>
      </c>
      <c r="L2649">
        <v>198</v>
      </c>
      <c r="M2649" t="s">
        <v>7316</v>
      </c>
    </row>
    <row r="2650" spans="1:13">
      <c r="A2650" t="s">
        <v>13</v>
      </c>
      <c r="B2650">
        <v>2830058</v>
      </c>
      <c r="C2650">
        <v>2830783</v>
      </c>
      <c r="E2650" t="s">
        <v>14</v>
      </c>
      <c r="F2650" t="s">
        <v>835</v>
      </c>
      <c r="H2650">
        <v>1020611</v>
      </c>
      <c r="I2650" t="s">
        <v>17</v>
      </c>
      <c r="K2650" t="s">
        <v>7317</v>
      </c>
      <c r="L2650">
        <v>241</v>
      </c>
      <c r="M2650" t="s">
        <v>7318</v>
      </c>
    </row>
    <row r="2651" spans="1:13">
      <c r="A2651" t="s">
        <v>13</v>
      </c>
      <c r="B2651">
        <v>2830780</v>
      </c>
      <c r="C2651">
        <v>2831898</v>
      </c>
      <c r="E2651" t="s">
        <v>14</v>
      </c>
      <c r="F2651" t="s">
        <v>237</v>
      </c>
      <c r="H2651">
        <v>1020612</v>
      </c>
      <c r="I2651" t="s">
        <v>17</v>
      </c>
      <c r="K2651" t="s">
        <v>7319</v>
      </c>
      <c r="L2651">
        <v>372</v>
      </c>
      <c r="M2651" t="s">
        <v>7320</v>
      </c>
    </row>
    <row r="2652" spans="1:13">
      <c r="A2652" t="s">
        <v>13</v>
      </c>
      <c r="B2652">
        <v>2832086</v>
      </c>
      <c r="C2652">
        <v>2832670</v>
      </c>
      <c r="E2652" t="s">
        <v>14</v>
      </c>
      <c r="F2652" t="s">
        <v>49</v>
      </c>
      <c r="H2652">
        <v>1020613</v>
      </c>
      <c r="I2652" t="s">
        <v>17</v>
      </c>
      <c r="K2652" t="s">
        <v>7321</v>
      </c>
      <c r="L2652">
        <v>194</v>
      </c>
      <c r="M2652" t="s">
        <v>7322</v>
      </c>
    </row>
    <row r="2653" spans="1:13">
      <c r="A2653" t="s">
        <v>13</v>
      </c>
      <c r="B2653">
        <v>2832791</v>
      </c>
      <c r="C2653">
        <v>2834185</v>
      </c>
      <c r="E2653" t="s">
        <v>14</v>
      </c>
      <c r="F2653" t="s">
        <v>7323</v>
      </c>
      <c r="G2653" t="s">
        <v>7324</v>
      </c>
      <c r="H2653">
        <v>1020614</v>
      </c>
      <c r="I2653" t="s">
        <v>17</v>
      </c>
      <c r="K2653" t="s">
        <v>7325</v>
      </c>
      <c r="L2653">
        <v>464</v>
      </c>
      <c r="M2653" t="s">
        <v>7326</v>
      </c>
    </row>
    <row r="2654" spans="1:13">
      <c r="A2654" t="s">
        <v>13</v>
      </c>
      <c r="B2654">
        <v>2834189</v>
      </c>
      <c r="C2654">
        <v>2835289</v>
      </c>
      <c r="E2654" t="s">
        <v>14</v>
      </c>
      <c r="F2654" t="s">
        <v>7327</v>
      </c>
      <c r="G2654" t="s">
        <v>7328</v>
      </c>
      <c r="H2654">
        <v>1020615</v>
      </c>
      <c r="I2654" t="s">
        <v>17</v>
      </c>
      <c r="K2654" t="s">
        <v>7329</v>
      </c>
      <c r="L2654">
        <v>366</v>
      </c>
      <c r="M2654" t="s">
        <v>7330</v>
      </c>
    </row>
    <row r="2655" spans="1:13">
      <c r="A2655" t="s">
        <v>13</v>
      </c>
      <c r="B2655">
        <v>2835281</v>
      </c>
      <c r="C2655">
        <v>2835970</v>
      </c>
      <c r="E2655" t="s">
        <v>38</v>
      </c>
      <c r="F2655" t="s">
        <v>49</v>
      </c>
      <c r="H2655">
        <v>1020616</v>
      </c>
      <c r="I2655" t="s">
        <v>17</v>
      </c>
      <c r="K2655" t="s">
        <v>7331</v>
      </c>
      <c r="L2655">
        <v>229</v>
      </c>
      <c r="M2655" t="s">
        <v>7332</v>
      </c>
    </row>
    <row r="2656" spans="1:13">
      <c r="A2656" t="s">
        <v>13</v>
      </c>
      <c r="B2656">
        <v>2836046</v>
      </c>
      <c r="C2656">
        <v>2837500</v>
      </c>
      <c r="E2656" t="s">
        <v>38</v>
      </c>
      <c r="F2656" t="s">
        <v>1592</v>
      </c>
      <c r="H2656">
        <v>1020617</v>
      </c>
      <c r="I2656" t="s">
        <v>17</v>
      </c>
      <c r="K2656" t="s">
        <v>7333</v>
      </c>
      <c r="L2656">
        <v>484</v>
      </c>
      <c r="M2656" t="s">
        <v>7334</v>
      </c>
    </row>
    <row r="2657" spans="1:13">
      <c r="A2657" t="s">
        <v>13</v>
      </c>
      <c r="B2657">
        <v>2837954</v>
      </c>
      <c r="C2657">
        <v>2838577</v>
      </c>
      <c r="E2657" t="s">
        <v>38</v>
      </c>
      <c r="F2657" t="s">
        <v>7335</v>
      </c>
      <c r="H2657">
        <v>1020618</v>
      </c>
      <c r="I2657" t="s">
        <v>17</v>
      </c>
      <c r="K2657" t="s">
        <v>7336</v>
      </c>
      <c r="L2657">
        <v>207</v>
      </c>
      <c r="M2657" t="s">
        <v>7337</v>
      </c>
    </row>
    <row r="2658" spans="1:13">
      <c r="A2658" t="s">
        <v>13</v>
      </c>
      <c r="B2658">
        <v>2838644</v>
      </c>
      <c r="C2658">
        <v>2839525</v>
      </c>
      <c r="E2658" t="s">
        <v>14</v>
      </c>
      <c r="F2658" t="s">
        <v>7338</v>
      </c>
      <c r="H2658">
        <v>1020619</v>
      </c>
      <c r="I2658" t="s">
        <v>17</v>
      </c>
      <c r="K2658" t="s">
        <v>7339</v>
      </c>
      <c r="L2658">
        <v>293</v>
      </c>
      <c r="M2658" t="s">
        <v>7340</v>
      </c>
    </row>
    <row r="2659" spans="1:13">
      <c r="A2659" t="s">
        <v>13</v>
      </c>
      <c r="B2659">
        <v>2839563</v>
      </c>
      <c r="C2659">
        <v>2840720</v>
      </c>
      <c r="E2659" t="s">
        <v>14</v>
      </c>
      <c r="F2659" t="s">
        <v>49</v>
      </c>
      <c r="H2659">
        <v>1020620</v>
      </c>
      <c r="I2659" t="s">
        <v>17</v>
      </c>
      <c r="K2659" t="s">
        <v>7341</v>
      </c>
      <c r="L2659">
        <v>385</v>
      </c>
      <c r="M2659" t="s">
        <v>7342</v>
      </c>
    </row>
    <row r="2660" spans="1:13">
      <c r="A2660" t="s">
        <v>13</v>
      </c>
      <c r="B2660">
        <v>2840756</v>
      </c>
      <c r="C2660">
        <v>2840929</v>
      </c>
      <c r="E2660" t="s">
        <v>38</v>
      </c>
      <c r="F2660" t="s">
        <v>7343</v>
      </c>
      <c r="H2660">
        <v>44145003</v>
      </c>
      <c r="I2660" t="s">
        <v>17</v>
      </c>
      <c r="K2660" t="s">
        <v>7344</v>
      </c>
      <c r="L2660">
        <v>57</v>
      </c>
      <c r="M2660" t="s">
        <v>7345</v>
      </c>
    </row>
    <row r="2661" spans="1:13">
      <c r="A2661" t="s">
        <v>13</v>
      </c>
      <c r="B2661">
        <v>2841076</v>
      </c>
      <c r="C2661">
        <v>2841852</v>
      </c>
      <c r="E2661" t="s">
        <v>14</v>
      </c>
      <c r="F2661" t="s">
        <v>7346</v>
      </c>
      <c r="H2661">
        <v>1020621</v>
      </c>
      <c r="I2661" t="s">
        <v>17</v>
      </c>
      <c r="K2661" t="s">
        <v>7347</v>
      </c>
      <c r="L2661">
        <v>258</v>
      </c>
      <c r="M2661" t="s">
        <v>7348</v>
      </c>
    </row>
    <row r="2662" spans="1:13">
      <c r="A2662" t="s">
        <v>13</v>
      </c>
      <c r="B2662">
        <v>2842494</v>
      </c>
      <c r="C2662">
        <v>2843237</v>
      </c>
      <c r="E2662" t="s">
        <v>14</v>
      </c>
      <c r="F2662" t="s">
        <v>7349</v>
      </c>
      <c r="H2662">
        <v>1020622</v>
      </c>
      <c r="I2662" t="s">
        <v>17</v>
      </c>
      <c r="K2662" t="s">
        <v>7350</v>
      </c>
      <c r="L2662">
        <v>247</v>
      </c>
      <c r="M2662" t="s">
        <v>7351</v>
      </c>
    </row>
    <row r="2663" spans="1:13">
      <c r="A2663" t="s">
        <v>13</v>
      </c>
      <c r="B2663">
        <v>2843430</v>
      </c>
      <c r="C2663">
        <v>2843723</v>
      </c>
      <c r="E2663" t="s">
        <v>38</v>
      </c>
      <c r="F2663" t="s">
        <v>2646</v>
      </c>
      <c r="H2663">
        <v>1020623</v>
      </c>
      <c r="I2663" t="s">
        <v>17</v>
      </c>
      <c r="K2663" t="s">
        <v>7352</v>
      </c>
      <c r="L2663">
        <v>97</v>
      </c>
      <c r="M2663" t="s">
        <v>7353</v>
      </c>
    </row>
    <row r="2664" spans="1:13">
      <c r="A2664" t="s">
        <v>13</v>
      </c>
      <c r="B2664">
        <v>2844164</v>
      </c>
      <c r="C2664">
        <v>2846941</v>
      </c>
      <c r="E2664" t="s">
        <v>38</v>
      </c>
      <c r="F2664" t="s">
        <v>4932</v>
      </c>
      <c r="H2664">
        <v>1020624</v>
      </c>
      <c r="I2664" t="s">
        <v>17</v>
      </c>
      <c r="K2664" t="s">
        <v>7354</v>
      </c>
      <c r="L2664">
        <v>925</v>
      </c>
      <c r="M2664" t="s">
        <v>7355</v>
      </c>
    </row>
    <row r="2665" spans="1:13">
      <c r="A2665" t="s">
        <v>13</v>
      </c>
      <c r="B2665">
        <v>2847230</v>
      </c>
      <c r="C2665">
        <v>2848663</v>
      </c>
      <c r="E2665" t="s">
        <v>14</v>
      </c>
      <c r="F2665" t="s">
        <v>7356</v>
      </c>
      <c r="H2665">
        <v>1020625</v>
      </c>
      <c r="I2665" t="s">
        <v>17</v>
      </c>
      <c r="K2665" t="s">
        <v>7357</v>
      </c>
      <c r="L2665">
        <v>477</v>
      </c>
      <c r="M2665" t="s">
        <v>7358</v>
      </c>
    </row>
    <row r="2666" spans="1:13">
      <c r="A2666" t="s">
        <v>13</v>
      </c>
      <c r="B2666">
        <v>2848851</v>
      </c>
      <c r="C2666">
        <v>2849783</v>
      </c>
      <c r="E2666" t="s">
        <v>14</v>
      </c>
      <c r="F2666" t="s">
        <v>138</v>
      </c>
      <c r="H2666">
        <v>1020626</v>
      </c>
      <c r="I2666" t="s">
        <v>17</v>
      </c>
      <c r="K2666" t="s">
        <v>7359</v>
      </c>
      <c r="L2666">
        <v>310</v>
      </c>
      <c r="M2666" t="s">
        <v>7360</v>
      </c>
    </row>
    <row r="2667" spans="1:13">
      <c r="A2667" t="s">
        <v>13</v>
      </c>
      <c r="B2667">
        <v>2849936</v>
      </c>
      <c r="C2667">
        <v>2851819</v>
      </c>
      <c r="E2667" t="s">
        <v>14</v>
      </c>
      <c r="F2667" t="s">
        <v>7361</v>
      </c>
      <c r="H2667">
        <v>1020627</v>
      </c>
      <c r="I2667" t="s">
        <v>17</v>
      </c>
      <c r="K2667" t="s">
        <v>7362</v>
      </c>
      <c r="L2667">
        <v>627</v>
      </c>
      <c r="M2667" t="s">
        <v>7363</v>
      </c>
    </row>
    <row r="2668" spans="1:13">
      <c r="A2668" t="s">
        <v>13</v>
      </c>
      <c r="B2668">
        <v>2852018</v>
      </c>
      <c r="C2668">
        <v>2853736</v>
      </c>
      <c r="E2668" t="s">
        <v>14</v>
      </c>
      <c r="F2668" t="s">
        <v>49</v>
      </c>
      <c r="H2668">
        <v>1020628</v>
      </c>
      <c r="I2668" t="s">
        <v>17</v>
      </c>
      <c r="K2668" t="s">
        <v>7364</v>
      </c>
      <c r="L2668">
        <v>572</v>
      </c>
      <c r="M2668" t="s">
        <v>7365</v>
      </c>
    </row>
    <row r="2669" spans="1:13">
      <c r="A2669" t="s">
        <v>13</v>
      </c>
      <c r="B2669">
        <v>2853770</v>
      </c>
      <c r="C2669">
        <v>2855713</v>
      </c>
      <c r="E2669" t="s">
        <v>14</v>
      </c>
      <c r="F2669" t="s">
        <v>49</v>
      </c>
      <c r="H2669">
        <v>1020629</v>
      </c>
      <c r="I2669" t="s">
        <v>17</v>
      </c>
      <c r="K2669" t="s">
        <v>7366</v>
      </c>
      <c r="L2669">
        <v>647</v>
      </c>
      <c r="M2669" t="s">
        <v>7367</v>
      </c>
    </row>
    <row r="2670" spans="1:13">
      <c r="A2670" t="s">
        <v>13</v>
      </c>
      <c r="B2670">
        <v>2855796</v>
      </c>
      <c r="C2670">
        <v>2857520</v>
      </c>
      <c r="E2670" t="s">
        <v>14</v>
      </c>
      <c r="F2670" t="s">
        <v>49</v>
      </c>
      <c r="H2670">
        <v>1020630</v>
      </c>
      <c r="I2670" t="s">
        <v>17</v>
      </c>
      <c r="K2670" t="s">
        <v>7368</v>
      </c>
      <c r="L2670">
        <v>574</v>
      </c>
      <c r="M2670" t="s">
        <v>7369</v>
      </c>
    </row>
    <row r="2671" spans="1:13">
      <c r="A2671" t="s">
        <v>13</v>
      </c>
      <c r="B2671">
        <v>2857611</v>
      </c>
      <c r="C2671">
        <v>2859056</v>
      </c>
      <c r="E2671" t="s">
        <v>38</v>
      </c>
      <c r="F2671" t="s">
        <v>1129</v>
      </c>
      <c r="H2671">
        <v>1020631</v>
      </c>
      <c r="I2671" t="s">
        <v>17</v>
      </c>
      <c r="K2671" t="s">
        <v>7370</v>
      </c>
      <c r="L2671">
        <v>481</v>
      </c>
      <c r="M2671" t="s">
        <v>7371</v>
      </c>
    </row>
    <row r="2672" spans="1:13">
      <c r="A2672" t="s">
        <v>13</v>
      </c>
      <c r="B2672">
        <v>2859193</v>
      </c>
      <c r="C2672">
        <v>2860146</v>
      </c>
      <c r="E2672" t="s">
        <v>38</v>
      </c>
      <c r="F2672" t="s">
        <v>7372</v>
      </c>
      <c r="H2672">
        <v>1020632</v>
      </c>
      <c r="I2672" t="s">
        <v>17</v>
      </c>
      <c r="K2672" t="s">
        <v>7373</v>
      </c>
      <c r="L2672">
        <v>317</v>
      </c>
      <c r="M2672" t="s">
        <v>7374</v>
      </c>
    </row>
    <row r="2673" spans="1:13">
      <c r="A2673" t="s">
        <v>13</v>
      </c>
      <c r="B2673">
        <v>2860503</v>
      </c>
      <c r="C2673">
        <v>2862083</v>
      </c>
      <c r="E2673" t="s">
        <v>38</v>
      </c>
      <c r="F2673" t="s">
        <v>7375</v>
      </c>
      <c r="G2673" t="s">
        <v>7376</v>
      </c>
      <c r="H2673">
        <v>1020633</v>
      </c>
      <c r="I2673" t="s">
        <v>17</v>
      </c>
      <c r="K2673" t="s">
        <v>7377</v>
      </c>
      <c r="L2673">
        <v>526</v>
      </c>
      <c r="M2673" t="s">
        <v>7378</v>
      </c>
    </row>
    <row r="2674" spans="1:13">
      <c r="A2674" t="s">
        <v>13</v>
      </c>
      <c r="B2674">
        <v>2862130</v>
      </c>
      <c r="C2674">
        <v>2862930</v>
      </c>
      <c r="E2674" t="s">
        <v>38</v>
      </c>
      <c r="F2674" t="s">
        <v>7379</v>
      </c>
      <c r="H2674">
        <v>1020634</v>
      </c>
      <c r="I2674" t="s">
        <v>17</v>
      </c>
      <c r="K2674" t="s">
        <v>7380</v>
      </c>
      <c r="L2674">
        <v>266</v>
      </c>
      <c r="M2674" t="s">
        <v>7381</v>
      </c>
    </row>
    <row r="2675" spans="1:13">
      <c r="A2675" t="s">
        <v>13</v>
      </c>
      <c r="B2675">
        <v>2862927</v>
      </c>
      <c r="C2675">
        <v>2863622</v>
      </c>
      <c r="E2675" t="s">
        <v>38</v>
      </c>
      <c r="F2675" t="s">
        <v>49</v>
      </c>
      <c r="H2675">
        <v>1020635</v>
      </c>
      <c r="I2675" t="s">
        <v>17</v>
      </c>
      <c r="K2675" t="s">
        <v>7382</v>
      </c>
      <c r="L2675">
        <v>231</v>
      </c>
      <c r="M2675" t="s">
        <v>7383</v>
      </c>
    </row>
    <row r="2676" spans="1:13">
      <c r="A2676" t="s">
        <v>13</v>
      </c>
      <c r="B2676">
        <v>2863622</v>
      </c>
      <c r="C2676">
        <v>2864371</v>
      </c>
      <c r="E2676" t="s">
        <v>38</v>
      </c>
      <c r="F2676" t="s">
        <v>7384</v>
      </c>
      <c r="H2676">
        <v>1020636</v>
      </c>
      <c r="I2676" t="s">
        <v>17</v>
      </c>
      <c r="K2676" t="s">
        <v>7385</v>
      </c>
      <c r="L2676">
        <v>249</v>
      </c>
      <c r="M2676" t="s">
        <v>7386</v>
      </c>
    </row>
    <row r="2677" spans="1:13">
      <c r="A2677" t="s">
        <v>13</v>
      </c>
      <c r="B2677">
        <v>2864382</v>
      </c>
      <c r="C2677">
        <v>2864849</v>
      </c>
      <c r="E2677" t="s">
        <v>38</v>
      </c>
      <c r="F2677" t="s">
        <v>7387</v>
      </c>
      <c r="H2677">
        <v>1020637</v>
      </c>
      <c r="I2677" t="s">
        <v>17</v>
      </c>
      <c r="K2677" t="s">
        <v>7388</v>
      </c>
      <c r="L2677">
        <v>155</v>
      </c>
      <c r="M2677" t="s">
        <v>7389</v>
      </c>
    </row>
    <row r="2678" spans="1:13">
      <c r="A2678" t="s">
        <v>13</v>
      </c>
      <c r="B2678">
        <v>2864865</v>
      </c>
      <c r="C2678">
        <v>2865344</v>
      </c>
      <c r="E2678" t="s">
        <v>38</v>
      </c>
      <c r="F2678" t="s">
        <v>7390</v>
      </c>
      <c r="G2678" t="s">
        <v>7391</v>
      </c>
      <c r="H2678">
        <v>1020638</v>
      </c>
      <c r="I2678" t="s">
        <v>17</v>
      </c>
      <c r="K2678" t="s">
        <v>7392</v>
      </c>
      <c r="L2678">
        <v>159</v>
      </c>
      <c r="M2678" t="s">
        <v>7393</v>
      </c>
    </row>
    <row r="2679" spans="1:13">
      <c r="A2679" t="s">
        <v>13</v>
      </c>
      <c r="B2679">
        <v>2865344</v>
      </c>
      <c r="C2679">
        <v>2865736</v>
      </c>
      <c r="E2679" t="s">
        <v>38</v>
      </c>
      <c r="F2679" t="s">
        <v>7394</v>
      </c>
      <c r="G2679" t="s">
        <v>7395</v>
      </c>
      <c r="H2679">
        <v>1020639</v>
      </c>
      <c r="I2679" t="s">
        <v>17</v>
      </c>
      <c r="K2679" t="s">
        <v>7396</v>
      </c>
      <c r="L2679">
        <v>130</v>
      </c>
      <c r="M2679" t="s">
        <v>7397</v>
      </c>
    </row>
    <row r="2680" spans="1:13">
      <c r="A2680" t="s">
        <v>13</v>
      </c>
      <c r="B2680">
        <v>2865729</v>
      </c>
      <c r="C2680">
        <v>2866583</v>
      </c>
      <c r="E2680" t="s">
        <v>38</v>
      </c>
      <c r="F2680" t="s">
        <v>3170</v>
      </c>
      <c r="G2680" t="s">
        <v>3171</v>
      </c>
      <c r="H2680">
        <v>1020641</v>
      </c>
      <c r="I2680" t="s">
        <v>17</v>
      </c>
      <c r="K2680" t="s">
        <v>7398</v>
      </c>
      <c r="L2680">
        <v>284</v>
      </c>
      <c r="M2680" t="s">
        <v>7399</v>
      </c>
    </row>
    <row r="2681" spans="1:13">
      <c r="A2681" t="s">
        <v>13</v>
      </c>
      <c r="B2681">
        <v>2866584</v>
      </c>
      <c r="C2681">
        <v>2867189</v>
      </c>
      <c r="E2681" t="s">
        <v>38</v>
      </c>
      <c r="F2681" t="s">
        <v>7400</v>
      </c>
      <c r="G2681" t="s">
        <v>7401</v>
      </c>
      <c r="H2681">
        <v>1020642</v>
      </c>
      <c r="I2681" t="s">
        <v>17</v>
      </c>
      <c r="K2681" t="s">
        <v>7402</v>
      </c>
      <c r="L2681">
        <v>201</v>
      </c>
      <c r="M2681" t="s">
        <v>7403</v>
      </c>
    </row>
    <row r="2682" spans="1:13">
      <c r="A2682" t="s">
        <v>13</v>
      </c>
      <c r="B2682">
        <v>2867167</v>
      </c>
      <c r="C2682">
        <v>2869728</v>
      </c>
      <c r="E2682" t="s">
        <v>38</v>
      </c>
      <c r="F2682" t="s">
        <v>7404</v>
      </c>
      <c r="G2682" t="s">
        <v>7405</v>
      </c>
      <c r="H2682">
        <v>1020643</v>
      </c>
      <c r="I2682" t="s">
        <v>17</v>
      </c>
      <c r="K2682" t="s">
        <v>7406</v>
      </c>
      <c r="L2682">
        <v>853</v>
      </c>
      <c r="M2682" t="s">
        <v>7407</v>
      </c>
    </row>
    <row r="2683" spans="1:13">
      <c r="A2683" t="s">
        <v>13</v>
      </c>
      <c r="B2683">
        <v>2869861</v>
      </c>
      <c r="C2683">
        <v>2870445</v>
      </c>
      <c r="E2683" t="s">
        <v>38</v>
      </c>
      <c r="F2683" t="s">
        <v>7408</v>
      </c>
      <c r="G2683" t="s">
        <v>7409</v>
      </c>
      <c r="H2683">
        <v>1020644</v>
      </c>
      <c r="I2683" t="s">
        <v>17</v>
      </c>
      <c r="K2683" t="s">
        <v>7410</v>
      </c>
      <c r="L2683">
        <v>194</v>
      </c>
      <c r="M2683" t="s">
        <v>7411</v>
      </c>
    </row>
    <row r="2684" spans="1:13">
      <c r="A2684" t="s">
        <v>13</v>
      </c>
      <c r="B2684">
        <v>2870497</v>
      </c>
      <c r="C2684">
        <v>2871441</v>
      </c>
      <c r="E2684" t="s">
        <v>38</v>
      </c>
      <c r="F2684" t="s">
        <v>7412</v>
      </c>
      <c r="G2684" t="s">
        <v>7413</v>
      </c>
      <c r="H2684">
        <v>1020645</v>
      </c>
      <c r="I2684" t="s">
        <v>17</v>
      </c>
      <c r="K2684" t="s">
        <v>7414</v>
      </c>
      <c r="L2684">
        <v>314</v>
      </c>
      <c r="M2684" t="s">
        <v>7415</v>
      </c>
    </row>
    <row r="2685" spans="1:13">
      <c r="A2685" t="s">
        <v>13</v>
      </c>
      <c r="B2685">
        <v>2871443</v>
      </c>
      <c r="C2685">
        <v>2872726</v>
      </c>
      <c r="E2685" t="s">
        <v>38</v>
      </c>
      <c r="F2685" t="s">
        <v>7416</v>
      </c>
      <c r="G2685" t="s">
        <v>7417</v>
      </c>
      <c r="H2685">
        <v>1020647</v>
      </c>
      <c r="I2685" t="s">
        <v>17</v>
      </c>
      <c r="K2685" t="s">
        <v>7418</v>
      </c>
      <c r="L2685">
        <v>427</v>
      </c>
      <c r="M2685" t="s">
        <v>7419</v>
      </c>
    </row>
    <row r="2686" spans="1:13">
      <c r="A2686" t="s">
        <v>13</v>
      </c>
      <c r="B2686">
        <v>2872927</v>
      </c>
      <c r="C2686">
        <v>2873403</v>
      </c>
      <c r="E2686" t="s">
        <v>14</v>
      </c>
      <c r="F2686" t="s">
        <v>7420</v>
      </c>
      <c r="H2686">
        <v>1020648</v>
      </c>
      <c r="I2686" t="s">
        <v>17</v>
      </c>
      <c r="K2686" t="s">
        <v>7421</v>
      </c>
      <c r="L2686">
        <v>158</v>
      </c>
      <c r="M2686" t="s">
        <v>7422</v>
      </c>
    </row>
    <row r="2687" spans="1:13">
      <c r="A2687" t="s">
        <v>13</v>
      </c>
      <c r="B2687">
        <v>2873903</v>
      </c>
      <c r="C2687">
        <v>2875444</v>
      </c>
      <c r="E2687" t="s">
        <v>38</v>
      </c>
      <c r="F2687" t="s">
        <v>7423</v>
      </c>
      <c r="H2687">
        <v>1020649</v>
      </c>
      <c r="I2687" t="s">
        <v>17</v>
      </c>
      <c r="K2687" t="s">
        <v>7424</v>
      </c>
      <c r="L2687">
        <v>513</v>
      </c>
      <c r="M2687" t="s">
        <v>7425</v>
      </c>
    </row>
    <row r="2688" spans="1:13">
      <c r="A2688" t="s">
        <v>13</v>
      </c>
      <c r="B2688">
        <v>2875432</v>
      </c>
      <c r="C2688">
        <v>2875857</v>
      </c>
      <c r="E2688" t="s">
        <v>38</v>
      </c>
      <c r="F2688" t="s">
        <v>7426</v>
      </c>
      <c r="H2688">
        <v>1020650</v>
      </c>
      <c r="I2688" t="s">
        <v>17</v>
      </c>
      <c r="K2688" t="s">
        <v>7427</v>
      </c>
      <c r="L2688">
        <v>141</v>
      </c>
      <c r="M2688" t="s">
        <v>7428</v>
      </c>
    </row>
    <row r="2689" spans="1:13">
      <c r="A2689" t="s">
        <v>13</v>
      </c>
      <c r="B2689">
        <v>2875868</v>
      </c>
      <c r="C2689">
        <v>2876281</v>
      </c>
      <c r="E2689" t="s">
        <v>38</v>
      </c>
      <c r="F2689" t="s">
        <v>7429</v>
      </c>
      <c r="H2689">
        <v>1020651</v>
      </c>
      <c r="I2689" t="s">
        <v>17</v>
      </c>
      <c r="K2689" t="s">
        <v>7430</v>
      </c>
      <c r="L2689">
        <v>137</v>
      </c>
      <c r="M2689" t="s">
        <v>7431</v>
      </c>
    </row>
    <row r="2690" spans="1:13">
      <c r="A2690" t="s">
        <v>13</v>
      </c>
      <c r="B2690">
        <v>2876278</v>
      </c>
      <c r="C2690">
        <v>2876778</v>
      </c>
      <c r="E2690" t="s">
        <v>38</v>
      </c>
      <c r="F2690" t="s">
        <v>7432</v>
      </c>
      <c r="H2690">
        <v>1020652</v>
      </c>
      <c r="I2690" t="s">
        <v>17</v>
      </c>
      <c r="K2690" t="s">
        <v>7433</v>
      </c>
      <c r="L2690">
        <v>166</v>
      </c>
      <c r="M2690" t="s">
        <v>7434</v>
      </c>
    </row>
    <row r="2691" spans="1:13">
      <c r="A2691" t="s">
        <v>13</v>
      </c>
      <c r="B2691">
        <v>2876775</v>
      </c>
      <c r="C2691">
        <v>2877386</v>
      </c>
      <c r="E2691" t="s">
        <v>38</v>
      </c>
      <c r="F2691" t="s">
        <v>7435</v>
      </c>
      <c r="H2691">
        <v>1020653</v>
      </c>
      <c r="I2691" t="s">
        <v>17</v>
      </c>
      <c r="K2691" t="s">
        <v>7436</v>
      </c>
      <c r="L2691">
        <v>203</v>
      </c>
      <c r="M2691" t="s">
        <v>7437</v>
      </c>
    </row>
    <row r="2692" spans="1:13">
      <c r="A2692" t="s">
        <v>13</v>
      </c>
      <c r="B2692">
        <v>2877453</v>
      </c>
      <c r="C2692">
        <v>2877704</v>
      </c>
      <c r="E2692" t="s">
        <v>38</v>
      </c>
      <c r="F2692" t="s">
        <v>49</v>
      </c>
      <c r="H2692">
        <v>92792314</v>
      </c>
      <c r="I2692" t="s">
        <v>17</v>
      </c>
      <c r="K2692" t="s">
        <v>7438</v>
      </c>
      <c r="L2692">
        <v>83</v>
      </c>
      <c r="M2692" t="s">
        <v>7439</v>
      </c>
    </row>
    <row r="2693" spans="1:13">
      <c r="A2693" t="s">
        <v>13</v>
      </c>
      <c r="B2693">
        <v>2878476</v>
      </c>
      <c r="C2693">
        <v>2879711</v>
      </c>
      <c r="E2693" t="s">
        <v>38</v>
      </c>
      <c r="F2693" t="s">
        <v>1602</v>
      </c>
      <c r="H2693">
        <v>1020656</v>
      </c>
      <c r="I2693" t="s">
        <v>17</v>
      </c>
      <c r="K2693" t="s">
        <v>7440</v>
      </c>
      <c r="L2693">
        <v>411</v>
      </c>
      <c r="M2693" t="s">
        <v>7441</v>
      </c>
    </row>
    <row r="2694" spans="1:13">
      <c r="A2694" t="s">
        <v>13</v>
      </c>
      <c r="B2694">
        <v>2879966</v>
      </c>
      <c r="C2694">
        <v>2880256</v>
      </c>
      <c r="E2694" t="s">
        <v>14</v>
      </c>
      <c r="F2694" t="s">
        <v>197</v>
      </c>
      <c r="H2694">
        <v>1020657</v>
      </c>
      <c r="I2694" t="s">
        <v>17</v>
      </c>
      <c r="K2694" t="s">
        <v>7442</v>
      </c>
      <c r="L2694">
        <v>96</v>
      </c>
      <c r="M2694" t="s">
        <v>7443</v>
      </c>
    </row>
    <row r="2695" spans="1:13">
      <c r="A2695" t="s">
        <v>13</v>
      </c>
      <c r="B2695">
        <v>2880545</v>
      </c>
      <c r="C2695">
        <v>2880991</v>
      </c>
      <c r="E2695" t="s">
        <v>14</v>
      </c>
      <c r="F2695" t="s">
        <v>285</v>
      </c>
      <c r="H2695">
        <v>1020658</v>
      </c>
      <c r="I2695" t="s">
        <v>17</v>
      </c>
      <c r="K2695" t="s">
        <v>7444</v>
      </c>
      <c r="L2695">
        <v>148</v>
      </c>
      <c r="M2695" t="s">
        <v>7445</v>
      </c>
    </row>
    <row r="2696" spans="1:13">
      <c r="A2696" t="s">
        <v>13</v>
      </c>
      <c r="B2696">
        <v>2880999</v>
      </c>
      <c r="C2696">
        <v>2884886</v>
      </c>
      <c r="E2696" t="s">
        <v>14</v>
      </c>
      <c r="F2696" t="s">
        <v>7446</v>
      </c>
      <c r="H2696">
        <v>1020659</v>
      </c>
      <c r="I2696" t="s">
        <v>17</v>
      </c>
      <c r="K2696" t="s">
        <v>7447</v>
      </c>
      <c r="L2696">
        <v>1295</v>
      </c>
      <c r="M2696" t="s">
        <v>7448</v>
      </c>
    </row>
    <row r="2697" spans="1:13">
      <c r="A2697" t="s">
        <v>13</v>
      </c>
      <c r="B2697">
        <v>2884933</v>
      </c>
      <c r="C2697">
        <v>2886498</v>
      </c>
      <c r="E2697" t="s">
        <v>38</v>
      </c>
      <c r="F2697" t="s">
        <v>7449</v>
      </c>
      <c r="H2697">
        <v>1020660</v>
      </c>
      <c r="I2697" t="s">
        <v>17</v>
      </c>
      <c r="K2697" t="s">
        <v>7450</v>
      </c>
      <c r="L2697">
        <v>521</v>
      </c>
      <c r="M2697" t="s">
        <v>7451</v>
      </c>
    </row>
    <row r="2698" spans="1:13">
      <c r="A2698" t="s">
        <v>13</v>
      </c>
      <c r="B2698">
        <v>2886914</v>
      </c>
      <c r="C2698">
        <v>2887813</v>
      </c>
      <c r="E2698" t="s">
        <v>38</v>
      </c>
      <c r="F2698" t="s">
        <v>2649</v>
      </c>
      <c r="G2698" t="s">
        <v>2650</v>
      </c>
      <c r="H2698">
        <v>1020661</v>
      </c>
      <c r="I2698" t="s">
        <v>17</v>
      </c>
      <c r="K2698" t="s">
        <v>7452</v>
      </c>
      <c r="L2698">
        <v>299</v>
      </c>
      <c r="M2698" t="s">
        <v>7453</v>
      </c>
    </row>
    <row r="2699" spans="1:13">
      <c r="A2699" t="s">
        <v>13</v>
      </c>
      <c r="B2699">
        <v>2887942</v>
      </c>
      <c r="C2699">
        <v>2888079</v>
      </c>
      <c r="E2699" t="s">
        <v>38</v>
      </c>
      <c r="F2699" t="s">
        <v>7454</v>
      </c>
      <c r="H2699">
        <v>44145005</v>
      </c>
      <c r="I2699" t="s">
        <v>17</v>
      </c>
      <c r="K2699" t="s">
        <v>7455</v>
      </c>
      <c r="L2699">
        <v>45</v>
      </c>
      <c r="M2699" t="s">
        <v>7456</v>
      </c>
    </row>
    <row r="2700" spans="1:13">
      <c r="A2700" t="s">
        <v>13</v>
      </c>
      <c r="B2700">
        <v>2888163</v>
      </c>
      <c r="C2700">
        <v>2888336</v>
      </c>
      <c r="E2700" t="s">
        <v>38</v>
      </c>
      <c r="F2700" t="s">
        <v>7457</v>
      </c>
      <c r="H2700">
        <v>44145006</v>
      </c>
      <c r="I2700" t="s">
        <v>17</v>
      </c>
      <c r="K2700" t="s">
        <v>7458</v>
      </c>
      <c r="L2700">
        <v>57</v>
      </c>
      <c r="M2700" t="s">
        <v>7459</v>
      </c>
    </row>
    <row r="2701" spans="1:13">
      <c r="A2701" t="s">
        <v>13</v>
      </c>
      <c r="B2701">
        <v>2888895</v>
      </c>
      <c r="C2701">
        <v>2890541</v>
      </c>
      <c r="E2701" t="s">
        <v>38</v>
      </c>
      <c r="F2701" t="s">
        <v>1754</v>
      </c>
      <c r="G2701" t="s">
        <v>1755</v>
      </c>
      <c r="H2701">
        <v>1020662</v>
      </c>
      <c r="I2701" t="s">
        <v>17</v>
      </c>
      <c r="K2701" t="s">
        <v>7460</v>
      </c>
      <c r="L2701">
        <v>548</v>
      </c>
      <c r="M2701" t="s">
        <v>7461</v>
      </c>
    </row>
    <row r="2702" spans="1:13">
      <c r="A2702" t="s">
        <v>13</v>
      </c>
      <c r="B2702">
        <v>2890749</v>
      </c>
      <c r="C2702">
        <v>2890931</v>
      </c>
      <c r="E2702" t="s">
        <v>38</v>
      </c>
      <c r="F2702" t="s">
        <v>49</v>
      </c>
      <c r="H2702">
        <v>1020663</v>
      </c>
      <c r="I2702" t="s">
        <v>17</v>
      </c>
      <c r="K2702" t="s">
        <v>7462</v>
      </c>
      <c r="L2702">
        <v>60</v>
      </c>
      <c r="M2702" t="s">
        <v>7463</v>
      </c>
    </row>
    <row r="2703" spans="1:13">
      <c r="A2703" t="s">
        <v>13</v>
      </c>
      <c r="B2703">
        <v>2890928</v>
      </c>
      <c r="C2703">
        <v>2892139</v>
      </c>
      <c r="E2703" t="s">
        <v>38</v>
      </c>
      <c r="F2703" t="s">
        <v>3694</v>
      </c>
      <c r="H2703">
        <v>1020664</v>
      </c>
      <c r="I2703" t="s">
        <v>17</v>
      </c>
      <c r="K2703" t="s">
        <v>7464</v>
      </c>
      <c r="L2703">
        <v>403</v>
      </c>
      <c r="M2703" t="s">
        <v>7465</v>
      </c>
    </row>
    <row r="2704" spans="1:13">
      <c r="A2704" t="s">
        <v>13</v>
      </c>
      <c r="B2704">
        <v>2892136</v>
      </c>
      <c r="C2704">
        <v>2893101</v>
      </c>
      <c r="E2704" t="s">
        <v>38</v>
      </c>
      <c r="F2704" t="s">
        <v>49</v>
      </c>
      <c r="H2704">
        <v>1020665</v>
      </c>
      <c r="I2704" t="s">
        <v>17</v>
      </c>
      <c r="K2704" t="s">
        <v>7466</v>
      </c>
      <c r="L2704">
        <v>321</v>
      </c>
      <c r="M2704" t="s">
        <v>7467</v>
      </c>
    </row>
    <row r="2705" spans="1:13">
      <c r="A2705" t="s">
        <v>13</v>
      </c>
      <c r="B2705">
        <v>2893098</v>
      </c>
      <c r="C2705">
        <v>2895083</v>
      </c>
      <c r="E2705" t="s">
        <v>38</v>
      </c>
      <c r="F2705" t="s">
        <v>49</v>
      </c>
      <c r="H2705">
        <v>1020666</v>
      </c>
      <c r="I2705" t="s">
        <v>17</v>
      </c>
      <c r="K2705" t="s">
        <v>7468</v>
      </c>
      <c r="L2705">
        <v>661</v>
      </c>
      <c r="M2705" t="s">
        <v>7469</v>
      </c>
    </row>
    <row r="2706" spans="1:13">
      <c r="A2706" t="s">
        <v>13</v>
      </c>
      <c r="B2706">
        <v>2895070</v>
      </c>
      <c r="C2706">
        <v>2897526</v>
      </c>
      <c r="E2706" t="s">
        <v>38</v>
      </c>
      <c r="F2706" t="s">
        <v>49</v>
      </c>
      <c r="H2706">
        <v>1020667</v>
      </c>
      <c r="I2706" t="s">
        <v>17</v>
      </c>
      <c r="K2706" t="s">
        <v>7470</v>
      </c>
      <c r="L2706">
        <v>818</v>
      </c>
      <c r="M2706" t="s">
        <v>7471</v>
      </c>
    </row>
    <row r="2707" spans="1:13">
      <c r="A2707" t="s">
        <v>13</v>
      </c>
      <c r="B2707">
        <v>2897526</v>
      </c>
      <c r="C2707">
        <v>2900327</v>
      </c>
      <c r="E2707" t="s">
        <v>38</v>
      </c>
      <c r="F2707" t="s">
        <v>49</v>
      </c>
      <c r="H2707">
        <v>1020668</v>
      </c>
      <c r="I2707" t="s">
        <v>17</v>
      </c>
      <c r="K2707" t="s">
        <v>7472</v>
      </c>
      <c r="L2707">
        <v>933</v>
      </c>
      <c r="M2707" t="s">
        <v>7473</v>
      </c>
    </row>
    <row r="2708" spans="1:13">
      <c r="A2708" t="s">
        <v>13</v>
      </c>
      <c r="B2708">
        <v>2900328</v>
      </c>
      <c r="C2708">
        <v>2903921</v>
      </c>
      <c r="E2708" t="s">
        <v>38</v>
      </c>
      <c r="F2708" t="s">
        <v>7474</v>
      </c>
      <c r="H2708">
        <v>1020669</v>
      </c>
      <c r="I2708" t="s">
        <v>17</v>
      </c>
      <c r="K2708" t="s">
        <v>7475</v>
      </c>
      <c r="L2708">
        <v>1197</v>
      </c>
      <c r="M2708" t="s">
        <v>7476</v>
      </c>
    </row>
    <row r="2709" spans="1:13">
      <c r="A2709" t="s">
        <v>13</v>
      </c>
      <c r="B2709">
        <v>2903962</v>
      </c>
      <c r="C2709">
        <v>2906643</v>
      </c>
      <c r="E2709" t="s">
        <v>38</v>
      </c>
      <c r="F2709" t="s">
        <v>2924</v>
      </c>
      <c r="H2709">
        <v>1020670</v>
      </c>
      <c r="I2709" t="s">
        <v>17</v>
      </c>
      <c r="K2709" t="s">
        <v>7477</v>
      </c>
      <c r="L2709">
        <v>893</v>
      </c>
      <c r="M2709" t="s">
        <v>7478</v>
      </c>
    </row>
    <row r="2710" spans="1:13">
      <c r="A2710" t="s">
        <v>13</v>
      </c>
      <c r="B2710">
        <v>2906637</v>
      </c>
      <c r="C2710">
        <v>2907251</v>
      </c>
      <c r="E2710" t="s">
        <v>38</v>
      </c>
      <c r="F2710" t="s">
        <v>49</v>
      </c>
      <c r="H2710">
        <v>1020671</v>
      </c>
      <c r="I2710" t="s">
        <v>17</v>
      </c>
      <c r="K2710" t="s">
        <v>7479</v>
      </c>
      <c r="L2710">
        <v>204</v>
      </c>
      <c r="M2710" t="s">
        <v>7480</v>
      </c>
    </row>
    <row r="2711" spans="1:13">
      <c r="A2711" t="s">
        <v>13</v>
      </c>
      <c r="B2711">
        <v>2907516</v>
      </c>
      <c r="C2711">
        <v>2908889</v>
      </c>
      <c r="E2711" t="s">
        <v>14</v>
      </c>
      <c r="F2711" t="s">
        <v>7481</v>
      </c>
      <c r="H2711">
        <v>1020672</v>
      </c>
      <c r="I2711" t="s">
        <v>17</v>
      </c>
      <c r="K2711" t="s">
        <v>7482</v>
      </c>
      <c r="L2711">
        <v>457</v>
      </c>
      <c r="M2711" t="s">
        <v>7483</v>
      </c>
    </row>
    <row r="2712" spans="1:13">
      <c r="A2712" t="s">
        <v>13</v>
      </c>
      <c r="B2712">
        <v>2909232</v>
      </c>
      <c r="C2712">
        <v>2909792</v>
      </c>
      <c r="E2712" t="s">
        <v>14</v>
      </c>
      <c r="F2712" t="s">
        <v>49</v>
      </c>
      <c r="H2712">
        <v>1020673</v>
      </c>
      <c r="I2712" t="s">
        <v>17</v>
      </c>
      <c r="K2712" t="s">
        <v>7484</v>
      </c>
      <c r="L2712">
        <v>186</v>
      </c>
      <c r="M2712" t="s">
        <v>7485</v>
      </c>
    </row>
    <row r="2713" spans="1:13">
      <c r="A2713" t="s">
        <v>13</v>
      </c>
      <c r="B2713">
        <v>2910173</v>
      </c>
      <c r="C2713">
        <v>2913232</v>
      </c>
      <c r="E2713" t="s">
        <v>14</v>
      </c>
      <c r="F2713" t="s">
        <v>7486</v>
      </c>
      <c r="H2713">
        <v>1020674</v>
      </c>
      <c r="I2713" t="s">
        <v>17</v>
      </c>
      <c r="K2713" t="s">
        <v>7487</v>
      </c>
      <c r="L2713">
        <v>1019</v>
      </c>
      <c r="M2713" t="s">
        <v>7488</v>
      </c>
    </row>
    <row r="2714" spans="1:13">
      <c r="A2714" t="s">
        <v>13</v>
      </c>
      <c r="B2714">
        <v>2913236</v>
      </c>
      <c r="C2714">
        <v>2913727</v>
      </c>
      <c r="E2714" t="s">
        <v>14</v>
      </c>
      <c r="F2714" t="s">
        <v>7489</v>
      </c>
      <c r="H2714">
        <v>1020675</v>
      </c>
      <c r="I2714" t="s">
        <v>17</v>
      </c>
      <c r="K2714" t="s">
        <v>7490</v>
      </c>
      <c r="L2714">
        <v>163</v>
      </c>
      <c r="M2714" t="s">
        <v>7491</v>
      </c>
    </row>
    <row r="2715" spans="1:13">
      <c r="A2715" t="s">
        <v>13</v>
      </c>
      <c r="B2715">
        <v>2913720</v>
      </c>
      <c r="C2715">
        <v>2915420</v>
      </c>
      <c r="E2715" t="s">
        <v>14</v>
      </c>
      <c r="F2715" t="s">
        <v>7492</v>
      </c>
      <c r="H2715">
        <v>1020676</v>
      </c>
      <c r="I2715" t="s">
        <v>17</v>
      </c>
      <c r="K2715" t="s">
        <v>7493</v>
      </c>
      <c r="L2715">
        <v>566</v>
      </c>
      <c r="M2715" t="s">
        <v>7494</v>
      </c>
    </row>
    <row r="2716" spans="1:13">
      <c r="A2716" t="s">
        <v>13</v>
      </c>
      <c r="B2716">
        <v>2915417</v>
      </c>
      <c r="C2716">
        <v>2915926</v>
      </c>
      <c r="E2716" t="s">
        <v>14</v>
      </c>
      <c r="F2716" t="s">
        <v>7495</v>
      </c>
      <c r="H2716">
        <v>1020677</v>
      </c>
      <c r="I2716" t="s">
        <v>17</v>
      </c>
      <c r="K2716" t="s">
        <v>7496</v>
      </c>
      <c r="L2716">
        <v>169</v>
      </c>
      <c r="M2716" t="s">
        <v>7497</v>
      </c>
    </row>
    <row r="2717" spans="1:13">
      <c r="A2717" t="s">
        <v>13</v>
      </c>
      <c r="B2717">
        <v>2915930</v>
      </c>
      <c r="C2717">
        <v>2916205</v>
      </c>
      <c r="E2717" t="s">
        <v>14</v>
      </c>
      <c r="F2717" t="s">
        <v>7498</v>
      </c>
      <c r="H2717">
        <v>1020678</v>
      </c>
      <c r="I2717" t="s">
        <v>17</v>
      </c>
      <c r="K2717" t="s">
        <v>7499</v>
      </c>
      <c r="L2717">
        <v>91</v>
      </c>
      <c r="M2717" t="s">
        <v>7500</v>
      </c>
    </row>
    <row r="2718" spans="1:13">
      <c r="A2718" t="s">
        <v>13</v>
      </c>
      <c r="B2718">
        <v>2916206</v>
      </c>
      <c r="C2718">
        <v>2916586</v>
      </c>
      <c r="E2718" t="s">
        <v>14</v>
      </c>
      <c r="F2718" t="s">
        <v>7501</v>
      </c>
      <c r="G2718" t="s">
        <v>7502</v>
      </c>
      <c r="H2718">
        <v>1020679</v>
      </c>
      <c r="I2718" t="s">
        <v>17</v>
      </c>
      <c r="K2718" t="s">
        <v>7503</v>
      </c>
      <c r="L2718">
        <v>126</v>
      </c>
      <c r="M2718" t="s">
        <v>7504</v>
      </c>
    </row>
    <row r="2719" spans="1:13">
      <c r="A2719" t="s">
        <v>13</v>
      </c>
      <c r="B2719">
        <v>2917022</v>
      </c>
      <c r="C2719">
        <v>2917621</v>
      </c>
      <c r="E2719" t="s">
        <v>38</v>
      </c>
      <c r="F2719" t="s">
        <v>35</v>
      </c>
      <c r="H2719">
        <v>1020680</v>
      </c>
      <c r="I2719" t="s">
        <v>17</v>
      </c>
      <c r="K2719" t="s">
        <v>7505</v>
      </c>
      <c r="L2719">
        <v>199</v>
      </c>
      <c r="M2719" t="s">
        <v>7506</v>
      </c>
    </row>
    <row r="2720" spans="1:13">
      <c r="A2720" t="s">
        <v>13</v>
      </c>
      <c r="B2720">
        <v>2917628</v>
      </c>
      <c r="C2720">
        <v>2918758</v>
      </c>
      <c r="E2720" t="s">
        <v>38</v>
      </c>
      <c r="F2720" t="s">
        <v>7507</v>
      </c>
      <c r="H2720">
        <v>1020681</v>
      </c>
      <c r="I2720" t="s">
        <v>17</v>
      </c>
      <c r="K2720" t="s">
        <v>7508</v>
      </c>
      <c r="L2720">
        <v>376</v>
      </c>
      <c r="M2720" t="s">
        <v>7509</v>
      </c>
    </row>
    <row r="2721" spans="1:13">
      <c r="A2721" t="s">
        <v>13</v>
      </c>
      <c r="B2721">
        <v>2918817</v>
      </c>
      <c r="C2721">
        <v>2919482</v>
      </c>
      <c r="E2721" t="s">
        <v>38</v>
      </c>
      <c r="F2721" t="s">
        <v>7510</v>
      </c>
      <c r="H2721">
        <v>1020682</v>
      </c>
      <c r="I2721" t="s">
        <v>17</v>
      </c>
      <c r="K2721" t="s">
        <v>7511</v>
      </c>
      <c r="L2721">
        <v>221</v>
      </c>
      <c r="M2721" t="s">
        <v>7512</v>
      </c>
    </row>
    <row r="2722" spans="1:13">
      <c r="A2722" t="s">
        <v>13</v>
      </c>
      <c r="B2722">
        <v>2919488</v>
      </c>
      <c r="C2722">
        <v>2919700</v>
      </c>
      <c r="E2722" t="s">
        <v>38</v>
      </c>
      <c r="F2722" t="s">
        <v>7513</v>
      </c>
      <c r="H2722">
        <v>1020683</v>
      </c>
      <c r="I2722" t="s">
        <v>17</v>
      </c>
      <c r="K2722" t="s">
        <v>7514</v>
      </c>
      <c r="L2722">
        <v>70</v>
      </c>
      <c r="M2722" t="s">
        <v>7515</v>
      </c>
    </row>
    <row r="2723" spans="1:13">
      <c r="A2723" t="s">
        <v>13</v>
      </c>
      <c r="B2723">
        <v>2919716</v>
      </c>
      <c r="C2723">
        <v>2920297</v>
      </c>
      <c r="E2723" t="s">
        <v>14</v>
      </c>
      <c r="F2723" t="s">
        <v>4523</v>
      </c>
      <c r="H2723">
        <v>1020684</v>
      </c>
      <c r="I2723" t="s">
        <v>17</v>
      </c>
      <c r="K2723" t="s">
        <v>7516</v>
      </c>
      <c r="L2723">
        <v>193</v>
      </c>
      <c r="M2723" t="s">
        <v>7517</v>
      </c>
    </row>
    <row r="2724" spans="1:13">
      <c r="A2724" t="s">
        <v>13</v>
      </c>
      <c r="B2724">
        <v>2920287</v>
      </c>
      <c r="C2724">
        <v>2921294</v>
      </c>
      <c r="E2724" t="s">
        <v>14</v>
      </c>
      <c r="F2724" t="s">
        <v>7518</v>
      </c>
      <c r="H2724">
        <v>1020685</v>
      </c>
      <c r="I2724" t="s">
        <v>17</v>
      </c>
      <c r="K2724" t="s">
        <v>7519</v>
      </c>
      <c r="L2724">
        <v>335</v>
      </c>
      <c r="M2724" t="s">
        <v>7520</v>
      </c>
    </row>
    <row r="2725" spans="1:13">
      <c r="A2725" t="s">
        <v>13</v>
      </c>
      <c r="B2725">
        <v>2921321</v>
      </c>
      <c r="C2725">
        <v>2922112</v>
      </c>
      <c r="E2725" t="s">
        <v>14</v>
      </c>
      <c r="F2725" t="s">
        <v>1950</v>
      </c>
      <c r="H2725">
        <v>1020686</v>
      </c>
      <c r="I2725" t="s">
        <v>17</v>
      </c>
      <c r="K2725" t="s">
        <v>7521</v>
      </c>
      <c r="L2725">
        <v>263</v>
      </c>
      <c r="M2725" t="s">
        <v>7522</v>
      </c>
    </row>
    <row r="2726" spans="1:13">
      <c r="A2726" t="s">
        <v>13</v>
      </c>
      <c r="B2726">
        <v>2922119</v>
      </c>
      <c r="C2726">
        <v>2923621</v>
      </c>
      <c r="E2726" t="s">
        <v>14</v>
      </c>
      <c r="F2726" t="s">
        <v>7523</v>
      </c>
      <c r="H2726">
        <v>1020687</v>
      </c>
      <c r="I2726" t="s">
        <v>17</v>
      </c>
      <c r="K2726" t="s">
        <v>7524</v>
      </c>
      <c r="L2726">
        <v>500</v>
      </c>
      <c r="M2726" t="s">
        <v>7525</v>
      </c>
    </row>
    <row r="2727" spans="1:13">
      <c r="A2727" t="s">
        <v>13</v>
      </c>
      <c r="B2727">
        <v>2923952</v>
      </c>
      <c r="C2727">
        <v>2925148</v>
      </c>
      <c r="E2727" t="s">
        <v>38</v>
      </c>
      <c r="F2727" t="s">
        <v>7526</v>
      </c>
      <c r="H2727">
        <v>1020688</v>
      </c>
      <c r="I2727" t="s">
        <v>17</v>
      </c>
      <c r="K2727" t="s">
        <v>7527</v>
      </c>
      <c r="L2727">
        <v>398</v>
      </c>
      <c r="M2727" t="s">
        <v>7528</v>
      </c>
    </row>
    <row r="2728" spans="1:13">
      <c r="A2728" t="s">
        <v>13</v>
      </c>
      <c r="B2728">
        <v>2925569</v>
      </c>
      <c r="C2728">
        <v>2926708</v>
      </c>
      <c r="E2728" t="s">
        <v>14</v>
      </c>
      <c r="F2728" t="s">
        <v>7529</v>
      </c>
      <c r="H2728">
        <v>1020689</v>
      </c>
      <c r="I2728" t="s">
        <v>17</v>
      </c>
      <c r="K2728" t="s">
        <v>7530</v>
      </c>
      <c r="L2728">
        <v>379</v>
      </c>
      <c r="M2728" t="s">
        <v>7531</v>
      </c>
    </row>
    <row r="2729" spans="1:13">
      <c r="A2729" t="s">
        <v>13</v>
      </c>
      <c r="B2729">
        <v>2926705</v>
      </c>
      <c r="C2729">
        <v>2927547</v>
      </c>
      <c r="E2729" t="s">
        <v>38</v>
      </c>
      <c r="F2729" t="s">
        <v>7532</v>
      </c>
      <c r="H2729">
        <v>1020690</v>
      </c>
      <c r="I2729" t="s">
        <v>17</v>
      </c>
      <c r="K2729" t="s">
        <v>7533</v>
      </c>
      <c r="L2729">
        <v>280</v>
      </c>
      <c r="M2729" t="s">
        <v>7534</v>
      </c>
    </row>
    <row r="2730" spans="1:13">
      <c r="A2730" t="s">
        <v>13</v>
      </c>
      <c r="B2730">
        <v>2927549</v>
      </c>
      <c r="C2730">
        <v>2928307</v>
      </c>
      <c r="E2730" t="s">
        <v>38</v>
      </c>
      <c r="F2730" t="s">
        <v>7535</v>
      </c>
      <c r="H2730">
        <v>1020691</v>
      </c>
      <c r="I2730" t="s">
        <v>17</v>
      </c>
      <c r="K2730" t="s">
        <v>7536</v>
      </c>
      <c r="L2730">
        <v>252</v>
      </c>
      <c r="M2730" t="s">
        <v>7537</v>
      </c>
    </row>
    <row r="2731" spans="1:13">
      <c r="A2731" t="s">
        <v>13</v>
      </c>
      <c r="B2731">
        <v>2928300</v>
      </c>
      <c r="C2731">
        <v>2929232</v>
      </c>
      <c r="E2731" t="s">
        <v>38</v>
      </c>
      <c r="F2731" t="s">
        <v>147</v>
      </c>
      <c r="H2731">
        <v>1020692</v>
      </c>
      <c r="I2731" t="s">
        <v>17</v>
      </c>
      <c r="K2731" t="s">
        <v>7538</v>
      </c>
      <c r="L2731">
        <v>310</v>
      </c>
      <c r="M2731" t="s">
        <v>7539</v>
      </c>
    </row>
    <row r="2732" spans="1:13">
      <c r="A2732" t="s">
        <v>13</v>
      </c>
      <c r="B2732">
        <v>2929254</v>
      </c>
      <c r="C2732">
        <v>2929748</v>
      </c>
      <c r="E2732" t="s">
        <v>38</v>
      </c>
      <c r="F2732" t="s">
        <v>2245</v>
      </c>
      <c r="H2732">
        <v>1020693</v>
      </c>
      <c r="I2732" t="s">
        <v>17</v>
      </c>
      <c r="K2732" t="s">
        <v>7540</v>
      </c>
      <c r="L2732">
        <v>164</v>
      </c>
      <c r="M2732" t="s">
        <v>7541</v>
      </c>
    </row>
    <row r="2733" spans="1:13">
      <c r="A2733" t="s">
        <v>13</v>
      </c>
      <c r="B2733">
        <v>2929868</v>
      </c>
      <c r="C2733">
        <v>2931340</v>
      </c>
      <c r="E2733" t="s">
        <v>14</v>
      </c>
      <c r="F2733" t="s">
        <v>49</v>
      </c>
      <c r="H2733">
        <v>1020694</v>
      </c>
      <c r="I2733" t="s">
        <v>17</v>
      </c>
      <c r="K2733" t="s">
        <v>7542</v>
      </c>
      <c r="L2733">
        <v>490</v>
      </c>
      <c r="M2733" t="s">
        <v>7543</v>
      </c>
    </row>
    <row r="2734" spans="1:13">
      <c r="A2734" t="s">
        <v>13</v>
      </c>
      <c r="B2734">
        <v>2931341</v>
      </c>
      <c r="C2734">
        <v>2932375</v>
      </c>
      <c r="E2734" t="s">
        <v>14</v>
      </c>
      <c r="F2734" t="s">
        <v>7544</v>
      </c>
      <c r="H2734">
        <v>1020695</v>
      </c>
      <c r="I2734" t="s">
        <v>17</v>
      </c>
      <c r="K2734" t="s">
        <v>7545</v>
      </c>
      <c r="L2734">
        <v>344</v>
      </c>
      <c r="M2734" t="s">
        <v>7546</v>
      </c>
    </row>
    <row r="2735" spans="1:13">
      <c r="A2735" t="s">
        <v>13</v>
      </c>
      <c r="B2735">
        <v>2932365</v>
      </c>
      <c r="C2735">
        <v>2934833</v>
      </c>
      <c r="E2735" t="s">
        <v>14</v>
      </c>
      <c r="F2735" t="s">
        <v>7547</v>
      </c>
      <c r="H2735">
        <v>1020696</v>
      </c>
      <c r="I2735" t="s">
        <v>17</v>
      </c>
      <c r="K2735" t="s">
        <v>7548</v>
      </c>
      <c r="L2735">
        <v>822</v>
      </c>
      <c r="M2735" t="s">
        <v>7549</v>
      </c>
    </row>
    <row r="2736" spans="1:13">
      <c r="A2736" t="s">
        <v>13</v>
      </c>
      <c r="B2736">
        <v>2935313</v>
      </c>
      <c r="C2736">
        <v>2936506</v>
      </c>
      <c r="E2736" t="s">
        <v>38</v>
      </c>
      <c r="F2736" t="s">
        <v>7550</v>
      </c>
      <c r="H2736">
        <v>1020697</v>
      </c>
      <c r="I2736" t="s">
        <v>17</v>
      </c>
      <c r="K2736" t="s">
        <v>7551</v>
      </c>
      <c r="L2736">
        <v>397</v>
      </c>
      <c r="M2736" t="s">
        <v>7552</v>
      </c>
    </row>
    <row r="2737" spans="1:13">
      <c r="A2737" t="s">
        <v>13</v>
      </c>
      <c r="B2737">
        <v>2936506</v>
      </c>
      <c r="C2737">
        <v>2937891</v>
      </c>
      <c r="E2737" t="s">
        <v>38</v>
      </c>
      <c r="F2737" t="s">
        <v>7553</v>
      </c>
      <c r="G2737" t="s">
        <v>7554</v>
      </c>
      <c r="H2737">
        <v>1020698</v>
      </c>
      <c r="I2737" t="s">
        <v>17</v>
      </c>
      <c r="K2737" t="s">
        <v>7555</v>
      </c>
      <c r="L2737">
        <v>461</v>
      </c>
      <c r="M2737" t="s">
        <v>7556</v>
      </c>
    </row>
    <row r="2738" spans="1:13">
      <c r="A2738" t="s">
        <v>13</v>
      </c>
      <c r="B2738">
        <v>2938404</v>
      </c>
      <c r="C2738">
        <v>2939771</v>
      </c>
      <c r="E2738" t="s">
        <v>14</v>
      </c>
      <c r="F2738" t="s">
        <v>7246</v>
      </c>
      <c r="H2738">
        <v>1020699</v>
      </c>
      <c r="I2738" t="s">
        <v>17</v>
      </c>
      <c r="K2738" t="s">
        <v>7557</v>
      </c>
      <c r="L2738">
        <v>455</v>
      </c>
      <c r="M2738" t="s">
        <v>7558</v>
      </c>
    </row>
    <row r="2739" spans="1:13">
      <c r="A2739" t="s">
        <v>13</v>
      </c>
      <c r="B2739">
        <v>2939908</v>
      </c>
      <c r="C2739">
        <v>2940456</v>
      </c>
      <c r="E2739" t="s">
        <v>14</v>
      </c>
      <c r="F2739" t="s">
        <v>549</v>
      </c>
      <c r="H2739">
        <v>1020700</v>
      </c>
      <c r="I2739" t="s">
        <v>17</v>
      </c>
      <c r="K2739" t="s">
        <v>7559</v>
      </c>
      <c r="L2739">
        <v>182</v>
      </c>
      <c r="M2739" t="s">
        <v>7560</v>
      </c>
    </row>
    <row r="2740" spans="1:13">
      <c r="A2740" t="s">
        <v>13</v>
      </c>
      <c r="B2740">
        <v>2940445</v>
      </c>
      <c r="C2740">
        <v>2941455</v>
      </c>
      <c r="E2740" t="s">
        <v>38</v>
      </c>
      <c r="F2740" t="s">
        <v>49</v>
      </c>
      <c r="H2740">
        <v>1020701</v>
      </c>
      <c r="I2740" t="s">
        <v>17</v>
      </c>
      <c r="K2740" t="s">
        <v>7561</v>
      </c>
      <c r="L2740">
        <v>336</v>
      </c>
      <c r="M2740" t="s">
        <v>7562</v>
      </c>
    </row>
    <row r="2741" spans="1:13">
      <c r="A2741" t="s">
        <v>13</v>
      </c>
      <c r="B2741">
        <v>2941470</v>
      </c>
      <c r="C2741">
        <v>2942501</v>
      </c>
      <c r="E2741" t="s">
        <v>38</v>
      </c>
      <c r="F2741" t="s">
        <v>49</v>
      </c>
      <c r="H2741">
        <v>1020702</v>
      </c>
      <c r="I2741" t="s">
        <v>17</v>
      </c>
      <c r="K2741" t="s">
        <v>7563</v>
      </c>
      <c r="L2741">
        <v>343</v>
      </c>
      <c r="M2741" t="s">
        <v>7564</v>
      </c>
    </row>
    <row r="2742" spans="1:13">
      <c r="A2742" t="s">
        <v>13</v>
      </c>
      <c r="B2742">
        <v>2942607</v>
      </c>
      <c r="C2742">
        <v>2943008</v>
      </c>
      <c r="E2742" t="s">
        <v>38</v>
      </c>
      <c r="F2742" t="s">
        <v>49</v>
      </c>
      <c r="H2742">
        <v>1020703</v>
      </c>
      <c r="I2742" t="s">
        <v>17</v>
      </c>
      <c r="K2742" t="s">
        <v>7565</v>
      </c>
      <c r="L2742">
        <v>133</v>
      </c>
      <c r="M2742" t="s">
        <v>7566</v>
      </c>
    </row>
    <row r="2743" spans="1:13">
      <c r="A2743" t="s">
        <v>13</v>
      </c>
      <c r="B2743">
        <v>2943010</v>
      </c>
      <c r="C2743">
        <v>2944236</v>
      </c>
      <c r="E2743" t="s">
        <v>38</v>
      </c>
      <c r="F2743" t="s">
        <v>7567</v>
      </c>
      <c r="G2743" t="s">
        <v>7568</v>
      </c>
      <c r="H2743">
        <v>1020704</v>
      </c>
      <c r="I2743" t="s">
        <v>17</v>
      </c>
      <c r="K2743" t="s">
        <v>7569</v>
      </c>
      <c r="L2743">
        <v>408</v>
      </c>
      <c r="M2743" t="s">
        <v>7570</v>
      </c>
    </row>
    <row r="2744" spans="1:13">
      <c r="A2744" t="s">
        <v>13</v>
      </c>
      <c r="B2744">
        <v>2945174</v>
      </c>
      <c r="C2744">
        <v>2945533</v>
      </c>
      <c r="E2744" t="s">
        <v>38</v>
      </c>
      <c r="F2744" t="s">
        <v>49</v>
      </c>
      <c r="H2744">
        <v>44145007</v>
      </c>
      <c r="I2744" t="s">
        <v>17</v>
      </c>
      <c r="K2744" t="s">
        <v>7571</v>
      </c>
      <c r="L2744">
        <v>119</v>
      </c>
      <c r="M2744" t="s">
        <v>7572</v>
      </c>
    </row>
    <row r="2745" spans="1:13">
      <c r="A2745" t="s">
        <v>13</v>
      </c>
      <c r="B2745">
        <v>2945637</v>
      </c>
      <c r="C2745">
        <v>2946404</v>
      </c>
      <c r="E2745" t="s">
        <v>38</v>
      </c>
      <c r="F2745" t="s">
        <v>49</v>
      </c>
      <c r="H2745">
        <v>1020705</v>
      </c>
      <c r="I2745" t="s">
        <v>17</v>
      </c>
      <c r="K2745" t="s">
        <v>7573</v>
      </c>
      <c r="L2745">
        <v>255</v>
      </c>
      <c r="M2745" t="s">
        <v>7574</v>
      </c>
    </row>
    <row r="2746" spans="1:13">
      <c r="A2746" t="s">
        <v>13</v>
      </c>
      <c r="B2746">
        <v>2946696</v>
      </c>
      <c r="C2746">
        <v>2947887</v>
      </c>
      <c r="E2746" t="s">
        <v>38</v>
      </c>
      <c r="F2746" t="s">
        <v>731</v>
      </c>
      <c r="H2746">
        <v>1020706</v>
      </c>
      <c r="I2746" t="s">
        <v>17</v>
      </c>
      <c r="K2746" t="s">
        <v>7575</v>
      </c>
      <c r="L2746">
        <v>396</v>
      </c>
      <c r="M2746" t="s">
        <v>7576</v>
      </c>
    </row>
    <row r="2747" spans="1:13">
      <c r="A2747" t="s">
        <v>13</v>
      </c>
      <c r="B2747">
        <v>2948047</v>
      </c>
      <c r="C2747">
        <v>2949189</v>
      </c>
      <c r="E2747" t="s">
        <v>38</v>
      </c>
      <c r="F2747" t="s">
        <v>237</v>
      </c>
      <c r="H2747">
        <v>1020708</v>
      </c>
      <c r="I2747" t="s">
        <v>17</v>
      </c>
      <c r="K2747" t="s">
        <v>7577</v>
      </c>
      <c r="L2747">
        <v>380</v>
      </c>
      <c r="M2747" t="s">
        <v>7578</v>
      </c>
    </row>
    <row r="2748" spans="1:13">
      <c r="A2748" t="s">
        <v>13</v>
      </c>
      <c r="B2748">
        <v>2949263</v>
      </c>
      <c r="C2748">
        <v>2949883</v>
      </c>
      <c r="E2748" t="s">
        <v>38</v>
      </c>
      <c r="F2748" t="s">
        <v>835</v>
      </c>
      <c r="H2748">
        <v>1020709</v>
      </c>
      <c r="I2748" t="s">
        <v>17</v>
      </c>
      <c r="K2748" t="s">
        <v>7579</v>
      </c>
      <c r="L2748">
        <v>206</v>
      </c>
      <c r="M2748" t="s">
        <v>7580</v>
      </c>
    </row>
    <row r="2749" spans="1:13">
      <c r="A2749" t="s">
        <v>13</v>
      </c>
      <c r="B2749">
        <v>2950432</v>
      </c>
      <c r="C2749">
        <v>2951724</v>
      </c>
      <c r="E2749" t="s">
        <v>38</v>
      </c>
      <c r="F2749" t="s">
        <v>7581</v>
      </c>
      <c r="H2749">
        <v>1020710</v>
      </c>
      <c r="I2749" t="s">
        <v>17</v>
      </c>
      <c r="K2749" t="s">
        <v>7582</v>
      </c>
      <c r="L2749">
        <v>430</v>
      </c>
      <c r="M2749" t="s">
        <v>7583</v>
      </c>
    </row>
    <row r="2750" spans="1:13">
      <c r="A2750" t="s">
        <v>13</v>
      </c>
      <c r="B2750">
        <v>2951844</v>
      </c>
      <c r="C2750">
        <v>2952695</v>
      </c>
      <c r="E2750" t="s">
        <v>14</v>
      </c>
      <c r="F2750" t="s">
        <v>49</v>
      </c>
      <c r="H2750">
        <v>1020711</v>
      </c>
      <c r="I2750" t="s">
        <v>17</v>
      </c>
      <c r="K2750" t="s">
        <v>7584</v>
      </c>
      <c r="L2750">
        <v>283</v>
      </c>
      <c r="M2750" t="s">
        <v>7585</v>
      </c>
    </row>
    <row r="2751" spans="1:13">
      <c r="A2751" t="s">
        <v>13</v>
      </c>
      <c r="B2751">
        <v>2952710</v>
      </c>
      <c r="C2751">
        <v>2952976</v>
      </c>
      <c r="E2751" t="s">
        <v>14</v>
      </c>
      <c r="F2751" t="s">
        <v>4352</v>
      </c>
      <c r="H2751">
        <v>1020712</v>
      </c>
      <c r="I2751" t="s">
        <v>17</v>
      </c>
      <c r="K2751" t="s">
        <v>7586</v>
      </c>
      <c r="L2751">
        <v>88</v>
      </c>
      <c r="M2751" t="s">
        <v>7587</v>
      </c>
    </row>
    <row r="2752" spans="1:13">
      <c r="A2752" t="s">
        <v>13</v>
      </c>
      <c r="B2752">
        <v>2952973</v>
      </c>
      <c r="C2752">
        <v>2954142</v>
      </c>
      <c r="E2752" t="s">
        <v>38</v>
      </c>
      <c r="F2752" t="s">
        <v>1024</v>
      </c>
      <c r="H2752">
        <v>1020713</v>
      </c>
      <c r="I2752" t="s">
        <v>17</v>
      </c>
      <c r="K2752" t="s">
        <v>7588</v>
      </c>
      <c r="L2752">
        <v>389</v>
      </c>
      <c r="M2752" t="s">
        <v>7589</v>
      </c>
    </row>
    <row r="2753" spans="1:13">
      <c r="A2753" t="s">
        <v>13</v>
      </c>
      <c r="B2753">
        <v>2954239</v>
      </c>
      <c r="C2753">
        <v>2955273</v>
      </c>
      <c r="E2753" t="s">
        <v>38</v>
      </c>
      <c r="F2753" t="s">
        <v>7590</v>
      </c>
      <c r="G2753" t="s">
        <v>7591</v>
      </c>
      <c r="H2753">
        <v>1020714</v>
      </c>
      <c r="I2753" t="s">
        <v>17</v>
      </c>
      <c r="K2753" t="s">
        <v>7592</v>
      </c>
      <c r="L2753">
        <v>344</v>
      </c>
      <c r="M2753" t="s">
        <v>7593</v>
      </c>
    </row>
    <row r="2754" spans="1:13">
      <c r="A2754" t="s">
        <v>13</v>
      </c>
      <c r="B2754">
        <v>2955521</v>
      </c>
      <c r="C2754">
        <v>2956738</v>
      </c>
      <c r="E2754" t="s">
        <v>38</v>
      </c>
      <c r="F2754" t="s">
        <v>7594</v>
      </c>
      <c r="H2754">
        <v>1020715</v>
      </c>
      <c r="I2754" t="s">
        <v>17</v>
      </c>
      <c r="K2754" t="s">
        <v>7595</v>
      </c>
      <c r="L2754">
        <v>405</v>
      </c>
      <c r="M2754" t="s">
        <v>7596</v>
      </c>
    </row>
    <row r="2755" spans="1:13">
      <c r="A2755" t="s">
        <v>13</v>
      </c>
      <c r="B2755">
        <v>2956828</v>
      </c>
      <c r="C2755">
        <v>2957496</v>
      </c>
      <c r="E2755" t="s">
        <v>38</v>
      </c>
      <c r="F2755" t="s">
        <v>2387</v>
      </c>
      <c r="H2755">
        <v>1020716</v>
      </c>
      <c r="I2755" t="s">
        <v>17</v>
      </c>
      <c r="K2755" t="s">
        <v>7597</v>
      </c>
      <c r="L2755">
        <v>222</v>
      </c>
      <c r="M2755" t="s">
        <v>7598</v>
      </c>
    </row>
    <row r="2756" spans="1:13">
      <c r="A2756" t="s">
        <v>13</v>
      </c>
      <c r="B2756">
        <v>2957483</v>
      </c>
      <c r="C2756">
        <v>2958037</v>
      </c>
      <c r="E2756" t="s">
        <v>38</v>
      </c>
      <c r="F2756" t="s">
        <v>7599</v>
      </c>
      <c r="G2756" t="s">
        <v>7600</v>
      </c>
      <c r="H2756">
        <v>1020717</v>
      </c>
      <c r="I2756" t="s">
        <v>17</v>
      </c>
      <c r="K2756" t="s">
        <v>7601</v>
      </c>
      <c r="L2756">
        <v>184</v>
      </c>
      <c r="M2756" t="s">
        <v>7602</v>
      </c>
    </row>
    <row r="2757" spans="1:13">
      <c r="A2757" t="s">
        <v>13</v>
      </c>
      <c r="B2757">
        <v>2958137</v>
      </c>
      <c r="C2757">
        <v>2959474</v>
      </c>
      <c r="E2757" t="s">
        <v>38</v>
      </c>
      <c r="F2757" t="s">
        <v>49</v>
      </c>
      <c r="H2757">
        <v>1020718</v>
      </c>
      <c r="I2757" t="s">
        <v>17</v>
      </c>
      <c r="K2757" t="s">
        <v>7603</v>
      </c>
      <c r="L2757">
        <v>445</v>
      </c>
      <c r="M2757" t="s">
        <v>7604</v>
      </c>
    </row>
    <row r="2758" spans="1:13">
      <c r="A2758" t="s">
        <v>13</v>
      </c>
      <c r="B2758">
        <v>2959518</v>
      </c>
      <c r="C2758">
        <v>2960342</v>
      </c>
      <c r="E2758" t="s">
        <v>38</v>
      </c>
      <c r="F2758" t="s">
        <v>2027</v>
      </c>
      <c r="H2758">
        <v>1020719</v>
      </c>
      <c r="I2758" t="s">
        <v>17</v>
      </c>
      <c r="K2758" t="s">
        <v>7605</v>
      </c>
      <c r="L2758">
        <v>274</v>
      </c>
      <c r="M2758" t="s">
        <v>7606</v>
      </c>
    </row>
    <row r="2759" spans="1:13">
      <c r="A2759" t="s">
        <v>13</v>
      </c>
      <c r="B2759">
        <v>2960466</v>
      </c>
      <c r="C2759">
        <v>2961188</v>
      </c>
      <c r="E2759" t="s">
        <v>38</v>
      </c>
      <c r="F2759" t="s">
        <v>138</v>
      </c>
      <c r="H2759">
        <v>1020720</v>
      </c>
      <c r="I2759" t="s">
        <v>17</v>
      </c>
      <c r="K2759" t="s">
        <v>7607</v>
      </c>
      <c r="L2759">
        <v>240</v>
      </c>
      <c r="M2759" t="s">
        <v>7608</v>
      </c>
    </row>
    <row r="2760" spans="1:13">
      <c r="A2760" t="s">
        <v>13</v>
      </c>
      <c r="B2760">
        <v>2961343</v>
      </c>
      <c r="C2760">
        <v>2962722</v>
      </c>
      <c r="E2760" t="s">
        <v>14</v>
      </c>
      <c r="F2760" t="s">
        <v>7609</v>
      </c>
      <c r="G2760" t="s">
        <v>7610</v>
      </c>
      <c r="H2760">
        <v>1020721</v>
      </c>
      <c r="I2760" t="s">
        <v>17</v>
      </c>
      <c r="K2760" t="s">
        <v>7611</v>
      </c>
      <c r="L2760">
        <v>459</v>
      </c>
      <c r="M2760" t="s">
        <v>7612</v>
      </c>
    </row>
    <row r="2761" spans="1:13">
      <c r="A2761" t="s">
        <v>13</v>
      </c>
      <c r="B2761">
        <v>2963196</v>
      </c>
      <c r="C2761">
        <v>2963597</v>
      </c>
      <c r="E2761" t="s">
        <v>38</v>
      </c>
      <c r="F2761" t="s">
        <v>7613</v>
      </c>
      <c r="H2761">
        <v>1020722</v>
      </c>
      <c r="I2761" t="s">
        <v>17</v>
      </c>
      <c r="K2761" t="s">
        <v>7614</v>
      </c>
      <c r="L2761">
        <v>133</v>
      </c>
      <c r="M2761" t="s">
        <v>7615</v>
      </c>
    </row>
    <row r="2762" spans="1:13">
      <c r="A2762" t="s">
        <v>13</v>
      </c>
      <c r="B2762">
        <v>2963604</v>
      </c>
      <c r="C2762">
        <v>2966162</v>
      </c>
      <c r="E2762" t="s">
        <v>38</v>
      </c>
      <c r="F2762" t="s">
        <v>7616</v>
      </c>
      <c r="G2762" t="s">
        <v>7617</v>
      </c>
      <c r="H2762">
        <v>1020723</v>
      </c>
      <c r="I2762" t="s">
        <v>17</v>
      </c>
      <c r="K2762" t="s">
        <v>7618</v>
      </c>
      <c r="L2762">
        <v>852</v>
      </c>
      <c r="M2762" t="s">
        <v>7619</v>
      </c>
    </row>
    <row r="2763" spans="1:13">
      <c r="A2763" t="s">
        <v>13</v>
      </c>
      <c r="B2763">
        <v>2966456</v>
      </c>
      <c r="C2763">
        <v>2967805</v>
      </c>
      <c r="E2763" t="s">
        <v>38</v>
      </c>
      <c r="F2763" t="s">
        <v>7620</v>
      </c>
      <c r="H2763">
        <v>1020724</v>
      </c>
      <c r="I2763" t="s">
        <v>17</v>
      </c>
      <c r="K2763" t="s">
        <v>7621</v>
      </c>
      <c r="L2763">
        <v>449</v>
      </c>
      <c r="M2763" t="s">
        <v>7622</v>
      </c>
    </row>
    <row r="2764" spans="1:13">
      <c r="A2764" t="s">
        <v>13</v>
      </c>
      <c r="B2764">
        <v>2968422</v>
      </c>
      <c r="C2764">
        <v>2968793</v>
      </c>
      <c r="E2764" t="s">
        <v>14</v>
      </c>
      <c r="F2764" t="s">
        <v>801</v>
      </c>
      <c r="H2764">
        <v>1020725</v>
      </c>
      <c r="I2764" t="s">
        <v>17</v>
      </c>
      <c r="K2764" t="s">
        <v>7623</v>
      </c>
      <c r="L2764">
        <v>123</v>
      </c>
      <c r="M2764" t="s">
        <v>7624</v>
      </c>
    </row>
    <row r="2765" spans="1:13">
      <c r="A2765" t="s">
        <v>13</v>
      </c>
      <c r="B2765">
        <v>2968790</v>
      </c>
      <c r="C2765">
        <v>2969812</v>
      </c>
      <c r="E2765" t="s">
        <v>14</v>
      </c>
      <c r="F2765" t="s">
        <v>3632</v>
      </c>
      <c r="H2765">
        <v>1020726</v>
      </c>
      <c r="I2765" t="s">
        <v>17</v>
      </c>
      <c r="K2765" t="s">
        <v>7625</v>
      </c>
      <c r="L2765">
        <v>340</v>
      </c>
      <c r="M2765" t="s">
        <v>7626</v>
      </c>
    </row>
    <row r="2766" spans="1:13">
      <c r="A2766" t="s">
        <v>13</v>
      </c>
      <c r="B2766">
        <v>2969835</v>
      </c>
      <c r="C2766">
        <v>2971007</v>
      </c>
      <c r="E2766" t="s">
        <v>14</v>
      </c>
      <c r="F2766" t="s">
        <v>3256</v>
      </c>
      <c r="H2766">
        <v>1020727</v>
      </c>
      <c r="I2766" t="s">
        <v>17</v>
      </c>
      <c r="K2766" t="s">
        <v>7627</v>
      </c>
      <c r="L2766">
        <v>390</v>
      </c>
      <c r="M2766" t="s">
        <v>7628</v>
      </c>
    </row>
    <row r="2767" spans="1:13">
      <c r="A2767" t="s">
        <v>13</v>
      </c>
      <c r="B2767">
        <v>2971018</v>
      </c>
      <c r="C2767">
        <v>2972061</v>
      </c>
      <c r="E2767" t="s">
        <v>14</v>
      </c>
      <c r="F2767" t="s">
        <v>2071</v>
      </c>
      <c r="H2767">
        <v>1020728</v>
      </c>
      <c r="I2767" t="s">
        <v>17</v>
      </c>
      <c r="K2767" t="s">
        <v>7629</v>
      </c>
      <c r="L2767">
        <v>347</v>
      </c>
      <c r="M2767" t="s">
        <v>7630</v>
      </c>
    </row>
    <row r="2768" spans="1:13">
      <c r="A2768" t="s">
        <v>13</v>
      </c>
      <c r="B2768">
        <v>2972058</v>
      </c>
      <c r="C2768">
        <v>2973206</v>
      </c>
      <c r="E2768" t="s">
        <v>38</v>
      </c>
      <c r="F2768" t="s">
        <v>7631</v>
      </c>
      <c r="H2768">
        <v>1020729</v>
      </c>
      <c r="I2768" t="s">
        <v>17</v>
      </c>
      <c r="K2768" t="s">
        <v>7632</v>
      </c>
      <c r="L2768">
        <v>382</v>
      </c>
      <c r="M2768" t="s">
        <v>7633</v>
      </c>
    </row>
    <row r="2769" spans="1:13">
      <c r="A2769" t="s">
        <v>13</v>
      </c>
      <c r="B2769">
        <v>2973228</v>
      </c>
      <c r="C2769">
        <v>2973797</v>
      </c>
      <c r="E2769" t="s">
        <v>38</v>
      </c>
      <c r="F2769" t="s">
        <v>138</v>
      </c>
      <c r="H2769">
        <v>1020730</v>
      </c>
      <c r="I2769" t="s">
        <v>17</v>
      </c>
      <c r="K2769" t="s">
        <v>7634</v>
      </c>
      <c r="L2769">
        <v>189</v>
      </c>
      <c r="M2769" t="s">
        <v>7635</v>
      </c>
    </row>
    <row r="2770" spans="1:13">
      <c r="A2770" t="s">
        <v>13</v>
      </c>
      <c r="B2770">
        <v>2973962</v>
      </c>
      <c r="C2770">
        <v>2974408</v>
      </c>
      <c r="E2770" t="s">
        <v>14</v>
      </c>
      <c r="F2770" t="s">
        <v>141</v>
      </c>
      <c r="H2770">
        <v>92792331</v>
      </c>
      <c r="I2770" t="s">
        <v>142</v>
      </c>
      <c r="M2770" t="s">
        <v>7636</v>
      </c>
    </row>
    <row r="2771" spans="1:13">
      <c r="A2771" t="s">
        <v>13</v>
      </c>
      <c r="B2771">
        <v>2974468</v>
      </c>
      <c r="C2771">
        <v>2975595</v>
      </c>
      <c r="E2771" t="s">
        <v>14</v>
      </c>
      <c r="F2771" t="s">
        <v>7637</v>
      </c>
      <c r="H2771">
        <v>1020733</v>
      </c>
      <c r="I2771" t="s">
        <v>17</v>
      </c>
      <c r="K2771" t="s">
        <v>7638</v>
      </c>
      <c r="L2771">
        <v>375</v>
      </c>
      <c r="M2771" t="s">
        <v>7639</v>
      </c>
    </row>
    <row r="2772" spans="1:13">
      <c r="A2772" t="s">
        <v>13</v>
      </c>
      <c r="B2772">
        <v>2975555</v>
      </c>
      <c r="C2772">
        <v>2976364</v>
      </c>
      <c r="E2772" t="s">
        <v>14</v>
      </c>
      <c r="F2772" t="s">
        <v>49</v>
      </c>
      <c r="H2772">
        <v>1020734</v>
      </c>
      <c r="I2772" t="s">
        <v>17</v>
      </c>
      <c r="K2772" t="s">
        <v>7640</v>
      </c>
      <c r="L2772">
        <v>269</v>
      </c>
      <c r="M2772" t="s">
        <v>7641</v>
      </c>
    </row>
    <row r="2773" spans="1:13">
      <c r="A2773" t="s">
        <v>13</v>
      </c>
      <c r="B2773">
        <v>2976621</v>
      </c>
      <c r="C2773">
        <v>2977778</v>
      </c>
      <c r="E2773" t="s">
        <v>14</v>
      </c>
      <c r="F2773" t="s">
        <v>49</v>
      </c>
      <c r="H2773">
        <v>1020735</v>
      </c>
      <c r="I2773" t="s">
        <v>17</v>
      </c>
      <c r="K2773" t="s">
        <v>7642</v>
      </c>
      <c r="L2773">
        <v>385</v>
      </c>
      <c r="M2773" t="s">
        <v>7643</v>
      </c>
    </row>
    <row r="2774" spans="1:13">
      <c r="A2774" t="s">
        <v>13</v>
      </c>
      <c r="B2774">
        <v>2977845</v>
      </c>
      <c r="C2774">
        <v>2978645</v>
      </c>
      <c r="E2774" t="s">
        <v>38</v>
      </c>
      <c r="F2774" t="s">
        <v>7644</v>
      </c>
      <c r="H2774">
        <v>1020736</v>
      </c>
      <c r="I2774" t="s">
        <v>17</v>
      </c>
      <c r="K2774" t="s">
        <v>7645</v>
      </c>
      <c r="L2774">
        <v>266</v>
      </c>
      <c r="M2774" t="s">
        <v>7646</v>
      </c>
    </row>
    <row r="2775" spans="1:13">
      <c r="A2775" t="s">
        <v>13</v>
      </c>
      <c r="B2775">
        <v>2978738</v>
      </c>
      <c r="C2775">
        <v>2978983</v>
      </c>
      <c r="E2775" t="s">
        <v>14</v>
      </c>
      <c r="F2775" t="s">
        <v>49</v>
      </c>
      <c r="H2775">
        <v>1020737</v>
      </c>
      <c r="I2775" t="s">
        <v>17</v>
      </c>
      <c r="K2775" t="s">
        <v>7647</v>
      </c>
      <c r="L2775">
        <v>81</v>
      </c>
      <c r="M2775" t="s">
        <v>7648</v>
      </c>
    </row>
    <row r="2776" spans="1:13">
      <c r="A2776" t="s">
        <v>13</v>
      </c>
      <c r="B2776">
        <v>2978983</v>
      </c>
      <c r="C2776">
        <v>2980119</v>
      </c>
      <c r="E2776" t="s">
        <v>14</v>
      </c>
      <c r="F2776" t="s">
        <v>391</v>
      </c>
      <c r="H2776">
        <v>1020738</v>
      </c>
      <c r="I2776" t="s">
        <v>17</v>
      </c>
      <c r="K2776" t="s">
        <v>7649</v>
      </c>
      <c r="L2776">
        <v>378</v>
      </c>
      <c r="M2776" t="s">
        <v>7650</v>
      </c>
    </row>
    <row r="2777" spans="1:13">
      <c r="A2777" t="s">
        <v>13</v>
      </c>
      <c r="B2777">
        <v>2980179</v>
      </c>
      <c r="C2777">
        <v>2981699</v>
      </c>
      <c r="E2777" t="s">
        <v>38</v>
      </c>
      <c r="F2777" t="s">
        <v>7651</v>
      </c>
      <c r="H2777">
        <v>1020739</v>
      </c>
      <c r="I2777" t="s">
        <v>17</v>
      </c>
      <c r="K2777" t="s">
        <v>7652</v>
      </c>
      <c r="L2777">
        <v>506</v>
      </c>
      <c r="M2777" t="s">
        <v>7653</v>
      </c>
    </row>
    <row r="2778" spans="1:13">
      <c r="A2778" t="s">
        <v>13</v>
      </c>
      <c r="B2778">
        <v>2982021</v>
      </c>
      <c r="C2778">
        <v>2982461</v>
      </c>
      <c r="E2778" t="s">
        <v>38</v>
      </c>
      <c r="F2778" t="s">
        <v>7654</v>
      </c>
      <c r="H2778">
        <v>1020740</v>
      </c>
      <c r="I2778" t="s">
        <v>17</v>
      </c>
      <c r="K2778" t="s">
        <v>7655</v>
      </c>
      <c r="L2778">
        <v>146</v>
      </c>
      <c r="M2778" t="s">
        <v>7656</v>
      </c>
    </row>
    <row r="2779" spans="1:13">
      <c r="A2779" t="s">
        <v>13</v>
      </c>
      <c r="B2779">
        <v>2982493</v>
      </c>
      <c r="C2779">
        <v>2983680</v>
      </c>
      <c r="E2779" t="s">
        <v>38</v>
      </c>
      <c r="F2779" t="s">
        <v>6308</v>
      </c>
      <c r="G2779" t="s">
        <v>6309</v>
      </c>
      <c r="H2779">
        <v>1020741</v>
      </c>
      <c r="I2779" t="s">
        <v>17</v>
      </c>
      <c r="K2779" t="s">
        <v>7657</v>
      </c>
      <c r="L2779">
        <v>395</v>
      </c>
      <c r="M2779" t="s">
        <v>7658</v>
      </c>
    </row>
    <row r="2780" spans="1:13">
      <c r="A2780" t="s">
        <v>13</v>
      </c>
      <c r="B2780">
        <v>2983885</v>
      </c>
      <c r="C2780">
        <v>2984541</v>
      </c>
      <c r="E2780" t="s">
        <v>38</v>
      </c>
      <c r="F2780" t="s">
        <v>7659</v>
      </c>
      <c r="G2780" t="s">
        <v>7660</v>
      </c>
      <c r="H2780">
        <v>1020742</v>
      </c>
      <c r="I2780" t="s">
        <v>17</v>
      </c>
      <c r="K2780" t="s">
        <v>7661</v>
      </c>
      <c r="L2780">
        <v>218</v>
      </c>
      <c r="M2780" t="s">
        <v>7662</v>
      </c>
    </row>
    <row r="2781" spans="1:13">
      <c r="A2781" t="s">
        <v>13</v>
      </c>
      <c r="B2781">
        <v>2984542</v>
      </c>
      <c r="C2781">
        <v>2986398</v>
      </c>
      <c r="E2781" t="s">
        <v>38</v>
      </c>
      <c r="F2781" t="s">
        <v>7663</v>
      </c>
      <c r="G2781" t="s">
        <v>7664</v>
      </c>
      <c r="H2781">
        <v>1020743</v>
      </c>
      <c r="I2781" t="s">
        <v>17</v>
      </c>
      <c r="K2781" t="s">
        <v>7665</v>
      </c>
      <c r="L2781">
        <v>618</v>
      </c>
      <c r="M2781" t="s">
        <v>7666</v>
      </c>
    </row>
    <row r="2782" spans="1:13">
      <c r="A2782" t="s">
        <v>13</v>
      </c>
      <c r="B2782">
        <v>2986738</v>
      </c>
      <c r="C2782">
        <v>2988168</v>
      </c>
      <c r="E2782" t="s">
        <v>14</v>
      </c>
      <c r="F2782" t="s">
        <v>2942</v>
      </c>
      <c r="H2782">
        <v>1020744</v>
      </c>
      <c r="I2782" t="s">
        <v>17</v>
      </c>
      <c r="K2782" t="s">
        <v>7667</v>
      </c>
      <c r="L2782">
        <v>476</v>
      </c>
      <c r="M2782" t="s">
        <v>7668</v>
      </c>
    </row>
    <row r="2783" spans="1:13">
      <c r="A2783" t="s">
        <v>13</v>
      </c>
      <c r="B2783">
        <v>2988212</v>
      </c>
      <c r="C2783">
        <v>2988772</v>
      </c>
      <c r="E2783" t="s">
        <v>38</v>
      </c>
      <c r="F2783" t="s">
        <v>7669</v>
      </c>
      <c r="H2783">
        <v>1020745</v>
      </c>
      <c r="I2783" t="s">
        <v>17</v>
      </c>
      <c r="K2783" t="s">
        <v>7670</v>
      </c>
      <c r="L2783">
        <v>186</v>
      </c>
      <c r="M2783" t="s">
        <v>7671</v>
      </c>
    </row>
    <row r="2784" spans="1:13">
      <c r="A2784" t="s">
        <v>13</v>
      </c>
      <c r="B2784">
        <v>2988844</v>
      </c>
      <c r="C2784">
        <v>2989950</v>
      </c>
      <c r="E2784" t="s">
        <v>38</v>
      </c>
      <c r="F2784" t="s">
        <v>7672</v>
      </c>
      <c r="H2784">
        <v>1020746</v>
      </c>
      <c r="I2784" t="s">
        <v>17</v>
      </c>
      <c r="K2784" t="s">
        <v>7673</v>
      </c>
      <c r="L2784">
        <v>368</v>
      </c>
      <c r="M2784" t="s">
        <v>7674</v>
      </c>
    </row>
    <row r="2785" spans="1:13">
      <c r="A2785" t="s">
        <v>13</v>
      </c>
      <c r="B2785">
        <v>2989952</v>
      </c>
      <c r="C2785">
        <v>2993287</v>
      </c>
      <c r="E2785" t="s">
        <v>38</v>
      </c>
      <c r="F2785" t="s">
        <v>103</v>
      </c>
      <c r="H2785">
        <v>1020747</v>
      </c>
      <c r="I2785" t="s">
        <v>17</v>
      </c>
      <c r="K2785" t="s">
        <v>7675</v>
      </c>
      <c r="L2785">
        <v>1111</v>
      </c>
      <c r="M2785" t="s">
        <v>7676</v>
      </c>
    </row>
    <row r="2786" spans="1:13">
      <c r="A2786" t="s">
        <v>13</v>
      </c>
      <c r="B2786">
        <v>2993284</v>
      </c>
      <c r="C2786">
        <v>2993922</v>
      </c>
      <c r="E2786" t="s">
        <v>38</v>
      </c>
      <c r="F2786" t="s">
        <v>7677</v>
      </c>
      <c r="H2786">
        <v>1020748</v>
      </c>
      <c r="I2786" t="s">
        <v>17</v>
      </c>
      <c r="K2786" t="s">
        <v>7678</v>
      </c>
      <c r="L2786">
        <v>212</v>
      </c>
      <c r="M2786" t="s">
        <v>7679</v>
      </c>
    </row>
    <row r="2787" spans="1:13">
      <c r="A2787" t="s">
        <v>13</v>
      </c>
      <c r="B2787">
        <v>2993919</v>
      </c>
      <c r="C2787">
        <v>2995406</v>
      </c>
      <c r="E2787" t="s">
        <v>38</v>
      </c>
      <c r="F2787" t="s">
        <v>7680</v>
      </c>
      <c r="H2787">
        <v>1020749</v>
      </c>
      <c r="I2787" t="s">
        <v>17</v>
      </c>
      <c r="K2787" t="s">
        <v>7681</v>
      </c>
      <c r="L2787">
        <v>495</v>
      </c>
      <c r="M2787" t="s">
        <v>7682</v>
      </c>
    </row>
    <row r="2788" spans="1:13">
      <c r="A2788" t="s">
        <v>13</v>
      </c>
      <c r="B2788">
        <v>2995745</v>
      </c>
      <c r="C2788">
        <v>2996782</v>
      </c>
      <c r="E2788" t="s">
        <v>38</v>
      </c>
      <c r="F2788" t="s">
        <v>7683</v>
      </c>
      <c r="G2788" t="s">
        <v>7684</v>
      </c>
      <c r="H2788">
        <v>1020750</v>
      </c>
      <c r="I2788" t="s">
        <v>17</v>
      </c>
      <c r="K2788" t="s">
        <v>7685</v>
      </c>
      <c r="L2788">
        <v>345</v>
      </c>
      <c r="M2788" t="s">
        <v>7686</v>
      </c>
    </row>
    <row r="2789" spans="1:13">
      <c r="A2789" t="s">
        <v>13</v>
      </c>
      <c r="B2789">
        <v>2997407</v>
      </c>
      <c r="C2789">
        <v>2997475</v>
      </c>
      <c r="E2789" t="s">
        <v>14</v>
      </c>
      <c r="F2789" t="s">
        <v>141</v>
      </c>
      <c r="H2789">
        <v>92792315</v>
      </c>
      <c r="I2789" t="s">
        <v>142</v>
      </c>
      <c r="M2789" t="s">
        <v>7687</v>
      </c>
    </row>
    <row r="2790" spans="1:13">
      <c r="A2790" t="s">
        <v>13</v>
      </c>
      <c r="B2790">
        <v>2997479</v>
      </c>
      <c r="C2790">
        <v>2997688</v>
      </c>
      <c r="E2790" t="s">
        <v>38</v>
      </c>
      <c r="F2790" t="s">
        <v>49</v>
      </c>
      <c r="H2790">
        <v>92792316</v>
      </c>
      <c r="I2790" t="s">
        <v>17</v>
      </c>
      <c r="K2790" t="s">
        <v>7688</v>
      </c>
      <c r="L2790">
        <v>69</v>
      </c>
      <c r="M2790" t="s">
        <v>7689</v>
      </c>
    </row>
    <row r="2791" spans="1:13">
      <c r="A2791" t="s">
        <v>13</v>
      </c>
      <c r="B2791">
        <v>2997819</v>
      </c>
      <c r="C2791">
        <v>2998221</v>
      </c>
      <c r="E2791" t="s">
        <v>38</v>
      </c>
      <c r="F2791" t="s">
        <v>141</v>
      </c>
      <c r="H2791">
        <v>92792317</v>
      </c>
      <c r="I2791" t="s">
        <v>142</v>
      </c>
      <c r="M2791" t="s">
        <v>7690</v>
      </c>
    </row>
    <row r="2792" spans="1:13">
      <c r="A2792" t="s">
        <v>13</v>
      </c>
      <c r="B2792">
        <v>2998526</v>
      </c>
      <c r="C2792">
        <v>2999455</v>
      </c>
      <c r="E2792" t="s">
        <v>38</v>
      </c>
      <c r="F2792" t="s">
        <v>194</v>
      </c>
      <c r="H2792">
        <v>1020754</v>
      </c>
      <c r="I2792" t="s">
        <v>17</v>
      </c>
      <c r="K2792" t="s">
        <v>7691</v>
      </c>
      <c r="L2792">
        <v>309</v>
      </c>
      <c r="M2792" t="s">
        <v>7692</v>
      </c>
    </row>
    <row r="2793" spans="1:13">
      <c r="A2793" t="s">
        <v>13</v>
      </c>
      <c r="B2793">
        <v>2999476</v>
      </c>
      <c r="C2793">
        <v>3000201</v>
      </c>
      <c r="E2793" t="s">
        <v>38</v>
      </c>
      <c r="F2793" t="s">
        <v>7693</v>
      </c>
      <c r="H2793">
        <v>1020755</v>
      </c>
      <c r="I2793" t="s">
        <v>17</v>
      </c>
      <c r="K2793" t="s">
        <v>7694</v>
      </c>
      <c r="L2793">
        <v>241</v>
      </c>
      <c r="M2793" t="s">
        <v>7695</v>
      </c>
    </row>
    <row r="2794" spans="1:13">
      <c r="A2794" t="s">
        <v>13</v>
      </c>
      <c r="B2794">
        <v>3000239</v>
      </c>
      <c r="C2794">
        <v>3001540</v>
      </c>
      <c r="E2794" t="s">
        <v>38</v>
      </c>
      <c r="F2794" t="s">
        <v>2006</v>
      </c>
      <c r="H2794">
        <v>1020756</v>
      </c>
      <c r="I2794" t="s">
        <v>17</v>
      </c>
      <c r="K2794" t="s">
        <v>7696</v>
      </c>
      <c r="L2794">
        <v>433</v>
      </c>
      <c r="M2794" t="s">
        <v>7697</v>
      </c>
    </row>
    <row r="2795" spans="1:13">
      <c r="A2795" t="s">
        <v>13</v>
      </c>
      <c r="B2795">
        <v>3001540</v>
      </c>
      <c r="C2795">
        <v>3002454</v>
      </c>
      <c r="E2795" t="s">
        <v>38</v>
      </c>
      <c r="F2795" t="s">
        <v>7698</v>
      </c>
      <c r="G2795" t="s">
        <v>7699</v>
      </c>
      <c r="H2795">
        <v>1020757</v>
      </c>
      <c r="I2795" t="s">
        <v>17</v>
      </c>
      <c r="K2795" t="s">
        <v>7700</v>
      </c>
      <c r="L2795">
        <v>304</v>
      </c>
      <c r="M2795" t="s">
        <v>7701</v>
      </c>
    </row>
    <row r="2796" spans="1:13">
      <c r="A2796" t="s">
        <v>13</v>
      </c>
      <c r="B2796">
        <v>3002451</v>
      </c>
      <c r="C2796">
        <v>3003236</v>
      </c>
      <c r="E2796" t="s">
        <v>38</v>
      </c>
      <c r="F2796" t="s">
        <v>7702</v>
      </c>
      <c r="H2796">
        <v>1020758</v>
      </c>
      <c r="I2796" t="s">
        <v>17</v>
      </c>
      <c r="K2796" t="s">
        <v>7703</v>
      </c>
      <c r="L2796">
        <v>261</v>
      </c>
      <c r="M2796" t="s">
        <v>7704</v>
      </c>
    </row>
    <row r="2797" spans="1:13">
      <c r="A2797" t="s">
        <v>13</v>
      </c>
      <c r="B2797">
        <v>3003478</v>
      </c>
      <c r="C2797">
        <v>3005163</v>
      </c>
      <c r="E2797" t="s">
        <v>38</v>
      </c>
      <c r="F2797" t="s">
        <v>4178</v>
      </c>
      <c r="H2797">
        <v>1020759</v>
      </c>
      <c r="I2797" t="s">
        <v>17</v>
      </c>
      <c r="K2797" t="s">
        <v>7705</v>
      </c>
      <c r="L2797">
        <v>561</v>
      </c>
      <c r="M2797" t="s">
        <v>7706</v>
      </c>
    </row>
    <row r="2798" spans="1:13">
      <c r="A2798" t="s">
        <v>13</v>
      </c>
      <c r="B2798">
        <v>3005546</v>
      </c>
      <c r="C2798">
        <v>3006919</v>
      </c>
      <c r="E2798" t="s">
        <v>14</v>
      </c>
      <c r="F2798" t="s">
        <v>7246</v>
      </c>
      <c r="H2798">
        <v>1020760</v>
      </c>
      <c r="I2798" t="s">
        <v>17</v>
      </c>
      <c r="K2798" t="s">
        <v>7707</v>
      </c>
      <c r="L2798">
        <v>457</v>
      </c>
      <c r="M2798" t="s">
        <v>7708</v>
      </c>
    </row>
    <row r="2799" spans="1:13">
      <c r="A2799" t="s">
        <v>13</v>
      </c>
      <c r="B2799">
        <v>3007016</v>
      </c>
      <c r="C2799">
        <v>3008380</v>
      </c>
      <c r="E2799" t="s">
        <v>14</v>
      </c>
      <c r="F2799" t="s">
        <v>382</v>
      </c>
      <c r="H2799">
        <v>1020761</v>
      </c>
      <c r="I2799" t="s">
        <v>17</v>
      </c>
      <c r="K2799" t="s">
        <v>7709</v>
      </c>
      <c r="L2799">
        <v>454</v>
      </c>
      <c r="M2799" t="s">
        <v>7710</v>
      </c>
    </row>
    <row r="2800" spans="1:13">
      <c r="A2800" t="s">
        <v>13</v>
      </c>
      <c r="B2800">
        <v>3008451</v>
      </c>
      <c r="C2800">
        <v>3008657</v>
      </c>
      <c r="E2800" t="s">
        <v>38</v>
      </c>
      <c r="F2800" t="s">
        <v>49</v>
      </c>
      <c r="H2800">
        <v>1020762</v>
      </c>
      <c r="I2800" t="s">
        <v>17</v>
      </c>
      <c r="K2800" t="s">
        <v>7711</v>
      </c>
      <c r="L2800">
        <v>68</v>
      </c>
      <c r="M2800" t="s">
        <v>7712</v>
      </c>
    </row>
    <row r="2801" spans="1:13">
      <c r="A2801" t="s">
        <v>13</v>
      </c>
      <c r="B2801">
        <v>3008747</v>
      </c>
      <c r="C2801">
        <v>3009163</v>
      </c>
      <c r="E2801" t="s">
        <v>38</v>
      </c>
      <c r="F2801" t="s">
        <v>356</v>
      </c>
      <c r="H2801">
        <v>1020763</v>
      </c>
      <c r="I2801" t="s">
        <v>17</v>
      </c>
      <c r="K2801" t="s">
        <v>7713</v>
      </c>
      <c r="L2801">
        <v>138</v>
      </c>
      <c r="M2801" t="s">
        <v>7714</v>
      </c>
    </row>
    <row r="2802" spans="1:13">
      <c r="A2802" t="s">
        <v>13</v>
      </c>
      <c r="B2802">
        <v>3009243</v>
      </c>
      <c r="C2802">
        <v>3009611</v>
      </c>
      <c r="E2802" t="s">
        <v>14</v>
      </c>
      <c r="F2802" t="s">
        <v>49</v>
      </c>
      <c r="H2802">
        <v>1020764</v>
      </c>
      <c r="I2802" t="s">
        <v>17</v>
      </c>
      <c r="K2802" t="s">
        <v>7715</v>
      </c>
      <c r="L2802">
        <v>122</v>
      </c>
      <c r="M2802" t="s">
        <v>7716</v>
      </c>
    </row>
    <row r="2803" spans="1:13">
      <c r="A2803" t="s">
        <v>13</v>
      </c>
      <c r="B2803">
        <v>3009708</v>
      </c>
      <c r="C2803">
        <v>3011240</v>
      </c>
      <c r="E2803" t="s">
        <v>38</v>
      </c>
      <c r="F2803" t="s">
        <v>7717</v>
      </c>
      <c r="G2803" t="s">
        <v>7718</v>
      </c>
      <c r="H2803">
        <v>1020765</v>
      </c>
      <c r="I2803" t="s">
        <v>17</v>
      </c>
      <c r="K2803" t="s">
        <v>7719</v>
      </c>
      <c r="L2803">
        <v>510</v>
      </c>
      <c r="M2803" t="s">
        <v>7720</v>
      </c>
    </row>
    <row r="2804" spans="1:13">
      <c r="A2804" t="s">
        <v>13</v>
      </c>
      <c r="B2804">
        <v>3011240</v>
      </c>
      <c r="C2804">
        <v>3011806</v>
      </c>
      <c r="E2804" t="s">
        <v>38</v>
      </c>
      <c r="F2804" t="s">
        <v>7721</v>
      </c>
      <c r="G2804" t="s">
        <v>7722</v>
      </c>
      <c r="H2804">
        <v>1020766</v>
      </c>
      <c r="I2804" t="s">
        <v>17</v>
      </c>
      <c r="K2804" t="s">
        <v>7723</v>
      </c>
      <c r="L2804">
        <v>188</v>
      </c>
      <c r="M2804" t="s">
        <v>7724</v>
      </c>
    </row>
    <row r="2805" spans="1:13">
      <c r="A2805" t="s">
        <v>13</v>
      </c>
      <c r="B2805">
        <v>3011806</v>
      </c>
      <c r="C2805">
        <v>3012810</v>
      </c>
      <c r="E2805" t="s">
        <v>38</v>
      </c>
      <c r="F2805" t="s">
        <v>7725</v>
      </c>
      <c r="G2805" t="s">
        <v>7726</v>
      </c>
      <c r="H2805">
        <v>1020767</v>
      </c>
      <c r="I2805" t="s">
        <v>17</v>
      </c>
      <c r="K2805" t="s">
        <v>7727</v>
      </c>
      <c r="L2805">
        <v>334</v>
      </c>
      <c r="M2805" t="s">
        <v>7728</v>
      </c>
    </row>
    <row r="2806" spans="1:13">
      <c r="A2806" t="s">
        <v>13</v>
      </c>
      <c r="B2806">
        <v>3013104</v>
      </c>
      <c r="C2806">
        <v>3013838</v>
      </c>
      <c r="E2806" t="s">
        <v>38</v>
      </c>
      <c r="F2806" t="s">
        <v>3013</v>
      </c>
      <c r="H2806">
        <v>1020768</v>
      </c>
      <c r="I2806" t="s">
        <v>17</v>
      </c>
      <c r="K2806" t="s">
        <v>7729</v>
      </c>
      <c r="L2806">
        <v>244</v>
      </c>
      <c r="M2806" t="s">
        <v>7730</v>
      </c>
    </row>
    <row r="2807" spans="1:13">
      <c r="A2807" t="s">
        <v>13</v>
      </c>
      <c r="B2807">
        <v>3013835</v>
      </c>
      <c r="C2807">
        <v>3014557</v>
      </c>
      <c r="E2807" t="s">
        <v>38</v>
      </c>
      <c r="F2807" t="s">
        <v>3013</v>
      </c>
      <c r="H2807">
        <v>1020769</v>
      </c>
      <c r="I2807" t="s">
        <v>17</v>
      </c>
      <c r="K2807" t="s">
        <v>7731</v>
      </c>
      <c r="L2807">
        <v>240</v>
      </c>
      <c r="M2807" t="s">
        <v>7732</v>
      </c>
    </row>
    <row r="2808" spans="1:13">
      <c r="A2808" t="s">
        <v>13</v>
      </c>
      <c r="B2808">
        <v>3014617</v>
      </c>
      <c r="C2808">
        <v>3015828</v>
      </c>
      <c r="E2808" t="s">
        <v>14</v>
      </c>
      <c r="F2808" t="s">
        <v>265</v>
      </c>
      <c r="H2808">
        <v>1020770</v>
      </c>
      <c r="I2808" t="s">
        <v>17</v>
      </c>
      <c r="K2808" t="s">
        <v>7733</v>
      </c>
      <c r="L2808">
        <v>403</v>
      </c>
      <c r="M2808" t="s">
        <v>7734</v>
      </c>
    </row>
    <row r="2809" spans="1:13">
      <c r="A2809" t="s">
        <v>13</v>
      </c>
      <c r="B2809">
        <v>3015825</v>
      </c>
      <c r="C2809">
        <v>3017150</v>
      </c>
      <c r="E2809" t="s">
        <v>38</v>
      </c>
      <c r="F2809" t="s">
        <v>7735</v>
      </c>
      <c r="H2809">
        <v>1020771</v>
      </c>
      <c r="I2809" t="s">
        <v>17</v>
      </c>
      <c r="K2809" t="s">
        <v>7736</v>
      </c>
      <c r="L2809">
        <v>441</v>
      </c>
      <c r="M2809" t="s">
        <v>7737</v>
      </c>
    </row>
    <row r="2810" spans="1:13">
      <c r="A2810" t="s">
        <v>13</v>
      </c>
      <c r="B2810">
        <v>3017485</v>
      </c>
      <c r="C2810">
        <v>3019224</v>
      </c>
      <c r="E2810" t="s">
        <v>14</v>
      </c>
      <c r="F2810" t="s">
        <v>7738</v>
      </c>
      <c r="H2810">
        <v>92792328</v>
      </c>
      <c r="I2810" t="s">
        <v>17</v>
      </c>
      <c r="K2810" t="s">
        <v>7739</v>
      </c>
      <c r="L2810">
        <v>579</v>
      </c>
      <c r="M2810" t="s">
        <v>7740</v>
      </c>
    </row>
    <row r="2811" spans="1:13">
      <c r="A2811" t="s">
        <v>13</v>
      </c>
      <c r="B2811">
        <v>3019540</v>
      </c>
      <c r="C2811">
        <v>3020568</v>
      </c>
      <c r="E2811" t="s">
        <v>38</v>
      </c>
      <c r="F2811" t="s">
        <v>127</v>
      </c>
      <c r="H2811">
        <v>1020773</v>
      </c>
      <c r="I2811" t="s">
        <v>17</v>
      </c>
      <c r="K2811" t="s">
        <v>7741</v>
      </c>
      <c r="L2811">
        <v>342</v>
      </c>
      <c r="M2811" t="s">
        <v>7742</v>
      </c>
    </row>
    <row r="2812" spans="1:13">
      <c r="A2812" t="s">
        <v>13</v>
      </c>
      <c r="B2812">
        <v>3020559</v>
      </c>
      <c r="C2812">
        <v>3021203</v>
      </c>
      <c r="E2812" t="s">
        <v>38</v>
      </c>
      <c r="F2812" t="s">
        <v>3077</v>
      </c>
      <c r="H2812">
        <v>1020774</v>
      </c>
      <c r="I2812" t="s">
        <v>17</v>
      </c>
      <c r="K2812" t="s">
        <v>7743</v>
      </c>
      <c r="L2812">
        <v>214</v>
      </c>
      <c r="M2812" t="s">
        <v>7744</v>
      </c>
    </row>
    <row r="2813" spans="1:13">
      <c r="A2813" t="s">
        <v>13</v>
      </c>
      <c r="B2813">
        <v>3021206</v>
      </c>
      <c r="C2813">
        <v>3021958</v>
      </c>
      <c r="E2813" t="s">
        <v>38</v>
      </c>
      <c r="F2813" t="s">
        <v>49</v>
      </c>
      <c r="H2813">
        <v>1020775</v>
      </c>
      <c r="I2813" t="s">
        <v>17</v>
      </c>
      <c r="K2813" t="s">
        <v>7745</v>
      </c>
      <c r="L2813">
        <v>250</v>
      </c>
      <c r="M2813" t="s">
        <v>7746</v>
      </c>
    </row>
    <row r="2814" spans="1:13">
      <c r="A2814" t="s">
        <v>13</v>
      </c>
      <c r="B2814">
        <v>3022111</v>
      </c>
      <c r="C2814">
        <v>3022929</v>
      </c>
      <c r="E2814" t="s">
        <v>38</v>
      </c>
      <c r="F2814" t="s">
        <v>7747</v>
      </c>
      <c r="H2814">
        <v>1020776</v>
      </c>
      <c r="I2814" t="s">
        <v>17</v>
      </c>
      <c r="K2814" t="s">
        <v>7748</v>
      </c>
      <c r="L2814">
        <v>272</v>
      </c>
      <c r="M2814" t="s">
        <v>7749</v>
      </c>
    </row>
    <row r="2815" spans="1:13">
      <c r="A2815" t="s">
        <v>13</v>
      </c>
      <c r="B2815">
        <v>3022996</v>
      </c>
      <c r="C2815">
        <v>3023901</v>
      </c>
      <c r="E2815" t="s">
        <v>38</v>
      </c>
      <c r="F2815" t="s">
        <v>3845</v>
      </c>
      <c r="H2815">
        <v>1020777</v>
      </c>
      <c r="I2815" t="s">
        <v>17</v>
      </c>
      <c r="K2815" t="s">
        <v>7750</v>
      </c>
      <c r="L2815">
        <v>301</v>
      </c>
      <c r="M2815" t="s">
        <v>7751</v>
      </c>
    </row>
    <row r="2816" spans="1:13">
      <c r="A2816" t="s">
        <v>13</v>
      </c>
      <c r="B2816">
        <v>3024380</v>
      </c>
      <c r="C2816">
        <v>3025357</v>
      </c>
      <c r="E2816" t="s">
        <v>14</v>
      </c>
      <c r="F2816" t="s">
        <v>1897</v>
      </c>
      <c r="H2816">
        <v>1020778</v>
      </c>
      <c r="I2816" t="s">
        <v>17</v>
      </c>
      <c r="K2816" t="s">
        <v>7752</v>
      </c>
      <c r="L2816">
        <v>325</v>
      </c>
      <c r="M2816" t="s">
        <v>7753</v>
      </c>
    </row>
    <row r="2817" spans="1:13">
      <c r="A2817" t="s">
        <v>13</v>
      </c>
      <c r="B2817">
        <v>3025362</v>
      </c>
      <c r="C2817">
        <v>3025556</v>
      </c>
      <c r="E2817" t="s">
        <v>14</v>
      </c>
      <c r="F2817" t="s">
        <v>49</v>
      </c>
      <c r="H2817">
        <v>1020779</v>
      </c>
      <c r="I2817" t="s">
        <v>17</v>
      </c>
      <c r="K2817" t="s">
        <v>7754</v>
      </c>
      <c r="L2817">
        <v>64</v>
      </c>
      <c r="M2817" t="s">
        <v>7755</v>
      </c>
    </row>
    <row r="2818" spans="1:13">
      <c r="A2818" t="s">
        <v>13</v>
      </c>
      <c r="B2818">
        <v>3025553</v>
      </c>
      <c r="C2818">
        <v>3026143</v>
      </c>
      <c r="E2818" t="s">
        <v>14</v>
      </c>
      <c r="F2818" t="s">
        <v>460</v>
      </c>
      <c r="H2818">
        <v>1020780</v>
      </c>
      <c r="I2818" t="s">
        <v>17</v>
      </c>
      <c r="K2818" t="s">
        <v>7756</v>
      </c>
      <c r="L2818">
        <v>196</v>
      </c>
      <c r="M2818" t="s">
        <v>7757</v>
      </c>
    </row>
    <row r="2819" spans="1:13">
      <c r="A2819" t="s">
        <v>13</v>
      </c>
      <c r="B2819">
        <v>3026140</v>
      </c>
      <c r="C2819">
        <v>3027300</v>
      </c>
      <c r="E2819" t="s">
        <v>38</v>
      </c>
      <c r="F2819" t="s">
        <v>7758</v>
      </c>
      <c r="H2819">
        <v>1020781</v>
      </c>
      <c r="I2819" t="s">
        <v>17</v>
      </c>
      <c r="K2819" t="s">
        <v>7759</v>
      </c>
      <c r="L2819">
        <v>386</v>
      </c>
      <c r="M2819" t="s">
        <v>7760</v>
      </c>
    </row>
    <row r="2820" spans="1:13">
      <c r="A2820" t="s">
        <v>13</v>
      </c>
      <c r="B2820">
        <v>3027562</v>
      </c>
      <c r="C2820">
        <v>3028167</v>
      </c>
      <c r="E2820" t="s">
        <v>14</v>
      </c>
      <c r="F2820" t="s">
        <v>1443</v>
      </c>
      <c r="H2820">
        <v>1020782</v>
      </c>
      <c r="I2820" t="s">
        <v>17</v>
      </c>
      <c r="K2820" t="s">
        <v>7761</v>
      </c>
      <c r="L2820">
        <v>201</v>
      </c>
      <c r="M2820" t="s">
        <v>7762</v>
      </c>
    </row>
    <row r="2821" spans="1:13">
      <c r="A2821" t="s">
        <v>13</v>
      </c>
      <c r="B2821">
        <v>3028269</v>
      </c>
      <c r="C2821">
        <v>3028895</v>
      </c>
      <c r="E2821" t="s">
        <v>14</v>
      </c>
      <c r="F2821" t="s">
        <v>3580</v>
      </c>
      <c r="H2821">
        <v>1020783</v>
      </c>
      <c r="I2821" t="s">
        <v>17</v>
      </c>
      <c r="K2821" t="s">
        <v>7763</v>
      </c>
      <c r="L2821">
        <v>208</v>
      </c>
      <c r="M2821" t="s">
        <v>7764</v>
      </c>
    </row>
    <row r="2822" spans="1:13">
      <c r="A2822" t="s">
        <v>13</v>
      </c>
      <c r="B2822">
        <v>3028882</v>
      </c>
      <c r="C2822">
        <v>3029466</v>
      </c>
      <c r="E2822" t="s">
        <v>38</v>
      </c>
      <c r="F2822" t="s">
        <v>7765</v>
      </c>
      <c r="H2822">
        <v>1020784</v>
      </c>
      <c r="I2822" t="s">
        <v>17</v>
      </c>
      <c r="K2822" t="s">
        <v>7766</v>
      </c>
      <c r="L2822">
        <v>194</v>
      </c>
      <c r="M2822" t="s">
        <v>7767</v>
      </c>
    </row>
    <row r="2823" spans="1:13">
      <c r="A2823" t="s">
        <v>13</v>
      </c>
      <c r="B2823">
        <v>3029700</v>
      </c>
      <c r="C2823">
        <v>3030374</v>
      </c>
      <c r="E2823" t="s">
        <v>38</v>
      </c>
      <c r="F2823" t="s">
        <v>141</v>
      </c>
      <c r="H2823">
        <v>97006782</v>
      </c>
      <c r="I2823" t="s">
        <v>142</v>
      </c>
      <c r="M2823" t="s">
        <v>7768</v>
      </c>
    </row>
    <row r="2824" spans="1:13">
      <c r="A2824" t="s">
        <v>13</v>
      </c>
      <c r="B2824">
        <v>3030360</v>
      </c>
      <c r="C2824">
        <v>3030539</v>
      </c>
      <c r="E2824" t="s">
        <v>14</v>
      </c>
      <c r="F2824" t="s">
        <v>147</v>
      </c>
      <c r="H2824">
        <v>92792279</v>
      </c>
      <c r="I2824" t="s">
        <v>17</v>
      </c>
      <c r="K2824" t="s">
        <v>7769</v>
      </c>
      <c r="L2824">
        <v>59</v>
      </c>
      <c r="M2824" t="s">
        <v>7770</v>
      </c>
    </row>
    <row r="2825" spans="1:13">
      <c r="A2825" t="s">
        <v>13</v>
      </c>
      <c r="B2825">
        <v>3030670</v>
      </c>
      <c r="C2825">
        <v>3031983</v>
      </c>
      <c r="E2825" t="s">
        <v>14</v>
      </c>
      <c r="F2825" t="s">
        <v>2355</v>
      </c>
      <c r="H2825">
        <v>1020788</v>
      </c>
      <c r="I2825" t="s">
        <v>17</v>
      </c>
      <c r="K2825" t="s">
        <v>7771</v>
      </c>
      <c r="L2825">
        <v>437</v>
      </c>
      <c r="M2825" t="s">
        <v>7772</v>
      </c>
    </row>
    <row r="2826" spans="1:13">
      <c r="A2826" t="s">
        <v>13</v>
      </c>
      <c r="B2826">
        <v>3032662</v>
      </c>
      <c r="C2826">
        <v>3033867</v>
      </c>
      <c r="E2826" t="s">
        <v>14</v>
      </c>
      <c r="F2826" t="s">
        <v>559</v>
      </c>
      <c r="H2826">
        <v>1020789</v>
      </c>
      <c r="I2826" t="s">
        <v>17</v>
      </c>
      <c r="K2826" t="s">
        <v>560</v>
      </c>
      <c r="L2826">
        <v>401</v>
      </c>
      <c r="M2826" t="s">
        <v>7773</v>
      </c>
    </row>
    <row r="2827" spans="1:13">
      <c r="A2827" t="s">
        <v>13</v>
      </c>
      <c r="B2827">
        <v>3034182</v>
      </c>
      <c r="C2827">
        <v>3035441</v>
      </c>
      <c r="E2827" t="s">
        <v>14</v>
      </c>
      <c r="F2827" t="s">
        <v>7774</v>
      </c>
      <c r="H2827">
        <v>1020790</v>
      </c>
      <c r="I2827" t="s">
        <v>17</v>
      </c>
      <c r="K2827" t="s">
        <v>7775</v>
      </c>
      <c r="L2827">
        <v>419</v>
      </c>
      <c r="M2827" t="s">
        <v>7776</v>
      </c>
    </row>
    <row r="2828" spans="1:13">
      <c r="A2828" t="s">
        <v>13</v>
      </c>
      <c r="B2828">
        <v>3035438</v>
      </c>
      <c r="C2828">
        <v>3036757</v>
      </c>
      <c r="E2828" t="s">
        <v>38</v>
      </c>
      <c r="F2828" t="s">
        <v>7777</v>
      </c>
      <c r="H2828">
        <v>1020791</v>
      </c>
      <c r="I2828" t="s">
        <v>17</v>
      </c>
      <c r="K2828" t="s">
        <v>7778</v>
      </c>
      <c r="L2828">
        <v>439</v>
      </c>
      <c r="M2828" t="s">
        <v>7779</v>
      </c>
    </row>
    <row r="2829" spans="1:13">
      <c r="A2829" t="s">
        <v>13</v>
      </c>
      <c r="B2829">
        <v>3036843</v>
      </c>
      <c r="C2829">
        <v>3037412</v>
      </c>
      <c r="E2829" t="s">
        <v>38</v>
      </c>
      <c r="F2829" t="s">
        <v>7780</v>
      </c>
      <c r="G2829" t="s">
        <v>7781</v>
      </c>
      <c r="H2829">
        <v>1020792</v>
      </c>
      <c r="I2829" t="s">
        <v>17</v>
      </c>
      <c r="K2829" t="s">
        <v>7782</v>
      </c>
      <c r="L2829">
        <v>189</v>
      </c>
      <c r="M2829" t="s">
        <v>7783</v>
      </c>
    </row>
    <row r="2830" spans="1:13">
      <c r="A2830" t="s">
        <v>13</v>
      </c>
      <c r="B2830">
        <v>3037552</v>
      </c>
      <c r="C2830">
        <v>3037625</v>
      </c>
      <c r="E2830" t="s">
        <v>14</v>
      </c>
      <c r="F2830" t="s">
        <v>4743</v>
      </c>
      <c r="H2830">
        <v>2745373</v>
      </c>
      <c r="I2830" t="s">
        <v>62</v>
      </c>
      <c r="M2830" t="s">
        <v>7784</v>
      </c>
    </row>
    <row r="2831" spans="1:13">
      <c r="A2831" t="s">
        <v>13</v>
      </c>
      <c r="B2831">
        <v>3038173</v>
      </c>
      <c r="C2831">
        <v>3038946</v>
      </c>
      <c r="E2831" t="s">
        <v>14</v>
      </c>
      <c r="F2831" t="s">
        <v>1151</v>
      </c>
      <c r="H2831">
        <v>1020793</v>
      </c>
      <c r="I2831" t="s">
        <v>17</v>
      </c>
      <c r="K2831" t="s">
        <v>7785</v>
      </c>
      <c r="L2831">
        <v>257</v>
      </c>
      <c r="M2831" t="s">
        <v>7786</v>
      </c>
    </row>
    <row r="2832" spans="1:13">
      <c r="A2832" t="s">
        <v>13</v>
      </c>
      <c r="B2832">
        <v>3038991</v>
      </c>
      <c r="C2832">
        <v>3040682</v>
      </c>
      <c r="E2832" t="s">
        <v>38</v>
      </c>
      <c r="F2832" t="s">
        <v>7787</v>
      </c>
      <c r="H2832">
        <v>1020794</v>
      </c>
      <c r="I2832" t="s">
        <v>17</v>
      </c>
      <c r="K2832" t="s">
        <v>7788</v>
      </c>
      <c r="L2832">
        <v>563</v>
      </c>
      <c r="M2832" t="s">
        <v>7789</v>
      </c>
    </row>
    <row r="2833" spans="1:13">
      <c r="A2833" t="s">
        <v>13</v>
      </c>
      <c r="B2833">
        <v>3040746</v>
      </c>
      <c r="C2833">
        <v>3041903</v>
      </c>
      <c r="E2833" t="s">
        <v>38</v>
      </c>
      <c r="F2833" t="s">
        <v>7790</v>
      </c>
      <c r="H2833">
        <v>1020795</v>
      </c>
      <c r="I2833" t="s">
        <v>17</v>
      </c>
      <c r="K2833" t="s">
        <v>7791</v>
      </c>
      <c r="L2833">
        <v>385</v>
      </c>
      <c r="M2833" t="s">
        <v>7792</v>
      </c>
    </row>
    <row r="2834" spans="1:13">
      <c r="A2834" t="s">
        <v>13</v>
      </c>
      <c r="B2834">
        <v>3041995</v>
      </c>
      <c r="C2834">
        <v>3042441</v>
      </c>
      <c r="E2834" t="s">
        <v>14</v>
      </c>
      <c r="F2834" t="s">
        <v>3863</v>
      </c>
      <c r="H2834">
        <v>1020796</v>
      </c>
      <c r="I2834" t="s">
        <v>17</v>
      </c>
      <c r="K2834" t="s">
        <v>7793</v>
      </c>
      <c r="L2834">
        <v>148</v>
      </c>
      <c r="M2834" t="s">
        <v>7794</v>
      </c>
    </row>
    <row r="2835" spans="1:13">
      <c r="A2835" t="s">
        <v>13</v>
      </c>
      <c r="B2835">
        <v>3042504</v>
      </c>
      <c r="C2835">
        <v>3042707</v>
      </c>
      <c r="E2835" t="s">
        <v>14</v>
      </c>
      <c r="F2835" t="s">
        <v>7795</v>
      </c>
      <c r="H2835">
        <v>1020797</v>
      </c>
      <c r="I2835" t="s">
        <v>17</v>
      </c>
      <c r="K2835" t="s">
        <v>7796</v>
      </c>
      <c r="L2835">
        <v>67</v>
      </c>
      <c r="M2835" t="s">
        <v>7797</v>
      </c>
    </row>
    <row r="2836" spans="1:13">
      <c r="A2836" t="s">
        <v>13</v>
      </c>
      <c r="B2836">
        <v>3042685</v>
      </c>
      <c r="C2836">
        <v>3045792</v>
      </c>
      <c r="E2836" t="s">
        <v>14</v>
      </c>
      <c r="F2836" t="s">
        <v>7798</v>
      </c>
      <c r="H2836">
        <v>1020798</v>
      </c>
      <c r="I2836" t="s">
        <v>17</v>
      </c>
      <c r="K2836" t="s">
        <v>7799</v>
      </c>
      <c r="L2836">
        <v>1035</v>
      </c>
      <c r="M2836" t="s">
        <v>7800</v>
      </c>
    </row>
    <row r="2837" spans="1:13">
      <c r="A2837" t="s">
        <v>13</v>
      </c>
      <c r="B2837">
        <v>3046120</v>
      </c>
      <c r="C2837">
        <v>3047190</v>
      </c>
      <c r="E2837" t="s">
        <v>38</v>
      </c>
      <c r="F2837" t="s">
        <v>7801</v>
      </c>
      <c r="G2837" t="s">
        <v>7802</v>
      </c>
      <c r="H2837">
        <v>1020800</v>
      </c>
      <c r="I2837" t="s">
        <v>17</v>
      </c>
      <c r="K2837" t="s">
        <v>7803</v>
      </c>
      <c r="L2837">
        <v>356</v>
      </c>
      <c r="M2837" t="s">
        <v>7804</v>
      </c>
    </row>
    <row r="2838" spans="1:13">
      <c r="A2838" t="s">
        <v>13</v>
      </c>
      <c r="B2838">
        <v>3047234</v>
      </c>
      <c r="C2838">
        <v>3048052</v>
      </c>
      <c r="E2838" t="s">
        <v>14</v>
      </c>
      <c r="F2838" t="s">
        <v>7805</v>
      </c>
      <c r="H2838">
        <v>1020801</v>
      </c>
      <c r="I2838" t="s">
        <v>17</v>
      </c>
      <c r="K2838" t="s">
        <v>7806</v>
      </c>
      <c r="L2838">
        <v>272</v>
      </c>
      <c r="M2838" t="s">
        <v>7807</v>
      </c>
    </row>
    <row r="2839" spans="1:13">
      <c r="A2839" t="s">
        <v>13</v>
      </c>
      <c r="B2839">
        <v>3048059</v>
      </c>
      <c r="C2839">
        <v>3049483</v>
      </c>
      <c r="E2839" t="s">
        <v>14</v>
      </c>
      <c r="F2839" t="s">
        <v>49</v>
      </c>
      <c r="H2839">
        <v>1020802</v>
      </c>
      <c r="I2839" t="s">
        <v>17</v>
      </c>
      <c r="K2839" t="s">
        <v>7808</v>
      </c>
      <c r="L2839">
        <v>474</v>
      </c>
      <c r="M2839" t="s">
        <v>7809</v>
      </c>
    </row>
    <row r="2840" spans="1:13">
      <c r="A2840" t="s">
        <v>13</v>
      </c>
      <c r="B2840">
        <v>3049454</v>
      </c>
      <c r="C2840">
        <v>3050557</v>
      </c>
      <c r="E2840" t="s">
        <v>38</v>
      </c>
      <c r="F2840" t="s">
        <v>1046</v>
      </c>
      <c r="H2840">
        <v>1020803</v>
      </c>
      <c r="I2840" t="s">
        <v>17</v>
      </c>
      <c r="K2840" t="s">
        <v>7810</v>
      </c>
      <c r="L2840">
        <v>367</v>
      </c>
      <c r="M2840" t="s">
        <v>7811</v>
      </c>
    </row>
    <row r="2841" spans="1:13">
      <c r="A2841" t="s">
        <v>13</v>
      </c>
      <c r="B2841">
        <v>3050604</v>
      </c>
      <c r="C2841">
        <v>3051194</v>
      </c>
      <c r="E2841" t="s">
        <v>14</v>
      </c>
      <c r="F2841" t="s">
        <v>49</v>
      </c>
      <c r="H2841">
        <v>1020804</v>
      </c>
      <c r="I2841" t="s">
        <v>17</v>
      </c>
      <c r="K2841" t="s">
        <v>7812</v>
      </c>
      <c r="L2841">
        <v>196</v>
      </c>
      <c r="M2841" t="s">
        <v>7813</v>
      </c>
    </row>
    <row r="2842" spans="1:13">
      <c r="A2842" t="s">
        <v>13</v>
      </c>
      <c r="B2842">
        <v>3051195</v>
      </c>
      <c r="C2842">
        <v>3051968</v>
      </c>
      <c r="E2842" t="s">
        <v>14</v>
      </c>
      <c r="F2842" t="s">
        <v>1169</v>
      </c>
      <c r="H2842">
        <v>1020805</v>
      </c>
      <c r="I2842" t="s">
        <v>17</v>
      </c>
      <c r="K2842" t="s">
        <v>7814</v>
      </c>
      <c r="L2842">
        <v>257</v>
      </c>
      <c r="M2842" t="s">
        <v>7815</v>
      </c>
    </row>
    <row r="2843" spans="1:13">
      <c r="A2843" t="s">
        <v>13</v>
      </c>
      <c r="B2843">
        <v>3052060</v>
      </c>
      <c r="C2843">
        <v>3053892</v>
      </c>
      <c r="E2843" t="s">
        <v>38</v>
      </c>
      <c r="F2843" t="s">
        <v>7816</v>
      </c>
      <c r="H2843">
        <v>1020806</v>
      </c>
      <c r="I2843" t="s">
        <v>17</v>
      </c>
      <c r="K2843" t="s">
        <v>7817</v>
      </c>
      <c r="L2843">
        <v>610</v>
      </c>
      <c r="M2843" t="s">
        <v>7818</v>
      </c>
    </row>
    <row r="2844" spans="1:13">
      <c r="A2844" t="s">
        <v>13</v>
      </c>
      <c r="B2844">
        <v>3054754</v>
      </c>
      <c r="C2844">
        <v>3055773</v>
      </c>
      <c r="E2844" t="s">
        <v>14</v>
      </c>
      <c r="F2844" t="s">
        <v>7819</v>
      </c>
      <c r="H2844">
        <v>1020807</v>
      </c>
      <c r="I2844" t="s">
        <v>17</v>
      </c>
      <c r="K2844" t="s">
        <v>7820</v>
      </c>
      <c r="L2844">
        <v>339</v>
      </c>
      <c r="M2844" t="s">
        <v>7821</v>
      </c>
    </row>
    <row r="2845" spans="1:13">
      <c r="A2845" t="s">
        <v>13</v>
      </c>
      <c r="B2845">
        <v>3055868</v>
      </c>
      <c r="C2845">
        <v>3056635</v>
      </c>
      <c r="E2845" t="s">
        <v>14</v>
      </c>
      <c r="F2845" t="s">
        <v>7822</v>
      </c>
      <c r="G2845" t="s">
        <v>7823</v>
      </c>
      <c r="H2845">
        <v>1020808</v>
      </c>
      <c r="I2845" t="s">
        <v>17</v>
      </c>
      <c r="K2845" t="s">
        <v>7824</v>
      </c>
      <c r="L2845">
        <v>255</v>
      </c>
      <c r="M2845" t="s">
        <v>7825</v>
      </c>
    </row>
    <row r="2846" spans="1:13">
      <c r="A2846" t="s">
        <v>13</v>
      </c>
      <c r="B2846">
        <v>3056635</v>
      </c>
      <c r="C2846">
        <v>3057321</v>
      </c>
      <c r="E2846" t="s">
        <v>14</v>
      </c>
      <c r="F2846" t="s">
        <v>7826</v>
      </c>
      <c r="H2846">
        <v>1020809</v>
      </c>
      <c r="I2846" t="s">
        <v>17</v>
      </c>
      <c r="K2846" t="s">
        <v>7827</v>
      </c>
      <c r="L2846">
        <v>228</v>
      </c>
      <c r="M2846" t="s">
        <v>7828</v>
      </c>
    </row>
    <row r="2847" spans="1:13">
      <c r="A2847" t="s">
        <v>13</v>
      </c>
      <c r="B2847">
        <v>3057329</v>
      </c>
      <c r="C2847">
        <v>3059647</v>
      </c>
      <c r="E2847" t="s">
        <v>14</v>
      </c>
      <c r="F2847" t="s">
        <v>708</v>
      </c>
      <c r="H2847">
        <v>1020810</v>
      </c>
      <c r="I2847" t="s">
        <v>17</v>
      </c>
      <c r="K2847" t="s">
        <v>7829</v>
      </c>
      <c r="L2847">
        <v>772</v>
      </c>
      <c r="M2847" t="s">
        <v>7830</v>
      </c>
    </row>
    <row r="2848" spans="1:13">
      <c r="A2848" t="s">
        <v>13</v>
      </c>
      <c r="B2848">
        <v>3059652</v>
      </c>
      <c r="C2848">
        <v>3060737</v>
      </c>
      <c r="E2848" t="s">
        <v>14</v>
      </c>
      <c r="F2848" t="s">
        <v>7831</v>
      </c>
      <c r="H2848">
        <v>1020811</v>
      </c>
      <c r="I2848" t="s">
        <v>17</v>
      </c>
      <c r="K2848" t="s">
        <v>7832</v>
      </c>
      <c r="L2848">
        <v>361</v>
      </c>
      <c r="M2848" t="s">
        <v>7833</v>
      </c>
    </row>
    <row r="2849" spans="1:13">
      <c r="A2849" t="s">
        <v>13</v>
      </c>
      <c r="B2849">
        <v>3060734</v>
      </c>
      <c r="C2849">
        <v>3061099</v>
      </c>
      <c r="E2849" t="s">
        <v>14</v>
      </c>
      <c r="F2849" t="s">
        <v>7834</v>
      </c>
      <c r="H2849">
        <v>1020812</v>
      </c>
      <c r="I2849" t="s">
        <v>17</v>
      </c>
      <c r="K2849" t="s">
        <v>7835</v>
      </c>
      <c r="L2849">
        <v>121</v>
      </c>
      <c r="M2849" t="s">
        <v>7836</v>
      </c>
    </row>
    <row r="2850" spans="1:13">
      <c r="A2850" t="s">
        <v>13</v>
      </c>
      <c r="B2850">
        <v>3061378</v>
      </c>
      <c r="C2850">
        <v>3062928</v>
      </c>
      <c r="E2850" t="s">
        <v>38</v>
      </c>
      <c r="F2850" t="s">
        <v>2044</v>
      </c>
      <c r="H2850">
        <v>1020813</v>
      </c>
      <c r="I2850" t="s">
        <v>17</v>
      </c>
      <c r="K2850" t="s">
        <v>7837</v>
      </c>
      <c r="L2850">
        <v>516</v>
      </c>
      <c r="M2850" t="s">
        <v>7838</v>
      </c>
    </row>
    <row r="2851" spans="1:13">
      <c r="A2851" t="s">
        <v>13</v>
      </c>
      <c r="B2851">
        <v>3062949</v>
      </c>
      <c r="C2851">
        <v>3064037</v>
      </c>
      <c r="E2851" t="s">
        <v>38</v>
      </c>
      <c r="F2851" t="s">
        <v>141</v>
      </c>
      <c r="H2851">
        <v>97006783</v>
      </c>
      <c r="I2851" t="s">
        <v>142</v>
      </c>
      <c r="M2851" t="s">
        <v>7839</v>
      </c>
    </row>
    <row r="2852" spans="1:13">
      <c r="A2852" t="s">
        <v>13</v>
      </c>
      <c r="B2852">
        <v>3064125</v>
      </c>
      <c r="C2852">
        <v>3067781</v>
      </c>
      <c r="E2852" t="s">
        <v>38</v>
      </c>
      <c r="F2852" t="s">
        <v>141</v>
      </c>
      <c r="H2852">
        <v>1020814</v>
      </c>
      <c r="I2852" t="s">
        <v>142</v>
      </c>
      <c r="M2852" t="s">
        <v>7840</v>
      </c>
    </row>
    <row r="2853" spans="1:13">
      <c r="A2853" t="s">
        <v>13</v>
      </c>
      <c r="B2853">
        <v>3068141</v>
      </c>
      <c r="C2853">
        <v>3070003</v>
      </c>
      <c r="E2853" t="s">
        <v>38</v>
      </c>
      <c r="F2853" t="s">
        <v>7841</v>
      </c>
      <c r="H2853">
        <v>1020815</v>
      </c>
      <c r="I2853" t="s">
        <v>17</v>
      </c>
      <c r="K2853" t="s">
        <v>7842</v>
      </c>
      <c r="L2853">
        <v>620</v>
      </c>
      <c r="M2853" t="s">
        <v>7843</v>
      </c>
    </row>
    <row r="2854" spans="1:13">
      <c r="A2854" t="s">
        <v>13</v>
      </c>
      <c r="B2854">
        <v>3070212</v>
      </c>
      <c r="C2854">
        <v>3071141</v>
      </c>
      <c r="E2854" t="s">
        <v>38</v>
      </c>
      <c r="F2854" t="s">
        <v>7844</v>
      </c>
      <c r="H2854">
        <v>1020816</v>
      </c>
      <c r="I2854" t="s">
        <v>17</v>
      </c>
      <c r="K2854" t="s">
        <v>7845</v>
      </c>
      <c r="L2854">
        <v>309</v>
      </c>
      <c r="M2854" t="s">
        <v>7846</v>
      </c>
    </row>
    <row r="2855" spans="1:13">
      <c r="A2855" t="s">
        <v>13</v>
      </c>
      <c r="B2855">
        <v>3071145</v>
      </c>
      <c r="C2855">
        <v>3071645</v>
      </c>
      <c r="E2855" t="s">
        <v>38</v>
      </c>
      <c r="F2855" t="s">
        <v>7847</v>
      </c>
      <c r="H2855">
        <v>1020817</v>
      </c>
      <c r="I2855" t="s">
        <v>17</v>
      </c>
      <c r="K2855" t="s">
        <v>7848</v>
      </c>
      <c r="L2855">
        <v>166</v>
      </c>
      <c r="M2855" t="s">
        <v>7849</v>
      </c>
    </row>
    <row r="2856" spans="1:13">
      <c r="A2856" t="s">
        <v>13</v>
      </c>
      <c r="B2856">
        <v>3071648</v>
      </c>
      <c r="C2856">
        <v>3073621</v>
      </c>
      <c r="E2856" t="s">
        <v>38</v>
      </c>
      <c r="F2856" t="s">
        <v>7850</v>
      </c>
      <c r="H2856">
        <v>1020818</v>
      </c>
      <c r="I2856" t="s">
        <v>17</v>
      </c>
      <c r="K2856" t="s">
        <v>7851</v>
      </c>
      <c r="L2856">
        <v>657</v>
      </c>
      <c r="M2856" t="s">
        <v>7852</v>
      </c>
    </row>
    <row r="2857" spans="1:13">
      <c r="A2857" t="s">
        <v>13</v>
      </c>
      <c r="B2857">
        <v>3074078</v>
      </c>
      <c r="C2857">
        <v>3075451</v>
      </c>
      <c r="E2857" t="s">
        <v>14</v>
      </c>
      <c r="F2857" t="s">
        <v>2205</v>
      </c>
      <c r="H2857">
        <v>1020819</v>
      </c>
      <c r="I2857" t="s">
        <v>17</v>
      </c>
      <c r="K2857" t="s">
        <v>7853</v>
      </c>
      <c r="L2857">
        <v>457</v>
      </c>
      <c r="M2857" t="s">
        <v>7854</v>
      </c>
    </row>
    <row r="2858" spans="1:13">
      <c r="A2858" t="s">
        <v>13</v>
      </c>
      <c r="B2858">
        <v>3075538</v>
      </c>
      <c r="C2858">
        <v>3076563</v>
      </c>
      <c r="E2858" t="s">
        <v>38</v>
      </c>
      <c r="F2858" t="s">
        <v>391</v>
      </c>
      <c r="H2858">
        <v>1020820</v>
      </c>
      <c r="I2858" t="s">
        <v>17</v>
      </c>
      <c r="K2858" t="s">
        <v>7855</v>
      </c>
      <c r="L2858">
        <v>341</v>
      </c>
      <c r="M2858" t="s">
        <v>7856</v>
      </c>
    </row>
    <row r="2859" spans="1:13">
      <c r="A2859" t="s">
        <v>13</v>
      </c>
      <c r="B2859">
        <v>3076713</v>
      </c>
      <c r="C2859">
        <v>3078773</v>
      </c>
      <c r="E2859" t="s">
        <v>38</v>
      </c>
      <c r="F2859" t="s">
        <v>7857</v>
      </c>
      <c r="G2859" t="s">
        <v>7858</v>
      </c>
      <c r="H2859">
        <v>1020821</v>
      </c>
      <c r="I2859" t="s">
        <v>17</v>
      </c>
      <c r="K2859" t="s">
        <v>7859</v>
      </c>
      <c r="L2859">
        <v>686</v>
      </c>
      <c r="M2859" t="s">
        <v>7860</v>
      </c>
    </row>
    <row r="2860" spans="1:13">
      <c r="A2860" t="s">
        <v>13</v>
      </c>
      <c r="B2860">
        <v>3078851</v>
      </c>
      <c r="C2860">
        <v>3079849</v>
      </c>
      <c r="E2860" t="s">
        <v>38</v>
      </c>
      <c r="F2860" t="s">
        <v>7861</v>
      </c>
      <c r="H2860">
        <v>1020822</v>
      </c>
      <c r="I2860" t="s">
        <v>17</v>
      </c>
      <c r="K2860" t="s">
        <v>7862</v>
      </c>
      <c r="L2860">
        <v>332</v>
      </c>
      <c r="M2860" t="s">
        <v>7863</v>
      </c>
    </row>
    <row r="2861" spans="1:13">
      <c r="A2861" t="s">
        <v>13</v>
      </c>
      <c r="B2861">
        <v>3079846</v>
      </c>
      <c r="C2861">
        <v>3080352</v>
      </c>
      <c r="E2861" t="s">
        <v>38</v>
      </c>
      <c r="F2861" t="s">
        <v>7864</v>
      </c>
      <c r="H2861">
        <v>1020823</v>
      </c>
      <c r="I2861" t="s">
        <v>17</v>
      </c>
      <c r="K2861" t="s">
        <v>7865</v>
      </c>
      <c r="L2861">
        <v>168</v>
      </c>
      <c r="M2861" t="s">
        <v>7866</v>
      </c>
    </row>
    <row r="2862" spans="1:13">
      <c r="A2862" t="s">
        <v>13</v>
      </c>
      <c r="B2862">
        <v>3080342</v>
      </c>
      <c r="C2862">
        <v>3082312</v>
      </c>
      <c r="E2862" t="s">
        <v>38</v>
      </c>
      <c r="F2862" t="s">
        <v>414</v>
      </c>
      <c r="H2862">
        <v>1020824</v>
      </c>
      <c r="I2862" t="s">
        <v>17</v>
      </c>
      <c r="K2862" t="s">
        <v>7867</v>
      </c>
      <c r="L2862">
        <v>656</v>
      </c>
      <c r="M2862" t="s">
        <v>7868</v>
      </c>
    </row>
    <row r="2863" spans="1:13">
      <c r="A2863" t="s">
        <v>13</v>
      </c>
      <c r="B2863">
        <v>3082564</v>
      </c>
      <c r="C2863">
        <v>3083964</v>
      </c>
      <c r="E2863" t="s">
        <v>14</v>
      </c>
      <c r="F2863" t="s">
        <v>7869</v>
      </c>
      <c r="H2863">
        <v>1020825</v>
      </c>
      <c r="I2863" t="s">
        <v>17</v>
      </c>
      <c r="K2863" t="s">
        <v>7870</v>
      </c>
      <c r="L2863">
        <v>466</v>
      </c>
      <c r="M2863" t="s">
        <v>7871</v>
      </c>
    </row>
    <row r="2864" spans="1:13">
      <c r="A2864" t="s">
        <v>13</v>
      </c>
      <c r="B2864">
        <v>3083933</v>
      </c>
      <c r="C2864">
        <v>3084412</v>
      </c>
      <c r="E2864" t="s">
        <v>38</v>
      </c>
      <c r="F2864" t="s">
        <v>7864</v>
      </c>
      <c r="H2864">
        <v>1020826</v>
      </c>
      <c r="I2864" t="s">
        <v>17</v>
      </c>
      <c r="K2864" t="s">
        <v>7872</v>
      </c>
      <c r="L2864">
        <v>159</v>
      </c>
      <c r="M2864" t="s">
        <v>7873</v>
      </c>
    </row>
    <row r="2865" spans="1:13">
      <c r="A2865" t="s">
        <v>13</v>
      </c>
      <c r="B2865">
        <v>3084422</v>
      </c>
      <c r="C2865">
        <v>3085096</v>
      </c>
      <c r="E2865" t="s">
        <v>38</v>
      </c>
      <c r="F2865" t="s">
        <v>49</v>
      </c>
      <c r="H2865">
        <v>1020827</v>
      </c>
      <c r="I2865" t="s">
        <v>17</v>
      </c>
      <c r="K2865" t="s">
        <v>7874</v>
      </c>
      <c r="L2865">
        <v>224</v>
      </c>
      <c r="M2865" t="s">
        <v>7875</v>
      </c>
    </row>
    <row r="2866" spans="1:13">
      <c r="A2866" t="s">
        <v>13</v>
      </c>
      <c r="B2866">
        <v>3085262</v>
      </c>
      <c r="C2866">
        <v>3087052</v>
      </c>
      <c r="E2866" t="s">
        <v>14</v>
      </c>
      <c r="F2866" t="s">
        <v>3256</v>
      </c>
      <c r="H2866">
        <v>1020828</v>
      </c>
      <c r="I2866" t="s">
        <v>17</v>
      </c>
      <c r="K2866" t="s">
        <v>7876</v>
      </c>
      <c r="L2866">
        <v>596</v>
      </c>
      <c r="M2866" t="s">
        <v>7877</v>
      </c>
    </row>
    <row r="2867" spans="1:13">
      <c r="A2867" t="s">
        <v>13</v>
      </c>
      <c r="B2867">
        <v>3087099</v>
      </c>
      <c r="C2867">
        <v>3088304</v>
      </c>
      <c r="E2867" t="s">
        <v>38</v>
      </c>
      <c r="F2867" t="s">
        <v>7878</v>
      </c>
      <c r="G2867" t="s">
        <v>7879</v>
      </c>
      <c r="H2867">
        <v>1020830</v>
      </c>
      <c r="I2867" t="s">
        <v>17</v>
      </c>
      <c r="K2867" t="s">
        <v>7880</v>
      </c>
      <c r="L2867">
        <v>401</v>
      </c>
      <c r="M2867" t="s">
        <v>7881</v>
      </c>
    </row>
    <row r="2868" spans="1:13">
      <c r="A2868" t="s">
        <v>13</v>
      </c>
      <c r="B2868">
        <v>3088590</v>
      </c>
      <c r="C2868">
        <v>3090668</v>
      </c>
      <c r="E2868" t="s">
        <v>14</v>
      </c>
      <c r="F2868" t="s">
        <v>2295</v>
      </c>
      <c r="H2868">
        <v>1020831</v>
      </c>
      <c r="I2868" t="s">
        <v>17</v>
      </c>
      <c r="K2868" t="s">
        <v>7882</v>
      </c>
      <c r="L2868">
        <v>692</v>
      </c>
      <c r="M2868" t="s">
        <v>7883</v>
      </c>
    </row>
    <row r="2869" spans="1:13">
      <c r="A2869" t="s">
        <v>13</v>
      </c>
      <c r="B2869">
        <v>3090758</v>
      </c>
      <c r="C2869">
        <v>3092287</v>
      </c>
      <c r="E2869" t="s">
        <v>38</v>
      </c>
      <c r="F2869" t="s">
        <v>7884</v>
      </c>
      <c r="G2869" t="s">
        <v>7885</v>
      </c>
      <c r="H2869">
        <v>1020833</v>
      </c>
      <c r="I2869" t="s">
        <v>17</v>
      </c>
      <c r="K2869" t="s">
        <v>7886</v>
      </c>
      <c r="L2869">
        <v>509</v>
      </c>
      <c r="M2869" t="s">
        <v>7887</v>
      </c>
    </row>
    <row r="2870" spans="1:13">
      <c r="A2870" t="s">
        <v>13</v>
      </c>
      <c r="B2870">
        <v>3092340</v>
      </c>
      <c r="C2870">
        <v>3093176</v>
      </c>
      <c r="E2870" t="s">
        <v>38</v>
      </c>
      <c r="F2870" t="s">
        <v>2653</v>
      </c>
      <c r="H2870">
        <v>1020834</v>
      </c>
      <c r="I2870" t="s">
        <v>17</v>
      </c>
      <c r="K2870" t="s">
        <v>7888</v>
      </c>
      <c r="L2870">
        <v>278</v>
      </c>
      <c r="M2870" t="s">
        <v>7889</v>
      </c>
    </row>
    <row r="2871" spans="1:13">
      <c r="A2871" t="s">
        <v>13</v>
      </c>
      <c r="B2871">
        <v>3093173</v>
      </c>
      <c r="C2871">
        <v>3094051</v>
      </c>
      <c r="E2871" t="s">
        <v>38</v>
      </c>
      <c r="F2871" t="s">
        <v>6028</v>
      </c>
      <c r="H2871">
        <v>1020835</v>
      </c>
      <c r="I2871" t="s">
        <v>17</v>
      </c>
      <c r="K2871" t="s">
        <v>7890</v>
      </c>
      <c r="L2871">
        <v>292</v>
      </c>
      <c r="M2871" t="s">
        <v>7891</v>
      </c>
    </row>
    <row r="2872" spans="1:13">
      <c r="A2872" t="s">
        <v>13</v>
      </c>
      <c r="B2872">
        <v>3094076</v>
      </c>
      <c r="C2872">
        <v>3095344</v>
      </c>
      <c r="E2872" t="s">
        <v>38</v>
      </c>
      <c r="F2872" t="s">
        <v>7892</v>
      </c>
      <c r="G2872" t="s">
        <v>7893</v>
      </c>
      <c r="H2872">
        <v>1020836</v>
      </c>
      <c r="I2872" t="s">
        <v>17</v>
      </c>
      <c r="K2872" t="s">
        <v>7894</v>
      </c>
      <c r="L2872">
        <v>422</v>
      </c>
      <c r="M2872" t="s">
        <v>7895</v>
      </c>
    </row>
    <row r="2873" spans="1:13">
      <c r="A2873" t="s">
        <v>13</v>
      </c>
      <c r="B2873">
        <v>3095491</v>
      </c>
      <c r="C2873">
        <v>3096291</v>
      </c>
      <c r="E2873" t="s">
        <v>14</v>
      </c>
      <c r="F2873" t="s">
        <v>1930</v>
      </c>
      <c r="H2873">
        <v>1020837</v>
      </c>
      <c r="I2873" t="s">
        <v>17</v>
      </c>
      <c r="K2873" t="s">
        <v>7896</v>
      </c>
      <c r="L2873">
        <v>266</v>
      </c>
      <c r="M2873" t="s">
        <v>7897</v>
      </c>
    </row>
    <row r="2874" spans="1:13">
      <c r="A2874" t="s">
        <v>13</v>
      </c>
      <c r="B2874">
        <v>3096327</v>
      </c>
      <c r="C2874">
        <v>3097427</v>
      </c>
      <c r="E2874" t="s">
        <v>14</v>
      </c>
      <c r="F2874" t="s">
        <v>2425</v>
      </c>
      <c r="H2874">
        <v>1020838</v>
      </c>
      <c r="I2874" t="s">
        <v>17</v>
      </c>
      <c r="K2874" t="s">
        <v>7898</v>
      </c>
      <c r="L2874">
        <v>366</v>
      </c>
      <c r="M2874" t="s">
        <v>7899</v>
      </c>
    </row>
    <row r="2875" spans="1:13">
      <c r="A2875" t="s">
        <v>13</v>
      </c>
      <c r="B2875">
        <v>3097424</v>
      </c>
      <c r="C2875">
        <v>3097768</v>
      </c>
      <c r="E2875" t="s">
        <v>14</v>
      </c>
      <c r="F2875" t="s">
        <v>2136</v>
      </c>
      <c r="H2875">
        <v>1020839</v>
      </c>
      <c r="I2875" t="s">
        <v>17</v>
      </c>
      <c r="K2875" t="s">
        <v>7900</v>
      </c>
      <c r="L2875">
        <v>114</v>
      </c>
      <c r="M2875" t="s">
        <v>7901</v>
      </c>
    </row>
    <row r="2876" spans="1:13">
      <c r="A2876" t="s">
        <v>13</v>
      </c>
      <c r="B2876">
        <v>3097902</v>
      </c>
      <c r="C2876">
        <v>3098573</v>
      </c>
      <c r="E2876" t="s">
        <v>38</v>
      </c>
      <c r="F2876" t="s">
        <v>1279</v>
      </c>
      <c r="H2876">
        <v>1020841</v>
      </c>
      <c r="I2876" t="s">
        <v>17</v>
      </c>
      <c r="K2876" t="s">
        <v>7902</v>
      </c>
      <c r="L2876">
        <v>223</v>
      </c>
      <c r="M2876" t="s">
        <v>7903</v>
      </c>
    </row>
    <row r="2877" spans="1:13">
      <c r="A2877" t="s">
        <v>13</v>
      </c>
      <c r="B2877">
        <v>3098576</v>
      </c>
      <c r="C2877">
        <v>3099523</v>
      </c>
      <c r="E2877" t="s">
        <v>38</v>
      </c>
      <c r="F2877" t="s">
        <v>7904</v>
      </c>
      <c r="G2877" t="s">
        <v>7905</v>
      </c>
      <c r="H2877">
        <v>1020842</v>
      </c>
      <c r="I2877" t="s">
        <v>17</v>
      </c>
      <c r="K2877" t="s">
        <v>7906</v>
      </c>
      <c r="L2877">
        <v>315</v>
      </c>
      <c r="M2877" t="s">
        <v>7907</v>
      </c>
    </row>
    <row r="2878" spans="1:13">
      <c r="A2878" t="s">
        <v>13</v>
      </c>
      <c r="B2878">
        <v>3099563</v>
      </c>
      <c r="C2878">
        <v>3100702</v>
      </c>
      <c r="E2878" t="s">
        <v>14</v>
      </c>
      <c r="F2878" t="s">
        <v>7908</v>
      </c>
      <c r="H2878">
        <v>1020843</v>
      </c>
      <c r="I2878" t="s">
        <v>17</v>
      </c>
      <c r="K2878" t="s">
        <v>7909</v>
      </c>
      <c r="L2878">
        <v>379</v>
      </c>
      <c r="M2878" t="s">
        <v>7910</v>
      </c>
    </row>
    <row r="2879" spans="1:13">
      <c r="A2879" t="s">
        <v>13</v>
      </c>
      <c r="B2879">
        <v>3100699</v>
      </c>
      <c r="C2879">
        <v>3101430</v>
      </c>
      <c r="E2879" t="s">
        <v>14</v>
      </c>
      <c r="F2879" t="s">
        <v>7911</v>
      </c>
      <c r="H2879">
        <v>1020844</v>
      </c>
      <c r="I2879" t="s">
        <v>17</v>
      </c>
      <c r="K2879" t="s">
        <v>7912</v>
      </c>
      <c r="L2879">
        <v>243</v>
      </c>
      <c r="M2879" t="s">
        <v>7913</v>
      </c>
    </row>
    <row r="2880" spans="1:13">
      <c r="A2880" t="s">
        <v>13</v>
      </c>
      <c r="B2880">
        <v>3101528</v>
      </c>
      <c r="C2880">
        <v>3102772</v>
      </c>
      <c r="E2880" t="s">
        <v>14</v>
      </c>
      <c r="F2880" t="s">
        <v>7914</v>
      </c>
      <c r="H2880">
        <v>1020845</v>
      </c>
      <c r="I2880" t="s">
        <v>17</v>
      </c>
      <c r="K2880" t="s">
        <v>7915</v>
      </c>
      <c r="L2880">
        <v>414</v>
      </c>
      <c r="M2880" t="s">
        <v>7916</v>
      </c>
    </row>
    <row r="2881" spans="1:13">
      <c r="A2881" t="s">
        <v>13</v>
      </c>
      <c r="B2881">
        <v>3102895</v>
      </c>
      <c r="C2881">
        <v>3103767</v>
      </c>
      <c r="E2881" t="s">
        <v>14</v>
      </c>
      <c r="F2881" t="s">
        <v>49</v>
      </c>
      <c r="H2881">
        <v>1020846</v>
      </c>
      <c r="I2881" t="s">
        <v>17</v>
      </c>
      <c r="K2881" t="s">
        <v>7917</v>
      </c>
      <c r="L2881">
        <v>290</v>
      </c>
      <c r="M2881" t="s">
        <v>7918</v>
      </c>
    </row>
    <row r="2882" spans="1:13">
      <c r="A2882" t="s">
        <v>13</v>
      </c>
      <c r="B2882">
        <v>3103927</v>
      </c>
      <c r="C2882">
        <v>3104256</v>
      </c>
      <c r="E2882" t="s">
        <v>14</v>
      </c>
      <c r="F2882" t="s">
        <v>2993</v>
      </c>
      <c r="H2882">
        <v>1020847</v>
      </c>
      <c r="I2882" t="s">
        <v>17</v>
      </c>
      <c r="K2882" t="s">
        <v>7919</v>
      </c>
      <c r="L2882">
        <v>109</v>
      </c>
      <c r="M2882" t="s">
        <v>7920</v>
      </c>
    </row>
    <row r="2883" spans="1:13">
      <c r="A2883" t="s">
        <v>13</v>
      </c>
      <c r="B2883">
        <v>3104437</v>
      </c>
      <c r="C2883">
        <v>3105723</v>
      </c>
      <c r="E2883" t="s">
        <v>14</v>
      </c>
      <c r="F2883" t="s">
        <v>1900</v>
      </c>
      <c r="H2883">
        <v>1020848</v>
      </c>
      <c r="I2883" t="s">
        <v>17</v>
      </c>
      <c r="K2883" t="s">
        <v>7921</v>
      </c>
      <c r="L2883">
        <v>428</v>
      </c>
      <c r="M2883" t="s">
        <v>7922</v>
      </c>
    </row>
    <row r="2884" spans="1:13">
      <c r="A2884" t="s">
        <v>13</v>
      </c>
      <c r="B2884">
        <v>3106051</v>
      </c>
      <c r="C2884">
        <v>3106965</v>
      </c>
      <c r="E2884" t="s">
        <v>38</v>
      </c>
      <c r="F2884" t="s">
        <v>7923</v>
      </c>
      <c r="H2884">
        <v>1020849</v>
      </c>
      <c r="I2884" t="s">
        <v>17</v>
      </c>
      <c r="K2884" t="s">
        <v>7924</v>
      </c>
      <c r="L2884">
        <v>304</v>
      </c>
      <c r="M2884" t="s">
        <v>7925</v>
      </c>
    </row>
    <row r="2885" spans="1:13">
      <c r="A2885" t="s">
        <v>13</v>
      </c>
      <c r="B2885">
        <v>3106949</v>
      </c>
      <c r="C2885">
        <v>3107710</v>
      </c>
      <c r="E2885" t="s">
        <v>38</v>
      </c>
      <c r="F2885" t="s">
        <v>3910</v>
      </c>
      <c r="H2885">
        <v>1020850</v>
      </c>
      <c r="I2885" t="s">
        <v>17</v>
      </c>
      <c r="K2885" t="s">
        <v>7926</v>
      </c>
      <c r="L2885">
        <v>253</v>
      </c>
      <c r="M2885" t="s">
        <v>7927</v>
      </c>
    </row>
    <row r="2886" spans="1:13">
      <c r="A2886" t="s">
        <v>13</v>
      </c>
      <c r="B2886">
        <v>3108132</v>
      </c>
      <c r="C2886">
        <v>3109523</v>
      </c>
      <c r="E2886" t="s">
        <v>14</v>
      </c>
      <c r="F2886" t="s">
        <v>7928</v>
      </c>
      <c r="H2886">
        <v>1020851</v>
      </c>
      <c r="I2886" t="s">
        <v>17</v>
      </c>
      <c r="K2886" t="s">
        <v>7929</v>
      </c>
      <c r="L2886">
        <v>463</v>
      </c>
      <c r="M2886" t="s">
        <v>7930</v>
      </c>
    </row>
    <row r="2887" spans="1:13">
      <c r="A2887" t="s">
        <v>13</v>
      </c>
      <c r="B2887">
        <v>3110462</v>
      </c>
      <c r="C2887">
        <v>3112321</v>
      </c>
      <c r="E2887" t="s">
        <v>38</v>
      </c>
      <c r="F2887" t="s">
        <v>5754</v>
      </c>
      <c r="H2887">
        <v>1020852</v>
      </c>
      <c r="I2887" t="s">
        <v>17</v>
      </c>
      <c r="K2887" t="s">
        <v>7931</v>
      </c>
      <c r="L2887">
        <v>619</v>
      </c>
      <c r="M2887" t="s">
        <v>7932</v>
      </c>
    </row>
    <row r="2888" spans="1:13">
      <c r="A2888" t="s">
        <v>13</v>
      </c>
      <c r="B2888">
        <v>3112447</v>
      </c>
      <c r="C2888">
        <v>3113391</v>
      </c>
      <c r="E2888" t="s">
        <v>38</v>
      </c>
      <c r="F2888" t="s">
        <v>7933</v>
      </c>
      <c r="H2888">
        <v>1020853</v>
      </c>
      <c r="I2888" t="s">
        <v>17</v>
      </c>
      <c r="K2888" t="s">
        <v>7934</v>
      </c>
      <c r="L2888">
        <v>314</v>
      </c>
      <c r="M2888" t="s">
        <v>7935</v>
      </c>
    </row>
    <row r="2889" spans="1:13">
      <c r="A2889" t="s">
        <v>13</v>
      </c>
      <c r="B2889">
        <v>3113620</v>
      </c>
      <c r="C2889">
        <v>3115398</v>
      </c>
      <c r="E2889" t="s">
        <v>14</v>
      </c>
      <c r="F2889" t="s">
        <v>391</v>
      </c>
      <c r="H2889">
        <v>1020854</v>
      </c>
      <c r="I2889" t="s">
        <v>17</v>
      </c>
      <c r="K2889" t="s">
        <v>7936</v>
      </c>
      <c r="L2889">
        <v>592</v>
      </c>
      <c r="M2889" t="s">
        <v>7937</v>
      </c>
    </row>
    <row r="2890" spans="1:13">
      <c r="A2890" t="s">
        <v>13</v>
      </c>
      <c r="B2890">
        <v>3115408</v>
      </c>
      <c r="C2890">
        <v>3116046</v>
      </c>
      <c r="E2890" t="s">
        <v>14</v>
      </c>
      <c r="F2890" t="s">
        <v>394</v>
      </c>
      <c r="H2890">
        <v>1020855</v>
      </c>
      <c r="I2890" t="s">
        <v>17</v>
      </c>
      <c r="K2890" t="s">
        <v>7938</v>
      </c>
      <c r="L2890">
        <v>212</v>
      </c>
      <c r="M2890" t="s">
        <v>7939</v>
      </c>
    </row>
    <row r="2891" spans="1:13">
      <c r="A2891" t="s">
        <v>13</v>
      </c>
      <c r="B2891">
        <v>3116080</v>
      </c>
      <c r="C2891">
        <v>3116625</v>
      </c>
      <c r="E2891" t="s">
        <v>14</v>
      </c>
      <c r="F2891" t="s">
        <v>2906</v>
      </c>
      <c r="H2891">
        <v>1020856</v>
      </c>
      <c r="I2891" t="s">
        <v>17</v>
      </c>
      <c r="K2891" t="s">
        <v>7940</v>
      </c>
      <c r="L2891">
        <v>181</v>
      </c>
      <c r="M2891" t="s">
        <v>7941</v>
      </c>
    </row>
    <row r="2892" spans="1:13">
      <c r="A2892" t="s">
        <v>13</v>
      </c>
      <c r="B2892">
        <v>3116641</v>
      </c>
      <c r="C2892">
        <v>3117336</v>
      </c>
      <c r="E2892" t="s">
        <v>14</v>
      </c>
      <c r="F2892" t="s">
        <v>4846</v>
      </c>
      <c r="H2892">
        <v>1020857</v>
      </c>
      <c r="I2892" t="s">
        <v>17</v>
      </c>
      <c r="K2892" t="s">
        <v>7942</v>
      </c>
      <c r="L2892">
        <v>231</v>
      </c>
      <c r="M2892" t="s">
        <v>7943</v>
      </c>
    </row>
    <row r="2893" spans="1:13">
      <c r="A2893" t="s">
        <v>13</v>
      </c>
      <c r="B2893">
        <v>3117337</v>
      </c>
      <c r="C2893">
        <v>3118125</v>
      </c>
      <c r="E2893" t="s">
        <v>14</v>
      </c>
      <c r="F2893" t="s">
        <v>3320</v>
      </c>
      <c r="H2893">
        <v>1020858</v>
      </c>
      <c r="I2893" t="s">
        <v>17</v>
      </c>
      <c r="K2893" t="s">
        <v>7944</v>
      </c>
      <c r="L2893">
        <v>262</v>
      </c>
      <c r="M2893" t="s">
        <v>7945</v>
      </c>
    </row>
    <row r="2894" spans="1:13">
      <c r="A2894" t="s">
        <v>13</v>
      </c>
      <c r="B2894">
        <v>3118285</v>
      </c>
      <c r="C2894">
        <v>3119586</v>
      </c>
      <c r="E2894" t="s">
        <v>14</v>
      </c>
      <c r="F2894" t="s">
        <v>265</v>
      </c>
      <c r="H2894">
        <v>1020859</v>
      </c>
      <c r="I2894" t="s">
        <v>17</v>
      </c>
      <c r="K2894" t="s">
        <v>7946</v>
      </c>
      <c r="L2894">
        <v>433</v>
      </c>
      <c r="M2894" t="s">
        <v>7947</v>
      </c>
    </row>
    <row r="2895" spans="1:13">
      <c r="A2895" t="s">
        <v>13</v>
      </c>
      <c r="B2895">
        <v>3119621</v>
      </c>
      <c r="C2895">
        <v>3120883</v>
      </c>
      <c r="E2895" t="s">
        <v>14</v>
      </c>
      <c r="F2895" t="s">
        <v>7948</v>
      </c>
      <c r="G2895" t="s">
        <v>7949</v>
      </c>
      <c r="H2895">
        <v>1020860</v>
      </c>
      <c r="I2895" t="s">
        <v>17</v>
      </c>
      <c r="K2895" t="s">
        <v>7950</v>
      </c>
      <c r="L2895">
        <v>420</v>
      </c>
      <c r="M2895" t="s">
        <v>7951</v>
      </c>
    </row>
    <row r="2896" spans="1:13">
      <c r="A2896" t="s">
        <v>13</v>
      </c>
      <c r="B2896">
        <v>3121599</v>
      </c>
      <c r="C2896">
        <v>3121913</v>
      </c>
      <c r="E2896" t="s">
        <v>14</v>
      </c>
      <c r="F2896" t="s">
        <v>138</v>
      </c>
      <c r="H2896">
        <v>1020862</v>
      </c>
      <c r="I2896" t="s">
        <v>17</v>
      </c>
      <c r="K2896" t="s">
        <v>7952</v>
      </c>
      <c r="L2896">
        <v>104</v>
      </c>
      <c r="M2896" t="s">
        <v>7953</v>
      </c>
    </row>
    <row r="2897" spans="1:13">
      <c r="A2897" t="s">
        <v>13</v>
      </c>
      <c r="B2897">
        <v>3122554</v>
      </c>
      <c r="C2897">
        <v>3124173</v>
      </c>
      <c r="E2897" t="s">
        <v>38</v>
      </c>
      <c r="F2897" t="s">
        <v>7954</v>
      </c>
      <c r="H2897">
        <v>1020864</v>
      </c>
      <c r="I2897" t="s">
        <v>17</v>
      </c>
      <c r="K2897" t="s">
        <v>7955</v>
      </c>
      <c r="L2897">
        <v>539</v>
      </c>
      <c r="M2897" t="s">
        <v>7956</v>
      </c>
    </row>
    <row r="2898" spans="1:13">
      <c r="A2898" t="s">
        <v>13</v>
      </c>
      <c r="B2898">
        <v>3124339</v>
      </c>
      <c r="C2898">
        <v>3124887</v>
      </c>
      <c r="E2898" t="s">
        <v>38</v>
      </c>
      <c r="F2898" t="s">
        <v>7957</v>
      </c>
      <c r="H2898">
        <v>1020865</v>
      </c>
      <c r="I2898" t="s">
        <v>17</v>
      </c>
      <c r="K2898" t="s">
        <v>7958</v>
      </c>
      <c r="L2898">
        <v>182</v>
      </c>
      <c r="M2898" t="s">
        <v>7959</v>
      </c>
    </row>
    <row r="2899" spans="1:13">
      <c r="A2899" t="s">
        <v>13</v>
      </c>
      <c r="B2899">
        <v>3125006</v>
      </c>
      <c r="C2899">
        <v>3125442</v>
      </c>
      <c r="E2899" t="s">
        <v>38</v>
      </c>
      <c r="F2899" t="s">
        <v>141</v>
      </c>
      <c r="H2899">
        <v>1020866</v>
      </c>
      <c r="I2899" t="s">
        <v>142</v>
      </c>
      <c r="M2899" t="s">
        <v>7960</v>
      </c>
    </row>
    <row r="2900" spans="1:13">
      <c r="A2900" t="s">
        <v>13</v>
      </c>
      <c r="B2900">
        <v>3125493</v>
      </c>
      <c r="C2900">
        <v>3126146</v>
      </c>
      <c r="E2900" t="s">
        <v>38</v>
      </c>
      <c r="F2900" t="s">
        <v>7961</v>
      </c>
      <c r="G2900" t="s">
        <v>7962</v>
      </c>
      <c r="H2900">
        <v>1020868</v>
      </c>
      <c r="I2900" t="s">
        <v>17</v>
      </c>
      <c r="K2900" t="s">
        <v>7963</v>
      </c>
      <c r="L2900">
        <v>217</v>
      </c>
      <c r="M2900" t="s">
        <v>7964</v>
      </c>
    </row>
    <row r="2901" spans="1:13">
      <c r="A2901" t="s">
        <v>13</v>
      </c>
      <c r="B2901">
        <v>3126393</v>
      </c>
      <c r="C2901">
        <v>3126995</v>
      </c>
      <c r="E2901" t="s">
        <v>14</v>
      </c>
      <c r="F2901" t="s">
        <v>7965</v>
      </c>
      <c r="H2901">
        <v>1020869</v>
      </c>
      <c r="I2901" t="s">
        <v>17</v>
      </c>
      <c r="K2901" t="s">
        <v>7966</v>
      </c>
      <c r="L2901">
        <v>200</v>
      </c>
      <c r="M2901" t="s">
        <v>7967</v>
      </c>
    </row>
    <row r="2902" spans="1:13">
      <c r="A2902" t="s">
        <v>13</v>
      </c>
      <c r="B2902">
        <v>3127492</v>
      </c>
      <c r="C2902">
        <v>3128418</v>
      </c>
      <c r="E2902" t="s">
        <v>38</v>
      </c>
      <c r="F2902" t="s">
        <v>69</v>
      </c>
      <c r="H2902">
        <v>1020870</v>
      </c>
      <c r="I2902" t="s">
        <v>17</v>
      </c>
      <c r="K2902" t="s">
        <v>7968</v>
      </c>
      <c r="L2902">
        <v>308</v>
      </c>
      <c r="M2902" t="s">
        <v>7969</v>
      </c>
    </row>
    <row r="2903" spans="1:13">
      <c r="A2903" t="s">
        <v>13</v>
      </c>
      <c r="B2903">
        <v>3128493</v>
      </c>
      <c r="C2903">
        <v>3129743</v>
      </c>
      <c r="E2903" t="s">
        <v>14</v>
      </c>
      <c r="F2903" t="s">
        <v>265</v>
      </c>
      <c r="H2903">
        <v>1020871</v>
      </c>
      <c r="I2903" t="s">
        <v>17</v>
      </c>
      <c r="K2903" t="s">
        <v>7970</v>
      </c>
      <c r="L2903">
        <v>416</v>
      </c>
      <c r="M2903" t="s">
        <v>7971</v>
      </c>
    </row>
    <row r="2904" spans="1:13">
      <c r="A2904" t="s">
        <v>13</v>
      </c>
      <c r="B2904">
        <v>3129858</v>
      </c>
      <c r="C2904">
        <v>3131399</v>
      </c>
      <c r="E2904" t="s">
        <v>14</v>
      </c>
      <c r="F2904" t="s">
        <v>7972</v>
      </c>
      <c r="H2904">
        <v>1020872</v>
      </c>
      <c r="I2904" t="s">
        <v>17</v>
      </c>
      <c r="K2904" t="s">
        <v>7973</v>
      </c>
      <c r="L2904">
        <v>513</v>
      </c>
      <c r="M2904" t="s">
        <v>7974</v>
      </c>
    </row>
    <row r="2905" spans="1:13">
      <c r="A2905" t="s">
        <v>13</v>
      </c>
      <c r="B2905">
        <v>3131506</v>
      </c>
      <c r="C2905">
        <v>3132921</v>
      </c>
      <c r="E2905" t="s">
        <v>38</v>
      </c>
      <c r="F2905" t="s">
        <v>7975</v>
      </c>
      <c r="H2905">
        <v>1020873</v>
      </c>
      <c r="I2905" t="s">
        <v>17</v>
      </c>
      <c r="K2905" t="s">
        <v>7976</v>
      </c>
      <c r="L2905">
        <v>471</v>
      </c>
      <c r="M2905" t="s">
        <v>7977</v>
      </c>
    </row>
    <row r="2906" spans="1:13">
      <c r="A2906" t="s">
        <v>13</v>
      </c>
      <c r="B2906">
        <v>3133116</v>
      </c>
      <c r="C2906">
        <v>3133751</v>
      </c>
      <c r="E2906" t="s">
        <v>14</v>
      </c>
      <c r="F2906" t="s">
        <v>7978</v>
      </c>
      <c r="H2906">
        <v>1020874</v>
      </c>
      <c r="I2906" t="s">
        <v>17</v>
      </c>
      <c r="K2906" t="s">
        <v>7979</v>
      </c>
      <c r="L2906">
        <v>211</v>
      </c>
      <c r="M2906" t="s">
        <v>7980</v>
      </c>
    </row>
    <row r="2907" spans="1:13">
      <c r="A2907" t="s">
        <v>13</v>
      </c>
      <c r="B2907">
        <v>3133776</v>
      </c>
      <c r="C2907">
        <v>3135242</v>
      </c>
      <c r="E2907" t="s">
        <v>38</v>
      </c>
      <c r="F2907" t="s">
        <v>265</v>
      </c>
      <c r="H2907">
        <v>1020875</v>
      </c>
      <c r="I2907" t="s">
        <v>17</v>
      </c>
      <c r="K2907" t="s">
        <v>7981</v>
      </c>
      <c r="L2907">
        <v>488</v>
      </c>
      <c r="M2907" t="s">
        <v>7982</v>
      </c>
    </row>
    <row r="2908" spans="1:13">
      <c r="A2908" t="s">
        <v>13</v>
      </c>
      <c r="B2908">
        <v>3135298</v>
      </c>
      <c r="C2908">
        <v>3135756</v>
      </c>
      <c r="E2908" t="s">
        <v>14</v>
      </c>
      <c r="F2908" t="s">
        <v>285</v>
      </c>
      <c r="H2908">
        <v>1020876</v>
      </c>
      <c r="I2908" t="s">
        <v>17</v>
      </c>
      <c r="K2908" t="s">
        <v>7983</v>
      </c>
      <c r="L2908">
        <v>152</v>
      </c>
      <c r="M2908" t="s">
        <v>7984</v>
      </c>
    </row>
    <row r="2909" spans="1:13">
      <c r="A2909" t="s">
        <v>13</v>
      </c>
      <c r="B2909">
        <v>3135854</v>
      </c>
      <c r="C2909">
        <v>3136492</v>
      </c>
      <c r="E2909" t="s">
        <v>38</v>
      </c>
      <c r="F2909" t="s">
        <v>7985</v>
      </c>
      <c r="H2909">
        <v>1020877</v>
      </c>
      <c r="I2909" t="s">
        <v>17</v>
      </c>
      <c r="K2909" t="s">
        <v>7986</v>
      </c>
      <c r="L2909">
        <v>212</v>
      </c>
      <c r="M2909" t="s">
        <v>7987</v>
      </c>
    </row>
    <row r="2910" spans="1:13">
      <c r="A2910" t="s">
        <v>13</v>
      </c>
      <c r="B2910">
        <v>3136591</v>
      </c>
      <c r="C2910">
        <v>3137925</v>
      </c>
      <c r="E2910" t="s">
        <v>38</v>
      </c>
      <c r="F2910" t="s">
        <v>237</v>
      </c>
      <c r="H2910">
        <v>1020878</v>
      </c>
      <c r="I2910" t="s">
        <v>17</v>
      </c>
      <c r="K2910" t="s">
        <v>7988</v>
      </c>
      <c r="L2910">
        <v>444</v>
      </c>
      <c r="M2910" t="s">
        <v>7989</v>
      </c>
    </row>
    <row r="2911" spans="1:13">
      <c r="A2911" t="s">
        <v>13</v>
      </c>
      <c r="B2911">
        <v>3137924</v>
      </c>
      <c r="C2911">
        <v>3138475</v>
      </c>
      <c r="E2911" t="s">
        <v>14</v>
      </c>
      <c r="F2911" t="s">
        <v>7990</v>
      </c>
      <c r="H2911">
        <v>1020879</v>
      </c>
      <c r="I2911" t="s">
        <v>17</v>
      </c>
      <c r="K2911" t="s">
        <v>7991</v>
      </c>
      <c r="L2911">
        <v>183</v>
      </c>
      <c r="M2911" t="s">
        <v>7992</v>
      </c>
    </row>
    <row r="2912" spans="1:13">
      <c r="A2912" t="s">
        <v>13</v>
      </c>
      <c r="B2912">
        <v>3138479</v>
      </c>
      <c r="C2912">
        <v>3138631</v>
      </c>
      <c r="E2912" t="s">
        <v>38</v>
      </c>
      <c r="F2912" t="s">
        <v>49</v>
      </c>
      <c r="H2912">
        <v>44156739</v>
      </c>
      <c r="I2912" t="s">
        <v>17</v>
      </c>
      <c r="K2912" t="s">
        <v>7993</v>
      </c>
      <c r="L2912">
        <v>50</v>
      </c>
      <c r="M2912" t="s">
        <v>7994</v>
      </c>
    </row>
    <row r="2913" spans="1:13">
      <c r="A2913" t="s">
        <v>13</v>
      </c>
      <c r="B2913">
        <v>3138632</v>
      </c>
      <c r="C2913">
        <v>3139456</v>
      </c>
      <c r="E2913" t="s">
        <v>38</v>
      </c>
      <c r="F2913" t="s">
        <v>7995</v>
      </c>
      <c r="H2913">
        <v>1020881</v>
      </c>
      <c r="I2913" t="s">
        <v>17</v>
      </c>
      <c r="K2913" t="s">
        <v>7996</v>
      </c>
      <c r="L2913">
        <v>274</v>
      </c>
      <c r="M2913" t="s">
        <v>7997</v>
      </c>
    </row>
    <row r="2914" spans="1:13">
      <c r="A2914" t="s">
        <v>13</v>
      </c>
      <c r="B2914">
        <v>3139688</v>
      </c>
      <c r="C2914">
        <v>3140956</v>
      </c>
      <c r="E2914" t="s">
        <v>14</v>
      </c>
      <c r="F2914" t="s">
        <v>7998</v>
      </c>
      <c r="G2914" t="s">
        <v>7999</v>
      </c>
      <c r="H2914">
        <v>1020882</v>
      </c>
      <c r="I2914" t="s">
        <v>17</v>
      </c>
      <c r="K2914" t="s">
        <v>8000</v>
      </c>
      <c r="L2914">
        <v>422</v>
      </c>
      <c r="M2914" t="s">
        <v>8001</v>
      </c>
    </row>
    <row r="2915" spans="1:13">
      <c r="A2915" t="s">
        <v>13</v>
      </c>
      <c r="B2915">
        <v>3140883</v>
      </c>
      <c r="C2915">
        <v>3141524</v>
      </c>
      <c r="E2915" t="s">
        <v>38</v>
      </c>
      <c r="F2915" t="s">
        <v>8002</v>
      </c>
      <c r="G2915" t="s">
        <v>8003</v>
      </c>
      <c r="H2915">
        <v>1020883</v>
      </c>
      <c r="I2915" t="s">
        <v>17</v>
      </c>
      <c r="K2915" t="s">
        <v>8004</v>
      </c>
      <c r="L2915">
        <v>213</v>
      </c>
      <c r="M2915" t="s">
        <v>8005</v>
      </c>
    </row>
    <row r="2916" spans="1:13">
      <c r="A2916" t="s">
        <v>13</v>
      </c>
      <c r="B2916">
        <v>3141707</v>
      </c>
      <c r="C2916">
        <v>3141970</v>
      </c>
      <c r="E2916" t="s">
        <v>38</v>
      </c>
      <c r="F2916" t="s">
        <v>8006</v>
      </c>
      <c r="H2916">
        <v>1020884</v>
      </c>
      <c r="I2916" t="s">
        <v>17</v>
      </c>
      <c r="K2916" t="s">
        <v>8007</v>
      </c>
      <c r="L2916">
        <v>87</v>
      </c>
      <c r="M2916" t="s">
        <v>8008</v>
      </c>
    </row>
    <row r="2917" spans="1:13">
      <c r="A2917" t="s">
        <v>13</v>
      </c>
      <c r="B2917">
        <v>3142452</v>
      </c>
      <c r="C2917">
        <v>3143357</v>
      </c>
      <c r="E2917" t="s">
        <v>38</v>
      </c>
      <c r="F2917" t="s">
        <v>3863</v>
      </c>
      <c r="H2917">
        <v>1020885</v>
      </c>
      <c r="I2917" t="s">
        <v>17</v>
      </c>
      <c r="K2917" t="s">
        <v>8009</v>
      </c>
      <c r="L2917">
        <v>301</v>
      </c>
      <c r="M2917" t="s">
        <v>8010</v>
      </c>
    </row>
    <row r="2918" spans="1:13">
      <c r="A2918" t="s">
        <v>13</v>
      </c>
      <c r="B2918">
        <v>3143494</v>
      </c>
      <c r="C2918">
        <v>3144483</v>
      </c>
      <c r="E2918" t="s">
        <v>38</v>
      </c>
      <c r="F2918" t="s">
        <v>2071</v>
      </c>
      <c r="H2918">
        <v>1020886</v>
      </c>
      <c r="I2918" t="s">
        <v>17</v>
      </c>
      <c r="K2918" t="s">
        <v>8011</v>
      </c>
      <c r="L2918">
        <v>329</v>
      </c>
      <c r="M2918" t="s">
        <v>8012</v>
      </c>
    </row>
    <row r="2919" spans="1:13">
      <c r="A2919" t="s">
        <v>13</v>
      </c>
      <c r="B2919">
        <v>3144493</v>
      </c>
      <c r="C2919">
        <v>3144633</v>
      </c>
      <c r="E2919" t="s">
        <v>38</v>
      </c>
      <c r="F2919" t="s">
        <v>49</v>
      </c>
      <c r="H2919">
        <v>44156740</v>
      </c>
      <c r="I2919" t="s">
        <v>17</v>
      </c>
      <c r="K2919" t="s">
        <v>8013</v>
      </c>
      <c r="L2919">
        <v>46</v>
      </c>
      <c r="M2919" t="s">
        <v>8014</v>
      </c>
    </row>
    <row r="2920" spans="1:13">
      <c r="A2920" t="s">
        <v>13</v>
      </c>
      <c r="B2920">
        <v>3144662</v>
      </c>
      <c r="C2920">
        <v>3145630</v>
      </c>
      <c r="E2920" t="s">
        <v>14</v>
      </c>
      <c r="F2920" t="s">
        <v>958</v>
      </c>
      <c r="H2920">
        <v>1020887</v>
      </c>
      <c r="I2920" t="s">
        <v>17</v>
      </c>
      <c r="K2920" t="s">
        <v>8015</v>
      </c>
      <c r="L2920">
        <v>322</v>
      </c>
      <c r="M2920" t="s">
        <v>8016</v>
      </c>
    </row>
    <row r="2921" spans="1:13">
      <c r="A2921" t="s">
        <v>13</v>
      </c>
      <c r="B2921">
        <v>3145971</v>
      </c>
      <c r="C2921">
        <v>3146087</v>
      </c>
      <c r="E2921" t="s">
        <v>38</v>
      </c>
      <c r="F2921" t="s">
        <v>262</v>
      </c>
      <c r="G2921" t="s">
        <v>263</v>
      </c>
      <c r="H2921">
        <v>2745358</v>
      </c>
      <c r="I2921" t="s">
        <v>258</v>
      </c>
      <c r="M2921" t="s">
        <v>8017</v>
      </c>
    </row>
    <row r="2922" spans="1:13">
      <c r="A2922" t="s">
        <v>13</v>
      </c>
      <c r="B2922">
        <v>3146203</v>
      </c>
      <c r="C2922">
        <v>3149289</v>
      </c>
      <c r="E2922" t="s">
        <v>38</v>
      </c>
      <c r="F2922" t="s">
        <v>260</v>
      </c>
      <c r="H2922">
        <v>2745360</v>
      </c>
      <c r="I2922" t="s">
        <v>258</v>
      </c>
      <c r="M2922" t="s">
        <v>8018</v>
      </c>
    </row>
    <row r="2923" spans="1:13">
      <c r="A2923" t="s">
        <v>13</v>
      </c>
      <c r="B2923">
        <v>3149681</v>
      </c>
      <c r="C2923">
        <v>3151204</v>
      </c>
      <c r="E2923" t="s">
        <v>38</v>
      </c>
      <c r="F2923" t="s">
        <v>257</v>
      </c>
      <c r="H2923">
        <v>2745361</v>
      </c>
      <c r="I2923" t="s">
        <v>258</v>
      </c>
      <c r="M2923" t="s">
        <v>8019</v>
      </c>
    </row>
    <row r="2924" spans="1:13">
      <c r="A2924" t="s">
        <v>13</v>
      </c>
      <c r="B2924">
        <v>3151840</v>
      </c>
      <c r="C2924">
        <v>3152205</v>
      </c>
      <c r="E2924" t="s">
        <v>38</v>
      </c>
      <c r="F2924" t="s">
        <v>1930</v>
      </c>
      <c r="H2924">
        <v>1020889</v>
      </c>
      <c r="I2924" t="s">
        <v>17</v>
      </c>
      <c r="K2924" t="s">
        <v>8020</v>
      </c>
      <c r="L2924">
        <v>121</v>
      </c>
      <c r="M2924" t="s">
        <v>8021</v>
      </c>
    </row>
    <row r="2925" spans="1:13">
      <c r="A2925" t="s">
        <v>13</v>
      </c>
      <c r="B2925">
        <v>3152414</v>
      </c>
      <c r="C2925">
        <v>3153832</v>
      </c>
      <c r="E2925" t="s">
        <v>14</v>
      </c>
      <c r="F2925" t="s">
        <v>7826</v>
      </c>
      <c r="H2925">
        <v>1020890</v>
      </c>
      <c r="I2925" t="s">
        <v>17</v>
      </c>
      <c r="K2925" t="s">
        <v>8022</v>
      </c>
      <c r="L2925">
        <v>472</v>
      </c>
      <c r="M2925" t="s">
        <v>8023</v>
      </c>
    </row>
    <row r="2926" spans="1:13">
      <c r="A2926" t="s">
        <v>13</v>
      </c>
      <c r="B2926">
        <v>3153892</v>
      </c>
      <c r="C2926">
        <v>3154767</v>
      </c>
      <c r="E2926" t="s">
        <v>38</v>
      </c>
      <c r="F2926" t="s">
        <v>8024</v>
      </c>
      <c r="G2926" t="s">
        <v>8025</v>
      </c>
      <c r="H2926">
        <v>1020891</v>
      </c>
      <c r="I2926" t="s">
        <v>17</v>
      </c>
      <c r="K2926" t="s">
        <v>8026</v>
      </c>
      <c r="L2926">
        <v>291</v>
      </c>
      <c r="M2926" t="s">
        <v>8027</v>
      </c>
    </row>
    <row r="2927" spans="1:13">
      <c r="A2927" t="s">
        <v>13</v>
      </c>
      <c r="B2927">
        <v>3155244</v>
      </c>
      <c r="C2927">
        <v>3156251</v>
      </c>
      <c r="E2927" t="s">
        <v>38</v>
      </c>
      <c r="F2927" t="s">
        <v>2074</v>
      </c>
      <c r="H2927">
        <v>44145013</v>
      </c>
      <c r="I2927" t="s">
        <v>17</v>
      </c>
      <c r="K2927" t="s">
        <v>8028</v>
      </c>
      <c r="L2927">
        <v>335</v>
      </c>
      <c r="M2927" t="s">
        <v>8029</v>
      </c>
    </row>
    <row r="2928" spans="1:13">
      <c r="A2928" t="s">
        <v>13</v>
      </c>
      <c r="B2928">
        <v>3156304</v>
      </c>
      <c r="C2928">
        <v>3157239</v>
      </c>
      <c r="E2928" t="s">
        <v>38</v>
      </c>
      <c r="F2928" t="s">
        <v>8030</v>
      </c>
      <c r="H2928">
        <v>44145014</v>
      </c>
      <c r="I2928" t="s">
        <v>17</v>
      </c>
      <c r="K2928" t="s">
        <v>8031</v>
      </c>
      <c r="L2928">
        <v>311</v>
      </c>
      <c r="M2928" t="s">
        <v>8032</v>
      </c>
    </row>
    <row r="2929" spans="1:13">
      <c r="A2929" t="s">
        <v>13</v>
      </c>
      <c r="B2929">
        <v>3157221</v>
      </c>
      <c r="C2929">
        <v>3157466</v>
      </c>
      <c r="E2929" t="s">
        <v>38</v>
      </c>
      <c r="F2929" t="s">
        <v>7738</v>
      </c>
      <c r="H2929">
        <v>44145015</v>
      </c>
      <c r="I2929" t="s">
        <v>17</v>
      </c>
      <c r="K2929" t="s">
        <v>8033</v>
      </c>
      <c r="L2929">
        <v>81</v>
      </c>
      <c r="M2929" t="s">
        <v>8034</v>
      </c>
    </row>
    <row r="2930" spans="1:13">
      <c r="A2930" t="s">
        <v>13</v>
      </c>
      <c r="B2930">
        <v>3157477</v>
      </c>
      <c r="C2930">
        <v>3157731</v>
      </c>
      <c r="E2930" t="s">
        <v>38</v>
      </c>
      <c r="F2930" t="s">
        <v>49</v>
      </c>
      <c r="H2930">
        <v>1020895</v>
      </c>
      <c r="I2930" t="s">
        <v>17</v>
      </c>
      <c r="K2930" t="s">
        <v>8035</v>
      </c>
      <c r="L2930">
        <v>84</v>
      </c>
      <c r="M2930" t="s">
        <v>8036</v>
      </c>
    </row>
    <row r="2931" spans="1:13">
      <c r="A2931" t="s">
        <v>13</v>
      </c>
      <c r="B2931">
        <v>3158233</v>
      </c>
      <c r="C2931">
        <v>3158838</v>
      </c>
      <c r="E2931" t="s">
        <v>14</v>
      </c>
      <c r="F2931" t="s">
        <v>8037</v>
      </c>
      <c r="H2931">
        <v>1020896</v>
      </c>
      <c r="I2931" t="s">
        <v>17</v>
      </c>
      <c r="K2931" t="s">
        <v>8038</v>
      </c>
      <c r="L2931">
        <v>201</v>
      </c>
      <c r="M2931" t="s">
        <v>8039</v>
      </c>
    </row>
    <row r="2932" spans="1:13">
      <c r="A2932" t="s">
        <v>13</v>
      </c>
      <c r="B2932">
        <v>3159079</v>
      </c>
      <c r="C2932">
        <v>3159801</v>
      </c>
      <c r="E2932" t="s">
        <v>38</v>
      </c>
      <c r="F2932" t="s">
        <v>6284</v>
      </c>
      <c r="H2932">
        <v>1020897</v>
      </c>
      <c r="I2932" t="s">
        <v>17</v>
      </c>
      <c r="K2932" t="s">
        <v>8040</v>
      </c>
      <c r="L2932">
        <v>240</v>
      </c>
      <c r="M2932" t="s">
        <v>8041</v>
      </c>
    </row>
    <row r="2933" spans="1:13">
      <c r="A2933" t="s">
        <v>13</v>
      </c>
      <c r="B2933">
        <v>3160235</v>
      </c>
      <c r="C2933">
        <v>3160507</v>
      </c>
      <c r="E2933" t="s">
        <v>38</v>
      </c>
      <c r="F2933" t="s">
        <v>2600</v>
      </c>
      <c r="H2933">
        <v>44145016</v>
      </c>
      <c r="I2933" t="s">
        <v>17</v>
      </c>
      <c r="K2933" t="s">
        <v>8042</v>
      </c>
      <c r="L2933">
        <v>90</v>
      </c>
      <c r="M2933" t="s">
        <v>8043</v>
      </c>
    </row>
    <row r="2934" spans="1:13">
      <c r="A2934" t="s">
        <v>13</v>
      </c>
      <c r="B2934">
        <v>3160629</v>
      </c>
      <c r="C2934">
        <v>3160802</v>
      </c>
      <c r="E2934" t="s">
        <v>38</v>
      </c>
      <c r="F2934" t="s">
        <v>138</v>
      </c>
      <c r="H2934">
        <v>92792318</v>
      </c>
      <c r="I2934" t="s">
        <v>17</v>
      </c>
      <c r="K2934" t="s">
        <v>8044</v>
      </c>
      <c r="L2934">
        <v>57</v>
      </c>
      <c r="M2934" t="s">
        <v>8045</v>
      </c>
    </row>
    <row r="2935" spans="1:13">
      <c r="A2935" t="s">
        <v>13</v>
      </c>
      <c r="B2935">
        <v>3160721</v>
      </c>
      <c r="C2935">
        <v>3160939</v>
      </c>
      <c r="E2935" t="s">
        <v>38</v>
      </c>
      <c r="F2935" t="s">
        <v>4834</v>
      </c>
      <c r="H2935">
        <v>92792319</v>
      </c>
      <c r="I2935" t="s">
        <v>17</v>
      </c>
      <c r="K2935" t="s">
        <v>8046</v>
      </c>
      <c r="L2935">
        <v>72</v>
      </c>
      <c r="M2935" t="s">
        <v>8047</v>
      </c>
    </row>
    <row r="2936" spans="1:13">
      <c r="A2936" t="s">
        <v>13</v>
      </c>
      <c r="B2936">
        <v>3161085</v>
      </c>
      <c r="C2936">
        <v>3161408</v>
      </c>
      <c r="E2936" t="s">
        <v>38</v>
      </c>
      <c r="F2936" t="s">
        <v>3140</v>
      </c>
      <c r="G2936" t="s">
        <v>3141</v>
      </c>
      <c r="H2936">
        <v>1020899</v>
      </c>
      <c r="I2936" t="s">
        <v>17</v>
      </c>
      <c r="K2936" t="s">
        <v>8048</v>
      </c>
      <c r="L2936">
        <v>107</v>
      </c>
      <c r="M2936" t="s">
        <v>8049</v>
      </c>
    </row>
    <row r="2937" spans="1:13">
      <c r="A2937" t="s">
        <v>13</v>
      </c>
      <c r="B2937">
        <v>3161680</v>
      </c>
      <c r="C2937">
        <v>3162015</v>
      </c>
      <c r="E2937" t="s">
        <v>38</v>
      </c>
      <c r="F2937" t="s">
        <v>2600</v>
      </c>
      <c r="H2937">
        <v>1020900</v>
      </c>
      <c r="I2937" t="s">
        <v>17</v>
      </c>
      <c r="K2937" t="s">
        <v>8050</v>
      </c>
      <c r="L2937">
        <v>111</v>
      </c>
      <c r="M2937" t="s">
        <v>8051</v>
      </c>
    </row>
    <row r="2938" spans="1:13">
      <c r="A2938" t="s">
        <v>13</v>
      </c>
      <c r="B2938">
        <v>3162386</v>
      </c>
      <c r="C2938">
        <v>3162613</v>
      </c>
      <c r="E2938" t="s">
        <v>38</v>
      </c>
      <c r="F2938" t="s">
        <v>8052</v>
      </c>
      <c r="H2938">
        <v>18194976</v>
      </c>
      <c r="I2938" t="s">
        <v>17</v>
      </c>
      <c r="K2938" t="s">
        <v>8053</v>
      </c>
      <c r="L2938">
        <v>75</v>
      </c>
      <c r="M2938" t="s">
        <v>8054</v>
      </c>
    </row>
    <row r="2939" spans="1:13">
      <c r="A2939" t="s">
        <v>13</v>
      </c>
      <c r="B2939">
        <v>3162590</v>
      </c>
      <c r="C2939">
        <v>3162805</v>
      </c>
      <c r="E2939" t="s">
        <v>14</v>
      </c>
      <c r="F2939" t="s">
        <v>141</v>
      </c>
      <c r="H2939">
        <v>44145017</v>
      </c>
      <c r="I2939" t="s">
        <v>142</v>
      </c>
      <c r="M2939" t="s">
        <v>8055</v>
      </c>
    </row>
    <row r="2940" spans="1:13">
      <c r="A2940" t="s">
        <v>13</v>
      </c>
      <c r="B2940">
        <v>3162859</v>
      </c>
      <c r="C2940">
        <v>3162984</v>
      </c>
      <c r="E2940" t="s">
        <v>38</v>
      </c>
      <c r="F2940" t="s">
        <v>141</v>
      </c>
      <c r="H2940">
        <v>92792329</v>
      </c>
      <c r="I2940" t="s">
        <v>142</v>
      </c>
      <c r="M2940" t="s">
        <v>8056</v>
      </c>
    </row>
    <row r="2941" spans="1:13">
      <c r="A2941" t="s">
        <v>13</v>
      </c>
      <c r="B2941">
        <v>3163072</v>
      </c>
      <c r="C2941">
        <v>3163734</v>
      </c>
      <c r="E2941" t="s">
        <v>38</v>
      </c>
      <c r="F2941" t="s">
        <v>8057</v>
      </c>
      <c r="H2941">
        <v>1020901</v>
      </c>
      <c r="I2941" t="s">
        <v>17</v>
      </c>
      <c r="K2941" t="s">
        <v>8058</v>
      </c>
      <c r="L2941">
        <v>220</v>
      </c>
      <c r="M2941" t="s">
        <v>8059</v>
      </c>
    </row>
    <row r="2942" spans="1:13">
      <c r="A2942" t="s">
        <v>13</v>
      </c>
      <c r="B2942">
        <v>3163787</v>
      </c>
      <c r="C2942">
        <v>3166006</v>
      </c>
      <c r="E2942" t="s">
        <v>38</v>
      </c>
      <c r="F2942" t="s">
        <v>8060</v>
      </c>
      <c r="H2942">
        <v>1020902</v>
      </c>
      <c r="I2942" t="s">
        <v>17</v>
      </c>
      <c r="K2942" t="s">
        <v>8061</v>
      </c>
      <c r="L2942">
        <v>739</v>
      </c>
      <c r="M2942" t="s">
        <v>8062</v>
      </c>
    </row>
    <row r="2943" spans="1:13">
      <c r="A2943" t="s">
        <v>13</v>
      </c>
      <c r="B2943">
        <v>3166057</v>
      </c>
      <c r="C2943">
        <v>3166293</v>
      </c>
      <c r="E2943" t="s">
        <v>38</v>
      </c>
      <c r="F2943" t="s">
        <v>3340</v>
      </c>
      <c r="H2943">
        <v>1020903</v>
      </c>
      <c r="I2943" t="s">
        <v>17</v>
      </c>
      <c r="K2943" t="s">
        <v>8063</v>
      </c>
      <c r="L2943">
        <v>78</v>
      </c>
      <c r="M2943" t="s">
        <v>8064</v>
      </c>
    </row>
    <row r="2944" spans="1:13">
      <c r="A2944" t="s">
        <v>13</v>
      </c>
      <c r="B2944">
        <v>3166265</v>
      </c>
      <c r="C2944">
        <v>3166438</v>
      </c>
      <c r="E2944" t="s">
        <v>38</v>
      </c>
      <c r="F2944" t="s">
        <v>49</v>
      </c>
      <c r="H2944">
        <v>92792320</v>
      </c>
      <c r="I2944" t="s">
        <v>17</v>
      </c>
      <c r="K2944" t="s">
        <v>8065</v>
      </c>
      <c r="L2944">
        <v>57</v>
      </c>
      <c r="M2944" t="s">
        <v>8066</v>
      </c>
    </row>
    <row r="2945" spans="1:13">
      <c r="A2945" t="s">
        <v>13</v>
      </c>
      <c r="B2945">
        <v>3166448</v>
      </c>
      <c r="C2945">
        <v>3167647</v>
      </c>
      <c r="E2945" t="s">
        <v>38</v>
      </c>
      <c r="F2945" t="s">
        <v>237</v>
      </c>
      <c r="H2945">
        <v>1020905</v>
      </c>
      <c r="I2945" t="s">
        <v>17</v>
      </c>
      <c r="K2945" t="s">
        <v>8067</v>
      </c>
      <c r="L2945">
        <v>399</v>
      </c>
      <c r="M2945" t="s">
        <v>8068</v>
      </c>
    </row>
    <row r="2946" spans="1:13">
      <c r="A2946" t="s">
        <v>13</v>
      </c>
      <c r="B2946">
        <v>3167644</v>
      </c>
      <c r="C2946">
        <v>3168366</v>
      </c>
      <c r="E2946" t="s">
        <v>38</v>
      </c>
      <c r="F2946" t="s">
        <v>835</v>
      </c>
      <c r="H2946">
        <v>1020906</v>
      </c>
      <c r="I2946" t="s">
        <v>17</v>
      </c>
      <c r="K2946" t="s">
        <v>8069</v>
      </c>
      <c r="L2946">
        <v>240</v>
      </c>
      <c r="M2946" t="s">
        <v>8070</v>
      </c>
    </row>
    <row r="2947" spans="1:13">
      <c r="A2947" t="s">
        <v>13</v>
      </c>
      <c r="B2947">
        <v>3168769</v>
      </c>
      <c r="C2947">
        <v>3169344</v>
      </c>
      <c r="E2947" t="s">
        <v>14</v>
      </c>
      <c r="F2947" t="s">
        <v>3222</v>
      </c>
      <c r="H2947">
        <v>1020907</v>
      </c>
      <c r="I2947" t="s">
        <v>17</v>
      </c>
      <c r="K2947" t="s">
        <v>8071</v>
      </c>
      <c r="L2947">
        <v>191</v>
      </c>
      <c r="M2947" t="s">
        <v>8072</v>
      </c>
    </row>
    <row r="2948" spans="1:13">
      <c r="A2948" t="s">
        <v>13</v>
      </c>
      <c r="B2948">
        <v>3169415</v>
      </c>
      <c r="C2948">
        <v>3170896</v>
      </c>
      <c r="E2948" t="s">
        <v>14</v>
      </c>
      <c r="F2948" t="s">
        <v>2733</v>
      </c>
      <c r="H2948">
        <v>1020909</v>
      </c>
      <c r="I2948" t="s">
        <v>17</v>
      </c>
      <c r="K2948" t="s">
        <v>8073</v>
      </c>
      <c r="L2948">
        <v>493</v>
      </c>
      <c r="M2948" t="s">
        <v>8074</v>
      </c>
    </row>
    <row r="2949" spans="1:13">
      <c r="A2949" t="s">
        <v>13</v>
      </c>
      <c r="B2949">
        <v>3171047</v>
      </c>
      <c r="C2949">
        <v>3171620</v>
      </c>
      <c r="E2949" t="s">
        <v>14</v>
      </c>
      <c r="F2949" t="s">
        <v>141</v>
      </c>
      <c r="H2949">
        <v>18194977</v>
      </c>
      <c r="I2949" t="s">
        <v>142</v>
      </c>
      <c r="M2949" t="s">
        <v>8075</v>
      </c>
    </row>
    <row r="2950" spans="1:13">
      <c r="A2950" t="s">
        <v>13</v>
      </c>
      <c r="B2950">
        <v>3171617</v>
      </c>
      <c r="C2950">
        <v>3172603</v>
      </c>
      <c r="E2950" t="s">
        <v>38</v>
      </c>
      <c r="F2950" t="s">
        <v>8076</v>
      </c>
      <c r="H2950">
        <v>1020911</v>
      </c>
      <c r="I2950" t="s">
        <v>17</v>
      </c>
      <c r="K2950" t="s">
        <v>8077</v>
      </c>
      <c r="L2950">
        <v>328</v>
      </c>
      <c r="M2950" t="s">
        <v>8078</v>
      </c>
    </row>
    <row r="2951" spans="1:13">
      <c r="A2951" t="s">
        <v>13</v>
      </c>
      <c r="B2951">
        <v>3172908</v>
      </c>
      <c r="C2951">
        <v>3173090</v>
      </c>
      <c r="E2951" t="s">
        <v>38</v>
      </c>
      <c r="F2951" t="s">
        <v>49</v>
      </c>
      <c r="H2951">
        <v>44145019</v>
      </c>
      <c r="I2951" t="s">
        <v>17</v>
      </c>
      <c r="K2951" t="s">
        <v>8079</v>
      </c>
      <c r="L2951">
        <v>60</v>
      </c>
      <c r="M2951" t="s">
        <v>8080</v>
      </c>
    </row>
    <row r="2952" spans="1:13">
      <c r="A2952" t="s">
        <v>13</v>
      </c>
      <c r="B2952">
        <v>3173059</v>
      </c>
      <c r="C2952">
        <v>3173469</v>
      </c>
      <c r="E2952" t="s">
        <v>14</v>
      </c>
      <c r="F2952" t="s">
        <v>3337</v>
      </c>
      <c r="H2952">
        <v>1020912</v>
      </c>
      <c r="I2952" t="s">
        <v>17</v>
      </c>
      <c r="K2952" t="s">
        <v>8081</v>
      </c>
      <c r="L2952">
        <v>136</v>
      </c>
      <c r="M2952" t="s">
        <v>8082</v>
      </c>
    </row>
    <row r="2953" spans="1:13">
      <c r="A2953" t="s">
        <v>13</v>
      </c>
      <c r="B2953">
        <v>3173625</v>
      </c>
      <c r="C2953">
        <v>3173861</v>
      </c>
      <c r="E2953" t="s">
        <v>14</v>
      </c>
      <c r="F2953" t="s">
        <v>3340</v>
      </c>
      <c r="H2953">
        <v>1020913</v>
      </c>
      <c r="I2953" t="s">
        <v>17</v>
      </c>
      <c r="K2953" t="s">
        <v>8083</v>
      </c>
      <c r="L2953">
        <v>78</v>
      </c>
      <c r="M2953" t="s">
        <v>8084</v>
      </c>
    </row>
    <row r="2954" spans="1:13">
      <c r="A2954" t="s">
        <v>13</v>
      </c>
      <c r="B2954">
        <v>3174067</v>
      </c>
      <c r="C2954">
        <v>3174384</v>
      </c>
      <c r="E2954" t="s">
        <v>14</v>
      </c>
      <c r="F2954" t="s">
        <v>49</v>
      </c>
      <c r="H2954">
        <v>1020914</v>
      </c>
      <c r="I2954" t="s">
        <v>17</v>
      </c>
      <c r="K2954" t="s">
        <v>8085</v>
      </c>
      <c r="L2954">
        <v>105</v>
      </c>
      <c r="M2954" t="s">
        <v>8086</v>
      </c>
    </row>
    <row r="2955" spans="1:13">
      <c r="A2955" t="s">
        <v>13</v>
      </c>
      <c r="B2955">
        <v>3175028</v>
      </c>
      <c r="C2955">
        <v>3176905</v>
      </c>
      <c r="E2955" t="s">
        <v>14</v>
      </c>
      <c r="F2955" t="s">
        <v>1146</v>
      </c>
      <c r="H2955">
        <v>1020915</v>
      </c>
      <c r="I2955" t="s">
        <v>17</v>
      </c>
      <c r="K2955" t="s">
        <v>8087</v>
      </c>
      <c r="L2955">
        <v>625</v>
      </c>
      <c r="M2955" t="s">
        <v>8088</v>
      </c>
    </row>
    <row r="2956" spans="1:13">
      <c r="A2956" t="s">
        <v>13</v>
      </c>
      <c r="B2956">
        <v>3177087</v>
      </c>
      <c r="C2956">
        <v>3177804</v>
      </c>
      <c r="E2956" t="s">
        <v>38</v>
      </c>
      <c r="F2956" t="s">
        <v>141</v>
      </c>
      <c r="H2956">
        <v>18194978</v>
      </c>
      <c r="I2956" t="s">
        <v>142</v>
      </c>
      <c r="M2956" t="s">
        <v>8089</v>
      </c>
    </row>
    <row r="2957" spans="1:13">
      <c r="A2957" t="s">
        <v>13</v>
      </c>
      <c r="B2957">
        <v>3178110</v>
      </c>
      <c r="C2957">
        <v>3178484</v>
      </c>
      <c r="E2957" t="s">
        <v>38</v>
      </c>
      <c r="F2957" t="s">
        <v>2000</v>
      </c>
      <c r="G2957" t="s">
        <v>8090</v>
      </c>
      <c r="H2957">
        <v>1020918</v>
      </c>
      <c r="I2957" t="s">
        <v>17</v>
      </c>
      <c r="K2957" t="s">
        <v>8091</v>
      </c>
      <c r="L2957">
        <v>124</v>
      </c>
      <c r="M2957" t="s">
        <v>8092</v>
      </c>
    </row>
    <row r="2958" spans="1:13">
      <c r="A2958" t="s">
        <v>13</v>
      </c>
      <c r="B2958">
        <v>3178670</v>
      </c>
      <c r="C2958">
        <v>3178876</v>
      </c>
      <c r="E2958" t="s">
        <v>14</v>
      </c>
      <c r="F2958" t="s">
        <v>3340</v>
      </c>
      <c r="H2958">
        <v>1020919</v>
      </c>
      <c r="I2958" t="s">
        <v>17</v>
      </c>
      <c r="K2958" t="s">
        <v>8093</v>
      </c>
      <c r="L2958">
        <v>68</v>
      </c>
      <c r="M2958" t="s">
        <v>8094</v>
      </c>
    </row>
    <row r="2959" spans="1:13">
      <c r="A2959" t="s">
        <v>13</v>
      </c>
      <c r="B2959">
        <v>3179077</v>
      </c>
      <c r="C2959">
        <v>3180396</v>
      </c>
      <c r="E2959" t="s">
        <v>14</v>
      </c>
      <c r="F2959" t="s">
        <v>265</v>
      </c>
      <c r="H2959">
        <v>1020920</v>
      </c>
      <c r="I2959" t="s">
        <v>17</v>
      </c>
      <c r="K2959" t="s">
        <v>8095</v>
      </c>
      <c r="L2959">
        <v>439</v>
      </c>
      <c r="M2959" t="s">
        <v>8096</v>
      </c>
    </row>
    <row r="2960" spans="1:13">
      <c r="A2960" t="s">
        <v>13</v>
      </c>
      <c r="B2960">
        <v>3180356</v>
      </c>
      <c r="C2960">
        <v>3180568</v>
      </c>
      <c r="E2960" t="s">
        <v>38</v>
      </c>
      <c r="F2960" t="s">
        <v>49</v>
      </c>
      <c r="H2960">
        <v>44145020</v>
      </c>
      <c r="I2960" t="s">
        <v>17</v>
      </c>
      <c r="K2960" t="s">
        <v>8097</v>
      </c>
      <c r="L2960">
        <v>70</v>
      </c>
      <c r="M2960" t="s">
        <v>8098</v>
      </c>
    </row>
    <row r="2961" spans="1:13">
      <c r="A2961" t="s">
        <v>13</v>
      </c>
      <c r="B2961">
        <v>3180549</v>
      </c>
      <c r="C2961">
        <v>3181127</v>
      </c>
      <c r="E2961" t="s">
        <v>38</v>
      </c>
      <c r="F2961" t="s">
        <v>2479</v>
      </c>
      <c r="H2961">
        <v>1020921</v>
      </c>
      <c r="I2961" t="s">
        <v>17</v>
      </c>
      <c r="K2961" t="s">
        <v>8099</v>
      </c>
      <c r="L2961">
        <v>192</v>
      </c>
      <c r="M2961" t="s">
        <v>8100</v>
      </c>
    </row>
    <row r="2962" spans="1:13">
      <c r="A2962" t="s">
        <v>13</v>
      </c>
      <c r="B2962">
        <v>3181335</v>
      </c>
      <c r="C2962">
        <v>3182867</v>
      </c>
      <c r="E2962" t="s">
        <v>38</v>
      </c>
      <c r="F2962" t="s">
        <v>8101</v>
      </c>
      <c r="G2962" t="s">
        <v>8102</v>
      </c>
      <c r="H2962">
        <v>1020922</v>
      </c>
      <c r="I2962" t="s">
        <v>17</v>
      </c>
      <c r="K2962" t="s">
        <v>8103</v>
      </c>
      <c r="L2962">
        <v>510</v>
      </c>
      <c r="M2962" t="s">
        <v>8104</v>
      </c>
    </row>
    <row r="2963" spans="1:13">
      <c r="A2963" t="s">
        <v>13</v>
      </c>
      <c r="B2963">
        <v>3183476</v>
      </c>
      <c r="C2963">
        <v>3183928</v>
      </c>
      <c r="E2963" t="s">
        <v>38</v>
      </c>
      <c r="F2963" t="s">
        <v>8105</v>
      </c>
      <c r="G2963" t="s">
        <v>8106</v>
      </c>
      <c r="H2963">
        <v>1020923</v>
      </c>
      <c r="I2963" t="s">
        <v>17</v>
      </c>
      <c r="K2963" t="s">
        <v>8107</v>
      </c>
      <c r="L2963">
        <v>150</v>
      </c>
      <c r="M2963" t="s">
        <v>8108</v>
      </c>
    </row>
    <row r="2964" spans="1:13">
      <c r="A2964" t="s">
        <v>13</v>
      </c>
      <c r="B2964">
        <v>3183985</v>
      </c>
      <c r="C2964">
        <v>3184662</v>
      </c>
      <c r="E2964" t="s">
        <v>38</v>
      </c>
      <c r="F2964" t="s">
        <v>5139</v>
      </c>
      <c r="H2964">
        <v>1020924</v>
      </c>
      <c r="I2964" t="s">
        <v>17</v>
      </c>
      <c r="K2964" t="s">
        <v>8109</v>
      </c>
      <c r="L2964">
        <v>225</v>
      </c>
      <c r="M2964" t="s">
        <v>8110</v>
      </c>
    </row>
    <row r="2965" spans="1:13">
      <c r="A2965" t="s">
        <v>13</v>
      </c>
      <c r="B2965">
        <v>3184699</v>
      </c>
      <c r="C2965">
        <v>3184986</v>
      </c>
      <c r="E2965" t="s">
        <v>38</v>
      </c>
      <c r="F2965" t="s">
        <v>8111</v>
      </c>
      <c r="G2965" t="s">
        <v>8112</v>
      </c>
      <c r="H2965">
        <v>1020925</v>
      </c>
      <c r="I2965" t="s">
        <v>17</v>
      </c>
      <c r="K2965" t="s">
        <v>8113</v>
      </c>
      <c r="L2965">
        <v>95</v>
      </c>
      <c r="M2965" t="s">
        <v>8114</v>
      </c>
    </row>
    <row r="2966" spans="1:13">
      <c r="A2966" t="s">
        <v>13</v>
      </c>
      <c r="B2966">
        <v>3185115</v>
      </c>
      <c r="C2966">
        <v>3185258</v>
      </c>
      <c r="E2966" t="s">
        <v>38</v>
      </c>
      <c r="F2966" t="s">
        <v>49</v>
      </c>
      <c r="H2966">
        <v>44156742</v>
      </c>
      <c r="I2966" t="s">
        <v>17</v>
      </c>
      <c r="K2966" t="s">
        <v>8115</v>
      </c>
      <c r="L2966">
        <v>47</v>
      </c>
      <c r="M2966" t="s">
        <v>8116</v>
      </c>
    </row>
    <row r="2967" spans="1:13">
      <c r="A2967" t="s">
        <v>13</v>
      </c>
      <c r="B2967">
        <v>3185346</v>
      </c>
      <c r="C2967">
        <v>3185537</v>
      </c>
      <c r="E2967" t="s">
        <v>38</v>
      </c>
      <c r="F2967" t="s">
        <v>49</v>
      </c>
      <c r="H2967">
        <v>1020926</v>
      </c>
      <c r="I2967" t="s">
        <v>17</v>
      </c>
      <c r="K2967" t="s">
        <v>8117</v>
      </c>
      <c r="L2967">
        <v>63</v>
      </c>
      <c r="M2967" t="s">
        <v>8118</v>
      </c>
    </row>
    <row r="2968" spans="1:13">
      <c r="A2968" t="s">
        <v>13</v>
      </c>
      <c r="B2968">
        <v>3185534</v>
      </c>
      <c r="C2968">
        <v>3186994</v>
      </c>
      <c r="E2968" t="s">
        <v>38</v>
      </c>
      <c r="F2968" t="s">
        <v>8119</v>
      </c>
      <c r="H2968">
        <v>1020927</v>
      </c>
      <c r="I2968" t="s">
        <v>17</v>
      </c>
      <c r="K2968" t="s">
        <v>8120</v>
      </c>
      <c r="L2968">
        <v>486</v>
      </c>
      <c r="M2968" t="s">
        <v>8121</v>
      </c>
    </row>
    <row r="2969" spans="1:13">
      <c r="A2969" t="s">
        <v>13</v>
      </c>
      <c r="B2969">
        <v>3187040</v>
      </c>
      <c r="C2969">
        <v>3189202</v>
      </c>
      <c r="E2969" t="s">
        <v>38</v>
      </c>
      <c r="F2969" t="s">
        <v>852</v>
      </c>
      <c r="H2969">
        <v>1020928</v>
      </c>
      <c r="I2969" t="s">
        <v>17</v>
      </c>
      <c r="K2969" t="s">
        <v>8122</v>
      </c>
      <c r="L2969">
        <v>720</v>
      </c>
      <c r="M2969" t="s">
        <v>8123</v>
      </c>
    </row>
    <row r="2970" spans="1:13">
      <c r="A2970" t="s">
        <v>13</v>
      </c>
      <c r="B2970">
        <v>3189294</v>
      </c>
      <c r="C2970">
        <v>3189686</v>
      </c>
      <c r="E2970" t="s">
        <v>38</v>
      </c>
      <c r="F2970" t="s">
        <v>8124</v>
      </c>
      <c r="H2970">
        <v>1020929</v>
      </c>
      <c r="I2970" t="s">
        <v>17</v>
      </c>
      <c r="K2970" t="s">
        <v>8125</v>
      </c>
      <c r="L2970">
        <v>130</v>
      </c>
      <c r="M2970" t="s">
        <v>8126</v>
      </c>
    </row>
    <row r="2971" spans="1:13">
      <c r="A2971" t="s">
        <v>13</v>
      </c>
      <c r="B2971">
        <v>3189878</v>
      </c>
      <c r="C2971">
        <v>3190351</v>
      </c>
      <c r="E2971" t="s">
        <v>14</v>
      </c>
      <c r="F2971" t="s">
        <v>8127</v>
      </c>
      <c r="G2971" t="s">
        <v>8128</v>
      </c>
      <c r="H2971">
        <v>1020930</v>
      </c>
      <c r="I2971" t="s">
        <v>17</v>
      </c>
      <c r="K2971" t="s">
        <v>8129</v>
      </c>
      <c r="L2971">
        <v>157</v>
      </c>
      <c r="M2971" t="s">
        <v>8130</v>
      </c>
    </row>
    <row r="2972" spans="1:13">
      <c r="A2972" t="s">
        <v>13</v>
      </c>
      <c r="B2972">
        <v>3190382</v>
      </c>
      <c r="C2972">
        <v>3191323</v>
      </c>
      <c r="E2972" t="s">
        <v>14</v>
      </c>
      <c r="F2972" t="s">
        <v>3863</v>
      </c>
      <c r="H2972">
        <v>1020931</v>
      </c>
      <c r="I2972" t="s">
        <v>17</v>
      </c>
      <c r="K2972" t="s">
        <v>8131</v>
      </c>
      <c r="L2972">
        <v>313</v>
      </c>
      <c r="M2972" t="s">
        <v>8132</v>
      </c>
    </row>
    <row r="2973" spans="1:13">
      <c r="A2973" t="s">
        <v>13</v>
      </c>
      <c r="B2973">
        <v>3191355</v>
      </c>
      <c r="C2973">
        <v>3191852</v>
      </c>
      <c r="E2973" t="s">
        <v>14</v>
      </c>
      <c r="F2973" t="s">
        <v>49</v>
      </c>
      <c r="H2973">
        <v>1020932</v>
      </c>
      <c r="I2973" t="s">
        <v>17</v>
      </c>
      <c r="K2973" t="s">
        <v>8133</v>
      </c>
      <c r="L2973">
        <v>165</v>
      </c>
      <c r="M2973" t="s">
        <v>8134</v>
      </c>
    </row>
    <row r="2974" spans="1:13">
      <c r="A2974" t="s">
        <v>13</v>
      </c>
      <c r="B2974">
        <v>3191920</v>
      </c>
      <c r="C2974">
        <v>3192243</v>
      </c>
      <c r="E2974" t="s">
        <v>38</v>
      </c>
      <c r="F2974" t="s">
        <v>2646</v>
      </c>
      <c r="H2974">
        <v>1020933</v>
      </c>
      <c r="I2974" t="s">
        <v>17</v>
      </c>
      <c r="K2974" t="s">
        <v>8135</v>
      </c>
      <c r="L2974">
        <v>107</v>
      </c>
      <c r="M2974" t="s">
        <v>8136</v>
      </c>
    </row>
    <row r="2975" spans="1:13">
      <c r="A2975" t="s">
        <v>13</v>
      </c>
      <c r="B2975">
        <v>3192264</v>
      </c>
      <c r="C2975">
        <v>3193202</v>
      </c>
      <c r="E2975" t="s">
        <v>38</v>
      </c>
      <c r="F2975" t="s">
        <v>8137</v>
      </c>
      <c r="H2975">
        <v>1020934</v>
      </c>
      <c r="I2975" t="s">
        <v>17</v>
      </c>
      <c r="K2975" t="s">
        <v>8138</v>
      </c>
      <c r="L2975">
        <v>312</v>
      </c>
      <c r="M2975" t="s">
        <v>8139</v>
      </c>
    </row>
    <row r="2976" spans="1:13">
      <c r="A2976" t="s">
        <v>13</v>
      </c>
      <c r="B2976">
        <v>3193250</v>
      </c>
      <c r="C2976">
        <v>3194515</v>
      </c>
      <c r="E2976" t="s">
        <v>38</v>
      </c>
      <c r="F2976" t="s">
        <v>124</v>
      </c>
      <c r="H2976">
        <v>1020935</v>
      </c>
      <c r="I2976" t="s">
        <v>17</v>
      </c>
      <c r="K2976" t="s">
        <v>8140</v>
      </c>
      <c r="L2976">
        <v>421</v>
      </c>
      <c r="M2976" t="s">
        <v>8141</v>
      </c>
    </row>
    <row r="2977" spans="1:13">
      <c r="A2977" t="s">
        <v>13</v>
      </c>
      <c r="B2977">
        <v>3194512</v>
      </c>
      <c r="C2977">
        <v>3195204</v>
      </c>
      <c r="E2977" t="s">
        <v>38</v>
      </c>
      <c r="F2977" t="s">
        <v>147</v>
      </c>
      <c r="H2977">
        <v>1020936</v>
      </c>
      <c r="I2977" t="s">
        <v>17</v>
      </c>
      <c r="K2977" t="s">
        <v>8142</v>
      </c>
      <c r="L2977">
        <v>230</v>
      </c>
      <c r="M2977" t="s">
        <v>8143</v>
      </c>
    </row>
    <row r="2978" spans="1:13">
      <c r="A2978" t="s">
        <v>13</v>
      </c>
      <c r="B2978">
        <v>3195208</v>
      </c>
      <c r="C2978">
        <v>3197046</v>
      </c>
      <c r="E2978" t="s">
        <v>38</v>
      </c>
      <c r="F2978" t="s">
        <v>8144</v>
      </c>
      <c r="H2978">
        <v>1020937</v>
      </c>
      <c r="I2978" t="s">
        <v>17</v>
      </c>
      <c r="K2978" t="s">
        <v>8145</v>
      </c>
      <c r="L2978">
        <v>612</v>
      </c>
      <c r="M2978" t="s">
        <v>8146</v>
      </c>
    </row>
    <row r="2979" spans="1:13">
      <c r="A2979" t="s">
        <v>13</v>
      </c>
      <c r="B2979">
        <v>3197413</v>
      </c>
      <c r="C2979">
        <v>3198504</v>
      </c>
      <c r="E2979" t="s">
        <v>14</v>
      </c>
      <c r="F2979" t="s">
        <v>8147</v>
      </c>
      <c r="H2979">
        <v>1020938</v>
      </c>
      <c r="I2979" t="s">
        <v>17</v>
      </c>
      <c r="K2979" t="s">
        <v>8148</v>
      </c>
      <c r="L2979">
        <v>363</v>
      </c>
      <c r="M2979" t="s">
        <v>8149</v>
      </c>
    </row>
    <row r="2980" spans="1:13">
      <c r="A2980" t="s">
        <v>13</v>
      </c>
      <c r="B2980">
        <v>3198580</v>
      </c>
      <c r="C2980">
        <v>3199125</v>
      </c>
      <c r="E2980" t="s">
        <v>38</v>
      </c>
      <c r="F2980" t="s">
        <v>49</v>
      </c>
      <c r="H2980">
        <v>1020939</v>
      </c>
      <c r="I2980" t="s">
        <v>17</v>
      </c>
      <c r="K2980" t="s">
        <v>8150</v>
      </c>
      <c r="L2980">
        <v>181</v>
      </c>
      <c r="M2980" t="s">
        <v>8151</v>
      </c>
    </row>
    <row r="2981" spans="1:13">
      <c r="A2981" t="s">
        <v>13</v>
      </c>
      <c r="B2981">
        <v>3199200</v>
      </c>
      <c r="C2981">
        <v>3200687</v>
      </c>
      <c r="E2981" t="s">
        <v>38</v>
      </c>
      <c r="F2981" t="s">
        <v>8152</v>
      </c>
      <c r="H2981">
        <v>1020940</v>
      </c>
      <c r="I2981" t="s">
        <v>17</v>
      </c>
      <c r="K2981" t="s">
        <v>8153</v>
      </c>
      <c r="L2981">
        <v>495</v>
      </c>
      <c r="M2981" t="s">
        <v>8154</v>
      </c>
    </row>
    <row r="2982" spans="1:13">
      <c r="A2982" t="s">
        <v>13</v>
      </c>
      <c r="B2982">
        <v>3201258</v>
      </c>
      <c r="C2982">
        <v>3201755</v>
      </c>
      <c r="E2982" t="s">
        <v>38</v>
      </c>
      <c r="F2982" t="s">
        <v>8155</v>
      </c>
      <c r="G2982" t="s">
        <v>8156</v>
      </c>
      <c r="H2982">
        <v>1020941</v>
      </c>
      <c r="I2982" t="s">
        <v>17</v>
      </c>
      <c r="K2982" t="s">
        <v>8157</v>
      </c>
      <c r="L2982">
        <v>165</v>
      </c>
      <c r="M2982" t="s">
        <v>8158</v>
      </c>
    </row>
    <row r="2983" spans="1:13">
      <c r="A2983" t="s">
        <v>13</v>
      </c>
      <c r="B2983">
        <v>3201907</v>
      </c>
      <c r="C2983">
        <v>3202716</v>
      </c>
      <c r="E2983" t="s">
        <v>14</v>
      </c>
      <c r="F2983" t="s">
        <v>2449</v>
      </c>
      <c r="H2983">
        <v>1020942</v>
      </c>
      <c r="I2983" t="s">
        <v>17</v>
      </c>
      <c r="K2983" t="s">
        <v>8159</v>
      </c>
      <c r="L2983">
        <v>269</v>
      </c>
      <c r="M2983" t="s">
        <v>8160</v>
      </c>
    </row>
    <row r="2984" spans="1:13">
      <c r="A2984" t="s">
        <v>13</v>
      </c>
      <c r="B2984">
        <v>3202953</v>
      </c>
      <c r="C2984">
        <v>3204104</v>
      </c>
      <c r="E2984" t="s">
        <v>14</v>
      </c>
      <c r="F2984" t="s">
        <v>8161</v>
      </c>
      <c r="H2984">
        <v>1020943</v>
      </c>
      <c r="I2984" t="s">
        <v>17</v>
      </c>
      <c r="K2984" t="s">
        <v>8162</v>
      </c>
      <c r="L2984">
        <v>383</v>
      </c>
      <c r="M2984" t="s">
        <v>8163</v>
      </c>
    </row>
    <row r="2985" spans="1:13">
      <c r="A2985" t="s">
        <v>13</v>
      </c>
      <c r="B2985">
        <v>3204157</v>
      </c>
      <c r="C2985">
        <v>3204732</v>
      </c>
      <c r="E2985" t="s">
        <v>14</v>
      </c>
      <c r="F2985" t="s">
        <v>2066</v>
      </c>
      <c r="H2985">
        <v>1020944</v>
      </c>
      <c r="I2985" t="s">
        <v>17</v>
      </c>
      <c r="K2985" t="s">
        <v>8164</v>
      </c>
      <c r="L2985">
        <v>191</v>
      </c>
      <c r="M2985" t="s">
        <v>8165</v>
      </c>
    </row>
    <row r="2986" spans="1:13">
      <c r="A2986" t="s">
        <v>13</v>
      </c>
      <c r="B2986">
        <v>3204729</v>
      </c>
      <c r="C2986">
        <v>3205205</v>
      </c>
      <c r="E2986" t="s">
        <v>38</v>
      </c>
      <c r="F2986" t="s">
        <v>8166</v>
      </c>
      <c r="H2986">
        <v>1020945</v>
      </c>
      <c r="I2986" t="s">
        <v>17</v>
      </c>
      <c r="K2986" t="s">
        <v>8167</v>
      </c>
      <c r="L2986">
        <v>158</v>
      </c>
      <c r="M2986" t="s">
        <v>8168</v>
      </c>
    </row>
    <row r="2987" spans="1:13">
      <c r="A2987" t="s">
        <v>13</v>
      </c>
      <c r="B2987">
        <v>3205220</v>
      </c>
      <c r="C2987">
        <v>3206233</v>
      </c>
      <c r="E2987" t="s">
        <v>38</v>
      </c>
      <c r="F2987" t="s">
        <v>8169</v>
      </c>
      <c r="H2987">
        <v>1020946</v>
      </c>
      <c r="I2987" t="s">
        <v>17</v>
      </c>
      <c r="K2987" t="s">
        <v>8170</v>
      </c>
      <c r="L2987">
        <v>337</v>
      </c>
      <c r="M2987" t="s">
        <v>8171</v>
      </c>
    </row>
    <row r="2988" spans="1:13">
      <c r="A2988" t="s">
        <v>13</v>
      </c>
      <c r="B2988">
        <v>3206850</v>
      </c>
      <c r="C2988">
        <v>3208028</v>
      </c>
      <c r="E2988" t="s">
        <v>14</v>
      </c>
      <c r="F2988" t="s">
        <v>265</v>
      </c>
      <c r="H2988">
        <v>1020947</v>
      </c>
      <c r="I2988" t="s">
        <v>17</v>
      </c>
      <c r="K2988" t="s">
        <v>8172</v>
      </c>
      <c r="L2988">
        <v>392</v>
      </c>
      <c r="M2988" t="s">
        <v>8173</v>
      </c>
    </row>
    <row r="2989" spans="1:13">
      <c r="A2989" t="s">
        <v>13</v>
      </c>
      <c r="B2989">
        <v>3208280</v>
      </c>
      <c r="C2989">
        <v>3209458</v>
      </c>
      <c r="E2989" t="s">
        <v>14</v>
      </c>
      <c r="F2989" t="s">
        <v>8174</v>
      </c>
      <c r="H2989">
        <v>1020948</v>
      </c>
      <c r="I2989" t="s">
        <v>17</v>
      </c>
      <c r="K2989" t="s">
        <v>8175</v>
      </c>
      <c r="L2989">
        <v>392</v>
      </c>
      <c r="M2989" t="s">
        <v>8176</v>
      </c>
    </row>
    <row r="2990" spans="1:13">
      <c r="A2990" t="s">
        <v>13</v>
      </c>
      <c r="B2990">
        <v>3209703</v>
      </c>
      <c r="C2990">
        <v>3211187</v>
      </c>
      <c r="E2990" t="s">
        <v>38</v>
      </c>
      <c r="F2990" t="s">
        <v>6833</v>
      </c>
      <c r="H2990">
        <v>1020949</v>
      </c>
      <c r="I2990" t="s">
        <v>17</v>
      </c>
      <c r="K2990" t="s">
        <v>8177</v>
      </c>
      <c r="L2990">
        <v>494</v>
      </c>
      <c r="M2990" t="s">
        <v>8178</v>
      </c>
    </row>
    <row r="2991" spans="1:13">
      <c r="A2991" t="s">
        <v>13</v>
      </c>
      <c r="B2991">
        <v>3211244</v>
      </c>
      <c r="C2991">
        <v>3211837</v>
      </c>
      <c r="E2991" t="s">
        <v>38</v>
      </c>
      <c r="F2991" t="s">
        <v>8179</v>
      </c>
      <c r="H2991">
        <v>1020950</v>
      </c>
      <c r="I2991" t="s">
        <v>17</v>
      </c>
      <c r="K2991" t="s">
        <v>8180</v>
      </c>
      <c r="L2991">
        <v>197</v>
      </c>
      <c r="M2991" t="s">
        <v>8181</v>
      </c>
    </row>
    <row r="2992" spans="1:13">
      <c r="A2992" t="s">
        <v>13</v>
      </c>
      <c r="B2992">
        <v>3211902</v>
      </c>
      <c r="C2992">
        <v>3212513</v>
      </c>
      <c r="E2992" t="s">
        <v>38</v>
      </c>
      <c r="F2992" t="s">
        <v>8179</v>
      </c>
      <c r="H2992">
        <v>1020951</v>
      </c>
      <c r="I2992" t="s">
        <v>17</v>
      </c>
      <c r="K2992" t="s">
        <v>8182</v>
      </c>
      <c r="L2992">
        <v>203</v>
      </c>
      <c r="M2992" t="s">
        <v>8183</v>
      </c>
    </row>
    <row r="2993" spans="1:13">
      <c r="A2993" t="s">
        <v>13</v>
      </c>
      <c r="B2993">
        <v>3212637</v>
      </c>
      <c r="C2993">
        <v>3213935</v>
      </c>
      <c r="E2993" t="s">
        <v>14</v>
      </c>
      <c r="F2993" t="s">
        <v>7246</v>
      </c>
      <c r="H2993">
        <v>1020952</v>
      </c>
      <c r="I2993" t="s">
        <v>17</v>
      </c>
      <c r="K2993" t="s">
        <v>8184</v>
      </c>
      <c r="L2993">
        <v>432</v>
      </c>
      <c r="M2993" t="s">
        <v>8185</v>
      </c>
    </row>
    <row r="2994" spans="1:13">
      <c r="A2994" t="s">
        <v>13</v>
      </c>
      <c r="B2994">
        <v>3213932</v>
      </c>
      <c r="C2994">
        <v>3215164</v>
      </c>
      <c r="E2994" t="s">
        <v>38</v>
      </c>
      <c r="F2994" t="s">
        <v>8186</v>
      </c>
      <c r="H2994">
        <v>1020953</v>
      </c>
      <c r="I2994" t="s">
        <v>17</v>
      </c>
      <c r="K2994" t="s">
        <v>8187</v>
      </c>
      <c r="L2994">
        <v>410</v>
      </c>
      <c r="M2994" t="s">
        <v>8188</v>
      </c>
    </row>
    <row r="2995" spans="1:13">
      <c r="A2995" t="s">
        <v>13</v>
      </c>
      <c r="B2995">
        <v>3215255</v>
      </c>
      <c r="C2995">
        <v>3216760</v>
      </c>
      <c r="E2995" t="s">
        <v>38</v>
      </c>
      <c r="F2995" t="s">
        <v>2924</v>
      </c>
      <c r="H2995">
        <v>1020954</v>
      </c>
      <c r="I2995" t="s">
        <v>17</v>
      </c>
      <c r="K2995" t="s">
        <v>8189</v>
      </c>
      <c r="L2995">
        <v>501</v>
      </c>
      <c r="M2995" t="s">
        <v>8190</v>
      </c>
    </row>
    <row r="2996" spans="1:13">
      <c r="A2996" t="s">
        <v>13</v>
      </c>
      <c r="B2996">
        <v>3216884</v>
      </c>
      <c r="C2996">
        <v>3217123</v>
      </c>
      <c r="E2996" t="s">
        <v>38</v>
      </c>
      <c r="F2996" t="s">
        <v>3010</v>
      </c>
      <c r="H2996">
        <v>1020955</v>
      </c>
      <c r="I2996" t="s">
        <v>17</v>
      </c>
      <c r="K2996" t="s">
        <v>8191</v>
      </c>
      <c r="L2996">
        <v>79</v>
      </c>
      <c r="M2996" t="s">
        <v>8192</v>
      </c>
    </row>
    <row r="2997" spans="1:13">
      <c r="A2997" t="s">
        <v>13</v>
      </c>
      <c r="B2997">
        <v>3217455</v>
      </c>
      <c r="C2997">
        <v>3217778</v>
      </c>
      <c r="E2997" t="s">
        <v>38</v>
      </c>
      <c r="F2997" t="s">
        <v>49</v>
      </c>
      <c r="H2997">
        <v>1020956</v>
      </c>
      <c r="I2997" t="s">
        <v>17</v>
      </c>
      <c r="K2997" t="s">
        <v>8193</v>
      </c>
      <c r="L2997">
        <v>107</v>
      </c>
      <c r="M2997" t="s">
        <v>8194</v>
      </c>
    </row>
    <row r="2998" spans="1:13">
      <c r="A2998" t="s">
        <v>13</v>
      </c>
      <c r="B2998">
        <v>3217994</v>
      </c>
      <c r="C2998">
        <v>3218605</v>
      </c>
      <c r="E2998" t="s">
        <v>14</v>
      </c>
      <c r="F2998" t="s">
        <v>8195</v>
      </c>
      <c r="H2998">
        <v>1020957</v>
      </c>
      <c r="I2998" t="s">
        <v>17</v>
      </c>
      <c r="K2998" t="s">
        <v>8196</v>
      </c>
      <c r="L2998">
        <v>203</v>
      </c>
      <c r="M2998" t="s">
        <v>8197</v>
      </c>
    </row>
    <row r="2999" spans="1:13">
      <c r="A2999" t="s">
        <v>13</v>
      </c>
      <c r="B2999">
        <v>3218778</v>
      </c>
      <c r="C2999">
        <v>3219704</v>
      </c>
      <c r="E2999" t="s">
        <v>14</v>
      </c>
      <c r="F2999" t="s">
        <v>49</v>
      </c>
      <c r="H2999">
        <v>1020958</v>
      </c>
      <c r="I2999" t="s">
        <v>17</v>
      </c>
      <c r="K2999" t="s">
        <v>8198</v>
      </c>
      <c r="L2999">
        <v>308</v>
      </c>
      <c r="M2999" t="s">
        <v>8199</v>
      </c>
    </row>
    <row r="3000" spans="1:13">
      <c r="A3000" t="s">
        <v>13</v>
      </c>
      <c r="B3000">
        <v>3219776</v>
      </c>
      <c r="C3000">
        <v>3222634</v>
      </c>
      <c r="E3000" t="s">
        <v>38</v>
      </c>
      <c r="F3000" t="s">
        <v>8200</v>
      </c>
      <c r="G3000" t="s">
        <v>8201</v>
      </c>
      <c r="H3000">
        <v>1020959</v>
      </c>
      <c r="I3000" t="s">
        <v>17</v>
      </c>
      <c r="K3000" t="s">
        <v>8202</v>
      </c>
      <c r="L3000">
        <v>952</v>
      </c>
      <c r="M3000" t="s">
        <v>8203</v>
      </c>
    </row>
    <row r="3001" spans="1:13">
      <c r="A3001" t="s">
        <v>13</v>
      </c>
      <c r="B3001">
        <v>3222723</v>
      </c>
      <c r="C3001">
        <v>3223154</v>
      </c>
      <c r="E3001" t="s">
        <v>14</v>
      </c>
      <c r="F3001" t="s">
        <v>8204</v>
      </c>
      <c r="H3001">
        <v>1020960</v>
      </c>
      <c r="I3001" t="s">
        <v>17</v>
      </c>
      <c r="K3001" t="s">
        <v>8205</v>
      </c>
      <c r="L3001">
        <v>143</v>
      </c>
      <c r="M3001" t="s">
        <v>8206</v>
      </c>
    </row>
    <row r="3002" spans="1:13">
      <c r="A3002" t="s">
        <v>13</v>
      </c>
      <c r="B3002">
        <v>3223087</v>
      </c>
      <c r="C3002">
        <v>3223452</v>
      </c>
      <c r="E3002" t="s">
        <v>38</v>
      </c>
      <c r="F3002" t="s">
        <v>2961</v>
      </c>
      <c r="H3002">
        <v>1020961</v>
      </c>
      <c r="I3002" t="s">
        <v>17</v>
      </c>
      <c r="K3002" t="s">
        <v>8207</v>
      </c>
      <c r="L3002">
        <v>121</v>
      </c>
      <c r="M3002" t="s">
        <v>8208</v>
      </c>
    </row>
    <row r="3003" spans="1:13">
      <c r="A3003" t="s">
        <v>13</v>
      </c>
      <c r="B3003">
        <v>3223990</v>
      </c>
      <c r="C3003">
        <v>3224715</v>
      </c>
      <c r="E3003" t="s">
        <v>38</v>
      </c>
      <c r="F3003" t="s">
        <v>8209</v>
      </c>
      <c r="G3003" t="s">
        <v>8210</v>
      </c>
      <c r="H3003">
        <v>1020962</v>
      </c>
      <c r="I3003" t="s">
        <v>17</v>
      </c>
      <c r="K3003" t="s">
        <v>8211</v>
      </c>
      <c r="L3003">
        <v>241</v>
      </c>
      <c r="M3003" t="s">
        <v>8212</v>
      </c>
    </row>
    <row r="3004" spans="1:13">
      <c r="A3004" t="s">
        <v>13</v>
      </c>
      <c r="B3004">
        <v>3224716</v>
      </c>
      <c r="C3004">
        <v>3225555</v>
      </c>
      <c r="E3004" t="s">
        <v>38</v>
      </c>
      <c r="F3004" t="s">
        <v>3658</v>
      </c>
      <c r="H3004">
        <v>1020963</v>
      </c>
      <c r="I3004" t="s">
        <v>17</v>
      </c>
      <c r="K3004" t="s">
        <v>8213</v>
      </c>
      <c r="L3004">
        <v>279</v>
      </c>
      <c r="M3004" t="s">
        <v>8214</v>
      </c>
    </row>
    <row r="3005" spans="1:13">
      <c r="A3005" t="s">
        <v>13</v>
      </c>
      <c r="B3005">
        <v>3225561</v>
      </c>
      <c r="C3005">
        <v>3226688</v>
      </c>
      <c r="E3005" t="s">
        <v>38</v>
      </c>
      <c r="F3005" t="s">
        <v>2600</v>
      </c>
      <c r="H3005">
        <v>1020964</v>
      </c>
      <c r="I3005" t="s">
        <v>17</v>
      </c>
      <c r="K3005" t="s">
        <v>8215</v>
      </c>
      <c r="L3005">
        <v>375</v>
      </c>
      <c r="M3005" t="s">
        <v>8216</v>
      </c>
    </row>
    <row r="3006" spans="1:13">
      <c r="A3006" t="s">
        <v>13</v>
      </c>
      <c r="B3006">
        <v>3226908</v>
      </c>
      <c r="C3006">
        <v>3227684</v>
      </c>
      <c r="E3006" t="s">
        <v>38</v>
      </c>
      <c r="F3006" t="s">
        <v>1618</v>
      </c>
      <c r="H3006">
        <v>1020965</v>
      </c>
      <c r="I3006" t="s">
        <v>17</v>
      </c>
      <c r="K3006" t="s">
        <v>8217</v>
      </c>
      <c r="L3006">
        <v>258</v>
      </c>
      <c r="M3006" t="s">
        <v>8218</v>
      </c>
    </row>
    <row r="3007" spans="1:13">
      <c r="A3007" t="s">
        <v>13</v>
      </c>
      <c r="B3007">
        <v>3227749</v>
      </c>
      <c r="C3007">
        <v>3229083</v>
      </c>
      <c r="E3007" t="s">
        <v>14</v>
      </c>
      <c r="F3007" t="s">
        <v>265</v>
      </c>
      <c r="H3007">
        <v>1020966</v>
      </c>
      <c r="I3007" t="s">
        <v>17</v>
      </c>
      <c r="K3007" t="s">
        <v>8219</v>
      </c>
      <c r="L3007">
        <v>444</v>
      </c>
      <c r="M3007" t="s">
        <v>8220</v>
      </c>
    </row>
    <row r="3008" spans="1:13">
      <c r="A3008" t="s">
        <v>13</v>
      </c>
      <c r="B3008">
        <v>3229120</v>
      </c>
      <c r="C3008">
        <v>3230448</v>
      </c>
      <c r="E3008" t="s">
        <v>14</v>
      </c>
      <c r="F3008" t="s">
        <v>8221</v>
      </c>
      <c r="H3008">
        <v>1020967</v>
      </c>
      <c r="I3008" t="s">
        <v>17</v>
      </c>
      <c r="K3008" t="s">
        <v>8222</v>
      </c>
      <c r="L3008">
        <v>442</v>
      </c>
      <c r="M3008" t="s">
        <v>8223</v>
      </c>
    </row>
    <row r="3009" spans="1:13">
      <c r="A3009" t="s">
        <v>13</v>
      </c>
      <c r="B3009">
        <v>3231052</v>
      </c>
      <c r="C3009">
        <v>3232290</v>
      </c>
      <c r="E3009" t="s">
        <v>38</v>
      </c>
      <c r="F3009" t="s">
        <v>7005</v>
      </c>
      <c r="H3009">
        <v>1020968</v>
      </c>
      <c r="I3009" t="s">
        <v>17</v>
      </c>
      <c r="K3009" t="s">
        <v>8224</v>
      </c>
      <c r="L3009">
        <v>412</v>
      </c>
      <c r="M3009" t="s">
        <v>8225</v>
      </c>
    </row>
    <row r="3010" spans="1:13">
      <c r="A3010" t="s">
        <v>13</v>
      </c>
      <c r="B3010">
        <v>3232597</v>
      </c>
      <c r="C3010">
        <v>3233109</v>
      </c>
      <c r="E3010" t="s">
        <v>14</v>
      </c>
      <c r="F3010" t="s">
        <v>2283</v>
      </c>
      <c r="H3010">
        <v>1020969</v>
      </c>
      <c r="I3010" t="s">
        <v>17</v>
      </c>
      <c r="K3010" t="s">
        <v>8226</v>
      </c>
      <c r="L3010">
        <v>170</v>
      </c>
      <c r="M3010" t="s">
        <v>8227</v>
      </c>
    </row>
    <row r="3011" spans="1:13">
      <c r="A3011" t="s">
        <v>13</v>
      </c>
      <c r="B3011">
        <v>3233152</v>
      </c>
      <c r="C3011">
        <v>3233205</v>
      </c>
      <c r="E3011" t="s">
        <v>14</v>
      </c>
      <c r="F3011" t="s">
        <v>8228</v>
      </c>
      <c r="G3011" t="s">
        <v>8229</v>
      </c>
      <c r="H3011">
        <v>92792280</v>
      </c>
      <c r="I3011" t="s">
        <v>17</v>
      </c>
      <c r="K3011" t="s">
        <v>8230</v>
      </c>
      <c r="L3011">
        <v>17</v>
      </c>
      <c r="M3011" t="s">
        <v>8231</v>
      </c>
    </row>
    <row r="3012" spans="1:13">
      <c r="A3012" t="s">
        <v>13</v>
      </c>
      <c r="B3012">
        <v>3233404</v>
      </c>
      <c r="C3012">
        <v>3234960</v>
      </c>
      <c r="E3012" t="s">
        <v>14</v>
      </c>
      <c r="F3012" t="s">
        <v>8232</v>
      </c>
      <c r="H3012">
        <v>1020972</v>
      </c>
      <c r="I3012" t="s">
        <v>17</v>
      </c>
      <c r="K3012" t="s">
        <v>8233</v>
      </c>
      <c r="L3012">
        <v>518</v>
      </c>
      <c r="M3012" t="s">
        <v>8234</v>
      </c>
    </row>
    <row r="3013" spans="1:13">
      <c r="A3013" t="s">
        <v>13</v>
      </c>
      <c r="B3013">
        <v>3234957</v>
      </c>
      <c r="C3013">
        <v>3235583</v>
      </c>
      <c r="E3013" t="s">
        <v>14</v>
      </c>
      <c r="F3013" t="s">
        <v>8235</v>
      </c>
      <c r="H3013">
        <v>1020973</v>
      </c>
      <c r="I3013" t="s">
        <v>17</v>
      </c>
      <c r="K3013" t="s">
        <v>8236</v>
      </c>
      <c r="L3013">
        <v>208</v>
      </c>
      <c r="M3013" t="s">
        <v>8237</v>
      </c>
    </row>
    <row r="3014" spans="1:13">
      <c r="A3014" t="s">
        <v>13</v>
      </c>
      <c r="B3014">
        <v>3235603</v>
      </c>
      <c r="C3014">
        <v>3236649</v>
      </c>
      <c r="E3014" t="s">
        <v>14</v>
      </c>
      <c r="F3014" t="s">
        <v>8238</v>
      </c>
      <c r="G3014" t="s">
        <v>8239</v>
      </c>
      <c r="H3014">
        <v>1020974</v>
      </c>
      <c r="I3014" t="s">
        <v>17</v>
      </c>
      <c r="K3014" t="s">
        <v>8240</v>
      </c>
      <c r="L3014">
        <v>348</v>
      </c>
      <c r="M3014" t="s">
        <v>8241</v>
      </c>
    </row>
    <row r="3015" spans="1:13">
      <c r="A3015" t="s">
        <v>13</v>
      </c>
      <c r="B3015">
        <v>3236642</v>
      </c>
      <c r="C3015">
        <v>3238066</v>
      </c>
      <c r="E3015" t="s">
        <v>14</v>
      </c>
      <c r="F3015" t="s">
        <v>8242</v>
      </c>
      <c r="G3015" t="s">
        <v>8243</v>
      </c>
      <c r="H3015">
        <v>1020975</v>
      </c>
      <c r="I3015" t="s">
        <v>17</v>
      </c>
      <c r="K3015" t="s">
        <v>8244</v>
      </c>
      <c r="L3015">
        <v>474</v>
      </c>
      <c r="M3015" t="s">
        <v>8245</v>
      </c>
    </row>
    <row r="3016" spans="1:13">
      <c r="A3016" t="s">
        <v>13</v>
      </c>
      <c r="B3016">
        <v>3238083</v>
      </c>
      <c r="C3016">
        <v>3239336</v>
      </c>
      <c r="E3016" t="s">
        <v>14</v>
      </c>
      <c r="F3016" t="s">
        <v>8246</v>
      </c>
      <c r="G3016" t="s">
        <v>8247</v>
      </c>
      <c r="H3016">
        <v>1020976</v>
      </c>
      <c r="I3016" t="s">
        <v>17</v>
      </c>
      <c r="K3016" t="s">
        <v>8248</v>
      </c>
      <c r="L3016">
        <v>417</v>
      </c>
      <c r="M3016" t="s">
        <v>8249</v>
      </c>
    </row>
    <row r="3017" spans="1:13">
      <c r="A3017" t="s">
        <v>13</v>
      </c>
      <c r="B3017">
        <v>3239333</v>
      </c>
      <c r="C3017">
        <v>3240175</v>
      </c>
      <c r="E3017" t="s">
        <v>14</v>
      </c>
      <c r="F3017" t="s">
        <v>8250</v>
      </c>
      <c r="G3017" t="s">
        <v>8251</v>
      </c>
      <c r="H3017">
        <v>1020978</v>
      </c>
      <c r="I3017" t="s">
        <v>17</v>
      </c>
      <c r="K3017" t="s">
        <v>8252</v>
      </c>
      <c r="L3017">
        <v>280</v>
      </c>
      <c r="M3017" t="s">
        <v>8253</v>
      </c>
    </row>
    <row r="3018" spans="1:13">
      <c r="A3018" t="s">
        <v>13</v>
      </c>
      <c r="B3018">
        <v>3240311</v>
      </c>
      <c r="C3018">
        <v>3241852</v>
      </c>
      <c r="E3018" t="s">
        <v>38</v>
      </c>
      <c r="F3018" t="s">
        <v>8254</v>
      </c>
      <c r="H3018">
        <v>1020979</v>
      </c>
      <c r="I3018" t="s">
        <v>17</v>
      </c>
      <c r="K3018" t="s">
        <v>8255</v>
      </c>
      <c r="L3018">
        <v>513</v>
      </c>
      <c r="M3018" t="s">
        <v>8256</v>
      </c>
    </row>
    <row r="3019" spans="1:13">
      <c r="A3019" t="s">
        <v>13</v>
      </c>
      <c r="B3019">
        <v>3241877</v>
      </c>
      <c r="C3019">
        <v>3242689</v>
      </c>
      <c r="E3019" t="s">
        <v>38</v>
      </c>
      <c r="F3019" t="s">
        <v>8257</v>
      </c>
      <c r="H3019">
        <v>1020980</v>
      </c>
      <c r="I3019" t="s">
        <v>17</v>
      </c>
      <c r="K3019" t="s">
        <v>8258</v>
      </c>
      <c r="L3019">
        <v>270</v>
      </c>
      <c r="M3019" t="s">
        <v>8259</v>
      </c>
    </row>
    <row r="3020" spans="1:13">
      <c r="A3020" t="s">
        <v>13</v>
      </c>
      <c r="B3020">
        <v>3242855</v>
      </c>
      <c r="C3020">
        <v>3243763</v>
      </c>
      <c r="E3020" t="s">
        <v>14</v>
      </c>
      <c r="F3020" t="s">
        <v>147</v>
      </c>
      <c r="H3020">
        <v>1020981</v>
      </c>
      <c r="I3020" t="s">
        <v>17</v>
      </c>
      <c r="K3020" t="s">
        <v>8260</v>
      </c>
      <c r="L3020">
        <v>302</v>
      </c>
      <c r="M3020" t="s">
        <v>8261</v>
      </c>
    </row>
    <row r="3021" spans="1:13">
      <c r="A3021" t="s">
        <v>13</v>
      </c>
      <c r="B3021">
        <v>3243760</v>
      </c>
      <c r="C3021">
        <v>3245346</v>
      </c>
      <c r="E3021" t="s">
        <v>14</v>
      </c>
      <c r="F3021" t="s">
        <v>124</v>
      </c>
      <c r="H3021">
        <v>1020982</v>
      </c>
      <c r="I3021" t="s">
        <v>17</v>
      </c>
      <c r="K3021" t="s">
        <v>8262</v>
      </c>
      <c r="L3021">
        <v>528</v>
      </c>
      <c r="M3021" t="s">
        <v>8263</v>
      </c>
    </row>
    <row r="3022" spans="1:13">
      <c r="A3022" t="s">
        <v>13</v>
      </c>
      <c r="B3022">
        <v>3245420</v>
      </c>
      <c r="C3022">
        <v>3245770</v>
      </c>
      <c r="E3022" t="s">
        <v>14</v>
      </c>
      <c r="F3022" t="s">
        <v>8264</v>
      </c>
      <c r="H3022">
        <v>1020983</v>
      </c>
      <c r="I3022" t="s">
        <v>17</v>
      </c>
      <c r="K3022" t="s">
        <v>8265</v>
      </c>
      <c r="L3022">
        <v>116</v>
      </c>
      <c r="M3022" t="s">
        <v>8266</v>
      </c>
    </row>
    <row r="3023" spans="1:13">
      <c r="A3023" t="s">
        <v>13</v>
      </c>
      <c r="B3023">
        <v>3245820</v>
      </c>
      <c r="C3023">
        <v>3246932</v>
      </c>
      <c r="E3023" t="s">
        <v>38</v>
      </c>
      <c r="F3023" t="s">
        <v>8267</v>
      </c>
      <c r="H3023">
        <v>1020985</v>
      </c>
      <c r="I3023" t="s">
        <v>17</v>
      </c>
      <c r="K3023" t="s">
        <v>8268</v>
      </c>
      <c r="L3023">
        <v>370</v>
      </c>
      <c r="M3023" t="s">
        <v>8269</v>
      </c>
    </row>
    <row r="3024" spans="1:13">
      <c r="A3024" t="s">
        <v>13</v>
      </c>
      <c r="B3024">
        <v>3247235</v>
      </c>
      <c r="C3024">
        <v>3248209</v>
      </c>
      <c r="E3024" t="s">
        <v>14</v>
      </c>
      <c r="F3024" t="s">
        <v>3573</v>
      </c>
      <c r="H3024">
        <v>1020986</v>
      </c>
      <c r="I3024" t="s">
        <v>17</v>
      </c>
      <c r="K3024" t="s">
        <v>8270</v>
      </c>
      <c r="L3024">
        <v>324</v>
      </c>
      <c r="M3024" t="s">
        <v>8271</v>
      </c>
    </row>
    <row r="3025" spans="1:13">
      <c r="A3025" t="s">
        <v>13</v>
      </c>
      <c r="B3025">
        <v>3248393</v>
      </c>
      <c r="C3025">
        <v>3249169</v>
      </c>
      <c r="E3025" t="s">
        <v>14</v>
      </c>
      <c r="F3025" t="s">
        <v>8272</v>
      </c>
      <c r="H3025">
        <v>1020987</v>
      </c>
      <c r="I3025" t="s">
        <v>17</v>
      </c>
      <c r="K3025" t="s">
        <v>8273</v>
      </c>
      <c r="L3025">
        <v>258</v>
      </c>
      <c r="M3025" t="s">
        <v>8274</v>
      </c>
    </row>
    <row r="3026" spans="1:13">
      <c r="A3026" t="s">
        <v>13</v>
      </c>
      <c r="B3026">
        <v>3249185</v>
      </c>
      <c r="C3026">
        <v>3249523</v>
      </c>
      <c r="E3026" t="s">
        <v>38</v>
      </c>
      <c r="F3026" t="s">
        <v>801</v>
      </c>
      <c r="H3026">
        <v>1020988</v>
      </c>
      <c r="I3026" t="s">
        <v>17</v>
      </c>
      <c r="K3026" t="s">
        <v>8275</v>
      </c>
      <c r="L3026">
        <v>112</v>
      </c>
      <c r="M3026" t="s">
        <v>8276</v>
      </c>
    </row>
    <row r="3027" spans="1:13">
      <c r="A3027" t="s">
        <v>13</v>
      </c>
      <c r="B3027">
        <v>3249625</v>
      </c>
      <c r="C3027">
        <v>3250746</v>
      </c>
      <c r="E3027" t="s">
        <v>14</v>
      </c>
      <c r="F3027" t="s">
        <v>8267</v>
      </c>
      <c r="H3027">
        <v>1020989</v>
      </c>
      <c r="I3027" t="s">
        <v>17</v>
      </c>
      <c r="K3027" t="s">
        <v>8277</v>
      </c>
      <c r="L3027">
        <v>373</v>
      </c>
      <c r="M3027" t="s">
        <v>8278</v>
      </c>
    </row>
    <row r="3028" spans="1:13">
      <c r="A3028" t="s">
        <v>13</v>
      </c>
      <c r="B3028">
        <v>3250759</v>
      </c>
      <c r="C3028">
        <v>3251409</v>
      </c>
      <c r="E3028" t="s">
        <v>14</v>
      </c>
      <c r="F3028" t="s">
        <v>4349</v>
      </c>
      <c r="H3028">
        <v>1020990</v>
      </c>
      <c r="I3028" t="s">
        <v>17</v>
      </c>
      <c r="K3028" t="s">
        <v>8279</v>
      </c>
      <c r="L3028">
        <v>216</v>
      </c>
      <c r="M3028" t="s">
        <v>8280</v>
      </c>
    </row>
    <row r="3029" spans="1:13">
      <c r="A3029" t="s">
        <v>13</v>
      </c>
      <c r="B3029">
        <v>3251464</v>
      </c>
      <c r="C3029">
        <v>3251619</v>
      </c>
      <c r="E3029" t="s">
        <v>38</v>
      </c>
      <c r="F3029" t="s">
        <v>8281</v>
      </c>
      <c r="G3029" t="s">
        <v>8282</v>
      </c>
      <c r="H3029">
        <v>44156743</v>
      </c>
      <c r="I3029" t="s">
        <v>17</v>
      </c>
      <c r="K3029" t="s">
        <v>8283</v>
      </c>
      <c r="L3029">
        <v>51</v>
      </c>
      <c r="M3029" t="s">
        <v>8284</v>
      </c>
    </row>
    <row r="3030" spans="1:13">
      <c r="A3030" t="s">
        <v>13</v>
      </c>
      <c r="B3030">
        <v>3251741</v>
      </c>
      <c r="C3030">
        <v>3251899</v>
      </c>
      <c r="E3030" t="s">
        <v>38</v>
      </c>
      <c r="F3030" t="s">
        <v>8285</v>
      </c>
      <c r="G3030" t="s">
        <v>8286</v>
      </c>
      <c r="H3030">
        <v>44156744</v>
      </c>
      <c r="I3030" t="s">
        <v>17</v>
      </c>
      <c r="K3030" t="s">
        <v>8287</v>
      </c>
      <c r="L3030">
        <v>52</v>
      </c>
      <c r="M3030" t="s">
        <v>8288</v>
      </c>
    </row>
    <row r="3031" spans="1:13">
      <c r="A3031" t="s">
        <v>13</v>
      </c>
      <c r="B3031">
        <v>3252131</v>
      </c>
      <c r="C3031">
        <v>3252301</v>
      </c>
      <c r="E3031" t="s">
        <v>38</v>
      </c>
      <c r="F3031" t="s">
        <v>8289</v>
      </c>
      <c r="G3031" t="s">
        <v>8290</v>
      </c>
      <c r="H3031">
        <v>44156745</v>
      </c>
      <c r="I3031" t="s">
        <v>17</v>
      </c>
      <c r="K3031" t="s">
        <v>8291</v>
      </c>
      <c r="L3031">
        <v>56</v>
      </c>
      <c r="M3031" t="s">
        <v>8292</v>
      </c>
    </row>
    <row r="3032" spans="1:13">
      <c r="A3032" t="s">
        <v>13</v>
      </c>
      <c r="B3032">
        <v>3252729</v>
      </c>
      <c r="C3032">
        <v>3253484</v>
      </c>
      <c r="E3032" t="s">
        <v>14</v>
      </c>
      <c r="F3032" t="s">
        <v>1841</v>
      </c>
      <c r="H3032">
        <v>1020994</v>
      </c>
      <c r="I3032" t="s">
        <v>17</v>
      </c>
      <c r="K3032" t="s">
        <v>8293</v>
      </c>
      <c r="L3032">
        <v>251</v>
      </c>
      <c r="M3032" t="s">
        <v>8294</v>
      </c>
    </row>
    <row r="3033" spans="1:13">
      <c r="A3033" t="s">
        <v>13</v>
      </c>
      <c r="B3033">
        <v>3253561</v>
      </c>
      <c r="C3033">
        <v>3253743</v>
      </c>
      <c r="E3033" t="s">
        <v>14</v>
      </c>
      <c r="F3033" t="s">
        <v>4201</v>
      </c>
      <c r="G3033" t="s">
        <v>4202</v>
      </c>
      <c r="H3033">
        <v>1020996</v>
      </c>
      <c r="I3033" t="s">
        <v>17</v>
      </c>
      <c r="K3033" t="s">
        <v>8295</v>
      </c>
      <c r="L3033">
        <v>60</v>
      </c>
      <c r="M3033" t="s">
        <v>8296</v>
      </c>
    </row>
    <row r="3034" spans="1:13">
      <c r="A3034" t="s">
        <v>13</v>
      </c>
      <c r="B3034">
        <v>3253822</v>
      </c>
      <c r="C3034">
        <v>3255348</v>
      </c>
      <c r="E3034" t="s">
        <v>38</v>
      </c>
      <c r="F3034" t="s">
        <v>7170</v>
      </c>
      <c r="H3034">
        <v>1020997</v>
      </c>
      <c r="I3034" t="s">
        <v>17</v>
      </c>
      <c r="K3034" t="s">
        <v>8297</v>
      </c>
      <c r="L3034">
        <v>508</v>
      </c>
      <c r="M3034" t="s">
        <v>8298</v>
      </c>
    </row>
    <row r="3035" spans="1:13">
      <c r="A3035" t="s">
        <v>13</v>
      </c>
      <c r="B3035">
        <v>3255742</v>
      </c>
      <c r="C3035">
        <v>3256299</v>
      </c>
      <c r="E3035" t="s">
        <v>38</v>
      </c>
      <c r="F3035" t="s">
        <v>1126</v>
      </c>
      <c r="H3035">
        <v>1020998</v>
      </c>
      <c r="I3035" t="s">
        <v>17</v>
      </c>
      <c r="K3035" t="s">
        <v>8299</v>
      </c>
      <c r="L3035">
        <v>185</v>
      </c>
      <c r="M3035" t="s">
        <v>8300</v>
      </c>
    </row>
    <row r="3036" spans="1:13">
      <c r="A3036" t="s">
        <v>13</v>
      </c>
      <c r="B3036">
        <v>3256469</v>
      </c>
      <c r="C3036">
        <v>3257374</v>
      </c>
      <c r="E3036" t="s">
        <v>38</v>
      </c>
      <c r="F3036" t="s">
        <v>8301</v>
      </c>
      <c r="H3036">
        <v>1020999</v>
      </c>
      <c r="I3036" t="s">
        <v>17</v>
      </c>
      <c r="K3036" t="s">
        <v>8302</v>
      </c>
      <c r="L3036">
        <v>301</v>
      </c>
      <c r="M3036" t="s">
        <v>8303</v>
      </c>
    </row>
    <row r="3037" spans="1:13">
      <c r="A3037" t="s">
        <v>13</v>
      </c>
      <c r="B3037">
        <v>3257401</v>
      </c>
      <c r="C3037">
        <v>3258492</v>
      </c>
      <c r="E3037" t="s">
        <v>38</v>
      </c>
      <c r="F3037" t="s">
        <v>3300</v>
      </c>
      <c r="H3037">
        <v>1021000</v>
      </c>
      <c r="I3037" t="s">
        <v>17</v>
      </c>
      <c r="K3037" t="s">
        <v>8304</v>
      </c>
      <c r="L3037">
        <v>363</v>
      </c>
      <c r="M3037" t="s">
        <v>8305</v>
      </c>
    </row>
    <row r="3038" spans="1:13">
      <c r="A3038" t="s">
        <v>13</v>
      </c>
      <c r="B3038">
        <v>3258559</v>
      </c>
      <c r="C3038">
        <v>3260085</v>
      </c>
      <c r="E3038" t="s">
        <v>38</v>
      </c>
      <c r="F3038" t="s">
        <v>556</v>
      </c>
      <c r="H3038">
        <v>1021001</v>
      </c>
      <c r="I3038" t="s">
        <v>17</v>
      </c>
      <c r="K3038" t="s">
        <v>8306</v>
      </c>
      <c r="L3038">
        <v>508</v>
      </c>
      <c r="M3038" t="s">
        <v>8307</v>
      </c>
    </row>
    <row r="3039" spans="1:13">
      <c r="A3039" t="s">
        <v>13</v>
      </c>
      <c r="B3039">
        <v>3260509</v>
      </c>
      <c r="C3039">
        <v>3261993</v>
      </c>
      <c r="E3039" t="s">
        <v>14</v>
      </c>
      <c r="F3039" t="s">
        <v>1618</v>
      </c>
      <c r="H3039">
        <v>1021002</v>
      </c>
      <c r="I3039" t="s">
        <v>17</v>
      </c>
      <c r="K3039" t="s">
        <v>8308</v>
      </c>
      <c r="L3039">
        <v>494</v>
      </c>
      <c r="M3039" t="s">
        <v>8309</v>
      </c>
    </row>
    <row r="3040" spans="1:13">
      <c r="A3040" t="s">
        <v>13</v>
      </c>
      <c r="B3040">
        <v>3262146</v>
      </c>
      <c r="C3040">
        <v>3263225</v>
      </c>
      <c r="E3040" t="s">
        <v>14</v>
      </c>
      <c r="F3040" t="s">
        <v>517</v>
      </c>
      <c r="H3040">
        <v>1021003</v>
      </c>
      <c r="I3040" t="s">
        <v>17</v>
      </c>
      <c r="K3040" t="s">
        <v>8310</v>
      </c>
      <c r="L3040">
        <v>359</v>
      </c>
      <c r="M3040" t="s">
        <v>8311</v>
      </c>
    </row>
    <row r="3041" spans="1:13">
      <c r="A3041" t="s">
        <v>13</v>
      </c>
      <c r="B3041">
        <v>3263238</v>
      </c>
      <c r="C3041">
        <v>3264119</v>
      </c>
      <c r="E3041" t="s">
        <v>14</v>
      </c>
      <c r="F3041" t="s">
        <v>514</v>
      </c>
      <c r="H3041">
        <v>1021004</v>
      </c>
      <c r="I3041" t="s">
        <v>17</v>
      </c>
      <c r="K3041" t="s">
        <v>8312</v>
      </c>
      <c r="L3041">
        <v>293</v>
      </c>
      <c r="M3041" t="s">
        <v>8313</v>
      </c>
    </row>
    <row r="3042" spans="1:13">
      <c r="A3042" t="s">
        <v>13</v>
      </c>
      <c r="B3042">
        <v>3264143</v>
      </c>
      <c r="C3042">
        <v>3265150</v>
      </c>
      <c r="E3042" t="s">
        <v>14</v>
      </c>
      <c r="F3042" t="s">
        <v>8314</v>
      </c>
      <c r="G3042" t="s">
        <v>8315</v>
      </c>
      <c r="H3042">
        <v>1021005</v>
      </c>
      <c r="I3042" t="s">
        <v>17</v>
      </c>
      <c r="K3042" t="s">
        <v>8316</v>
      </c>
      <c r="L3042">
        <v>335</v>
      </c>
      <c r="M3042" t="s">
        <v>8317</v>
      </c>
    </row>
    <row r="3043" spans="1:13">
      <c r="A3043" t="s">
        <v>13</v>
      </c>
      <c r="B3043">
        <v>3265185</v>
      </c>
      <c r="C3043">
        <v>3266270</v>
      </c>
      <c r="E3043" t="s">
        <v>14</v>
      </c>
      <c r="F3043" t="s">
        <v>517</v>
      </c>
      <c r="H3043">
        <v>1021006</v>
      </c>
      <c r="I3043" t="s">
        <v>17</v>
      </c>
      <c r="K3043" t="s">
        <v>8318</v>
      </c>
      <c r="L3043">
        <v>361</v>
      </c>
      <c r="M3043" t="s">
        <v>8319</v>
      </c>
    </row>
    <row r="3044" spans="1:13">
      <c r="A3044" t="s">
        <v>13</v>
      </c>
      <c r="B3044">
        <v>3266712</v>
      </c>
      <c r="C3044">
        <v>3271097</v>
      </c>
      <c r="E3044" t="s">
        <v>14</v>
      </c>
      <c r="F3044" t="s">
        <v>6436</v>
      </c>
      <c r="H3044">
        <v>1021007</v>
      </c>
      <c r="I3044" t="s">
        <v>17</v>
      </c>
      <c r="K3044" t="s">
        <v>8320</v>
      </c>
      <c r="L3044">
        <v>1461</v>
      </c>
      <c r="M3044" t="s">
        <v>8321</v>
      </c>
    </row>
    <row r="3045" spans="1:13">
      <c r="A3045" t="s">
        <v>13</v>
      </c>
      <c r="B3045">
        <v>3271465</v>
      </c>
      <c r="C3045">
        <v>3272481</v>
      </c>
      <c r="E3045" t="s">
        <v>14</v>
      </c>
      <c r="F3045" t="s">
        <v>49</v>
      </c>
      <c r="H3045">
        <v>1021008</v>
      </c>
      <c r="I3045" t="s">
        <v>17</v>
      </c>
      <c r="K3045" t="s">
        <v>8322</v>
      </c>
      <c r="L3045">
        <v>338</v>
      </c>
      <c r="M3045" t="s">
        <v>8323</v>
      </c>
    </row>
    <row r="3046" spans="1:13">
      <c r="A3046" t="s">
        <v>13</v>
      </c>
      <c r="B3046">
        <v>3272561</v>
      </c>
      <c r="C3046">
        <v>3274075</v>
      </c>
      <c r="E3046" t="s">
        <v>38</v>
      </c>
      <c r="F3046" t="s">
        <v>265</v>
      </c>
      <c r="H3046">
        <v>1021009</v>
      </c>
      <c r="I3046" t="s">
        <v>17</v>
      </c>
      <c r="K3046" t="s">
        <v>8324</v>
      </c>
      <c r="L3046">
        <v>504</v>
      </c>
      <c r="M3046" t="s">
        <v>8325</v>
      </c>
    </row>
    <row r="3047" spans="1:13">
      <c r="A3047" t="s">
        <v>13</v>
      </c>
      <c r="B3047">
        <v>3274486</v>
      </c>
      <c r="C3047">
        <v>3275232</v>
      </c>
      <c r="E3047" t="s">
        <v>38</v>
      </c>
      <c r="F3047" t="s">
        <v>8326</v>
      </c>
      <c r="H3047">
        <v>1021010</v>
      </c>
      <c r="I3047" t="s">
        <v>17</v>
      </c>
      <c r="K3047" t="s">
        <v>8327</v>
      </c>
      <c r="L3047">
        <v>248</v>
      </c>
      <c r="M3047" t="s">
        <v>8328</v>
      </c>
    </row>
    <row r="3048" spans="1:13">
      <c r="A3048" t="s">
        <v>13</v>
      </c>
      <c r="B3048">
        <v>3275600</v>
      </c>
      <c r="C3048">
        <v>3276571</v>
      </c>
      <c r="E3048" t="s">
        <v>38</v>
      </c>
      <c r="F3048" t="s">
        <v>3896</v>
      </c>
      <c r="H3048">
        <v>1021011</v>
      </c>
      <c r="I3048" t="s">
        <v>17</v>
      </c>
      <c r="K3048" t="s">
        <v>8329</v>
      </c>
      <c r="L3048">
        <v>323</v>
      </c>
      <c r="M3048" t="s">
        <v>8330</v>
      </c>
    </row>
    <row r="3049" spans="1:13">
      <c r="A3049" t="s">
        <v>13</v>
      </c>
      <c r="B3049">
        <v>3276669</v>
      </c>
      <c r="C3049">
        <v>3281600</v>
      </c>
      <c r="E3049" t="s">
        <v>38</v>
      </c>
      <c r="F3049" t="s">
        <v>930</v>
      </c>
      <c r="H3049">
        <v>1021012</v>
      </c>
      <c r="I3049" t="s">
        <v>17</v>
      </c>
      <c r="K3049" t="s">
        <v>8331</v>
      </c>
      <c r="L3049">
        <v>1643</v>
      </c>
      <c r="M3049" t="s">
        <v>8332</v>
      </c>
    </row>
    <row r="3050" spans="1:13">
      <c r="A3050" t="s">
        <v>13</v>
      </c>
      <c r="B3050">
        <v>3281664</v>
      </c>
      <c r="C3050">
        <v>3282173</v>
      </c>
      <c r="E3050" t="s">
        <v>38</v>
      </c>
      <c r="F3050" t="s">
        <v>8333</v>
      </c>
      <c r="H3050">
        <v>1021013</v>
      </c>
      <c r="I3050" t="s">
        <v>17</v>
      </c>
      <c r="K3050" t="s">
        <v>8334</v>
      </c>
      <c r="L3050">
        <v>169</v>
      </c>
      <c r="M3050" t="s">
        <v>8335</v>
      </c>
    </row>
    <row r="3051" spans="1:13">
      <c r="A3051" t="s">
        <v>13</v>
      </c>
      <c r="B3051">
        <v>3282345</v>
      </c>
      <c r="C3051">
        <v>3282761</v>
      </c>
      <c r="E3051" t="s">
        <v>38</v>
      </c>
      <c r="F3051" t="s">
        <v>141</v>
      </c>
      <c r="H3051">
        <v>1021014</v>
      </c>
      <c r="I3051" t="s">
        <v>142</v>
      </c>
      <c r="M3051" t="s">
        <v>8336</v>
      </c>
    </row>
    <row r="3052" spans="1:13">
      <c r="A3052" t="s">
        <v>13</v>
      </c>
      <c r="B3052">
        <v>3282782</v>
      </c>
      <c r="C3052">
        <v>3283105</v>
      </c>
      <c r="E3052" t="s">
        <v>14</v>
      </c>
      <c r="F3052" t="s">
        <v>471</v>
      </c>
      <c r="H3052">
        <v>92792321</v>
      </c>
      <c r="I3052" t="s">
        <v>17</v>
      </c>
      <c r="K3052" t="s">
        <v>8337</v>
      </c>
      <c r="L3052">
        <v>107</v>
      </c>
      <c r="M3052" t="s">
        <v>8338</v>
      </c>
    </row>
    <row r="3053" spans="1:13">
      <c r="A3053" t="s">
        <v>13</v>
      </c>
      <c r="B3053">
        <v>3283181</v>
      </c>
      <c r="C3053">
        <v>3283387</v>
      </c>
      <c r="E3053" t="s">
        <v>14</v>
      </c>
      <c r="F3053" t="s">
        <v>3340</v>
      </c>
      <c r="H3053">
        <v>1021016</v>
      </c>
      <c r="I3053" t="s">
        <v>17</v>
      </c>
      <c r="K3053" t="s">
        <v>8339</v>
      </c>
      <c r="L3053">
        <v>68</v>
      </c>
      <c r="M3053" t="s">
        <v>8340</v>
      </c>
    </row>
    <row r="3054" spans="1:13">
      <c r="A3054" t="s">
        <v>13</v>
      </c>
      <c r="B3054">
        <v>3283471</v>
      </c>
      <c r="C3054">
        <v>3284283</v>
      </c>
      <c r="E3054" t="s">
        <v>38</v>
      </c>
      <c r="F3054" t="s">
        <v>265</v>
      </c>
      <c r="H3054">
        <v>1021017</v>
      </c>
      <c r="I3054" t="s">
        <v>17</v>
      </c>
      <c r="K3054" t="s">
        <v>8341</v>
      </c>
      <c r="L3054">
        <v>270</v>
      </c>
      <c r="M3054" t="s">
        <v>8342</v>
      </c>
    </row>
    <row r="3055" spans="1:13">
      <c r="A3055" t="s">
        <v>13</v>
      </c>
      <c r="B3055">
        <v>3284397</v>
      </c>
      <c r="C3055">
        <v>3285425</v>
      </c>
      <c r="E3055" t="s">
        <v>38</v>
      </c>
      <c r="F3055" t="s">
        <v>1008</v>
      </c>
      <c r="H3055">
        <v>1021018</v>
      </c>
      <c r="I3055" t="s">
        <v>17</v>
      </c>
      <c r="K3055" t="s">
        <v>8343</v>
      </c>
      <c r="L3055">
        <v>342</v>
      </c>
      <c r="M3055" t="s">
        <v>8344</v>
      </c>
    </row>
    <row r="3056" spans="1:13">
      <c r="A3056" t="s">
        <v>13</v>
      </c>
      <c r="B3056">
        <v>3285603</v>
      </c>
      <c r="C3056">
        <v>3286580</v>
      </c>
      <c r="E3056" t="s">
        <v>14</v>
      </c>
      <c r="F3056" t="s">
        <v>8345</v>
      </c>
      <c r="H3056">
        <v>1021019</v>
      </c>
      <c r="I3056" t="s">
        <v>17</v>
      </c>
      <c r="K3056" t="s">
        <v>8346</v>
      </c>
      <c r="L3056">
        <v>325</v>
      </c>
      <c r="M3056" t="s">
        <v>8347</v>
      </c>
    </row>
    <row r="3057" spans="1:13">
      <c r="A3057" t="s">
        <v>13</v>
      </c>
      <c r="B3057">
        <v>3286623</v>
      </c>
      <c r="C3057">
        <v>3287009</v>
      </c>
      <c r="E3057" t="s">
        <v>14</v>
      </c>
      <c r="F3057" t="s">
        <v>8348</v>
      </c>
      <c r="H3057">
        <v>1021020</v>
      </c>
      <c r="I3057" t="s">
        <v>17</v>
      </c>
      <c r="K3057" t="s">
        <v>8349</v>
      </c>
      <c r="L3057">
        <v>128</v>
      </c>
      <c r="M3057" t="s">
        <v>8350</v>
      </c>
    </row>
    <row r="3058" spans="1:13">
      <c r="A3058" t="s">
        <v>13</v>
      </c>
      <c r="B3058">
        <v>3287077</v>
      </c>
      <c r="C3058">
        <v>3287283</v>
      </c>
      <c r="E3058" t="s">
        <v>38</v>
      </c>
      <c r="F3058" t="s">
        <v>49</v>
      </c>
      <c r="H3058">
        <v>44145022</v>
      </c>
      <c r="I3058" t="s">
        <v>17</v>
      </c>
      <c r="K3058" t="s">
        <v>8351</v>
      </c>
      <c r="L3058">
        <v>68</v>
      </c>
      <c r="M3058" t="s">
        <v>8352</v>
      </c>
    </row>
    <row r="3059" spans="1:13">
      <c r="A3059" t="s">
        <v>13</v>
      </c>
      <c r="B3059">
        <v>3287391</v>
      </c>
      <c r="C3059">
        <v>3288191</v>
      </c>
      <c r="E3059" t="s">
        <v>38</v>
      </c>
      <c r="F3059" t="s">
        <v>4126</v>
      </c>
      <c r="G3059" t="s">
        <v>8353</v>
      </c>
      <c r="H3059">
        <v>1021021</v>
      </c>
      <c r="I3059" t="s">
        <v>17</v>
      </c>
      <c r="K3059" t="s">
        <v>8354</v>
      </c>
      <c r="L3059">
        <v>266</v>
      </c>
      <c r="M3059" t="s">
        <v>8355</v>
      </c>
    </row>
    <row r="3060" spans="1:13">
      <c r="A3060" t="s">
        <v>13</v>
      </c>
      <c r="B3060">
        <v>3288266</v>
      </c>
      <c r="C3060">
        <v>3288613</v>
      </c>
      <c r="E3060" t="s">
        <v>14</v>
      </c>
      <c r="F3060" t="s">
        <v>49</v>
      </c>
      <c r="H3060">
        <v>1021022</v>
      </c>
      <c r="I3060" t="s">
        <v>17</v>
      </c>
      <c r="K3060" t="s">
        <v>8356</v>
      </c>
      <c r="L3060">
        <v>115</v>
      </c>
      <c r="M3060" t="s">
        <v>8357</v>
      </c>
    </row>
    <row r="3061" spans="1:13">
      <c r="A3061" t="s">
        <v>13</v>
      </c>
      <c r="B3061">
        <v>3288686</v>
      </c>
      <c r="C3061">
        <v>3288889</v>
      </c>
      <c r="E3061" t="s">
        <v>14</v>
      </c>
      <c r="F3061" t="s">
        <v>3340</v>
      </c>
      <c r="H3061">
        <v>1021023</v>
      </c>
      <c r="I3061" t="s">
        <v>17</v>
      </c>
      <c r="K3061" t="s">
        <v>8358</v>
      </c>
      <c r="L3061">
        <v>67</v>
      </c>
      <c r="M3061" t="s">
        <v>8359</v>
      </c>
    </row>
    <row r="3062" spans="1:13">
      <c r="A3062" t="s">
        <v>13</v>
      </c>
      <c r="B3062">
        <v>3288969</v>
      </c>
      <c r="C3062">
        <v>3289316</v>
      </c>
      <c r="E3062" t="s">
        <v>38</v>
      </c>
      <c r="F3062" t="s">
        <v>8360</v>
      </c>
      <c r="H3062">
        <v>1021024</v>
      </c>
      <c r="I3062" t="s">
        <v>17</v>
      </c>
      <c r="K3062" t="s">
        <v>8361</v>
      </c>
      <c r="L3062">
        <v>115</v>
      </c>
      <c r="M3062" t="s">
        <v>8362</v>
      </c>
    </row>
    <row r="3063" spans="1:13">
      <c r="A3063" t="s">
        <v>13</v>
      </c>
      <c r="B3063">
        <v>3289309</v>
      </c>
      <c r="C3063">
        <v>3290022</v>
      </c>
      <c r="E3063" t="s">
        <v>38</v>
      </c>
      <c r="F3063" t="s">
        <v>8363</v>
      </c>
      <c r="H3063">
        <v>1021026</v>
      </c>
      <c r="I3063" t="s">
        <v>17</v>
      </c>
      <c r="K3063" t="s">
        <v>8364</v>
      </c>
      <c r="L3063">
        <v>237</v>
      </c>
      <c r="M3063" t="s">
        <v>8365</v>
      </c>
    </row>
    <row r="3064" spans="1:13">
      <c r="A3064" t="s">
        <v>13</v>
      </c>
      <c r="B3064">
        <v>3290023</v>
      </c>
      <c r="C3064">
        <v>3290628</v>
      </c>
      <c r="E3064" t="s">
        <v>38</v>
      </c>
      <c r="F3064" t="s">
        <v>8366</v>
      </c>
      <c r="H3064">
        <v>1021027</v>
      </c>
      <c r="I3064" t="s">
        <v>17</v>
      </c>
      <c r="K3064" t="s">
        <v>8367</v>
      </c>
      <c r="L3064">
        <v>201</v>
      </c>
      <c r="M3064" t="s">
        <v>8368</v>
      </c>
    </row>
    <row r="3065" spans="1:13">
      <c r="A3065" t="s">
        <v>13</v>
      </c>
      <c r="B3065">
        <v>3290621</v>
      </c>
      <c r="C3065">
        <v>3292105</v>
      </c>
      <c r="E3065" t="s">
        <v>38</v>
      </c>
      <c r="F3065" t="s">
        <v>8369</v>
      </c>
      <c r="H3065">
        <v>1021029</v>
      </c>
      <c r="I3065" t="s">
        <v>17</v>
      </c>
      <c r="K3065" t="s">
        <v>8370</v>
      </c>
      <c r="L3065">
        <v>494</v>
      </c>
      <c r="M3065" t="s">
        <v>8371</v>
      </c>
    </row>
    <row r="3066" spans="1:13">
      <c r="A3066" t="s">
        <v>13</v>
      </c>
      <c r="B3066">
        <v>3292533</v>
      </c>
      <c r="C3066">
        <v>3293501</v>
      </c>
      <c r="E3066" t="s">
        <v>14</v>
      </c>
      <c r="F3066" t="s">
        <v>898</v>
      </c>
      <c r="H3066">
        <v>92792281</v>
      </c>
      <c r="I3066" t="s">
        <v>17</v>
      </c>
      <c r="K3066" t="s">
        <v>8372</v>
      </c>
      <c r="L3066">
        <v>322</v>
      </c>
      <c r="M3066" t="s">
        <v>8373</v>
      </c>
    </row>
    <row r="3067" spans="1:13">
      <c r="A3067" t="s">
        <v>13</v>
      </c>
      <c r="B3067">
        <v>3293498</v>
      </c>
      <c r="C3067">
        <v>3296011</v>
      </c>
      <c r="E3067" t="s">
        <v>14</v>
      </c>
      <c r="F3067" t="s">
        <v>49</v>
      </c>
      <c r="H3067">
        <v>1021031</v>
      </c>
      <c r="I3067" t="s">
        <v>17</v>
      </c>
      <c r="K3067" t="s">
        <v>8374</v>
      </c>
      <c r="L3067">
        <v>837</v>
      </c>
      <c r="M3067" t="s">
        <v>8375</v>
      </c>
    </row>
    <row r="3068" spans="1:13">
      <c r="A3068" t="s">
        <v>13</v>
      </c>
      <c r="B3068">
        <v>3296064</v>
      </c>
      <c r="C3068">
        <v>3299408</v>
      </c>
      <c r="E3068" t="s">
        <v>14</v>
      </c>
      <c r="F3068" t="s">
        <v>8376</v>
      </c>
      <c r="H3068">
        <v>1021032</v>
      </c>
      <c r="I3068" t="s">
        <v>17</v>
      </c>
      <c r="K3068" t="s">
        <v>8377</v>
      </c>
      <c r="L3068">
        <v>1114</v>
      </c>
      <c r="M3068" t="s">
        <v>8378</v>
      </c>
    </row>
    <row r="3069" spans="1:13">
      <c r="A3069" t="s">
        <v>13</v>
      </c>
      <c r="B3069">
        <v>3299593</v>
      </c>
      <c r="C3069">
        <v>3300267</v>
      </c>
      <c r="E3069" t="s">
        <v>14</v>
      </c>
      <c r="F3069" t="s">
        <v>1762</v>
      </c>
      <c r="H3069">
        <v>1021033</v>
      </c>
      <c r="I3069" t="s">
        <v>17</v>
      </c>
      <c r="K3069" t="s">
        <v>8379</v>
      </c>
      <c r="L3069">
        <v>224</v>
      </c>
      <c r="M3069" t="s">
        <v>8380</v>
      </c>
    </row>
    <row r="3070" spans="1:13">
      <c r="A3070" t="s">
        <v>13</v>
      </c>
      <c r="B3070">
        <v>3300372</v>
      </c>
      <c r="C3070">
        <v>3301325</v>
      </c>
      <c r="E3070" t="s">
        <v>14</v>
      </c>
      <c r="F3070" t="s">
        <v>8381</v>
      </c>
      <c r="G3070" t="s">
        <v>8382</v>
      </c>
      <c r="H3070">
        <v>1021034</v>
      </c>
      <c r="I3070" t="s">
        <v>17</v>
      </c>
      <c r="K3070" t="s">
        <v>8383</v>
      </c>
      <c r="L3070">
        <v>317</v>
      </c>
      <c r="M3070" t="s">
        <v>8384</v>
      </c>
    </row>
    <row r="3071" spans="1:13">
      <c r="A3071" t="s">
        <v>13</v>
      </c>
      <c r="B3071">
        <v>3301410</v>
      </c>
      <c r="C3071">
        <v>3301733</v>
      </c>
      <c r="E3071" t="s">
        <v>14</v>
      </c>
      <c r="F3071" t="s">
        <v>2000</v>
      </c>
      <c r="G3071" t="s">
        <v>8090</v>
      </c>
      <c r="H3071">
        <v>1021035</v>
      </c>
      <c r="I3071" t="s">
        <v>17</v>
      </c>
      <c r="K3071" t="s">
        <v>8385</v>
      </c>
      <c r="L3071">
        <v>107</v>
      </c>
      <c r="M3071" t="s">
        <v>8386</v>
      </c>
    </row>
    <row r="3072" spans="1:13">
      <c r="A3072" t="s">
        <v>13</v>
      </c>
      <c r="B3072">
        <v>3301810</v>
      </c>
      <c r="C3072">
        <v>3303000</v>
      </c>
      <c r="E3072" t="s">
        <v>14</v>
      </c>
      <c r="F3072" t="s">
        <v>8387</v>
      </c>
      <c r="H3072">
        <v>1021036</v>
      </c>
      <c r="I3072" t="s">
        <v>17</v>
      </c>
      <c r="K3072" t="s">
        <v>8388</v>
      </c>
      <c r="L3072">
        <v>396</v>
      </c>
      <c r="M3072" t="s">
        <v>8389</v>
      </c>
    </row>
    <row r="3073" spans="1:13">
      <c r="A3073" t="s">
        <v>13</v>
      </c>
      <c r="B3073">
        <v>3302997</v>
      </c>
      <c r="C3073">
        <v>3303617</v>
      </c>
      <c r="E3073" t="s">
        <v>38</v>
      </c>
      <c r="F3073" t="s">
        <v>49</v>
      </c>
      <c r="H3073">
        <v>1021037</v>
      </c>
      <c r="I3073" t="s">
        <v>17</v>
      </c>
      <c r="K3073" t="s">
        <v>8390</v>
      </c>
      <c r="L3073">
        <v>206</v>
      </c>
      <c r="M3073" t="s">
        <v>8391</v>
      </c>
    </row>
    <row r="3074" spans="1:13">
      <c r="A3074" t="s">
        <v>13</v>
      </c>
      <c r="B3074">
        <v>3303634</v>
      </c>
      <c r="C3074">
        <v>3304773</v>
      </c>
      <c r="E3074" t="s">
        <v>38</v>
      </c>
      <c r="F3074" t="s">
        <v>8392</v>
      </c>
      <c r="H3074">
        <v>1021038</v>
      </c>
      <c r="I3074" t="s">
        <v>17</v>
      </c>
      <c r="K3074" t="s">
        <v>8393</v>
      </c>
      <c r="L3074">
        <v>379</v>
      </c>
      <c r="M3074" t="s">
        <v>8394</v>
      </c>
    </row>
    <row r="3075" spans="1:13">
      <c r="A3075" t="s">
        <v>13</v>
      </c>
      <c r="B3075">
        <v>3304833</v>
      </c>
      <c r="C3075">
        <v>3305756</v>
      </c>
      <c r="E3075" t="s">
        <v>38</v>
      </c>
      <c r="F3075" t="s">
        <v>4011</v>
      </c>
      <c r="H3075">
        <v>1021039</v>
      </c>
      <c r="I3075" t="s">
        <v>17</v>
      </c>
      <c r="K3075" t="s">
        <v>8395</v>
      </c>
      <c r="L3075">
        <v>307</v>
      </c>
      <c r="M3075" t="s">
        <v>8396</v>
      </c>
    </row>
    <row r="3076" spans="1:13">
      <c r="A3076" t="s">
        <v>13</v>
      </c>
      <c r="B3076">
        <v>3305862</v>
      </c>
      <c r="C3076">
        <v>3306491</v>
      </c>
      <c r="E3076" t="s">
        <v>38</v>
      </c>
      <c r="F3076" t="s">
        <v>8397</v>
      </c>
      <c r="G3076" t="s">
        <v>8398</v>
      </c>
      <c r="H3076">
        <v>1021040</v>
      </c>
      <c r="I3076" t="s">
        <v>17</v>
      </c>
      <c r="K3076" t="s">
        <v>8399</v>
      </c>
      <c r="L3076">
        <v>209</v>
      </c>
      <c r="M3076" t="s">
        <v>8400</v>
      </c>
    </row>
    <row r="3077" spans="1:13">
      <c r="A3077" t="s">
        <v>13</v>
      </c>
      <c r="B3077">
        <v>3306680</v>
      </c>
      <c r="C3077">
        <v>3307633</v>
      </c>
      <c r="E3077" t="s">
        <v>38</v>
      </c>
      <c r="F3077" t="s">
        <v>7998</v>
      </c>
      <c r="G3077" t="s">
        <v>7999</v>
      </c>
      <c r="H3077">
        <v>1021041</v>
      </c>
      <c r="I3077" t="s">
        <v>17</v>
      </c>
      <c r="K3077" t="s">
        <v>8401</v>
      </c>
      <c r="L3077">
        <v>317</v>
      </c>
      <c r="M3077" t="s">
        <v>8402</v>
      </c>
    </row>
    <row r="3078" spans="1:13">
      <c r="A3078" t="s">
        <v>13</v>
      </c>
      <c r="B3078">
        <v>3307689</v>
      </c>
      <c r="C3078">
        <v>3307988</v>
      </c>
      <c r="E3078" t="s">
        <v>38</v>
      </c>
      <c r="F3078" t="s">
        <v>8403</v>
      </c>
      <c r="G3078" t="s">
        <v>8404</v>
      </c>
      <c r="H3078">
        <v>44145025</v>
      </c>
      <c r="I3078" t="s">
        <v>17</v>
      </c>
      <c r="K3078" t="s">
        <v>8405</v>
      </c>
      <c r="L3078">
        <v>99</v>
      </c>
      <c r="M3078" t="s">
        <v>8406</v>
      </c>
    </row>
    <row r="3079" spans="1:13">
      <c r="A3079" t="s">
        <v>13</v>
      </c>
      <c r="B3079">
        <v>3307969</v>
      </c>
      <c r="C3079">
        <v>3308370</v>
      </c>
      <c r="E3079" t="s">
        <v>38</v>
      </c>
      <c r="F3079" t="s">
        <v>8407</v>
      </c>
      <c r="G3079" t="s">
        <v>8408</v>
      </c>
      <c r="H3079">
        <v>1021042</v>
      </c>
      <c r="I3079" t="s">
        <v>17</v>
      </c>
      <c r="K3079" t="s">
        <v>8409</v>
      </c>
      <c r="L3079">
        <v>133</v>
      </c>
      <c r="M3079" t="s">
        <v>8410</v>
      </c>
    </row>
    <row r="3080" spans="1:13">
      <c r="A3080" t="s">
        <v>13</v>
      </c>
      <c r="B3080">
        <v>3308410</v>
      </c>
      <c r="C3080">
        <v>3308553</v>
      </c>
      <c r="E3080" t="s">
        <v>38</v>
      </c>
      <c r="F3080" t="s">
        <v>8411</v>
      </c>
      <c r="G3080" t="s">
        <v>8412</v>
      </c>
      <c r="H3080">
        <v>1021043</v>
      </c>
      <c r="I3080" t="s">
        <v>17</v>
      </c>
      <c r="K3080" t="s">
        <v>8413</v>
      </c>
      <c r="L3080">
        <v>47</v>
      </c>
      <c r="M3080" t="s">
        <v>8414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6B70-9FD3-4D6D-8D95-0145FC12185C}">
  <dimension ref="A1:H3816"/>
  <sheetViews>
    <sheetView zoomScaleNormal="100" workbookViewId="0">
      <pane ySplit="1" topLeftCell="A176" activePane="bottomLeft" state="frozen"/>
      <selection pane="bottomLeft" activeCell="E84" sqref="E84"/>
    </sheetView>
  </sheetViews>
  <sheetFormatPr defaultRowHeight="14.5"/>
  <cols>
    <col min="1" max="1" width="15.6328125" bestFit="1" customWidth="1"/>
    <col min="2" max="2" width="12.90625" bestFit="1" customWidth="1"/>
    <col min="3" max="3" width="10.36328125" customWidth="1"/>
    <col min="4" max="4" width="8.08984375" customWidth="1"/>
    <col min="5" max="6" width="23.36328125" customWidth="1"/>
    <col min="7" max="7" width="31.90625" customWidth="1"/>
    <col min="8" max="8" width="32.36328125" customWidth="1"/>
  </cols>
  <sheetData>
    <row r="1" spans="1:8">
      <c r="A1" t="s">
        <v>10</v>
      </c>
      <c r="B1" t="s">
        <v>12</v>
      </c>
      <c r="C1" t="s">
        <v>8441</v>
      </c>
      <c r="D1" t="s">
        <v>8442</v>
      </c>
      <c r="E1" t="s">
        <v>8443</v>
      </c>
      <c r="F1" t="s">
        <v>8444</v>
      </c>
      <c r="G1" t="s">
        <v>8445</v>
      </c>
      <c r="H1" t="s">
        <v>8446</v>
      </c>
    </row>
    <row r="2" spans="1:8">
      <c r="A2" t="s">
        <v>585</v>
      </c>
      <c r="B2" t="s">
        <v>586</v>
      </c>
      <c r="C2" t="s">
        <v>8555</v>
      </c>
      <c r="E2" s="11"/>
    </row>
    <row r="3" spans="1:8">
      <c r="A3" t="s">
        <v>1006</v>
      </c>
      <c r="B3" t="s">
        <v>1007</v>
      </c>
      <c r="C3" t="s">
        <v>8555</v>
      </c>
      <c r="E3" s="11"/>
    </row>
    <row r="4" spans="1:8">
      <c r="A4" t="s">
        <v>1417</v>
      </c>
      <c r="B4" t="s">
        <v>1418</v>
      </c>
      <c r="C4" t="s">
        <v>8555</v>
      </c>
      <c r="E4" s="11"/>
    </row>
    <row r="5" spans="1:8">
      <c r="A5" t="s">
        <v>1603</v>
      </c>
      <c r="B5" t="s">
        <v>1604</v>
      </c>
      <c r="C5" t="s">
        <v>8555</v>
      </c>
      <c r="E5" s="11"/>
    </row>
    <row r="6" spans="1:8">
      <c r="A6" t="s">
        <v>1672</v>
      </c>
      <c r="B6" t="s">
        <v>1673</v>
      </c>
      <c r="C6" t="s">
        <v>8555</v>
      </c>
      <c r="E6" s="11"/>
    </row>
    <row r="7" spans="1:8">
      <c r="A7" t="s">
        <v>1842</v>
      </c>
      <c r="B7" t="s">
        <v>1843</v>
      </c>
      <c r="C7" t="s">
        <v>8555</v>
      </c>
      <c r="E7" s="11"/>
    </row>
    <row r="8" spans="1:8">
      <c r="A8" t="s">
        <v>1925</v>
      </c>
      <c r="B8" t="s">
        <v>1926</v>
      </c>
      <c r="C8" t="s">
        <v>8555</v>
      </c>
      <c r="E8" s="11"/>
    </row>
    <row r="9" spans="1:8">
      <c r="A9" t="s">
        <v>1928</v>
      </c>
      <c r="B9" t="s">
        <v>1929</v>
      </c>
      <c r="C9" t="s">
        <v>8555</v>
      </c>
      <c r="E9" s="11"/>
    </row>
    <row r="10" spans="1:8">
      <c r="A10" t="s">
        <v>2009</v>
      </c>
      <c r="B10" t="s">
        <v>2010</v>
      </c>
      <c r="C10" t="s">
        <v>8555</v>
      </c>
      <c r="E10" s="11"/>
    </row>
    <row r="11" spans="1:8">
      <c r="A11" t="s">
        <v>2072</v>
      </c>
      <c r="B11" t="s">
        <v>2073</v>
      </c>
      <c r="C11" t="s">
        <v>8555</v>
      </c>
      <c r="E11" s="11"/>
    </row>
    <row r="12" spans="1:8">
      <c r="A12" t="s">
        <v>2644</v>
      </c>
      <c r="B12" t="s">
        <v>2645</v>
      </c>
      <c r="C12" t="s">
        <v>8555</v>
      </c>
      <c r="E12" s="11"/>
    </row>
    <row r="13" spans="1:8">
      <c r="A13" t="s">
        <v>2647</v>
      </c>
      <c r="B13" t="s">
        <v>2648</v>
      </c>
      <c r="C13" t="s">
        <v>8555</v>
      </c>
      <c r="E13" s="11"/>
    </row>
    <row r="14" spans="1:8">
      <c r="A14" t="s">
        <v>2734</v>
      </c>
      <c r="B14" t="s">
        <v>2735</v>
      </c>
      <c r="C14" t="s">
        <v>8555</v>
      </c>
      <c r="E14" s="11"/>
    </row>
    <row r="15" spans="1:8">
      <c r="A15" t="s">
        <v>2900</v>
      </c>
      <c r="B15" t="s">
        <v>2901</v>
      </c>
      <c r="C15" t="s">
        <v>8555</v>
      </c>
      <c r="E15" s="11"/>
    </row>
    <row r="16" spans="1:8">
      <c r="A16" t="s">
        <v>2907</v>
      </c>
      <c r="B16" t="s">
        <v>2908</v>
      </c>
      <c r="C16" t="s">
        <v>8555</v>
      </c>
      <c r="E16" s="11"/>
    </row>
    <row r="17" spans="1:5">
      <c r="A17" t="s">
        <v>2909</v>
      </c>
      <c r="B17" t="s">
        <v>2910</v>
      </c>
      <c r="C17" t="s">
        <v>8555</v>
      </c>
      <c r="E17" s="11"/>
    </row>
    <row r="18" spans="1:5">
      <c r="A18" t="s">
        <v>2994</v>
      </c>
      <c r="B18" t="s">
        <v>2995</v>
      </c>
      <c r="C18" t="s">
        <v>8555</v>
      </c>
      <c r="E18" s="11"/>
    </row>
    <row r="19" spans="1:5">
      <c r="A19" t="s">
        <v>3501</v>
      </c>
      <c r="B19" t="s">
        <v>3502</v>
      </c>
      <c r="C19" t="s">
        <v>8555</v>
      </c>
      <c r="E19" s="11"/>
    </row>
    <row r="20" spans="1:5">
      <c r="A20" t="s">
        <v>3581</v>
      </c>
      <c r="B20" t="s">
        <v>3582</v>
      </c>
      <c r="C20" t="s">
        <v>8555</v>
      </c>
      <c r="E20" s="11"/>
    </row>
    <row r="21" spans="1:5">
      <c r="A21" t="s">
        <v>4425</v>
      </c>
      <c r="B21" t="s">
        <v>4426</v>
      </c>
      <c r="C21" t="s">
        <v>8555</v>
      </c>
      <c r="E21" s="11"/>
    </row>
    <row r="22" spans="1:5">
      <c r="A22" t="s">
        <v>4653</v>
      </c>
      <c r="B22" t="s">
        <v>4654</v>
      </c>
      <c r="C22" t="s">
        <v>8555</v>
      </c>
      <c r="E22" s="11"/>
    </row>
    <row r="23" spans="1:5">
      <c r="A23" t="s">
        <v>5846</v>
      </c>
      <c r="B23" t="s">
        <v>5847</v>
      </c>
      <c r="C23" t="s">
        <v>8555</v>
      </c>
      <c r="E23" s="11"/>
    </row>
    <row r="24" spans="1:5">
      <c r="A24" t="s">
        <v>6370</v>
      </c>
      <c r="B24" t="s">
        <v>6371</v>
      </c>
      <c r="C24" t="s">
        <v>8555</v>
      </c>
      <c r="E24" s="11"/>
    </row>
    <row r="25" spans="1:5">
      <c r="A25" t="s">
        <v>6571</v>
      </c>
      <c r="B25" t="s">
        <v>6572</v>
      </c>
      <c r="C25" t="s">
        <v>8555</v>
      </c>
      <c r="E25" s="11"/>
    </row>
    <row r="26" spans="1:5">
      <c r="A26" t="s">
        <v>6968</v>
      </c>
      <c r="B26" t="s">
        <v>6969</v>
      </c>
      <c r="C26" t="s">
        <v>8555</v>
      </c>
      <c r="E26" s="11"/>
    </row>
    <row r="27" spans="1:5">
      <c r="A27" t="s">
        <v>6971</v>
      </c>
      <c r="B27" t="s">
        <v>6972</v>
      </c>
      <c r="C27" t="s">
        <v>8555</v>
      </c>
      <c r="E27" s="11"/>
    </row>
    <row r="28" spans="1:5">
      <c r="A28" t="s">
        <v>7352</v>
      </c>
      <c r="B28" t="s">
        <v>7353</v>
      </c>
      <c r="C28" t="s">
        <v>8555</v>
      </c>
      <c r="E28" s="11"/>
    </row>
    <row r="29" spans="1:5">
      <c r="A29" t="s">
        <v>7440</v>
      </c>
      <c r="B29" t="s">
        <v>7441</v>
      </c>
      <c r="C29" t="s">
        <v>8555</v>
      </c>
      <c r="E29" s="11"/>
    </row>
    <row r="30" spans="1:5">
      <c r="A30" t="s">
        <v>7629</v>
      </c>
      <c r="B30" t="s">
        <v>7630</v>
      </c>
      <c r="C30" t="s">
        <v>8555</v>
      </c>
      <c r="E30" s="11"/>
    </row>
    <row r="31" spans="1:5">
      <c r="A31" t="s">
        <v>7763</v>
      </c>
      <c r="B31" t="s">
        <v>7764</v>
      </c>
      <c r="C31" t="s">
        <v>8555</v>
      </c>
      <c r="E31" s="11"/>
    </row>
    <row r="32" spans="1:5">
      <c r="A32" t="s">
        <v>7919</v>
      </c>
      <c r="B32" t="s">
        <v>7920</v>
      </c>
      <c r="C32" t="s">
        <v>8555</v>
      </c>
      <c r="E32" s="11"/>
    </row>
    <row r="33" spans="1:5">
      <c r="A33" t="s">
        <v>7940</v>
      </c>
      <c r="B33" t="s">
        <v>7941</v>
      </c>
      <c r="C33" t="s">
        <v>8555</v>
      </c>
      <c r="E33" s="11"/>
    </row>
    <row r="34" spans="1:5">
      <c r="A34" t="s">
        <v>8011</v>
      </c>
      <c r="B34" t="s">
        <v>8012</v>
      </c>
      <c r="C34" t="s">
        <v>8555</v>
      </c>
      <c r="E34" s="11"/>
    </row>
    <row r="35" spans="1:5">
      <c r="A35" t="s">
        <v>8073</v>
      </c>
      <c r="B35" t="s">
        <v>8074</v>
      </c>
      <c r="C35" t="s">
        <v>8555</v>
      </c>
      <c r="E35" s="11"/>
    </row>
    <row r="36" spans="1:5">
      <c r="A36" t="s">
        <v>8077</v>
      </c>
      <c r="B36" t="s">
        <v>8078</v>
      </c>
      <c r="C36" t="s">
        <v>8555</v>
      </c>
      <c r="E36" s="11"/>
    </row>
    <row r="37" spans="1:5">
      <c r="A37" t="s">
        <v>8135</v>
      </c>
      <c r="B37" t="s">
        <v>8136</v>
      </c>
      <c r="C37" t="s">
        <v>8555</v>
      </c>
      <c r="E37" s="11"/>
    </row>
    <row r="38" spans="1:5">
      <c r="A38" t="s">
        <v>4660</v>
      </c>
      <c r="B38" t="s">
        <v>4661</v>
      </c>
      <c r="C38" t="s">
        <v>9512</v>
      </c>
      <c r="E38" s="11"/>
    </row>
    <row r="39" spans="1:5">
      <c r="A39" t="s">
        <v>363</v>
      </c>
      <c r="B39" t="s">
        <v>364</v>
      </c>
      <c r="C39" t="s">
        <v>8504</v>
      </c>
      <c r="E39" s="11"/>
    </row>
    <row r="40" spans="1:5">
      <c r="A40" t="s">
        <v>872</v>
      </c>
      <c r="B40" t="s">
        <v>873</v>
      </c>
      <c r="C40" t="s">
        <v>8504</v>
      </c>
      <c r="E40" s="11"/>
    </row>
    <row r="41" spans="1:5">
      <c r="A41" t="s">
        <v>967</v>
      </c>
      <c r="B41" t="s">
        <v>968</v>
      </c>
      <c r="C41" t="s">
        <v>8504</v>
      </c>
      <c r="E41" s="11"/>
    </row>
    <row r="42" spans="1:5">
      <c r="A42" t="s">
        <v>1607</v>
      </c>
      <c r="B42" t="s">
        <v>1608</v>
      </c>
      <c r="C42" t="s">
        <v>8504</v>
      </c>
      <c r="E42" s="11"/>
    </row>
    <row r="43" spans="1:5">
      <c r="A43" t="s">
        <v>2991</v>
      </c>
      <c r="B43" t="s">
        <v>2992</v>
      </c>
      <c r="C43" t="s">
        <v>8504</v>
      </c>
      <c r="E43" s="11"/>
    </row>
    <row r="44" spans="1:5">
      <c r="A44" t="s">
        <v>3585</v>
      </c>
      <c r="B44" t="s">
        <v>3586</v>
      </c>
      <c r="C44" t="s">
        <v>8504</v>
      </c>
      <c r="E44" s="11"/>
    </row>
    <row r="45" spans="1:5">
      <c r="A45" t="s">
        <v>4277</v>
      </c>
      <c r="B45" t="s">
        <v>4278</v>
      </c>
      <c r="C45" t="s">
        <v>8504</v>
      </c>
      <c r="E45" s="11"/>
    </row>
    <row r="46" spans="1:5">
      <c r="A46" t="s">
        <v>4350</v>
      </c>
      <c r="B46" t="s">
        <v>4351</v>
      </c>
      <c r="C46" t="s">
        <v>8504</v>
      </c>
      <c r="E46" s="11"/>
    </row>
    <row r="47" spans="1:5">
      <c r="A47" t="s">
        <v>6508</v>
      </c>
      <c r="B47" t="s">
        <v>6509</v>
      </c>
      <c r="C47" t="s">
        <v>8504</v>
      </c>
      <c r="E47" s="11"/>
    </row>
    <row r="48" spans="1:5">
      <c r="A48" t="s">
        <v>6798</v>
      </c>
      <c r="B48" t="s">
        <v>6799</v>
      </c>
      <c r="C48" t="s">
        <v>8504</v>
      </c>
      <c r="E48" s="11"/>
    </row>
    <row r="49" spans="1:8">
      <c r="A49" t="s">
        <v>7778</v>
      </c>
      <c r="B49" t="s">
        <v>7779</v>
      </c>
      <c r="C49" t="s">
        <v>8504</v>
      </c>
      <c r="E49" s="11"/>
    </row>
    <row r="50" spans="1:8">
      <c r="A50" t="s">
        <v>8279</v>
      </c>
      <c r="B50" t="s">
        <v>8280</v>
      </c>
      <c r="C50" t="s">
        <v>8504</v>
      </c>
      <c r="E50" s="11"/>
    </row>
    <row r="51" spans="1:8">
      <c r="A51" t="s">
        <v>7685</v>
      </c>
      <c r="B51" t="s">
        <v>7686</v>
      </c>
      <c r="C51" t="s">
        <v>8615</v>
      </c>
      <c r="E51" s="11" t="s">
        <v>8616</v>
      </c>
      <c r="F51" s="11" t="s">
        <v>8617</v>
      </c>
      <c r="G51" t="s">
        <v>11754</v>
      </c>
      <c r="H51" t="s">
        <v>11755</v>
      </c>
    </row>
    <row r="52" spans="1:8">
      <c r="A52" t="s">
        <v>7685</v>
      </c>
      <c r="B52" t="s">
        <v>7686</v>
      </c>
      <c r="C52" t="s">
        <v>8615</v>
      </c>
      <c r="E52" s="11" t="s">
        <v>8616</v>
      </c>
      <c r="F52" s="11" t="s">
        <v>11846</v>
      </c>
      <c r="G52" t="s">
        <v>11847</v>
      </c>
      <c r="H52" t="s">
        <v>11848</v>
      </c>
    </row>
    <row r="53" spans="1:8">
      <c r="A53" t="s">
        <v>7685</v>
      </c>
      <c r="B53" t="s">
        <v>7686</v>
      </c>
      <c r="C53" t="s">
        <v>8615</v>
      </c>
      <c r="E53" s="11" t="s">
        <v>8616</v>
      </c>
      <c r="F53" s="11" t="s">
        <v>11849</v>
      </c>
      <c r="G53" t="s">
        <v>11850</v>
      </c>
      <c r="H53" t="s">
        <v>11851</v>
      </c>
    </row>
    <row r="54" spans="1:8">
      <c r="A54" t="s">
        <v>7685</v>
      </c>
      <c r="B54" t="s">
        <v>7686</v>
      </c>
      <c r="C54" t="s">
        <v>8615</v>
      </c>
      <c r="E54" s="11" t="s">
        <v>8616</v>
      </c>
      <c r="F54" s="11" t="s">
        <v>11852</v>
      </c>
      <c r="G54" t="s">
        <v>11853</v>
      </c>
      <c r="H54" t="s">
        <v>11854</v>
      </c>
    </row>
    <row r="55" spans="1:8">
      <c r="A55" t="s">
        <v>7685</v>
      </c>
      <c r="B55" t="s">
        <v>7686</v>
      </c>
      <c r="C55" t="s">
        <v>8615</v>
      </c>
      <c r="E55" s="11" t="s">
        <v>8616</v>
      </c>
      <c r="F55" s="11" t="s">
        <v>11855</v>
      </c>
      <c r="G55" t="s">
        <v>11856</v>
      </c>
      <c r="H55" t="s">
        <v>11857</v>
      </c>
    </row>
    <row r="56" spans="1:8">
      <c r="A56" t="s">
        <v>7685</v>
      </c>
      <c r="B56" t="s">
        <v>7686</v>
      </c>
      <c r="C56" t="s">
        <v>8615</v>
      </c>
      <c r="E56" s="11" t="s">
        <v>8616</v>
      </c>
      <c r="F56" s="11" t="s">
        <v>11858</v>
      </c>
      <c r="G56" t="s">
        <v>11859</v>
      </c>
      <c r="H56" t="s">
        <v>11860</v>
      </c>
    </row>
    <row r="57" spans="1:8">
      <c r="A57" t="s">
        <v>7685</v>
      </c>
      <c r="B57" t="s">
        <v>7686</v>
      </c>
      <c r="C57" t="s">
        <v>8615</v>
      </c>
      <c r="E57" s="11" t="s">
        <v>8616</v>
      </c>
      <c r="F57" s="11" t="s">
        <v>11861</v>
      </c>
      <c r="G57" t="s">
        <v>11862</v>
      </c>
      <c r="H57" t="s">
        <v>11863</v>
      </c>
    </row>
    <row r="58" spans="1:8">
      <c r="A58" t="s">
        <v>7685</v>
      </c>
      <c r="B58" t="s">
        <v>7686</v>
      </c>
      <c r="C58" t="s">
        <v>8615</v>
      </c>
      <c r="E58" s="11" t="s">
        <v>8616</v>
      </c>
      <c r="F58" s="11" t="s">
        <v>11864</v>
      </c>
      <c r="G58" t="s">
        <v>11865</v>
      </c>
      <c r="H58" t="s">
        <v>11866</v>
      </c>
    </row>
    <row r="59" spans="1:8">
      <c r="A59" t="s">
        <v>7685</v>
      </c>
      <c r="B59" t="s">
        <v>7686</v>
      </c>
      <c r="C59" t="s">
        <v>8615</v>
      </c>
      <c r="E59" s="11" t="s">
        <v>8616</v>
      </c>
      <c r="F59" s="11" t="s">
        <v>11867</v>
      </c>
      <c r="G59" t="s">
        <v>11868</v>
      </c>
      <c r="H59" t="s">
        <v>11869</v>
      </c>
    </row>
    <row r="60" spans="1:8">
      <c r="A60" t="s">
        <v>7685</v>
      </c>
      <c r="B60" t="s">
        <v>7686</v>
      </c>
      <c r="C60" t="s">
        <v>8615</v>
      </c>
      <c r="E60" s="11" t="s">
        <v>8616</v>
      </c>
      <c r="F60" s="11" t="s">
        <v>11870</v>
      </c>
      <c r="G60" t="s">
        <v>11871</v>
      </c>
      <c r="H60" t="s">
        <v>11872</v>
      </c>
    </row>
    <row r="61" spans="1:8">
      <c r="A61" t="s">
        <v>7685</v>
      </c>
      <c r="B61" t="s">
        <v>7686</v>
      </c>
      <c r="C61" t="s">
        <v>8615</v>
      </c>
      <c r="E61" s="11" t="s">
        <v>8616</v>
      </c>
      <c r="F61" s="11" t="s">
        <v>11873</v>
      </c>
      <c r="G61" t="s">
        <v>11874</v>
      </c>
      <c r="H61" t="s">
        <v>11875</v>
      </c>
    </row>
    <row r="62" spans="1:8">
      <c r="A62" t="s">
        <v>7685</v>
      </c>
      <c r="B62" t="s">
        <v>7686</v>
      </c>
      <c r="C62" t="s">
        <v>8615</v>
      </c>
      <c r="E62" s="11" t="s">
        <v>8616</v>
      </c>
      <c r="F62" s="11" t="s">
        <v>11876</v>
      </c>
      <c r="G62" t="s">
        <v>11877</v>
      </c>
      <c r="H62" t="s">
        <v>11878</v>
      </c>
    </row>
    <row r="63" spans="1:8">
      <c r="A63" t="s">
        <v>7685</v>
      </c>
      <c r="B63" t="s">
        <v>7686</v>
      </c>
      <c r="C63" t="s">
        <v>8615</v>
      </c>
      <c r="E63" s="11" t="s">
        <v>8616</v>
      </c>
      <c r="F63" s="11" t="s">
        <v>11879</v>
      </c>
      <c r="G63" t="s">
        <v>11880</v>
      </c>
      <c r="H63" t="s">
        <v>11881</v>
      </c>
    </row>
    <row r="64" spans="1:8">
      <c r="A64" t="s">
        <v>7685</v>
      </c>
      <c r="B64" t="s">
        <v>7686</v>
      </c>
      <c r="C64" t="s">
        <v>8615</v>
      </c>
      <c r="E64" s="11" t="s">
        <v>8616</v>
      </c>
      <c r="F64" s="11" t="s">
        <v>11882</v>
      </c>
      <c r="G64" t="s">
        <v>11883</v>
      </c>
      <c r="H64" t="s">
        <v>11884</v>
      </c>
    </row>
    <row r="65" spans="1:8">
      <c r="A65" t="s">
        <v>7685</v>
      </c>
      <c r="B65" t="s">
        <v>7686</v>
      </c>
      <c r="C65" t="s">
        <v>8615</v>
      </c>
      <c r="E65" s="11" t="s">
        <v>8616</v>
      </c>
      <c r="F65" s="11" t="s">
        <v>11885</v>
      </c>
      <c r="G65" t="s">
        <v>11886</v>
      </c>
      <c r="H65" t="s">
        <v>11887</v>
      </c>
    </row>
    <row r="66" spans="1:8">
      <c r="A66" t="s">
        <v>7685</v>
      </c>
      <c r="B66" t="s">
        <v>7686</v>
      </c>
      <c r="C66" t="s">
        <v>8615</v>
      </c>
      <c r="E66" s="11" t="s">
        <v>8616</v>
      </c>
      <c r="F66" s="11" t="s">
        <v>11888</v>
      </c>
      <c r="G66" t="s">
        <v>11889</v>
      </c>
      <c r="H66" t="s">
        <v>11890</v>
      </c>
    </row>
    <row r="67" spans="1:8">
      <c r="A67" t="s">
        <v>7685</v>
      </c>
      <c r="B67" t="s">
        <v>7686</v>
      </c>
      <c r="C67" t="s">
        <v>8615</v>
      </c>
      <c r="E67" s="11" t="s">
        <v>8616</v>
      </c>
      <c r="F67" s="11" t="s">
        <v>11891</v>
      </c>
      <c r="G67" t="s">
        <v>11892</v>
      </c>
      <c r="H67" t="s">
        <v>11893</v>
      </c>
    </row>
    <row r="68" spans="1:8">
      <c r="A68" t="s">
        <v>7685</v>
      </c>
      <c r="B68" t="s">
        <v>7686</v>
      </c>
      <c r="C68" t="s">
        <v>8615</v>
      </c>
      <c r="E68" s="11" t="s">
        <v>8616</v>
      </c>
      <c r="F68" s="11" t="s">
        <v>11894</v>
      </c>
      <c r="G68" t="s">
        <v>11895</v>
      </c>
      <c r="H68" t="s">
        <v>11896</v>
      </c>
    </row>
    <row r="69" spans="1:8">
      <c r="A69" t="s">
        <v>7685</v>
      </c>
      <c r="B69" t="s">
        <v>7686</v>
      </c>
      <c r="C69" t="s">
        <v>8615</v>
      </c>
      <c r="E69" s="11" t="s">
        <v>8616</v>
      </c>
      <c r="F69" s="11" t="s">
        <v>11897</v>
      </c>
      <c r="G69" t="s">
        <v>11898</v>
      </c>
      <c r="H69" t="s">
        <v>11899</v>
      </c>
    </row>
    <row r="70" spans="1:8">
      <c r="A70" t="s">
        <v>2078</v>
      </c>
      <c r="B70" t="s">
        <v>2079</v>
      </c>
      <c r="C70" t="s">
        <v>10126</v>
      </c>
      <c r="E70" s="11" t="s">
        <v>10127</v>
      </c>
      <c r="F70" s="11" t="s">
        <v>10128</v>
      </c>
      <c r="G70" t="s">
        <v>10748</v>
      </c>
      <c r="H70" t="s">
        <v>10749</v>
      </c>
    </row>
    <row r="71" spans="1:8">
      <c r="A71" t="s">
        <v>2078</v>
      </c>
      <c r="B71" t="s">
        <v>2079</v>
      </c>
      <c r="C71" t="s">
        <v>10126</v>
      </c>
      <c r="E71" s="11" t="s">
        <v>10127</v>
      </c>
      <c r="F71" s="11" t="s">
        <v>8883</v>
      </c>
      <c r="G71" t="s">
        <v>10750</v>
      </c>
      <c r="H71" t="s">
        <v>10751</v>
      </c>
    </row>
    <row r="72" spans="1:8">
      <c r="A72" t="s">
        <v>2078</v>
      </c>
      <c r="B72" t="s">
        <v>2079</v>
      </c>
      <c r="C72" t="s">
        <v>10126</v>
      </c>
      <c r="E72" s="11" t="s">
        <v>10127</v>
      </c>
      <c r="F72" s="11" t="s">
        <v>8884</v>
      </c>
      <c r="G72" t="s">
        <v>10752</v>
      </c>
      <c r="H72" t="s">
        <v>10753</v>
      </c>
    </row>
    <row r="73" spans="1:8">
      <c r="A73" t="s">
        <v>2078</v>
      </c>
      <c r="B73" t="s">
        <v>2079</v>
      </c>
      <c r="C73" t="s">
        <v>10126</v>
      </c>
      <c r="E73" s="11" t="s">
        <v>10127</v>
      </c>
      <c r="F73" s="11" t="s">
        <v>8887</v>
      </c>
      <c r="G73" t="s">
        <v>10754</v>
      </c>
      <c r="H73" t="s">
        <v>10755</v>
      </c>
    </row>
    <row r="74" spans="1:8">
      <c r="A74" t="s">
        <v>2078</v>
      </c>
      <c r="B74" t="s">
        <v>2079</v>
      </c>
      <c r="C74" t="s">
        <v>10126</v>
      </c>
      <c r="E74" s="11" t="s">
        <v>10127</v>
      </c>
      <c r="F74" s="11" t="s">
        <v>8890</v>
      </c>
      <c r="G74" t="s">
        <v>10756</v>
      </c>
      <c r="H74" t="s">
        <v>10757</v>
      </c>
    </row>
    <row r="75" spans="1:8">
      <c r="A75" t="s">
        <v>2078</v>
      </c>
      <c r="B75" t="s">
        <v>2079</v>
      </c>
      <c r="C75" t="s">
        <v>10126</v>
      </c>
      <c r="E75" s="11" t="s">
        <v>10127</v>
      </c>
      <c r="F75" s="11" t="s">
        <v>8893</v>
      </c>
      <c r="G75" t="s">
        <v>10758</v>
      </c>
      <c r="H75" t="s">
        <v>10821</v>
      </c>
    </row>
    <row r="76" spans="1:8">
      <c r="A76" t="s">
        <v>2078</v>
      </c>
      <c r="B76" t="s">
        <v>2079</v>
      </c>
      <c r="C76" t="s">
        <v>10126</v>
      </c>
      <c r="E76" s="11" t="s">
        <v>10127</v>
      </c>
      <c r="F76" s="11" t="s">
        <v>8899</v>
      </c>
      <c r="G76" t="s">
        <v>10759</v>
      </c>
      <c r="H76" t="s">
        <v>10760</v>
      </c>
    </row>
    <row r="77" spans="1:8">
      <c r="A77" t="s">
        <v>2078</v>
      </c>
      <c r="B77" t="s">
        <v>2079</v>
      </c>
      <c r="C77" t="s">
        <v>10126</v>
      </c>
      <c r="E77" s="11" t="s">
        <v>10127</v>
      </c>
      <c r="F77" s="11" t="s">
        <v>8908</v>
      </c>
      <c r="G77" t="s">
        <v>10761</v>
      </c>
      <c r="H77" t="s">
        <v>10762</v>
      </c>
    </row>
    <row r="78" spans="1:8">
      <c r="A78" t="s">
        <v>2078</v>
      </c>
      <c r="B78" t="s">
        <v>2079</v>
      </c>
      <c r="C78" t="s">
        <v>10126</v>
      </c>
      <c r="E78" s="11" t="s">
        <v>10127</v>
      </c>
      <c r="F78" s="11" t="s">
        <v>10129</v>
      </c>
      <c r="G78" t="s">
        <v>10763</v>
      </c>
      <c r="H78" t="s">
        <v>10764</v>
      </c>
    </row>
    <row r="79" spans="1:8">
      <c r="A79" t="s">
        <v>2078</v>
      </c>
      <c r="B79" t="s">
        <v>2079</v>
      </c>
      <c r="C79" t="s">
        <v>10126</v>
      </c>
      <c r="E79" s="11" t="s">
        <v>10127</v>
      </c>
      <c r="F79" s="11" t="s">
        <v>10130</v>
      </c>
      <c r="G79" t="s">
        <v>10765</v>
      </c>
      <c r="H79" t="s">
        <v>10766</v>
      </c>
    </row>
    <row r="80" spans="1:8">
      <c r="A80" t="s">
        <v>2078</v>
      </c>
      <c r="B80" t="s">
        <v>2079</v>
      </c>
      <c r="C80" t="s">
        <v>10126</v>
      </c>
      <c r="E80" s="11" t="s">
        <v>10127</v>
      </c>
      <c r="F80" s="11" t="s">
        <v>10131</v>
      </c>
      <c r="G80" t="s">
        <v>10767</v>
      </c>
      <c r="H80" t="s">
        <v>10768</v>
      </c>
    </row>
    <row r="81" spans="1:8">
      <c r="A81" t="s">
        <v>3103</v>
      </c>
      <c r="B81" t="s">
        <v>3104</v>
      </c>
      <c r="C81" t="s">
        <v>9948</v>
      </c>
      <c r="E81" s="11" t="s">
        <v>9949</v>
      </c>
      <c r="F81" s="11" t="s">
        <v>9950</v>
      </c>
      <c r="G81" t="s">
        <v>10948</v>
      </c>
      <c r="H81" t="s">
        <v>10949</v>
      </c>
    </row>
    <row r="82" spans="1:8">
      <c r="A82" t="s">
        <v>8316</v>
      </c>
      <c r="B82" t="s">
        <v>8317</v>
      </c>
      <c r="C82" t="s">
        <v>8500</v>
      </c>
      <c r="E82" s="11" t="s">
        <v>8501</v>
      </c>
      <c r="F82" s="11" t="s">
        <v>8502</v>
      </c>
      <c r="G82" t="s">
        <v>11793</v>
      </c>
      <c r="H82" t="s">
        <v>11794</v>
      </c>
    </row>
    <row r="83" spans="1:8">
      <c r="A83" t="s">
        <v>4510</v>
      </c>
      <c r="B83" t="s">
        <v>4511</v>
      </c>
      <c r="C83" t="s">
        <v>9599</v>
      </c>
      <c r="E83" s="11" t="s">
        <v>9601</v>
      </c>
      <c r="F83" s="11" t="s">
        <v>9602</v>
      </c>
      <c r="G83" t="s">
        <v>11179</v>
      </c>
      <c r="H83" t="s">
        <v>11180</v>
      </c>
    </row>
    <row r="84" spans="1:8">
      <c r="A84" t="s">
        <v>1772</v>
      </c>
      <c r="B84" t="s">
        <v>1773</v>
      </c>
      <c r="C84" t="s">
        <v>10205</v>
      </c>
      <c r="E84" s="11" t="s">
        <v>10206</v>
      </c>
      <c r="F84" s="11" t="s">
        <v>10207</v>
      </c>
      <c r="G84" t="s">
        <v>10681</v>
      </c>
      <c r="H84" t="s">
        <v>10682</v>
      </c>
    </row>
    <row r="85" spans="1:8">
      <c r="A85" t="s">
        <v>1772</v>
      </c>
      <c r="B85" t="s">
        <v>1773</v>
      </c>
      <c r="C85" t="s">
        <v>10205</v>
      </c>
      <c r="E85" s="11" t="s">
        <v>10206</v>
      </c>
      <c r="F85" s="11" t="s">
        <v>10208</v>
      </c>
      <c r="G85" t="s">
        <v>10683</v>
      </c>
      <c r="H85" t="s">
        <v>10684</v>
      </c>
    </row>
    <row r="86" spans="1:8">
      <c r="A86" t="s">
        <v>5799</v>
      </c>
      <c r="B86" t="s">
        <v>5800</v>
      </c>
      <c r="C86" t="s">
        <v>9273</v>
      </c>
      <c r="E86" s="11" t="s">
        <v>9274</v>
      </c>
      <c r="F86" s="11" t="s">
        <v>9275</v>
      </c>
      <c r="G86" t="s">
        <v>11382</v>
      </c>
      <c r="H86" t="s">
        <v>11383</v>
      </c>
    </row>
    <row r="87" spans="1:8">
      <c r="A87" t="s">
        <v>5799</v>
      </c>
      <c r="B87" t="s">
        <v>5800</v>
      </c>
      <c r="C87" t="s">
        <v>9273</v>
      </c>
      <c r="E87" s="11" t="s">
        <v>9274</v>
      </c>
      <c r="F87" s="11" t="s">
        <v>9276</v>
      </c>
      <c r="G87" t="s">
        <v>11384</v>
      </c>
      <c r="H87" t="s">
        <v>11383</v>
      </c>
    </row>
    <row r="88" spans="1:8">
      <c r="A88" t="s">
        <v>5799</v>
      </c>
      <c r="B88" t="s">
        <v>5800</v>
      </c>
      <c r="C88" t="s">
        <v>9273</v>
      </c>
      <c r="E88" s="11" t="s">
        <v>9274</v>
      </c>
      <c r="F88" s="11" t="s">
        <v>9277</v>
      </c>
      <c r="G88" t="s">
        <v>11385</v>
      </c>
      <c r="H88" t="s">
        <v>11386</v>
      </c>
    </row>
    <row r="89" spans="1:8">
      <c r="A89" t="s">
        <v>4615</v>
      </c>
      <c r="B89" t="s">
        <v>4616</v>
      </c>
      <c r="C89" t="s">
        <v>9526</v>
      </c>
      <c r="E89" s="11" t="s">
        <v>9527</v>
      </c>
      <c r="F89" s="11" t="s">
        <v>9528</v>
      </c>
      <c r="G89" t="s">
        <v>11220</v>
      </c>
      <c r="H89" t="s">
        <v>11221</v>
      </c>
    </row>
    <row r="90" spans="1:8">
      <c r="A90" t="s">
        <v>4615</v>
      </c>
      <c r="B90" t="s">
        <v>4616</v>
      </c>
      <c r="C90" t="s">
        <v>9526</v>
      </c>
      <c r="E90" s="11" t="s">
        <v>9527</v>
      </c>
      <c r="F90" s="11" t="s">
        <v>9529</v>
      </c>
      <c r="G90" t="s">
        <v>11222</v>
      </c>
      <c r="H90" t="s">
        <v>11223</v>
      </c>
    </row>
    <row r="91" spans="1:8">
      <c r="A91" t="s">
        <v>5554</v>
      </c>
      <c r="B91" t="s">
        <v>5555</v>
      </c>
      <c r="C91" t="s">
        <v>9368</v>
      </c>
      <c r="E91" s="11" t="s">
        <v>9369</v>
      </c>
      <c r="F91" s="11" t="s">
        <v>9370</v>
      </c>
      <c r="G91" t="s">
        <v>11316</v>
      </c>
      <c r="H91" t="s">
        <v>11317</v>
      </c>
    </row>
    <row r="92" spans="1:8">
      <c r="A92" t="s">
        <v>7934</v>
      </c>
      <c r="B92" t="s">
        <v>7935</v>
      </c>
      <c r="C92" t="s">
        <v>8570</v>
      </c>
      <c r="E92" s="11" t="s">
        <v>8571</v>
      </c>
      <c r="F92" s="11" t="s">
        <v>8572</v>
      </c>
      <c r="G92" t="s">
        <v>11772</v>
      </c>
      <c r="H92" t="s">
        <v>10873</v>
      </c>
    </row>
    <row r="93" spans="1:8">
      <c r="A93" t="s">
        <v>7934</v>
      </c>
      <c r="B93" t="s">
        <v>7935</v>
      </c>
      <c r="C93" t="s">
        <v>8570</v>
      </c>
      <c r="E93" s="11" t="s">
        <v>8571</v>
      </c>
      <c r="F93" s="11" t="s">
        <v>11829</v>
      </c>
      <c r="G93" t="s">
        <v>11830</v>
      </c>
      <c r="H93" t="s">
        <v>11831</v>
      </c>
    </row>
    <row r="94" spans="1:8">
      <c r="A94" t="s">
        <v>7934</v>
      </c>
      <c r="B94" t="s">
        <v>7935</v>
      </c>
      <c r="C94" t="s">
        <v>8570</v>
      </c>
      <c r="E94" s="11" t="s">
        <v>8571</v>
      </c>
      <c r="F94" s="11" t="s">
        <v>11832</v>
      </c>
      <c r="G94" t="s">
        <v>11833</v>
      </c>
      <c r="H94" t="s">
        <v>11834</v>
      </c>
    </row>
    <row r="95" spans="1:8">
      <c r="A95" t="s">
        <v>2609</v>
      </c>
      <c r="B95" t="s">
        <v>2610</v>
      </c>
      <c r="C95" t="s">
        <v>10029</v>
      </c>
      <c r="E95" s="11" t="s">
        <v>10030</v>
      </c>
      <c r="F95" s="11" t="s">
        <v>10031</v>
      </c>
      <c r="G95" t="s">
        <v>10872</v>
      </c>
      <c r="H95" t="s">
        <v>10873</v>
      </c>
    </row>
    <row r="96" spans="1:8">
      <c r="A96" t="s">
        <v>8196</v>
      </c>
      <c r="B96" t="s">
        <v>8197</v>
      </c>
      <c r="C96" t="s">
        <v>8535</v>
      </c>
      <c r="E96" s="11" t="s">
        <v>8536</v>
      </c>
      <c r="F96" s="11" t="s">
        <v>8537</v>
      </c>
      <c r="G96" t="s">
        <v>11780</v>
      </c>
      <c r="H96" t="s">
        <v>11781</v>
      </c>
    </row>
    <row r="97" spans="1:8">
      <c r="A97" t="s">
        <v>3362</v>
      </c>
      <c r="B97" t="s">
        <v>3363</v>
      </c>
      <c r="C97" t="s">
        <v>9900</v>
      </c>
      <c r="E97" s="11" t="s">
        <v>9901</v>
      </c>
      <c r="F97" s="11" t="s">
        <v>9902</v>
      </c>
      <c r="G97" t="s">
        <v>10986</v>
      </c>
      <c r="H97" t="s">
        <v>10987</v>
      </c>
    </row>
    <row r="98" spans="1:8">
      <c r="A98" t="s">
        <v>3362</v>
      </c>
      <c r="B98" t="s">
        <v>3363</v>
      </c>
      <c r="C98" t="s">
        <v>9900</v>
      </c>
      <c r="E98" s="11" t="s">
        <v>9901</v>
      </c>
      <c r="F98" s="11" t="s">
        <v>9903</v>
      </c>
      <c r="G98" t="s">
        <v>10988</v>
      </c>
      <c r="H98" t="s">
        <v>10989</v>
      </c>
    </row>
    <row r="99" spans="1:8">
      <c r="A99" t="s">
        <v>963</v>
      </c>
      <c r="B99" t="s">
        <v>964</v>
      </c>
      <c r="C99" t="s">
        <v>10363</v>
      </c>
      <c r="E99" s="11" t="s">
        <v>10364</v>
      </c>
      <c r="F99" s="11" t="s">
        <v>10365</v>
      </c>
      <c r="G99" t="s">
        <v>10562</v>
      </c>
      <c r="H99" t="s">
        <v>10563</v>
      </c>
    </row>
    <row r="100" spans="1:8">
      <c r="A100" t="s">
        <v>963</v>
      </c>
      <c r="B100" t="s">
        <v>964</v>
      </c>
      <c r="C100" t="s">
        <v>10363</v>
      </c>
      <c r="E100" s="11" t="s">
        <v>10364</v>
      </c>
      <c r="F100" s="11" t="s">
        <v>10366</v>
      </c>
      <c r="G100" t="s">
        <v>10564</v>
      </c>
      <c r="H100" t="s">
        <v>10565</v>
      </c>
    </row>
    <row r="101" spans="1:8">
      <c r="A101" t="s">
        <v>582</v>
      </c>
      <c r="B101" t="s">
        <v>583</v>
      </c>
      <c r="C101" t="s">
        <v>10412</v>
      </c>
      <c r="E101" s="11" t="s">
        <v>10413</v>
      </c>
      <c r="F101" s="11" t="s">
        <v>10414</v>
      </c>
      <c r="G101" t="s">
        <v>10521</v>
      </c>
      <c r="H101" t="s">
        <v>10522</v>
      </c>
    </row>
    <row r="102" spans="1:8">
      <c r="A102" t="s">
        <v>6561</v>
      </c>
      <c r="B102" t="s">
        <v>6562</v>
      </c>
      <c r="C102" t="s">
        <v>9025</v>
      </c>
      <c r="E102" s="11" t="s">
        <v>9026</v>
      </c>
      <c r="F102" s="11" t="s">
        <v>9027</v>
      </c>
      <c r="G102" t="s">
        <v>11573</v>
      </c>
      <c r="H102" t="s">
        <v>11574</v>
      </c>
    </row>
    <row r="103" spans="1:8">
      <c r="A103" t="s">
        <v>6561</v>
      </c>
      <c r="B103" t="s">
        <v>6562</v>
      </c>
      <c r="C103" t="s">
        <v>9025</v>
      </c>
      <c r="E103" s="11" t="s">
        <v>9026</v>
      </c>
      <c r="F103" s="11" t="s">
        <v>9028</v>
      </c>
      <c r="G103" t="s">
        <v>11575</v>
      </c>
      <c r="H103" t="s">
        <v>11576</v>
      </c>
    </row>
    <row r="104" spans="1:8">
      <c r="A104" t="s">
        <v>6561</v>
      </c>
      <c r="B104" t="s">
        <v>6562</v>
      </c>
      <c r="C104" t="s">
        <v>9025</v>
      </c>
      <c r="E104" s="11" t="s">
        <v>9026</v>
      </c>
      <c r="F104" s="11" t="s">
        <v>9029</v>
      </c>
      <c r="G104" t="s">
        <v>11577</v>
      </c>
      <c r="H104" t="s">
        <v>11578</v>
      </c>
    </row>
    <row r="105" spans="1:8">
      <c r="A105" t="s">
        <v>8175</v>
      </c>
      <c r="B105" t="s">
        <v>8176</v>
      </c>
      <c r="C105" t="s">
        <v>8541</v>
      </c>
      <c r="E105" s="11" t="s">
        <v>8542</v>
      </c>
      <c r="F105" s="11" t="s">
        <v>8543</v>
      </c>
      <c r="G105" t="s">
        <v>11776</v>
      </c>
      <c r="H105" t="s">
        <v>11777</v>
      </c>
    </row>
    <row r="106" spans="1:8">
      <c r="A106" t="s">
        <v>8175</v>
      </c>
      <c r="B106" t="s">
        <v>8176</v>
      </c>
      <c r="C106" t="s">
        <v>8541</v>
      </c>
      <c r="E106" s="11" t="s">
        <v>8542</v>
      </c>
      <c r="F106" s="11" t="s">
        <v>11823</v>
      </c>
      <c r="G106" t="s">
        <v>11824</v>
      </c>
      <c r="H106" t="s">
        <v>11825</v>
      </c>
    </row>
    <row r="107" spans="1:8">
      <c r="A107" t="s">
        <v>1936</v>
      </c>
      <c r="B107" t="s">
        <v>1937</v>
      </c>
      <c r="C107" t="s">
        <v>10186</v>
      </c>
      <c r="E107" s="11" t="s">
        <v>10187</v>
      </c>
      <c r="F107" s="11" t="s">
        <v>10188</v>
      </c>
      <c r="G107" t="s">
        <v>10706</v>
      </c>
      <c r="H107" t="s">
        <v>10707</v>
      </c>
    </row>
    <row r="108" spans="1:8">
      <c r="A108" t="s">
        <v>1936</v>
      </c>
      <c r="B108" t="s">
        <v>1937</v>
      </c>
      <c r="C108" t="s">
        <v>10186</v>
      </c>
      <c r="E108" s="11" t="s">
        <v>10187</v>
      </c>
      <c r="F108" s="11" t="s">
        <v>10189</v>
      </c>
      <c r="G108" t="s">
        <v>10190</v>
      </c>
      <c r="H108" t="s">
        <v>10708</v>
      </c>
    </row>
    <row r="109" spans="1:8">
      <c r="A109" t="s">
        <v>1936</v>
      </c>
      <c r="B109" t="s">
        <v>1937</v>
      </c>
      <c r="C109" t="s">
        <v>10186</v>
      </c>
      <c r="E109" s="11" t="s">
        <v>10187</v>
      </c>
      <c r="F109" s="11" t="s">
        <v>10191</v>
      </c>
      <c r="G109" t="s">
        <v>10706</v>
      </c>
      <c r="H109" t="s">
        <v>10709</v>
      </c>
    </row>
    <row r="110" spans="1:8">
      <c r="A110" t="s">
        <v>4096</v>
      </c>
      <c r="B110" t="s">
        <v>4097</v>
      </c>
      <c r="C110" t="s">
        <v>9725</v>
      </c>
      <c r="E110" s="11" t="s">
        <v>9726</v>
      </c>
      <c r="F110" s="11" t="s">
        <v>9727</v>
      </c>
      <c r="G110" t="s">
        <v>11105</v>
      </c>
      <c r="H110" t="s">
        <v>11106</v>
      </c>
    </row>
    <row r="111" spans="1:8">
      <c r="A111" t="s">
        <v>4440</v>
      </c>
      <c r="B111" t="s">
        <v>4441</v>
      </c>
      <c r="C111" t="s">
        <v>9634</v>
      </c>
      <c r="E111" s="11" t="s">
        <v>9635</v>
      </c>
      <c r="F111" s="11" t="s">
        <v>9636</v>
      </c>
      <c r="G111" t="s">
        <v>11166</v>
      </c>
      <c r="H111" t="s">
        <v>11167</v>
      </c>
    </row>
    <row r="112" spans="1:8">
      <c r="A112" t="s">
        <v>4440</v>
      </c>
      <c r="B112" t="s">
        <v>4441</v>
      </c>
      <c r="C112" t="s">
        <v>9634</v>
      </c>
      <c r="E112" s="11" t="s">
        <v>9635</v>
      </c>
      <c r="F112" s="11" t="s">
        <v>9637</v>
      </c>
      <c r="G112" t="s">
        <v>11168</v>
      </c>
      <c r="H112" t="s">
        <v>11167</v>
      </c>
    </row>
    <row r="113" spans="1:8">
      <c r="A113" t="s">
        <v>3648</v>
      </c>
      <c r="B113" t="s">
        <v>3649</v>
      </c>
      <c r="C113" t="s">
        <v>9814</v>
      </c>
      <c r="E113" s="11" t="s">
        <v>9816</v>
      </c>
      <c r="F113" s="11" t="s">
        <v>9817</v>
      </c>
      <c r="G113" t="s">
        <v>11045</v>
      </c>
      <c r="H113" t="s">
        <v>9818</v>
      </c>
    </row>
    <row r="114" spans="1:8">
      <c r="A114" t="s">
        <v>3648</v>
      </c>
      <c r="B114" t="s">
        <v>3649</v>
      </c>
      <c r="C114" t="s">
        <v>9814</v>
      </c>
      <c r="E114" s="11" t="s">
        <v>9816</v>
      </c>
      <c r="F114" s="11" t="s">
        <v>9819</v>
      </c>
      <c r="G114" t="s">
        <v>11046</v>
      </c>
      <c r="H114" t="s">
        <v>11047</v>
      </c>
    </row>
    <row r="115" spans="1:8">
      <c r="A115" t="s">
        <v>3648</v>
      </c>
      <c r="B115" t="s">
        <v>3649</v>
      </c>
      <c r="C115" t="s">
        <v>9814</v>
      </c>
      <c r="E115" s="11" t="s">
        <v>9816</v>
      </c>
      <c r="F115" s="11" t="s">
        <v>9820</v>
      </c>
      <c r="G115" t="s">
        <v>11046</v>
      </c>
      <c r="H115" t="s">
        <v>11048</v>
      </c>
    </row>
    <row r="116" spans="1:8">
      <c r="A116" t="s">
        <v>3648</v>
      </c>
      <c r="B116" t="s">
        <v>3649</v>
      </c>
      <c r="C116" t="s">
        <v>9814</v>
      </c>
      <c r="E116" s="11" t="s">
        <v>9816</v>
      </c>
      <c r="F116" s="11" t="s">
        <v>9821</v>
      </c>
      <c r="G116" t="s">
        <v>11049</v>
      </c>
      <c r="H116" t="s">
        <v>11050</v>
      </c>
    </row>
    <row r="117" spans="1:8">
      <c r="A117" t="s">
        <v>3619</v>
      </c>
      <c r="B117" t="s">
        <v>3620</v>
      </c>
      <c r="C117" t="s">
        <v>9815</v>
      </c>
      <c r="E117" s="11" t="s">
        <v>9826</v>
      </c>
      <c r="F117" s="11" t="s">
        <v>9827</v>
      </c>
      <c r="G117" t="s">
        <v>11035</v>
      </c>
      <c r="H117" t="s">
        <v>11036</v>
      </c>
    </row>
    <row r="118" spans="1:8">
      <c r="A118" t="s">
        <v>3619</v>
      </c>
      <c r="B118" t="s">
        <v>3620</v>
      </c>
      <c r="C118" t="s">
        <v>9815</v>
      </c>
      <c r="E118" s="11" t="s">
        <v>9826</v>
      </c>
      <c r="F118" s="11" t="s">
        <v>9828</v>
      </c>
      <c r="G118" t="s">
        <v>11037</v>
      </c>
      <c r="H118" t="s">
        <v>11038</v>
      </c>
    </row>
    <row r="119" spans="1:8">
      <c r="A119" t="s">
        <v>3619</v>
      </c>
      <c r="B119" t="s">
        <v>3620</v>
      </c>
      <c r="C119" t="s">
        <v>9815</v>
      </c>
      <c r="E119" s="11" t="s">
        <v>9826</v>
      </c>
      <c r="F119" s="11" t="s">
        <v>9829</v>
      </c>
      <c r="G119" t="s">
        <v>11035</v>
      </c>
      <c r="H119" t="s">
        <v>11039</v>
      </c>
    </row>
    <row r="120" spans="1:8">
      <c r="A120" t="s">
        <v>3619</v>
      </c>
      <c r="B120" t="s">
        <v>3620</v>
      </c>
      <c r="C120" t="s">
        <v>9815</v>
      </c>
      <c r="E120" s="11" t="s">
        <v>9826</v>
      </c>
      <c r="F120" s="11" t="s">
        <v>9830</v>
      </c>
      <c r="G120" t="s">
        <v>11022</v>
      </c>
      <c r="H120" t="s">
        <v>11040</v>
      </c>
    </row>
    <row r="121" spans="1:8">
      <c r="A121" t="s">
        <v>3619</v>
      </c>
      <c r="B121" t="s">
        <v>3620</v>
      </c>
      <c r="C121" t="s">
        <v>9815</v>
      </c>
      <c r="E121" s="11" t="s">
        <v>9826</v>
      </c>
      <c r="F121" s="11" t="s">
        <v>9831</v>
      </c>
      <c r="G121" t="s">
        <v>9832</v>
      </c>
      <c r="H121" t="s">
        <v>9833</v>
      </c>
    </row>
    <row r="122" spans="1:8">
      <c r="A122" t="s">
        <v>3619</v>
      </c>
      <c r="B122" t="s">
        <v>3620</v>
      </c>
      <c r="C122" t="s">
        <v>9815</v>
      </c>
      <c r="E122" s="11" t="s">
        <v>9826</v>
      </c>
      <c r="F122" s="11" t="s">
        <v>9834</v>
      </c>
      <c r="G122" t="s">
        <v>9835</v>
      </c>
      <c r="H122" t="s">
        <v>9836</v>
      </c>
    </row>
    <row r="123" spans="1:8">
      <c r="A123" t="s">
        <v>3733</v>
      </c>
      <c r="B123" t="s">
        <v>3734</v>
      </c>
      <c r="C123" t="s">
        <v>9791</v>
      </c>
      <c r="E123" s="11" t="s">
        <v>9792</v>
      </c>
      <c r="F123" s="11" t="s">
        <v>9793</v>
      </c>
      <c r="G123" t="s">
        <v>11056</v>
      </c>
      <c r="H123" t="s">
        <v>11057</v>
      </c>
    </row>
    <row r="124" spans="1:8">
      <c r="A124" t="s">
        <v>3733</v>
      </c>
      <c r="B124" t="s">
        <v>3734</v>
      </c>
      <c r="C124" t="s">
        <v>9791</v>
      </c>
      <c r="E124" s="11" t="s">
        <v>9792</v>
      </c>
      <c r="F124" s="11" t="s">
        <v>9794</v>
      </c>
      <c r="G124" t="s">
        <v>11058</v>
      </c>
      <c r="H124" t="s">
        <v>11059</v>
      </c>
    </row>
    <row r="125" spans="1:8">
      <c r="A125" t="s">
        <v>3642</v>
      </c>
      <c r="B125" t="s">
        <v>3643</v>
      </c>
      <c r="C125" t="s">
        <v>9822</v>
      </c>
      <c r="E125" s="11" t="s">
        <v>9823</v>
      </c>
      <c r="F125" s="11" t="s">
        <v>9824</v>
      </c>
      <c r="G125" t="s">
        <v>11041</v>
      </c>
      <c r="H125" t="s">
        <v>11042</v>
      </c>
    </row>
    <row r="126" spans="1:8">
      <c r="A126" t="s">
        <v>3642</v>
      </c>
      <c r="B126" t="s">
        <v>3643</v>
      </c>
      <c r="C126" t="s">
        <v>9822</v>
      </c>
      <c r="E126" s="11" t="s">
        <v>9823</v>
      </c>
      <c r="F126" s="11" t="s">
        <v>9825</v>
      </c>
      <c r="G126" t="s">
        <v>11043</v>
      </c>
      <c r="H126" t="s">
        <v>11044</v>
      </c>
    </row>
    <row r="127" spans="1:8">
      <c r="A127" t="s">
        <v>5519</v>
      </c>
      <c r="B127" t="s">
        <v>5520</v>
      </c>
      <c r="C127" t="s">
        <v>9382</v>
      </c>
      <c r="E127" s="11" t="s">
        <v>9383</v>
      </c>
      <c r="F127" s="11" t="s">
        <v>9384</v>
      </c>
      <c r="G127" t="s">
        <v>11300</v>
      </c>
      <c r="H127" t="s">
        <v>11301</v>
      </c>
    </row>
    <row r="128" spans="1:8">
      <c r="A128" t="s">
        <v>5519</v>
      </c>
      <c r="B128" t="s">
        <v>5520</v>
      </c>
      <c r="C128" t="s">
        <v>9382</v>
      </c>
      <c r="E128" s="11" t="s">
        <v>9383</v>
      </c>
      <c r="F128" s="11" t="s">
        <v>9385</v>
      </c>
      <c r="G128" t="s">
        <v>11302</v>
      </c>
      <c r="H128" t="s">
        <v>11303</v>
      </c>
    </row>
    <row r="129" spans="1:8">
      <c r="A129" t="s">
        <v>5519</v>
      </c>
      <c r="B129" t="s">
        <v>5520</v>
      </c>
      <c r="C129" t="s">
        <v>9382</v>
      </c>
      <c r="E129" s="11" t="s">
        <v>9383</v>
      </c>
      <c r="F129" s="11" t="s">
        <v>9386</v>
      </c>
      <c r="G129" t="s">
        <v>11304</v>
      </c>
      <c r="H129" t="s">
        <v>11305</v>
      </c>
    </row>
    <row r="130" spans="1:8">
      <c r="A130" t="s">
        <v>2642</v>
      </c>
      <c r="B130" t="s">
        <v>2643</v>
      </c>
      <c r="C130" t="s">
        <v>8774</v>
      </c>
      <c r="E130" s="11"/>
    </row>
    <row r="131" spans="1:8">
      <c r="A131" t="s">
        <v>3029</v>
      </c>
      <c r="B131" t="s">
        <v>3030</v>
      </c>
      <c r="C131" t="s">
        <v>8774</v>
      </c>
      <c r="E131" s="11"/>
    </row>
    <row r="132" spans="1:8">
      <c r="A132" t="s">
        <v>3095</v>
      </c>
      <c r="B132" t="s">
        <v>3096</v>
      </c>
      <c r="C132" t="s">
        <v>8774</v>
      </c>
      <c r="E132" s="11"/>
    </row>
    <row r="133" spans="1:8">
      <c r="A133" t="s">
        <v>7140</v>
      </c>
      <c r="B133" t="s">
        <v>7141</v>
      </c>
      <c r="C133" t="s">
        <v>8774</v>
      </c>
      <c r="E133" s="11"/>
    </row>
    <row r="134" spans="1:8">
      <c r="A134" t="s">
        <v>6846</v>
      </c>
      <c r="B134" t="s">
        <v>6847</v>
      </c>
      <c r="C134" t="s">
        <v>8917</v>
      </c>
      <c r="E134" s="11" t="s">
        <v>8918</v>
      </c>
      <c r="F134" s="11" t="s">
        <v>8919</v>
      </c>
      <c r="G134" t="s">
        <v>11631</v>
      </c>
      <c r="H134" t="s">
        <v>11632</v>
      </c>
    </row>
    <row r="135" spans="1:8">
      <c r="A135" t="s">
        <v>784</v>
      </c>
      <c r="B135" t="s">
        <v>785</v>
      </c>
      <c r="C135" t="s">
        <v>10373</v>
      </c>
      <c r="E135" s="11" t="s">
        <v>10374</v>
      </c>
      <c r="F135" s="11" t="s">
        <v>10375</v>
      </c>
      <c r="G135" t="s">
        <v>10376</v>
      </c>
      <c r="H135" t="s">
        <v>10553</v>
      </c>
    </row>
    <row r="136" spans="1:8">
      <c r="A136" t="s">
        <v>784</v>
      </c>
      <c r="B136" t="s">
        <v>785</v>
      </c>
      <c r="C136" t="s">
        <v>10373</v>
      </c>
      <c r="E136" s="11" t="s">
        <v>10374</v>
      </c>
      <c r="F136" s="11" t="s">
        <v>10377</v>
      </c>
      <c r="G136" t="s">
        <v>10554</v>
      </c>
      <c r="H136" t="s">
        <v>10555</v>
      </c>
    </row>
    <row r="137" spans="1:8">
      <c r="A137" t="s">
        <v>784</v>
      </c>
      <c r="B137" t="s">
        <v>785</v>
      </c>
      <c r="C137" t="s">
        <v>10373</v>
      </c>
      <c r="E137" s="11" t="s">
        <v>10374</v>
      </c>
      <c r="F137" s="11" t="s">
        <v>10378</v>
      </c>
      <c r="G137" t="s">
        <v>10556</v>
      </c>
      <c r="H137" t="s">
        <v>10557</v>
      </c>
    </row>
    <row r="138" spans="1:8">
      <c r="A138" t="s">
        <v>729</v>
      </c>
      <c r="B138" t="s">
        <v>730</v>
      </c>
      <c r="C138" t="s">
        <v>10388</v>
      </c>
      <c r="E138" s="11"/>
    </row>
    <row r="139" spans="1:8">
      <c r="A139" t="s">
        <v>6628</v>
      </c>
      <c r="B139" t="s">
        <v>6629</v>
      </c>
      <c r="C139" t="s">
        <v>8982</v>
      </c>
      <c r="E139" s="11" t="s">
        <v>8983</v>
      </c>
      <c r="F139" s="11" t="s">
        <v>8984</v>
      </c>
      <c r="G139" t="s">
        <v>11589</v>
      </c>
      <c r="H139" t="s">
        <v>8985</v>
      </c>
    </row>
    <row r="140" spans="1:8">
      <c r="A140" t="s">
        <v>6628</v>
      </c>
      <c r="B140" t="s">
        <v>6629</v>
      </c>
      <c r="C140" t="s">
        <v>8982</v>
      </c>
      <c r="E140" s="11" t="s">
        <v>8983</v>
      </c>
      <c r="F140" s="11" t="s">
        <v>8986</v>
      </c>
      <c r="G140" t="s">
        <v>11590</v>
      </c>
      <c r="H140" t="s">
        <v>8987</v>
      </c>
    </row>
    <row r="141" spans="1:8">
      <c r="A141" t="s">
        <v>6628</v>
      </c>
      <c r="B141" t="s">
        <v>6629</v>
      </c>
      <c r="C141" t="s">
        <v>8982</v>
      </c>
      <c r="E141" s="11" t="s">
        <v>8983</v>
      </c>
      <c r="F141" s="11" t="s">
        <v>8988</v>
      </c>
      <c r="G141" t="s">
        <v>11591</v>
      </c>
      <c r="H141" t="s">
        <v>8989</v>
      </c>
    </row>
    <row r="142" spans="1:8">
      <c r="A142" t="s">
        <v>6628</v>
      </c>
      <c r="B142" t="s">
        <v>6629</v>
      </c>
      <c r="C142" t="s">
        <v>8982</v>
      </c>
      <c r="E142" s="11" t="s">
        <v>8983</v>
      </c>
      <c r="F142" s="11" t="s">
        <v>8990</v>
      </c>
      <c r="G142" t="s">
        <v>11592</v>
      </c>
      <c r="H142" t="s">
        <v>8991</v>
      </c>
    </row>
    <row r="143" spans="1:8">
      <c r="A143" t="s">
        <v>6628</v>
      </c>
      <c r="B143" t="s">
        <v>6629</v>
      </c>
      <c r="C143" t="s">
        <v>8982</v>
      </c>
      <c r="E143" s="11" t="s">
        <v>8983</v>
      </c>
      <c r="F143" s="11" t="s">
        <v>8992</v>
      </c>
      <c r="G143" t="s">
        <v>11593</v>
      </c>
      <c r="H143" t="s">
        <v>8993</v>
      </c>
    </row>
    <row r="144" spans="1:8">
      <c r="A144" t="s">
        <v>6628</v>
      </c>
      <c r="B144" t="s">
        <v>6629</v>
      </c>
      <c r="C144" t="s">
        <v>8982</v>
      </c>
      <c r="E144" s="11" t="s">
        <v>8983</v>
      </c>
      <c r="F144" s="11" t="s">
        <v>8994</v>
      </c>
      <c r="G144" t="s">
        <v>11594</v>
      </c>
      <c r="H144" t="s">
        <v>8995</v>
      </c>
    </row>
    <row r="145" spans="1:8">
      <c r="A145" t="s">
        <v>6612</v>
      </c>
      <c r="B145" t="s">
        <v>6613</v>
      </c>
      <c r="C145" t="s">
        <v>9003</v>
      </c>
      <c r="E145" s="11" t="s">
        <v>9004</v>
      </c>
      <c r="F145" s="11" t="s">
        <v>9005</v>
      </c>
      <c r="G145" t="s">
        <v>11586</v>
      </c>
      <c r="H145" t="s">
        <v>9006</v>
      </c>
    </row>
    <row r="146" spans="1:8">
      <c r="A146" t="s">
        <v>6612</v>
      </c>
      <c r="B146" t="s">
        <v>6613</v>
      </c>
      <c r="C146" t="s">
        <v>9003</v>
      </c>
      <c r="E146" s="11" t="s">
        <v>9004</v>
      </c>
      <c r="F146" s="11" t="s">
        <v>9007</v>
      </c>
      <c r="G146" t="s">
        <v>11587</v>
      </c>
      <c r="H146" t="s">
        <v>11588</v>
      </c>
    </row>
    <row r="147" spans="1:8">
      <c r="A147" t="s">
        <v>6615</v>
      </c>
      <c r="B147" t="s">
        <v>6616</v>
      </c>
      <c r="C147" t="s">
        <v>9003</v>
      </c>
      <c r="E147" s="11" t="s">
        <v>9004</v>
      </c>
      <c r="F147" s="11" t="s">
        <v>9005</v>
      </c>
      <c r="G147" t="s">
        <v>11586</v>
      </c>
      <c r="H147" t="s">
        <v>9006</v>
      </c>
    </row>
    <row r="148" spans="1:8">
      <c r="A148" t="s">
        <v>6615</v>
      </c>
      <c r="B148" t="s">
        <v>6616</v>
      </c>
      <c r="C148" t="s">
        <v>9003</v>
      </c>
      <c r="E148" s="11" t="s">
        <v>9004</v>
      </c>
      <c r="F148" s="11" t="s">
        <v>9007</v>
      </c>
      <c r="G148" t="s">
        <v>11587</v>
      </c>
      <c r="H148" t="s">
        <v>11588</v>
      </c>
    </row>
    <row r="149" spans="1:8">
      <c r="A149" t="s">
        <v>2707</v>
      </c>
      <c r="B149" t="s">
        <v>2708</v>
      </c>
      <c r="C149" t="s">
        <v>10015</v>
      </c>
      <c r="E149" s="11" t="s">
        <v>10016</v>
      </c>
      <c r="F149" s="11" t="s">
        <v>10017</v>
      </c>
      <c r="G149" t="s">
        <v>10888</v>
      </c>
      <c r="H149" t="s">
        <v>10889</v>
      </c>
    </row>
    <row r="150" spans="1:8">
      <c r="A150" t="s">
        <v>1616</v>
      </c>
      <c r="B150" t="s">
        <v>1617</v>
      </c>
      <c r="C150" t="s">
        <v>8554</v>
      </c>
      <c r="E150" s="11"/>
    </row>
    <row r="151" spans="1:8">
      <c r="A151" t="s">
        <v>6568</v>
      </c>
      <c r="B151" t="s">
        <v>6569</v>
      </c>
      <c r="C151" t="s">
        <v>8554</v>
      </c>
      <c r="E151" s="11"/>
    </row>
    <row r="152" spans="1:8">
      <c r="A152" t="s">
        <v>8138</v>
      </c>
      <c r="B152" t="s">
        <v>8139</v>
      </c>
      <c r="C152" t="s">
        <v>8554</v>
      </c>
      <c r="E152" s="11"/>
    </row>
    <row r="153" spans="1:8">
      <c r="A153" t="s">
        <v>458</v>
      </c>
      <c r="B153" t="s">
        <v>459</v>
      </c>
      <c r="C153" t="s">
        <v>10429</v>
      </c>
      <c r="E153" s="11"/>
    </row>
    <row r="154" spans="1:8">
      <c r="A154" t="s">
        <v>6632</v>
      </c>
      <c r="B154" t="s">
        <v>6633</v>
      </c>
      <c r="C154" t="s">
        <v>8972</v>
      </c>
      <c r="E154" s="11" t="s">
        <v>8973</v>
      </c>
      <c r="F154" s="11" t="s">
        <v>8974</v>
      </c>
      <c r="G154" t="s">
        <v>11595</v>
      </c>
      <c r="H154" t="s">
        <v>11608</v>
      </c>
    </row>
    <row r="155" spans="1:8">
      <c r="A155" t="s">
        <v>6632</v>
      </c>
      <c r="B155" t="s">
        <v>6633</v>
      </c>
      <c r="C155" t="s">
        <v>8972</v>
      </c>
      <c r="E155" s="11" t="s">
        <v>8973</v>
      </c>
      <c r="F155" s="11" t="s">
        <v>8975</v>
      </c>
      <c r="G155" t="s">
        <v>11595</v>
      </c>
      <c r="H155" t="s">
        <v>11596</v>
      </c>
    </row>
    <row r="156" spans="1:8">
      <c r="A156" t="s">
        <v>6632</v>
      </c>
      <c r="B156" t="s">
        <v>6633</v>
      </c>
      <c r="C156" t="s">
        <v>8972</v>
      </c>
      <c r="E156" s="11" t="s">
        <v>8973</v>
      </c>
      <c r="F156" s="11" t="s">
        <v>8976</v>
      </c>
      <c r="G156" t="s">
        <v>11597</v>
      </c>
      <c r="H156" t="s">
        <v>11598</v>
      </c>
    </row>
    <row r="157" spans="1:8">
      <c r="A157" t="s">
        <v>6632</v>
      </c>
      <c r="B157" t="s">
        <v>6633</v>
      </c>
      <c r="C157" t="s">
        <v>8972</v>
      </c>
      <c r="E157" s="11" t="s">
        <v>8973</v>
      </c>
      <c r="F157" s="11" t="s">
        <v>8977</v>
      </c>
      <c r="G157" t="s">
        <v>11599</v>
      </c>
      <c r="H157" t="s">
        <v>11600</v>
      </c>
    </row>
    <row r="158" spans="1:8">
      <c r="A158" t="s">
        <v>6632</v>
      </c>
      <c r="B158" t="s">
        <v>6633</v>
      </c>
      <c r="C158" t="s">
        <v>8972</v>
      </c>
      <c r="E158" s="11" t="s">
        <v>8973</v>
      </c>
      <c r="F158" s="11" t="s">
        <v>8978</v>
      </c>
      <c r="G158" t="s">
        <v>11599</v>
      </c>
      <c r="H158" t="s">
        <v>11601</v>
      </c>
    </row>
    <row r="159" spans="1:8">
      <c r="A159" t="s">
        <v>6632</v>
      </c>
      <c r="B159" t="s">
        <v>6633</v>
      </c>
      <c r="C159" t="s">
        <v>8972</v>
      </c>
      <c r="E159" s="11" t="s">
        <v>8973</v>
      </c>
      <c r="F159" s="11" t="s">
        <v>8979</v>
      </c>
      <c r="G159" t="s">
        <v>11602</v>
      </c>
      <c r="H159" t="s">
        <v>11603</v>
      </c>
    </row>
    <row r="160" spans="1:8">
      <c r="A160" t="s">
        <v>6632</v>
      </c>
      <c r="B160" t="s">
        <v>6633</v>
      </c>
      <c r="C160" t="s">
        <v>8972</v>
      </c>
      <c r="E160" s="11" t="s">
        <v>8973</v>
      </c>
      <c r="F160" s="11" t="s">
        <v>8980</v>
      </c>
      <c r="G160" t="s">
        <v>11604</v>
      </c>
      <c r="H160" t="s">
        <v>11605</v>
      </c>
    </row>
    <row r="161" spans="1:8">
      <c r="A161" t="s">
        <v>6632</v>
      </c>
      <c r="B161" t="s">
        <v>6633</v>
      </c>
      <c r="C161" t="s">
        <v>8972</v>
      </c>
      <c r="E161" s="11" t="s">
        <v>8973</v>
      </c>
      <c r="F161" s="11" t="s">
        <v>8981</v>
      </c>
      <c r="G161" t="s">
        <v>11606</v>
      </c>
      <c r="H161" t="s">
        <v>11607</v>
      </c>
    </row>
    <row r="162" spans="1:8">
      <c r="A162" t="s">
        <v>6636</v>
      </c>
      <c r="B162" t="s">
        <v>6637</v>
      </c>
      <c r="C162" t="s">
        <v>8972</v>
      </c>
      <c r="E162" s="11" t="s">
        <v>8973</v>
      </c>
      <c r="F162" s="11" t="s">
        <v>8974</v>
      </c>
      <c r="G162" t="s">
        <v>11595</v>
      </c>
      <c r="H162" t="s">
        <v>11608</v>
      </c>
    </row>
    <row r="163" spans="1:8">
      <c r="A163" t="s">
        <v>6636</v>
      </c>
      <c r="B163" t="s">
        <v>6637</v>
      </c>
      <c r="C163" t="s">
        <v>8972</v>
      </c>
      <c r="E163" s="11" t="s">
        <v>8973</v>
      </c>
      <c r="F163" s="11" t="s">
        <v>8975</v>
      </c>
      <c r="G163" t="s">
        <v>11595</v>
      </c>
      <c r="H163" t="s">
        <v>11596</v>
      </c>
    </row>
    <row r="164" spans="1:8">
      <c r="A164" t="s">
        <v>6636</v>
      </c>
      <c r="B164" t="s">
        <v>6637</v>
      </c>
      <c r="C164" t="s">
        <v>8972</v>
      </c>
      <c r="E164" s="11" t="s">
        <v>8973</v>
      </c>
      <c r="F164" s="11" t="s">
        <v>8976</v>
      </c>
      <c r="G164" t="s">
        <v>11597</v>
      </c>
      <c r="H164" t="s">
        <v>11598</v>
      </c>
    </row>
    <row r="165" spans="1:8">
      <c r="A165" t="s">
        <v>6636</v>
      </c>
      <c r="B165" t="s">
        <v>6637</v>
      </c>
      <c r="C165" t="s">
        <v>8972</v>
      </c>
      <c r="E165" s="11" t="s">
        <v>8973</v>
      </c>
      <c r="F165" s="11" t="s">
        <v>8977</v>
      </c>
      <c r="G165" t="s">
        <v>11599</v>
      </c>
      <c r="H165" t="s">
        <v>11600</v>
      </c>
    </row>
    <row r="166" spans="1:8">
      <c r="A166" t="s">
        <v>6636</v>
      </c>
      <c r="B166" t="s">
        <v>6637</v>
      </c>
      <c r="C166" t="s">
        <v>8972</v>
      </c>
      <c r="E166" s="11" t="s">
        <v>8973</v>
      </c>
      <c r="F166" s="11" t="s">
        <v>8978</v>
      </c>
      <c r="G166" t="s">
        <v>11599</v>
      </c>
      <c r="H166" t="s">
        <v>11601</v>
      </c>
    </row>
    <row r="167" spans="1:8">
      <c r="A167" t="s">
        <v>6636</v>
      </c>
      <c r="B167" t="s">
        <v>6637</v>
      </c>
      <c r="C167" t="s">
        <v>8972</v>
      </c>
      <c r="E167" s="11" t="s">
        <v>8973</v>
      </c>
      <c r="F167" s="11" t="s">
        <v>8979</v>
      </c>
      <c r="G167" t="s">
        <v>11602</v>
      </c>
      <c r="H167" t="s">
        <v>11603</v>
      </c>
    </row>
    <row r="168" spans="1:8">
      <c r="A168" t="s">
        <v>6636</v>
      </c>
      <c r="B168" t="s">
        <v>6637</v>
      </c>
      <c r="C168" t="s">
        <v>8972</v>
      </c>
      <c r="E168" s="11" t="s">
        <v>8973</v>
      </c>
      <c r="F168" s="11" t="s">
        <v>8980</v>
      </c>
      <c r="G168" t="s">
        <v>11604</v>
      </c>
      <c r="H168" t="s">
        <v>11605</v>
      </c>
    </row>
    <row r="169" spans="1:8">
      <c r="A169" t="s">
        <v>6636</v>
      </c>
      <c r="B169" t="s">
        <v>6637</v>
      </c>
      <c r="C169" t="s">
        <v>8972</v>
      </c>
      <c r="E169" s="11" t="s">
        <v>8973</v>
      </c>
      <c r="F169" s="11" t="s">
        <v>8981</v>
      </c>
      <c r="G169" t="s">
        <v>11606</v>
      </c>
      <c r="H169" t="s">
        <v>11607</v>
      </c>
    </row>
    <row r="170" spans="1:8">
      <c r="A170" t="s">
        <v>189</v>
      </c>
      <c r="B170" t="s">
        <v>190</v>
      </c>
      <c r="C170" t="s">
        <v>10458</v>
      </c>
      <c r="E170" s="11"/>
    </row>
    <row r="171" spans="1:8">
      <c r="A171" t="s">
        <v>3298</v>
      </c>
      <c r="B171" t="s">
        <v>3299</v>
      </c>
      <c r="C171" t="s">
        <v>9910</v>
      </c>
      <c r="E171" s="11" t="s">
        <v>9911</v>
      </c>
      <c r="F171" s="11" t="s">
        <v>9912</v>
      </c>
      <c r="G171" t="s">
        <v>10977</v>
      </c>
      <c r="H171" t="s">
        <v>10978</v>
      </c>
    </row>
    <row r="172" spans="1:8">
      <c r="A172" t="s">
        <v>3298</v>
      </c>
      <c r="B172" t="s">
        <v>3299</v>
      </c>
      <c r="C172" t="s">
        <v>9910</v>
      </c>
      <c r="E172" s="11" t="s">
        <v>9911</v>
      </c>
      <c r="F172" s="11" t="s">
        <v>9913</v>
      </c>
      <c r="G172" t="s">
        <v>10979</v>
      </c>
      <c r="H172" t="s">
        <v>10980</v>
      </c>
    </row>
    <row r="173" spans="1:8">
      <c r="A173" t="s">
        <v>8222</v>
      </c>
      <c r="B173" t="s">
        <v>8223</v>
      </c>
      <c r="C173" t="s">
        <v>8524</v>
      </c>
      <c r="E173" s="11" t="s">
        <v>8525</v>
      </c>
      <c r="F173" s="11" t="s">
        <v>8526</v>
      </c>
      <c r="G173" t="s">
        <v>11784</v>
      </c>
      <c r="H173" t="s">
        <v>11785</v>
      </c>
    </row>
    <row r="174" spans="1:8">
      <c r="A174" t="s">
        <v>6144</v>
      </c>
      <c r="B174" t="s">
        <v>6145</v>
      </c>
      <c r="C174" t="s">
        <v>9136</v>
      </c>
      <c r="E174" s="11" t="s">
        <v>9137</v>
      </c>
      <c r="F174" s="11" t="s">
        <v>9138</v>
      </c>
      <c r="G174" t="s">
        <v>11485</v>
      </c>
      <c r="H174" t="s">
        <v>11486</v>
      </c>
    </row>
    <row r="175" spans="1:8">
      <c r="A175" t="s">
        <v>7966</v>
      </c>
      <c r="B175" t="s">
        <v>7967</v>
      </c>
      <c r="C175" t="s">
        <v>8562</v>
      </c>
      <c r="E175" s="11" t="s">
        <v>8563</v>
      </c>
      <c r="F175" s="11" t="s">
        <v>8564</v>
      </c>
      <c r="G175" t="s">
        <v>11774</v>
      </c>
      <c r="H175" t="s">
        <v>11775</v>
      </c>
    </row>
    <row r="176" spans="1:8">
      <c r="A176" t="s">
        <v>1938</v>
      </c>
      <c r="B176" t="s">
        <v>1939</v>
      </c>
      <c r="C176" t="s">
        <v>9859</v>
      </c>
      <c r="E176" s="11"/>
    </row>
    <row r="177" spans="1:8">
      <c r="A177" t="s">
        <v>2335</v>
      </c>
      <c r="B177" t="s">
        <v>2336</v>
      </c>
      <c r="C177" t="s">
        <v>9859</v>
      </c>
      <c r="E177" s="11"/>
    </row>
    <row r="178" spans="1:8">
      <c r="A178" t="s">
        <v>3548</v>
      </c>
      <c r="B178" t="s">
        <v>3549</v>
      </c>
      <c r="C178" t="s">
        <v>9859</v>
      </c>
      <c r="E178" s="11"/>
    </row>
    <row r="179" spans="1:8">
      <c r="A179" t="s">
        <v>5436</v>
      </c>
      <c r="B179" t="s">
        <v>5437</v>
      </c>
      <c r="C179" t="s">
        <v>9413</v>
      </c>
      <c r="E179" s="11" t="s">
        <v>9414</v>
      </c>
      <c r="F179" s="11" t="s">
        <v>9415</v>
      </c>
      <c r="G179" t="s">
        <v>11282</v>
      </c>
      <c r="H179" t="s">
        <v>11283</v>
      </c>
    </row>
    <row r="180" spans="1:8">
      <c r="A180" t="s">
        <v>5436</v>
      </c>
      <c r="B180" t="s">
        <v>5437</v>
      </c>
      <c r="C180" t="s">
        <v>9413</v>
      </c>
      <c r="E180" s="11" t="s">
        <v>9414</v>
      </c>
      <c r="F180" s="11" t="s">
        <v>9416</v>
      </c>
      <c r="G180" t="s">
        <v>11284</v>
      </c>
      <c r="H180" t="s">
        <v>11285</v>
      </c>
    </row>
    <row r="181" spans="1:8">
      <c r="A181" t="s">
        <v>6934</v>
      </c>
      <c r="B181" t="s">
        <v>6935</v>
      </c>
      <c r="C181" t="s">
        <v>8837</v>
      </c>
      <c r="E181" s="11" t="s">
        <v>8838</v>
      </c>
      <c r="F181" s="11" t="s">
        <v>8839</v>
      </c>
      <c r="G181" t="s">
        <v>11647</v>
      </c>
      <c r="H181" t="s">
        <v>11648</v>
      </c>
    </row>
    <row r="182" spans="1:8">
      <c r="A182" t="s">
        <v>6934</v>
      </c>
      <c r="B182" t="s">
        <v>6935</v>
      </c>
      <c r="C182" t="s">
        <v>8837</v>
      </c>
      <c r="E182" s="11" t="s">
        <v>8838</v>
      </c>
      <c r="F182" s="11" t="s">
        <v>8840</v>
      </c>
      <c r="G182" t="s">
        <v>11649</v>
      </c>
      <c r="H182" t="s">
        <v>11650</v>
      </c>
    </row>
    <row r="183" spans="1:8">
      <c r="A183" t="s">
        <v>6934</v>
      </c>
      <c r="B183" t="s">
        <v>6935</v>
      </c>
      <c r="C183" t="s">
        <v>8837</v>
      </c>
      <c r="E183" s="11" t="s">
        <v>8838</v>
      </c>
      <c r="F183" s="11" t="s">
        <v>8841</v>
      </c>
      <c r="G183" t="s">
        <v>11651</v>
      </c>
      <c r="H183" t="s">
        <v>11652</v>
      </c>
    </row>
    <row r="184" spans="1:8">
      <c r="A184" t="s">
        <v>6934</v>
      </c>
      <c r="B184" t="s">
        <v>6935</v>
      </c>
      <c r="C184" t="s">
        <v>8837</v>
      </c>
      <c r="E184" s="11" t="s">
        <v>8838</v>
      </c>
      <c r="F184" s="11" t="s">
        <v>8842</v>
      </c>
      <c r="G184" t="s">
        <v>11653</v>
      </c>
      <c r="H184" t="s">
        <v>11654</v>
      </c>
    </row>
    <row r="185" spans="1:8">
      <c r="A185" t="s">
        <v>6934</v>
      </c>
      <c r="B185" t="s">
        <v>6935</v>
      </c>
      <c r="C185" t="s">
        <v>8837</v>
      </c>
      <c r="E185" s="11" t="s">
        <v>8838</v>
      </c>
      <c r="F185" s="11" t="s">
        <v>8843</v>
      </c>
      <c r="G185" t="s">
        <v>11655</v>
      </c>
      <c r="H185" t="s">
        <v>11656</v>
      </c>
    </row>
    <row r="186" spans="1:8">
      <c r="A186" t="s">
        <v>6934</v>
      </c>
      <c r="B186" t="s">
        <v>6935</v>
      </c>
      <c r="C186" t="s">
        <v>8837</v>
      </c>
      <c r="E186" s="11" t="s">
        <v>8838</v>
      </c>
      <c r="F186" s="11" t="s">
        <v>8844</v>
      </c>
      <c r="G186" t="s">
        <v>11657</v>
      </c>
      <c r="H186" t="s">
        <v>11658</v>
      </c>
    </row>
    <row r="187" spans="1:8">
      <c r="A187" t="s">
        <v>6934</v>
      </c>
      <c r="B187" t="s">
        <v>6935</v>
      </c>
      <c r="C187" t="s">
        <v>8837</v>
      </c>
      <c r="E187" s="11" t="s">
        <v>8838</v>
      </c>
      <c r="F187" s="11" t="s">
        <v>8845</v>
      </c>
      <c r="G187" t="s">
        <v>11659</v>
      </c>
      <c r="H187" t="s">
        <v>11660</v>
      </c>
    </row>
    <row r="188" spans="1:8">
      <c r="A188" t="s">
        <v>6934</v>
      </c>
      <c r="B188" t="s">
        <v>6935</v>
      </c>
      <c r="C188" t="s">
        <v>8837</v>
      </c>
      <c r="E188" s="11" t="s">
        <v>8838</v>
      </c>
      <c r="F188" s="11" t="s">
        <v>8846</v>
      </c>
      <c r="G188" t="s">
        <v>11661</v>
      </c>
      <c r="H188" t="s">
        <v>11662</v>
      </c>
    </row>
    <row r="189" spans="1:8">
      <c r="A189" t="s">
        <v>6946</v>
      </c>
      <c r="B189" t="s">
        <v>6947</v>
      </c>
      <c r="C189" t="s">
        <v>8837</v>
      </c>
      <c r="E189" s="11" t="s">
        <v>8838</v>
      </c>
      <c r="F189" s="11" t="s">
        <v>8839</v>
      </c>
      <c r="G189" t="s">
        <v>11647</v>
      </c>
      <c r="H189" t="s">
        <v>11648</v>
      </c>
    </row>
    <row r="190" spans="1:8">
      <c r="A190" t="s">
        <v>6946</v>
      </c>
      <c r="B190" t="s">
        <v>6947</v>
      </c>
      <c r="C190" t="s">
        <v>8837</v>
      </c>
      <c r="E190" s="11" t="s">
        <v>8838</v>
      </c>
      <c r="F190" s="11" t="s">
        <v>8840</v>
      </c>
      <c r="G190" t="s">
        <v>11649</v>
      </c>
      <c r="H190" t="s">
        <v>11650</v>
      </c>
    </row>
    <row r="191" spans="1:8">
      <c r="A191" t="s">
        <v>6946</v>
      </c>
      <c r="B191" t="s">
        <v>6947</v>
      </c>
      <c r="C191" t="s">
        <v>8837</v>
      </c>
      <c r="E191" s="11" t="s">
        <v>8838</v>
      </c>
      <c r="F191" s="11" t="s">
        <v>8841</v>
      </c>
      <c r="G191" t="s">
        <v>11651</v>
      </c>
      <c r="H191" t="s">
        <v>11652</v>
      </c>
    </row>
    <row r="192" spans="1:8">
      <c r="A192" t="s">
        <v>6946</v>
      </c>
      <c r="B192" t="s">
        <v>6947</v>
      </c>
      <c r="C192" t="s">
        <v>8837</v>
      </c>
      <c r="E192" s="11" t="s">
        <v>8838</v>
      </c>
      <c r="F192" s="11" t="s">
        <v>8842</v>
      </c>
      <c r="G192" t="s">
        <v>11653</v>
      </c>
      <c r="H192" t="s">
        <v>11654</v>
      </c>
    </row>
    <row r="193" spans="1:8">
      <c r="A193" t="s">
        <v>6946</v>
      </c>
      <c r="B193" t="s">
        <v>6947</v>
      </c>
      <c r="C193" t="s">
        <v>8837</v>
      </c>
      <c r="E193" s="11" t="s">
        <v>8838</v>
      </c>
      <c r="F193" s="11" t="s">
        <v>8843</v>
      </c>
      <c r="G193" t="s">
        <v>11655</v>
      </c>
      <c r="H193" t="s">
        <v>11656</v>
      </c>
    </row>
    <row r="194" spans="1:8">
      <c r="A194" t="s">
        <v>6946</v>
      </c>
      <c r="B194" t="s">
        <v>6947</v>
      </c>
      <c r="C194" t="s">
        <v>8837</v>
      </c>
      <c r="E194" s="11" t="s">
        <v>8838</v>
      </c>
      <c r="F194" s="11" t="s">
        <v>8844</v>
      </c>
      <c r="G194" t="s">
        <v>11657</v>
      </c>
      <c r="H194" t="s">
        <v>11658</v>
      </c>
    </row>
    <row r="195" spans="1:8">
      <c r="A195" t="s">
        <v>6946</v>
      </c>
      <c r="B195" t="s">
        <v>6947</v>
      </c>
      <c r="C195" t="s">
        <v>8837</v>
      </c>
      <c r="E195" s="11" t="s">
        <v>8838</v>
      </c>
      <c r="F195" s="11" t="s">
        <v>8845</v>
      </c>
      <c r="G195" t="s">
        <v>11659</v>
      </c>
      <c r="H195" t="s">
        <v>11660</v>
      </c>
    </row>
    <row r="196" spans="1:8">
      <c r="A196" t="s">
        <v>6946</v>
      </c>
      <c r="B196" t="s">
        <v>6947</v>
      </c>
      <c r="C196" t="s">
        <v>8837</v>
      </c>
      <c r="E196" s="11" t="s">
        <v>8838</v>
      </c>
      <c r="F196" s="11" t="s">
        <v>8846</v>
      </c>
      <c r="G196" t="s">
        <v>11661</v>
      </c>
      <c r="H196" t="s">
        <v>11662</v>
      </c>
    </row>
    <row r="197" spans="1:8">
      <c r="A197" t="s">
        <v>5547</v>
      </c>
      <c r="B197" t="s">
        <v>5548</v>
      </c>
      <c r="C197" t="s">
        <v>9371</v>
      </c>
      <c r="E197" s="11" t="s">
        <v>9372</v>
      </c>
      <c r="F197" s="11" t="s">
        <v>9373</v>
      </c>
      <c r="G197" t="s">
        <v>11314</v>
      </c>
      <c r="H197" t="s">
        <v>11315</v>
      </c>
    </row>
    <row r="198" spans="1:8">
      <c r="A198" t="s">
        <v>2937</v>
      </c>
      <c r="B198" t="s">
        <v>2938</v>
      </c>
      <c r="C198" t="s">
        <v>9958</v>
      </c>
      <c r="E198" s="11" t="s">
        <v>9959</v>
      </c>
      <c r="F198" s="11" t="s">
        <v>9960</v>
      </c>
      <c r="G198" t="s">
        <v>10939</v>
      </c>
      <c r="H198" t="s">
        <v>10940</v>
      </c>
    </row>
    <row r="199" spans="1:8">
      <c r="A199" t="s">
        <v>2937</v>
      </c>
      <c r="B199" t="s">
        <v>2938</v>
      </c>
      <c r="C199" t="s">
        <v>9958</v>
      </c>
      <c r="E199" s="11" t="s">
        <v>9959</v>
      </c>
      <c r="F199" s="11" t="s">
        <v>9961</v>
      </c>
      <c r="G199" t="s">
        <v>10941</v>
      </c>
      <c r="H199" t="s">
        <v>10939</v>
      </c>
    </row>
    <row r="200" spans="1:8">
      <c r="A200" t="s">
        <v>4419</v>
      </c>
      <c r="B200" t="s">
        <v>4420</v>
      </c>
      <c r="C200" t="s">
        <v>9653</v>
      </c>
      <c r="E200" s="11" t="s">
        <v>9654</v>
      </c>
      <c r="F200" s="11" t="s">
        <v>9655</v>
      </c>
      <c r="G200" t="s">
        <v>11146</v>
      </c>
      <c r="H200" t="s">
        <v>11147</v>
      </c>
    </row>
    <row r="201" spans="1:8">
      <c r="A201" t="s">
        <v>4419</v>
      </c>
      <c r="B201" t="s">
        <v>4420</v>
      </c>
      <c r="C201" t="s">
        <v>9653</v>
      </c>
      <c r="E201" s="11" t="s">
        <v>9654</v>
      </c>
      <c r="F201" s="11" t="s">
        <v>9656</v>
      </c>
      <c r="G201" t="s">
        <v>11148</v>
      </c>
      <c r="H201" t="s">
        <v>11149</v>
      </c>
    </row>
    <row r="202" spans="1:8">
      <c r="A202" t="s">
        <v>4419</v>
      </c>
      <c r="B202" t="s">
        <v>4420</v>
      </c>
      <c r="C202" t="s">
        <v>9653</v>
      </c>
      <c r="E202" s="11" t="s">
        <v>9654</v>
      </c>
      <c r="F202" s="11" t="s">
        <v>9657</v>
      </c>
      <c r="G202" t="s">
        <v>9658</v>
      </c>
      <c r="H202" t="s">
        <v>11150</v>
      </c>
    </row>
    <row r="203" spans="1:8">
      <c r="A203" t="s">
        <v>186</v>
      </c>
      <c r="B203" t="s">
        <v>187</v>
      </c>
      <c r="C203" t="s">
        <v>8618</v>
      </c>
      <c r="E203" s="11"/>
    </row>
    <row r="204" spans="1:8">
      <c r="A204" t="s">
        <v>504</v>
      </c>
      <c r="B204" t="s">
        <v>505</v>
      </c>
      <c r="C204" t="s">
        <v>8618</v>
      </c>
      <c r="E204" s="11"/>
    </row>
    <row r="205" spans="1:8">
      <c r="A205" t="s">
        <v>1409</v>
      </c>
      <c r="B205" t="s">
        <v>1410</v>
      </c>
      <c r="C205" t="s">
        <v>8618</v>
      </c>
      <c r="E205" s="11"/>
    </row>
    <row r="206" spans="1:8">
      <c r="A206" t="s">
        <v>7652</v>
      </c>
      <c r="B206" t="s">
        <v>7653</v>
      </c>
      <c r="C206" t="s">
        <v>8618</v>
      </c>
      <c r="E206" s="11"/>
    </row>
    <row r="207" spans="1:8">
      <c r="A207" t="s">
        <v>776</v>
      </c>
      <c r="B207" t="s">
        <v>777</v>
      </c>
      <c r="C207" t="s">
        <v>10379</v>
      </c>
      <c r="E207" s="11" t="s">
        <v>10380</v>
      </c>
      <c r="F207" s="11" t="s">
        <v>10381</v>
      </c>
      <c r="G207" t="s">
        <v>10551</v>
      </c>
      <c r="H207" t="s">
        <v>10552</v>
      </c>
    </row>
    <row r="208" spans="1:8">
      <c r="A208" t="s">
        <v>2710</v>
      </c>
      <c r="B208" t="s">
        <v>2711</v>
      </c>
      <c r="C208" t="s">
        <v>10012</v>
      </c>
      <c r="E208" s="11" t="s">
        <v>10013</v>
      </c>
      <c r="F208" s="11" t="s">
        <v>10014</v>
      </c>
      <c r="G208" t="s">
        <v>10890</v>
      </c>
      <c r="H208" t="s">
        <v>10891</v>
      </c>
    </row>
    <row r="209" spans="1:8">
      <c r="A209" t="s">
        <v>3931</v>
      </c>
      <c r="B209" t="s">
        <v>3932</v>
      </c>
      <c r="C209" t="s">
        <v>9762</v>
      </c>
      <c r="E209" s="11" t="s">
        <v>9763</v>
      </c>
      <c r="F209" s="11" t="s">
        <v>9764</v>
      </c>
      <c r="G209" t="s">
        <v>11080</v>
      </c>
      <c r="H209" t="s">
        <v>11081</v>
      </c>
    </row>
    <row r="210" spans="1:8">
      <c r="A210" t="s">
        <v>6493</v>
      </c>
      <c r="B210" t="s">
        <v>6494</v>
      </c>
      <c r="C210" t="s">
        <v>9063</v>
      </c>
      <c r="E210" s="11" t="s">
        <v>9064</v>
      </c>
      <c r="F210" s="11" t="s">
        <v>9065</v>
      </c>
      <c r="G210" t="s">
        <v>11525</v>
      </c>
      <c r="H210" t="s">
        <v>11526</v>
      </c>
    </row>
    <row r="211" spans="1:8">
      <c r="A211" t="s">
        <v>7333</v>
      </c>
      <c r="B211" t="s">
        <v>7334</v>
      </c>
      <c r="C211" t="s">
        <v>8694</v>
      </c>
      <c r="E211" s="11" t="s">
        <v>8697</v>
      </c>
      <c r="F211" s="11" t="s">
        <v>8698</v>
      </c>
      <c r="G211" t="s">
        <v>11725</v>
      </c>
      <c r="H211" t="s">
        <v>11726</v>
      </c>
    </row>
    <row r="212" spans="1:8">
      <c r="A212" t="s">
        <v>7333</v>
      </c>
      <c r="B212" t="s">
        <v>7334</v>
      </c>
      <c r="C212" t="s">
        <v>8694</v>
      </c>
      <c r="E212" s="11" t="s">
        <v>8697</v>
      </c>
      <c r="F212" s="11" t="s">
        <v>11945</v>
      </c>
      <c r="G212" t="s">
        <v>11946</v>
      </c>
      <c r="H212" t="s">
        <v>11950</v>
      </c>
    </row>
    <row r="213" spans="1:8">
      <c r="A213" t="s">
        <v>7333</v>
      </c>
      <c r="B213" t="s">
        <v>7334</v>
      </c>
      <c r="C213" t="s">
        <v>8695</v>
      </c>
      <c r="E213" s="11" t="s">
        <v>8699</v>
      </c>
      <c r="F213" s="11" t="s">
        <v>8700</v>
      </c>
      <c r="G213" t="s">
        <v>11727</v>
      </c>
      <c r="H213" t="s">
        <v>11728</v>
      </c>
    </row>
    <row r="214" spans="1:8">
      <c r="A214" t="s">
        <v>1220</v>
      </c>
      <c r="B214" t="s">
        <v>1221</v>
      </c>
      <c r="C214" t="s">
        <v>10300</v>
      </c>
      <c r="E214" s="11" t="s">
        <v>10301</v>
      </c>
      <c r="F214" s="11" t="s">
        <v>10302</v>
      </c>
      <c r="G214" t="s">
        <v>10630</v>
      </c>
      <c r="H214" t="s">
        <v>10631</v>
      </c>
    </row>
    <row r="215" spans="1:8">
      <c r="A215" t="s">
        <v>7450</v>
      </c>
      <c r="B215" t="s">
        <v>7451</v>
      </c>
      <c r="C215" t="s">
        <v>8657</v>
      </c>
      <c r="E215" s="11" t="s">
        <v>8658</v>
      </c>
      <c r="F215" s="11" t="s">
        <v>8659</v>
      </c>
      <c r="G215" t="s">
        <v>11741</v>
      </c>
      <c r="H215" t="s">
        <v>11742</v>
      </c>
    </row>
    <row r="216" spans="1:8">
      <c r="A216" t="s">
        <v>7333</v>
      </c>
      <c r="B216" t="s">
        <v>7334</v>
      </c>
      <c r="C216" t="s">
        <v>8696</v>
      </c>
      <c r="E216" s="11" t="s">
        <v>8701</v>
      </c>
      <c r="F216" s="11" t="s">
        <v>8702</v>
      </c>
      <c r="G216" t="s">
        <v>11729</v>
      </c>
      <c r="H216" t="s">
        <v>11730</v>
      </c>
    </row>
    <row r="217" spans="1:8">
      <c r="A217" t="s">
        <v>7333</v>
      </c>
      <c r="B217" t="s">
        <v>7334</v>
      </c>
      <c r="C217" t="s">
        <v>8696</v>
      </c>
      <c r="E217" s="11" t="s">
        <v>8701</v>
      </c>
      <c r="F217" s="11" t="s">
        <v>11947</v>
      </c>
      <c r="G217" t="s">
        <v>11948</v>
      </c>
      <c r="H217" t="s">
        <v>11949</v>
      </c>
    </row>
    <row r="218" spans="1:8">
      <c r="A218" t="s">
        <v>6196</v>
      </c>
      <c r="B218" t="s">
        <v>6197</v>
      </c>
      <c r="C218" t="s">
        <v>9119</v>
      </c>
      <c r="E218" s="11" t="s">
        <v>9120</v>
      </c>
      <c r="F218" s="11" t="s">
        <v>9121</v>
      </c>
      <c r="G218" t="s">
        <v>11493</v>
      </c>
      <c r="H218" t="s">
        <v>11494</v>
      </c>
    </row>
    <row r="219" spans="1:8">
      <c r="A219" t="s">
        <v>6196</v>
      </c>
      <c r="B219" t="s">
        <v>6197</v>
      </c>
      <c r="C219" t="s">
        <v>9119</v>
      </c>
      <c r="E219" s="11" t="s">
        <v>9120</v>
      </c>
      <c r="F219" s="11" t="s">
        <v>9122</v>
      </c>
      <c r="G219" t="s">
        <v>11026</v>
      </c>
      <c r="H219" t="s">
        <v>11027</v>
      </c>
    </row>
    <row r="220" spans="1:8">
      <c r="A220" t="s">
        <v>6196</v>
      </c>
      <c r="B220" t="s">
        <v>6197</v>
      </c>
      <c r="C220" t="s">
        <v>9119</v>
      </c>
      <c r="E220" s="11" t="s">
        <v>9120</v>
      </c>
      <c r="F220" s="11" t="s">
        <v>9123</v>
      </c>
      <c r="G220" t="s">
        <v>11495</v>
      </c>
      <c r="H220" t="s">
        <v>11496</v>
      </c>
    </row>
    <row r="221" spans="1:8">
      <c r="A221" t="s">
        <v>3116</v>
      </c>
      <c r="B221" t="s">
        <v>3117</v>
      </c>
      <c r="C221" t="s">
        <v>9945</v>
      </c>
      <c r="E221" s="11" t="s">
        <v>9946</v>
      </c>
      <c r="F221" s="11" t="s">
        <v>9947</v>
      </c>
      <c r="G221" t="s">
        <v>10950</v>
      </c>
      <c r="H221" t="s">
        <v>10951</v>
      </c>
    </row>
    <row r="222" spans="1:8">
      <c r="A222" t="s">
        <v>4266</v>
      </c>
      <c r="B222" t="s">
        <v>4267</v>
      </c>
      <c r="C222" t="s">
        <v>9682</v>
      </c>
      <c r="E222" s="11" t="s">
        <v>9683</v>
      </c>
      <c r="F222" s="11" t="s">
        <v>9684</v>
      </c>
      <c r="G222" t="s">
        <v>11130</v>
      </c>
      <c r="H222" t="s">
        <v>11131</v>
      </c>
    </row>
    <row r="223" spans="1:8">
      <c r="A223" t="s">
        <v>3301</v>
      </c>
      <c r="B223" t="s">
        <v>3302</v>
      </c>
      <c r="C223" t="s">
        <v>8503</v>
      </c>
      <c r="E223" s="11"/>
    </row>
    <row r="224" spans="1:8">
      <c r="A224" t="s">
        <v>7068</v>
      </c>
      <c r="B224" t="s">
        <v>7069</v>
      </c>
      <c r="C224" t="s">
        <v>8503</v>
      </c>
      <c r="E224" s="11"/>
    </row>
    <row r="225" spans="1:8">
      <c r="A225" t="s">
        <v>8304</v>
      </c>
      <c r="B225" t="s">
        <v>8305</v>
      </c>
      <c r="C225" t="s">
        <v>8503</v>
      </c>
      <c r="E225" s="11"/>
    </row>
    <row r="226" spans="1:8">
      <c r="A226" t="s">
        <v>693</v>
      </c>
      <c r="B226" t="s">
        <v>694</v>
      </c>
      <c r="C226" t="s">
        <v>10396</v>
      </c>
      <c r="E226" s="11" t="s">
        <v>10397</v>
      </c>
      <c r="F226" s="11" t="s">
        <v>10398</v>
      </c>
      <c r="G226" t="s">
        <v>10539</v>
      </c>
      <c r="H226" t="s">
        <v>10540</v>
      </c>
    </row>
    <row r="227" spans="1:8">
      <c r="A227" t="s">
        <v>6643</v>
      </c>
      <c r="B227" t="s">
        <v>6644</v>
      </c>
      <c r="C227" t="s">
        <v>8966</v>
      </c>
      <c r="E227" s="11" t="s">
        <v>8967</v>
      </c>
      <c r="F227" s="11" t="s">
        <v>8968</v>
      </c>
      <c r="G227" t="s">
        <v>11596</v>
      </c>
      <c r="H227" t="s">
        <v>11609</v>
      </c>
    </row>
    <row r="228" spans="1:8">
      <c r="A228" t="s">
        <v>6643</v>
      </c>
      <c r="B228" t="s">
        <v>6644</v>
      </c>
      <c r="C228" t="s">
        <v>8966</v>
      </c>
      <c r="E228" s="11" t="s">
        <v>8967</v>
      </c>
      <c r="F228" s="11" t="s">
        <v>8969</v>
      </c>
      <c r="G228" t="s">
        <v>11603</v>
      </c>
      <c r="H228" t="s">
        <v>11610</v>
      </c>
    </row>
    <row r="229" spans="1:8">
      <c r="A229" t="s">
        <v>6643</v>
      </c>
      <c r="B229" t="s">
        <v>6644</v>
      </c>
      <c r="C229" t="s">
        <v>8966</v>
      </c>
      <c r="E229" s="11" t="s">
        <v>8967</v>
      </c>
      <c r="F229" s="11" t="s">
        <v>8970</v>
      </c>
      <c r="G229" t="s">
        <v>11605</v>
      </c>
      <c r="H229" t="s">
        <v>11611</v>
      </c>
    </row>
    <row r="230" spans="1:8">
      <c r="A230" t="s">
        <v>6643</v>
      </c>
      <c r="B230" t="s">
        <v>6644</v>
      </c>
      <c r="C230" t="s">
        <v>8966</v>
      </c>
      <c r="E230" s="11" t="s">
        <v>8967</v>
      </c>
      <c r="F230" s="11" t="s">
        <v>8971</v>
      </c>
      <c r="G230" t="s">
        <v>11612</v>
      </c>
      <c r="H230" t="s">
        <v>11611</v>
      </c>
    </row>
    <row r="231" spans="1:8">
      <c r="A231" t="s">
        <v>1373</v>
      </c>
      <c r="B231" t="s">
        <v>1374</v>
      </c>
      <c r="C231" t="s">
        <v>10240</v>
      </c>
      <c r="E231" s="11" t="s">
        <v>10241</v>
      </c>
      <c r="F231" s="11" t="s">
        <v>10242</v>
      </c>
      <c r="G231" t="s">
        <v>10659</v>
      </c>
      <c r="H231" t="s">
        <v>10660</v>
      </c>
    </row>
    <row r="232" spans="1:8">
      <c r="A232" t="s">
        <v>1057</v>
      </c>
      <c r="B232" t="s">
        <v>1058</v>
      </c>
      <c r="C232" t="s">
        <v>10317</v>
      </c>
      <c r="E232" s="11" t="s">
        <v>10318</v>
      </c>
      <c r="F232" s="11" t="s">
        <v>10319</v>
      </c>
      <c r="G232" t="s">
        <v>10601</v>
      </c>
      <c r="H232" t="s">
        <v>10602</v>
      </c>
    </row>
    <row r="233" spans="1:8">
      <c r="A233" t="s">
        <v>1057</v>
      </c>
      <c r="B233" t="s">
        <v>1058</v>
      </c>
      <c r="C233" t="s">
        <v>10317</v>
      </c>
      <c r="E233" s="11" t="s">
        <v>10318</v>
      </c>
      <c r="F233" s="11" t="s">
        <v>10320</v>
      </c>
      <c r="G233" t="s">
        <v>10603</v>
      </c>
      <c r="H233" t="s">
        <v>10604</v>
      </c>
    </row>
    <row r="234" spans="1:8">
      <c r="A234" t="s">
        <v>1175</v>
      </c>
      <c r="B234" t="s">
        <v>1176</v>
      </c>
      <c r="C234" t="s">
        <v>10317</v>
      </c>
      <c r="E234" s="11" t="s">
        <v>10318</v>
      </c>
      <c r="F234" s="11" t="s">
        <v>10319</v>
      </c>
      <c r="G234" t="s">
        <v>10601</v>
      </c>
      <c r="H234" t="s">
        <v>10602</v>
      </c>
    </row>
    <row r="235" spans="1:8">
      <c r="A235" t="s">
        <v>1175</v>
      </c>
      <c r="B235" t="s">
        <v>1176</v>
      </c>
      <c r="C235" t="s">
        <v>10317</v>
      </c>
      <c r="E235" s="11" t="s">
        <v>10318</v>
      </c>
      <c r="F235" s="11" t="s">
        <v>10320</v>
      </c>
      <c r="G235" t="s">
        <v>10603</v>
      </c>
      <c r="H235" t="s">
        <v>10604</v>
      </c>
    </row>
    <row r="236" spans="1:8">
      <c r="A236" t="s">
        <v>1273</v>
      </c>
      <c r="B236" t="s">
        <v>1274</v>
      </c>
      <c r="C236" t="s">
        <v>10273</v>
      </c>
      <c r="E236" s="11" t="s">
        <v>10274</v>
      </c>
      <c r="F236" s="11" t="s">
        <v>10275</v>
      </c>
      <c r="G236" t="s">
        <v>10645</v>
      </c>
      <c r="H236" t="s">
        <v>10646</v>
      </c>
    </row>
    <row r="237" spans="1:8">
      <c r="A237" t="s">
        <v>4282</v>
      </c>
      <c r="B237" t="s">
        <v>4283</v>
      </c>
      <c r="C237" t="s">
        <v>9673</v>
      </c>
      <c r="E237" s="11" t="s">
        <v>9674</v>
      </c>
      <c r="F237" s="11" t="s">
        <v>9675</v>
      </c>
      <c r="G237" t="s">
        <v>11136</v>
      </c>
      <c r="H237" t="s">
        <v>11137</v>
      </c>
    </row>
    <row r="238" spans="1:8">
      <c r="A238" t="s">
        <v>5214</v>
      </c>
      <c r="B238" t="s">
        <v>5215</v>
      </c>
      <c r="C238" t="s">
        <v>9479</v>
      </c>
      <c r="E238" s="11" t="s">
        <v>9480</v>
      </c>
      <c r="F238" s="11" t="s">
        <v>9481</v>
      </c>
      <c r="G238" t="s">
        <v>11246</v>
      </c>
      <c r="H238" t="s">
        <v>11247</v>
      </c>
    </row>
    <row r="239" spans="1:8">
      <c r="A239" t="s">
        <v>5214</v>
      </c>
      <c r="B239" t="s">
        <v>5215</v>
      </c>
      <c r="C239" t="s">
        <v>9479</v>
      </c>
      <c r="E239" s="11" t="s">
        <v>9480</v>
      </c>
      <c r="F239" s="11" t="s">
        <v>9482</v>
      </c>
      <c r="G239" t="s">
        <v>11246</v>
      </c>
      <c r="H239" t="s">
        <v>11248</v>
      </c>
    </row>
    <row r="240" spans="1:8">
      <c r="A240" t="s">
        <v>5214</v>
      </c>
      <c r="B240" t="s">
        <v>5215</v>
      </c>
      <c r="C240" t="s">
        <v>9479</v>
      </c>
      <c r="E240" s="11" t="s">
        <v>9480</v>
      </c>
      <c r="F240" s="11" t="s">
        <v>9483</v>
      </c>
      <c r="G240" t="s">
        <v>11249</v>
      </c>
      <c r="H240" t="s">
        <v>11247</v>
      </c>
    </row>
    <row r="241" spans="1:8">
      <c r="A241" t="s">
        <v>567</v>
      </c>
      <c r="B241" t="s">
        <v>568</v>
      </c>
      <c r="C241" t="s">
        <v>10415</v>
      </c>
      <c r="E241" s="11" t="s">
        <v>10416</v>
      </c>
      <c r="F241" s="11" t="s">
        <v>10417</v>
      </c>
      <c r="G241" t="s">
        <v>10515</v>
      </c>
      <c r="H241" t="s">
        <v>10516</v>
      </c>
    </row>
    <row r="242" spans="1:8">
      <c r="A242" t="s">
        <v>567</v>
      </c>
      <c r="B242" t="s">
        <v>568</v>
      </c>
      <c r="C242" t="s">
        <v>10415</v>
      </c>
      <c r="E242" s="11" t="s">
        <v>10416</v>
      </c>
      <c r="F242" s="11" t="s">
        <v>9316</v>
      </c>
      <c r="G242" t="s">
        <v>10517</v>
      </c>
      <c r="H242" t="s">
        <v>10518</v>
      </c>
    </row>
    <row r="243" spans="1:8">
      <c r="A243" t="s">
        <v>567</v>
      </c>
      <c r="B243" t="s">
        <v>568</v>
      </c>
      <c r="C243" t="s">
        <v>10415</v>
      </c>
      <c r="E243" s="11" t="s">
        <v>10416</v>
      </c>
      <c r="F243" s="11" t="s">
        <v>8780</v>
      </c>
      <c r="G243" t="s">
        <v>10519</v>
      </c>
      <c r="H243" t="s">
        <v>10520</v>
      </c>
    </row>
    <row r="244" spans="1:8">
      <c r="A244" t="s">
        <v>7207</v>
      </c>
      <c r="B244" t="s">
        <v>7208</v>
      </c>
      <c r="C244" t="s">
        <v>8748</v>
      </c>
      <c r="E244" s="11" t="s">
        <v>8749</v>
      </c>
      <c r="F244" s="11" t="s">
        <v>8750</v>
      </c>
      <c r="G244" t="s">
        <v>11702</v>
      </c>
      <c r="H244" t="s">
        <v>11703</v>
      </c>
    </row>
    <row r="245" spans="1:8">
      <c r="A245" t="s">
        <v>5732</v>
      </c>
      <c r="B245" t="s">
        <v>5733</v>
      </c>
      <c r="C245" t="s">
        <v>9314</v>
      </c>
      <c r="E245" s="11" t="s">
        <v>9315</v>
      </c>
      <c r="F245" s="11" t="s">
        <v>9316</v>
      </c>
      <c r="G245" t="s">
        <v>10517</v>
      </c>
      <c r="H245" t="s">
        <v>10518</v>
      </c>
    </row>
    <row r="246" spans="1:8">
      <c r="A246" t="s">
        <v>5732</v>
      </c>
      <c r="B246" t="s">
        <v>5733</v>
      </c>
      <c r="C246" t="s">
        <v>9314</v>
      </c>
      <c r="E246" s="11" t="s">
        <v>9315</v>
      </c>
      <c r="F246" s="11" t="s">
        <v>9317</v>
      </c>
      <c r="G246" t="s">
        <v>11354</v>
      </c>
      <c r="H246" t="s">
        <v>11355</v>
      </c>
    </row>
    <row r="247" spans="1:8">
      <c r="A247" t="s">
        <v>5732</v>
      </c>
      <c r="B247" t="s">
        <v>5733</v>
      </c>
      <c r="C247" t="s">
        <v>9314</v>
      </c>
      <c r="E247" s="11" t="s">
        <v>9315</v>
      </c>
      <c r="F247" s="11" t="s">
        <v>9318</v>
      </c>
      <c r="G247" t="s">
        <v>11356</v>
      </c>
      <c r="H247" t="s">
        <v>11357</v>
      </c>
    </row>
    <row r="248" spans="1:8">
      <c r="A248" t="s">
        <v>5625</v>
      </c>
      <c r="B248" t="s">
        <v>5626</v>
      </c>
      <c r="C248" t="s">
        <v>9343</v>
      </c>
      <c r="E248" s="11" t="s">
        <v>9344</v>
      </c>
      <c r="F248" s="11" t="s">
        <v>9345</v>
      </c>
      <c r="G248" t="s">
        <v>11328</v>
      </c>
      <c r="H248" t="s">
        <v>11329</v>
      </c>
    </row>
    <row r="249" spans="1:8">
      <c r="A249" t="s">
        <v>5625</v>
      </c>
      <c r="B249" t="s">
        <v>5626</v>
      </c>
      <c r="C249" t="s">
        <v>9343</v>
      </c>
      <c r="E249" s="11" t="s">
        <v>9344</v>
      </c>
      <c r="F249" s="11" t="s">
        <v>9346</v>
      </c>
      <c r="G249" t="s">
        <v>11330</v>
      </c>
      <c r="H249" t="s">
        <v>11331</v>
      </c>
    </row>
    <row r="250" spans="1:8">
      <c r="A250" t="s">
        <v>5625</v>
      </c>
      <c r="B250" t="s">
        <v>5626</v>
      </c>
      <c r="C250" t="s">
        <v>9343</v>
      </c>
      <c r="E250" s="11" t="s">
        <v>9344</v>
      </c>
      <c r="F250" s="11" t="s">
        <v>9347</v>
      </c>
      <c r="G250" t="s">
        <v>11332</v>
      </c>
      <c r="H250" t="s">
        <v>11333</v>
      </c>
    </row>
    <row r="251" spans="1:8">
      <c r="A251" t="s">
        <v>5625</v>
      </c>
      <c r="B251" t="s">
        <v>5626</v>
      </c>
      <c r="C251" t="s">
        <v>9343</v>
      </c>
      <c r="E251" s="11" t="s">
        <v>9344</v>
      </c>
      <c r="F251" s="11" t="s">
        <v>9348</v>
      </c>
      <c r="G251" t="s">
        <v>11334</v>
      </c>
      <c r="H251" t="s">
        <v>11335</v>
      </c>
    </row>
    <row r="252" spans="1:8">
      <c r="A252" t="s">
        <v>5625</v>
      </c>
      <c r="B252" t="s">
        <v>5626</v>
      </c>
      <c r="C252" t="s">
        <v>9343</v>
      </c>
      <c r="E252" s="11" t="s">
        <v>9344</v>
      </c>
      <c r="F252" s="11" t="s">
        <v>9349</v>
      </c>
      <c r="G252" t="s">
        <v>11336</v>
      </c>
      <c r="H252" t="s">
        <v>11337</v>
      </c>
    </row>
    <row r="253" spans="1:8">
      <c r="A253" t="s">
        <v>5625</v>
      </c>
      <c r="B253" t="s">
        <v>5626</v>
      </c>
      <c r="C253" t="s">
        <v>9343</v>
      </c>
      <c r="E253" s="11" t="s">
        <v>9344</v>
      </c>
      <c r="F253" s="11" t="s">
        <v>9350</v>
      </c>
      <c r="G253" t="s">
        <v>11338</v>
      </c>
      <c r="H253" t="s">
        <v>11339</v>
      </c>
    </row>
    <row r="254" spans="1:8">
      <c r="A254" t="s">
        <v>1206</v>
      </c>
      <c r="B254" t="s">
        <v>1207</v>
      </c>
      <c r="C254" t="s">
        <v>10303</v>
      </c>
      <c r="E254" s="11" t="s">
        <v>10304</v>
      </c>
      <c r="F254" s="11" t="s">
        <v>10305</v>
      </c>
      <c r="G254" t="s">
        <v>10622</v>
      </c>
      <c r="H254" t="s">
        <v>10623</v>
      </c>
    </row>
    <row r="255" spans="1:8">
      <c r="A255" t="s">
        <v>1206</v>
      </c>
      <c r="B255" t="s">
        <v>1207</v>
      </c>
      <c r="C255" t="s">
        <v>10303</v>
      </c>
      <c r="E255" s="11" t="s">
        <v>10304</v>
      </c>
      <c r="F255" s="11" t="s">
        <v>10306</v>
      </c>
      <c r="G255" t="s">
        <v>10624</v>
      </c>
      <c r="H255" t="s">
        <v>10625</v>
      </c>
    </row>
    <row r="256" spans="1:8">
      <c r="A256" t="s">
        <v>1206</v>
      </c>
      <c r="B256" t="s">
        <v>1207</v>
      </c>
      <c r="C256" t="s">
        <v>10303</v>
      </c>
      <c r="E256" s="11" t="s">
        <v>10304</v>
      </c>
      <c r="F256" s="11" t="s">
        <v>10307</v>
      </c>
      <c r="G256" t="s">
        <v>10626</v>
      </c>
      <c r="H256" t="s">
        <v>10627</v>
      </c>
    </row>
    <row r="257" spans="1:8">
      <c r="A257" t="s">
        <v>1206</v>
      </c>
      <c r="B257" t="s">
        <v>1207</v>
      </c>
      <c r="C257" t="s">
        <v>10303</v>
      </c>
      <c r="E257" s="11" t="s">
        <v>10304</v>
      </c>
      <c r="F257" s="11" t="s">
        <v>10308</v>
      </c>
      <c r="G257" t="s">
        <v>10628</v>
      </c>
      <c r="H257" t="s">
        <v>10629</v>
      </c>
    </row>
    <row r="258" spans="1:8">
      <c r="A258" t="s">
        <v>5991</v>
      </c>
      <c r="B258" t="s">
        <v>5992</v>
      </c>
      <c r="C258" t="s">
        <v>9201</v>
      </c>
      <c r="E258" s="11" t="s">
        <v>9202</v>
      </c>
      <c r="F258" s="11" t="s">
        <v>9203</v>
      </c>
      <c r="G258" t="s">
        <v>11415</v>
      </c>
      <c r="H258" t="s">
        <v>11416</v>
      </c>
    </row>
    <row r="259" spans="1:8">
      <c r="A259" t="s">
        <v>5991</v>
      </c>
      <c r="B259" t="s">
        <v>5992</v>
      </c>
      <c r="C259" t="s">
        <v>9201</v>
      </c>
      <c r="E259" s="11" t="s">
        <v>9202</v>
      </c>
      <c r="F259" s="11" t="s">
        <v>9204</v>
      </c>
      <c r="G259" t="s">
        <v>11417</v>
      </c>
      <c r="H259" t="s">
        <v>11418</v>
      </c>
    </row>
    <row r="260" spans="1:8">
      <c r="A260" t="s">
        <v>2083</v>
      </c>
      <c r="B260" t="s">
        <v>2084</v>
      </c>
      <c r="C260" t="s">
        <v>10081</v>
      </c>
      <c r="E260" s="11" t="s">
        <v>10082</v>
      </c>
      <c r="F260" s="11" t="s">
        <v>10083</v>
      </c>
      <c r="G260" t="s">
        <v>10769</v>
      </c>
      <c r="H260" t="s">
        <v>10770</v>
      </c>
    </row>
    <row r="261" spans="1:8">
      <c r="A261" t="s">
        <v>2083</v>
      </c>
      <c r="B261" t="s">
        <v>2084</v>
      </c>
      <c r="C261" t="s">
        <v>10081</v>
      </c>
      <c r="E261" s="11" t="s">
        <v>10082</v>
      </c>
      <c r="F261" s="11" t="s">
        <v>10084</v>
      </c>
      <c r="G261" t="s">
        <v>10771</v>
      </c>
      <c r="H261" t="s">
        <v>10772</v>
      </c>
    </row>
    <row r="262" spans="1:8">
      <c r="A262" t="s">
        <v>2083</v>
      </c>
      <c r="B262" t="s">
        <v>2084</v>
      </c>
      <c r="C262" t="s">
        <v>10081</v>
      </c>
      <c r="E262" s="11" t="s">
        <v>10082</v>
      </c>
      <c r="F262" s="11" t="s">
        <v>10085</v>
      </c>
      <c r="G262" t="s">
        <v>10771</v>
      </c>
      <c r="H262" t="s">
        <v>10773</v>
      </c>
    </row>
    <row r="263" spans="1:8">
      <c r="A263" t="s">
        <v>2083</v>
      </c>
      <c r="B263" t="s">
        <v>2084</v>
      </c>
      <c r="C263" t="s">
        <v>10081</v>
      </c>
      <c r="E263" s="11" t="s">
        <v>10082</v>
      </c>
      <c r="F263" s="11" t="s">
        <v>10086</v>
      </c>
      <c r="G263" t="s">
        <v>10769</v>
      </c>
      <c r="H263" t="s">
        <v>10774</v>
      </c>
    </row>
    <row r="264" spans="1:8">
      <c r="A264" t="s">
        <v>2083</v>
      </c>
      <c r="B264" t="s">
        <v>2084</v>
      </c>
      <c r="C264" t="s">
        <v>10081</v>
      </c>
      <c r="E264" s="11" t="s">
        <v>10082</v>
      </c>
      <c r="F264" s="11" t="s">
        <v>10087</v>
      </c>
      <c r="G264" t="s">
        <v>10775</v>
      </c>
      <c r="H264" t="s">
        <v>10773</v>
      </c>
    </row>
    <row r="265" spans="1:8">
      <c r="A265" t="s">
        <v>2083</v>
      </c>
      <c r="B265" t="s">
        <v>2084</v>
      </c>
      <c r="C265" t="s">
        <v>10081</v>
      </c>
      <c r="E265" s="11" t="s">
        <v>10082</v>
      </c>
      <c r="F265" s="11" t="s">
        <v>10088</v>
      </c>
      <c r="G265" t="s">
        <v>10776</v>
      </c>
      <c r="H265" t="s">
        <v>10774</v>
      </c>
    </row>
    <row r="266" spans="1:8">
      <c r="A266" t="s">
        <v>2083</v>
      </c>
      <c r="B266" t="s">
        <v>2084</v>
      </c>
      <c r="C266" t="s">
        <v>10081</v>
      </c>
      <c r="E266" s="11" t="s">
        <v>10082</v>
      </c>
      <c r="F266" s="11" t="s">
        <v>10089</v>
      </c>
      <c r="G266" t="s">
        <v>10777</v>
      </c>
      <c r="H266" t="s">
        <v>10778</v>
      </c>
    </row>
    <row r="267" spans="1:8">
      <c r="A267" t="s">
        <v>2439</v>
      </c>
      <c r="B267" t="s">
        <v>2440</v>
      </c>
      <c r="C267" t="s">
        <v>10081</v>
      </c>
      <c r="E267" s="11" t="s">
        <v>10082</v>
      </c>
      <c r="F267" s="11" t="s">
        <v>10083</v>
      </c>
      <c r="G267" t="s">
        <v>10769</v>
      </c>
      <c r="H267" t="s">
        <v>10770</v>
      </c>
    </row>
    <row r="268" spans="1:8">
      <c r="A268" t="s">
        <v>2439</v>
      </c>
      <c r="B268" t="s">
        <v>2440</v>
      </c>
      <c r="C268" t="s">
        <v>10081</v>
      </c>
      <c r="E268" s="11" t="s">
        <v>10082</v>
      </c>
      <c r="F268" s="11" t="s">
        <v>10084</v>
      </c>
      <c r="G268" t="s">
        <v>10771</v>
      </c>
      <c r="H268" t="s">
        <v>10772</v>
      </c>
    </row>
    <row r="269" spans="1:8">
      <c r="A269" t="s">
        <v>2439</v>
      </c>
      <c r="B269" t="s">
        <v>2440</v>
      </c>
      <c r="C269" t="s">
        <v>10081</v>
      </c>
      <c r="E269" s="11" t="s">
        <v>10082</v>
      </c>
      <c r="F269" s="11" t="s">
        <v>10085</v>
      </c>
      <c r="G269" t="s">
        <v>10771</v>
      </c>
      <c r="H269" t="s">
        <v>10773</v>
      </c>
    </row>
    <row r="270" spans="1:8">
      <c r="A270" t="s">
        <v>2439</v>
      </c>
      <c r="B270" t="s">
        <v>2440</v>
      </c>
      <c r="C270" t="s">
        <v>10081</v>
      </c>
      <c r="E270" s="11" t="s">
        <v>10082</v>
      </c>
      <c r="F270" s="11" t="s">
        <v>10086</v>
      </c>
      <c r="G270" t="s">
        <v>10769</v>
      </c>
      <c r="H270" t="s">
        <v>10774</v>
      </c>
    </row>
    <row r="271" spans="1:8">
      <c r="A271" t="s">
        <v>2439</v>
      </c>
      <c r="B271" t="s">
        <v>2440</v>
      </c>
      <c r="C271" t="s">
        <v>10081</v>
      </c>
      <c r="E271" s="11" t="s">
        <v>10082</v>
      </c>
      <c r="F271" s="11" t="s">
        <v>10087</v>
      </c>
      <c r="G271" t="s">
        <v>10775</v>
      </c>
      <c r="H271" t="s">
        <v>10773</v>
      </c>
    </row>
    <row r="272" spans="1:8">
      <c r="A272" t="s">
        <v>2439</v>
      </c>
      <c r="B272" t="s">
        <v>2440</v>
      </c>
      <c r="C272" t="s">
        <v>10081</v>
      </c>
      <c r="E272" s="11" t="s">
        <v>10082</v>
      </c>
      <c r="F272" s="11" t="s">
        <v>10088</v>
      </c>
      <c r="G272" t="s">
        <v>10776</v>
      </c>
      <c r="H272" t="s">
        <v>10774</v>
      </c>
    </row>
    <row r="273" spans="1:8">
      <c r="A273" t="s">
        <v>2439</v>
      </c>
      <c r="B273" t="s">
        <v>2440</v>
      </c>
      <c r="C273" t="s">
        <v>10081</v>
      </c>
      <c r="E273" s="11" t="s">
        <v>10082</v>
      </c>
      <c r="F273" s="11" t="s">
        <v>10089</v>
      </c>
      <c r="G273" t="s">
        <v>10777</v>
      </c>
      <c r="H273" t="s">
        <v>10778</v>
      </c>
    </row>
    <row r="274" spans="1:8">
      <c r="A274" t="s">
        <v>4133</v>
      </c>
      <c r="B274" t="s">
        <v>4134</v>
      </c>
      <c r="C274" t="s">
        <v>9719</v>
      </c>
      <c r="E274" s="11"/>
    </row>
    <row r="275" spans="1:8">
      <c r="A275" t="s">
        <v>3869</v>
      </c>
      <c r="B275" t="s">
        <v>3870</v>
      </c>
      <c r="C275" t="s">
        <v>9769</v>
      </c>
      <c r="E275" s="11" t="s">
        <v>9770</v>
      </c>
      <c r="F275" s="11" t="s">
        <v>9771</v>
      </c>
      <c r="G275" t="s">
        <v>11068</v>
      </c>
      <c r="H275" t="s">
        <v>11069</v>
      </c>
    </row>
    <row r="276" spans="1:8">
      <c r="A276" t="s">
        <v>3869</v>
      </c>
      <c r="B276" t="s">
        <v>3870</v>
      </c>
      <c r="C276" t="s">
        <v>9769</v>
      </c>
      <c r="E276" s="11" t="s">
        <v>9770</v>
      </c>
      <c r="F276" s="11" t="s">
        <v>9772</v>
      </c>
      <c r="G276" t="s">
        <v>11070</v>
      </c>
      <c r="H276" t="s">
        <v>11071</v>
      </c>
    </row>
    <row r="277" spans="1:8">
      <c r="A277" t="s">
        <v>3869</v>
      </c>
      <c r="B277" t="s">
        <v>3870</v>
      </c>
      <c r="C277" t="s">
        <v>9769</v>
      </c>
      <c r="E277" s="11" t="s">
        <v>9770</v>
      </c>
      <c r="F277" s="11" t="s">
        <v>9773</v>
      </c>
      <c r="G277" t="s">
        <v>11072</v>
      </c>
      <c r="H277" t="s">
        <v>11073</v>
      </c>
    </row>
    <row r="278" spans="1:8">
      <c r="A278" t="s">
        <v>3869</v>
      </c>
      <c r="B278" t="s">
        <v>3870</v>
      </c>
      <c r="C278" t="s">
        <v>9769</v>
      </c>
      <c r="E278" s="11" t="s">
        <v>9770</v>
      </c>
      <c r="F278" s="11" t="s">
        <v>9774</v>
      </c>
      <c r="G278" t="s">
        <v>11074</v>
      </c>
      <c r="H278" t="s">
        <v>11075</v>
      </c>
    </row>
    <row r="279" spans="1:8">
      <c r="A279" t="s">
        <v>3869</v>
      </c>
      <c r="B279" t="s">
        <v>3870</v>
      </c>
      <c r="C279" t="s">
        <v>9769</v>
      </c>
      <c r="E279" s="11" t="s">
        <v>9770</v>
      </c>
      <c r="F279" s="11" t="s">
        <v>9775</v>
      </c>
      <c r="G279" t="s">
        <v>11076</v>
      </c>
      <c r="H279" t="s">
        <v>11077</v>
      </c>
    </row>
    <row r="280" spans="1:8">
      <c r="A280" t="s">
        <v>618</v>
      </c>
      <c r="B280" t="s">
        <v>619</v>
      </c>
      <c r="C280" t="s">
        <v>10405</v>
      </c>
      <c r="E280" s="11" t="s">
        <v>10406</v>
      </c>
      <c r="F280" s="11" t="s">
        <v>10407</v>
      </c>
      <c r="G280" t="s">
        <v>10527</v>
      </c>
      <c r="H280" t="s">
        <v>10528</v>
      </c>
    </row>
    <row r="281" spans="1:8">
      <c r="A281" t="s">
        <v>3476</v>
      </c>
      <c r="B281" t="s">
        <v>3477</v>
      </c>
      <c r="C281" t="s">
        <v>8607</v>
      </c>
      <c r="E281" s="11"/>
    </row>
    <row r="282" spans="1:8">
      <c r="A282" t="s">
        <v>7058</v>
      </c>
      <c r="B282" t="s">
        <v>7059</v>
      </c>
      <c r="C282" t="s">
        <v>8607</v>
      </c>
      <c r="E282" s="11"/>
    </row>
    <row r="283" spans="1:8">
      <c r="A283" t="s">
        <v>7705</v>
      </c>
      <c r="B283" t="s">
        <v>7706</v>
      </c>
      <c r="C283" t="s">
        <v>8607</v>
      </c>
      <c r="E283" s="11"/>
    </row>
    <row r="284" spans="1:8">
      <c r="A284" t="s">
        <v>5525</v>
      </c>
      <c r="B284" t="s">
        <v>5526</v>
      </c>
      <c r="C284" t="s">
        <v>9376</v>
      </c>
      <c r="E284" s="11" t="s">
        <v>9377</v>
      </c>
      <c r="F284" s="11" t="s">
        <v>9378</v>
      </c>
      <c r="G284" t="s">
        <v>11306</v>
      </c>
      <c r="H284" t="s">
        <v>11307</v>
      </c>
    </row>
    <row r="285" spans="1:8">
      <c r="A285" t="s">
        <v>5525</v>
      </c>
      <c r="B285" t="s">
        <v>5526</v>
      </c>
      <c r="C285" t="s">
        <v>9376</v>
      </c>
      <c r="E285" s="11" t="s">
        <v>9377</v>
      </c>
      <c r="F285" s="11" t="s">
        <v>9379</v>
      </c>
      <c r="G285" t="s">
        <v>11308</v>
      </c>
      <c r="H285" t="s">
        <v>11309</v>
      </c>
    </row>
    <row r="286" spans="1:8">
      <c r="A286" t="s">
        <v>5525</v>
      </c>
      <c r="B286" t="s">
        <v>5526</v>
      </c>
      <c r="C286" t="s">
        <v>9376</v>
      </c>
      <c r="E286" s="11" t="s">
        <v>9377</v>
      </c>
      <c r="F286" s="11" t="s">
        <v>9380</v>
      </c>
      <c r="G286" t="s">
        <v>11310</v>
      </c>
      <c r="H286" t="s">
        <v>11311</v>
      </c>
    </row>
    <row r="287" spans="1:8">
      <c r="A287" t="s">
        <v>5525</v>
      </c>
      <c r="B287" t="s">
        <v>5526</v>
      </c>
      <c r="C287" t="s">
        <v>9376</v>
      </c>
      <c r="E287" s="11" t="s">
        <v>9377</v>
      </c>
      <c r="F287" s="11" t="s">
        <v>9381</v>
      </c>
      <c r="G287" t="s">
        <v>11312</v>
      </c>
      <c r="H287" t="s">
        <v>11313</v>
      </c>
    </row>
    <row r="288" spans="1:8">
      <c r="A288" t="s">
        <v>1088</v>
      </c>
      <c r="B288" t="s">
        <v>1089</v>
      </c>
      <c r="C288" t="s">
        <v>10328</v>
      </c>
      <c r="E288" s="11" t="s">
        <v>10329</v>
      </c>
      <c r="F288" s="11" t="s">
        <v>10330</v>
      </c>
      <c r="G288" t="s">
        <v>10605</v>
      </c>
      <c r="H288" t="s">
        <v>10606</v>
      </c>
    </row>
    <row r="289" spans="1:8">
      <c r="A289" t="s">
        <v>1088</v>
      </c>
      <c r="B289" t="s">
        <v>1089</v>
      </c>
      <c r="C289" t="s">
        <v>10328</v>
      </c>
      <c r="E289" s="11" t="s">
        <v>10329</v>
      </c>
      <c r="F289" s="11" t="s">
        <v>10331</v>
      </c>
      <c r="G289" t="s">
        <v>10607</v>
      </c>
      <c r="H289" t="s">
        <v>10608</v>
      </c>
    </row>
    <row r="290" spans="1:8">
      <c r="A290" t="s">
        <v>1088</v>
      </c>
      <c r="B290" t="s">
        <v>1089</v>
      </c>
      <c r="C290" t="s">
        <v>10328</v>
      </c>
      <c r="E290" s="11" t="s">
        <v>10329</v>
      </c>
      <c r="F290" s="11" t="s">
        <v>10332</v>
      </c>
      <c r="G290" t="s">
        <v>10609</v>
      </c>
      <c r="H290" t="s">
        <v>10610</v>
      </c>
    </row>
    <row r="291" spans="1:8">
      <c r="A291" t="s">
        <v>1088</v>
      </c>
      <c r="B291" t="s">
        <v>1089</v>
      </c>
      <c r="C291" t="s">
        <v>10328</v>
      </c>
      <c r="E291" s="11" t="s">
        <v>10329</v>
      </c>
      <c r="F291" s="11" t="s">
        <v>10333</v>
      </c>
      <c r="G291" t="s">
        <v>10611</v>
      </c>
      <c r="H291" t="s">
        <v>10612</v>
      </c>
    </row>
    <row r="292" spans="1:8">
      <c r="A292" t="s">
        <v>8383</v>
      </c>
      <c r="B292" t="s">
        <v>8384</v>
      </c>
      <c r="C292" t="s">
        <v>8484</v>
      </c>
      <c r="E292" s="11" t="s">
        <v>8485</v>
      </c>
      <c r="F292" s="11" t="s">
        <v>8486</v>
      </c>
      <c r="G292" t="s">
        <v>11797</v>
      </c>
      <c r="H292" t="s">
        <v>11798</v>
      </c>
    </row>
    <row r="293" spans="1:8">
      <c r="A293" t="s">
        <v>8383</v>
      </c>
      <c r="B293" t="s">
        <v>8384</v>
      </c>
      <c r="C293" t="s">
        <v>8484</v>
      </c>
      <c r="E293" s="11" t="s">
        <v>8485</v>
      </c>
      <c r="F293" s="11" t="s">
        <v>11800</v>
      </c>
      <c r="G293" t="s">
        <v>11801</v>
      </c>
      <c r="H293" t="s">
        <v>11802</v>
      </c>
    </row>
    <row r="294" spans="1:8">
      <c r="A294" t="s">
        <v>8383</v>
      </c>
      <c r="B294" t="s">
        <v>8384</v>
      </c>
      <c r="C294" t="s">
        <v>8484</v>
      </c>
      <c r="E294" s="11" t="s">
        <v>8485</v>
      </c>
      <c r="F294" s="11" t="s">
        <v>11803</v>
      </c>
      <c r="G294" t="s">
        <v>11804</v>
      </c>
      <c r="H294" t="s">
        <v>11805</v>
      </c>
    </row>
    <row r="295" spans="1:8">
      <c r="A295" t="s">
        <v>8383</v>
      </c>
      <c r="B295" t="s">
        <v>8384</v>
      </c>
      <c r="C295" t="s">
        <v>8484</v>
      </c>
      <c r="E295" s="11" t="s">
        <v>8485</v>
      </c>
      <c r="F295" s="11" t="s">
        <v>11806</v>
      </c>
      <c r="G295" t="s">
        <v>11807</v>
      </c>
      <c r="H295" t="s">
        <v>11808</v>
      </c>
    </row>
    <row r="296" spans="1:8">
      <c r="A296" t="s">
        <v>7963</v>
      </c>
      <c r="B296" t="s">
        <v>7964</v>
      </c>
      <c r="C296" t="s">
        <v>8565</v>
      </c>
      <c r="E296" s="11" t="s">
        <v>8566</v>
      </c>
      <c r="F296" s="11" t="s">
        <v>8567</v>
      </c>
      <c r="G296" t="s">
        <v>11244</v>
      </c>
      <c r="H296" t="s">
        <v>11773</v>
      </c>
    </row>
    <row r="297" spans="1:8">
      <c r="A297" t="s">
        <v>7963</v>
      </c>
      <c r="B297" t="s">
        <v>7964</v>
      </c>
      <c r="C297" t="s">
        <v>8565</v>
      </c>
      <c r="E297" s="11" t="s">
        <v>8566</v>
      </c>
      <c r="F297" s="11" t="s">
        <v>11826</v>
      </c>
      <c r="G297" t="s">
        <v>11827</v>
      </c>
      <c r="H297" t="s">
        <v>11828</v>
      </c>
    </row>
    <row r="298" spans="1:8">
      <c r="A298" t="s">
        <v>5210</v>
      </c>
      <c r="B298" t="s">
        <v>5211</v>
      </c>
      <c r="C298" t="s">
        <v>9484</v>
      </c>
      <c r="E298" s="11" t="s">
        <v>9485</v>
      </c>
      <c r="F298" s="11" t="s">
        <v>9486</v>
      </c>
      <c r="G298" t="s">
        <v>11244</v>
      </c>
      <c r="H298" t="s">
        <v>11245</v>
      </c>
    </row>
    <row r="299" spans="1:8">
      <c r="A299" t="s">
        <v>7703</v>
      </c>
      <c r="B299" t="s">
        <v>7704</v>
      </c>
      <c r="C299" t="s">
        <v>8608</v>
      </c>
      <c r="E299" s="11" t="s">
        <v>8609</v>
      </c>
      <c r="F299" s="11" t="s">
        <v>8610</v>
      </c>
      <c r="G299" t="s">
        <v>11758</v>
      </c>
      <c r="H299" t="s">
        <v>11759</v>
      </c>
    </row>
    <row r="300" spans="1:8">
      <c r="A300" t="s">
        <v>3595</v>
      </c>
      <c r="B300" t="s">
        <v>3596</v>
      </c>
      <c r="C300" t="s">
        <v>9853</v>
      </c>
      <c r="E300" s="11"/>
    </row>
    <row r="301" spans="1:8">
      <c r="A301" t="s">
        <v>4179</v>
      </c>
      <c r="B301" t="s">
        <v>4180</v>
      </c>
      <c r="C301" t="s">
        <v>9711</v>
      </c>
      <c r="E301" s="11" t="s">
        <v>9712</v>
      </c>
      <c r="F301" s="11" t="s">
        <v>9713</v>
      </c>
      <c r="G301" t="s">
        <v>11113</v>
      </c>
      <c r="H301" t="s">
        <v>11114</v>
      </c>
    </row>
    <row r="302" spans="1:8">
      <c r="A302" t="s">
        <v>4179</v>
      </c>
      <c r="B302" t="s">
        <v>4180</v>
      </c>
      <c r="C302" t="s">
        <v>9711</v>
      </c>
      <c r="E302" s="11" t="s">
        <v>9712</v>
      </c>
      <c r="F302" s="11" t="s">
        <v>9714</v>
      </c>
      <c r="G302" t="s">
        <v>11115</v>
      </c>
      <c r="H302" t="s">
        <v>11116</v>
      </c>
    </row>
    <row r="303" spans="1:8">
      <c r="A303" t="s">
        <v>647</v>
      </c>
      <c r="B303" t="s">
        <v>648</v>
      </c>
      <c r="C303" t="s">
        <v>9889</v>
      </c>
      <c r="E303" s="11"/>
    </row>
    <row r="304" spans="1:8">
      <c r="A304" t="s">
        <v>1044</v>
      </c>
      <c r="B304" t="s">
        <v>1045</v>
      </c>
      <c r="C304" t="s">
        <v>9889</v>
      </c>
      <c r="E304" s="11"/>
    </row>
    <row r="305" spans="1:6">
      <c r="A305" t="s">
        <v>3403</v>
      </c>
      <c r="B305" t="s">
        <v>3404</v>
      </c>
      <c r="C305" t="s">
        <v>9889</v>
      </c>
      <c r="E305" s="11"/>
    </row>
    <row r="306" spans="1:6">
      <c r="A306" t="s">
        <v>547</v>
      </c>
      <c r="B306" t="s">
        <v>548</v>
      </c>
      <c r="C306" t="s">
        <v>9718</v>
      </c>
      <c r="E306" s="11"/>
      <c r="F306" s="11"/>
    </row>
    <row r="307" spans="1:6">
      <c r="A307" t="s">
        <v>1675</v>
      </c>
      <c r="B307" t="s">
        <v>1676</v>
      </c>
      <c r="C307" t="s">
        <v>9718</v>
      </c>
      <c r="E307" s="11"/>
    </row>
    <row r="308" spans="1:6">
      <c r="A308" t="s">
        <v>3196</v>
      </c>
      <c r="B308" t="s">
        <v>3197</v>
      </c>
      <c r="C308" t="s">
        <v>9718</v>
      </c>
      <c r="E308" s="11"/>
    </row>
    <row r="309" spans="1:6">
      <c r="A309" t="s">
        <v>4135</v>
      </c>
      <c r="B309" t="s">
        <v>4136</v>
      </c>
      <c r="C309" t="s">
        <v>9718</v>
      </c>
      <c r="E309" s="11"/>
    </row>
    <row r="310" spans="1:6">
      <c r="A310" t="s">
        <v>547</v>
      </c>
      <c r="B310" t="s">
        <v>548</v>
      </c>
      <c r="C310" t="s">
        <v>8505</v>
      </c>
      <c r="E310" s="11"/>
      <c r="F310" s="11"/>
    </row>
    <row r="311" spans="1:6">
      <c r="A311" t="s">
        <v>1170</v>
      </c>
      <c r="B311" t="s">
        <v>1171</v>
      </c>
      <c r="C311" t="s">
        <v>8505</v>
      </c>
      <c r="E311" s="11"/>
    </row>
    <row r="312" spans="1:6">
      <c r="A312" t="s">
        <v>2388</v>
      </c>
      <c r="B312" t="s">
        <v>2389</v>
      </c>
      <c r="C312" t="s">
        <v>8505</v>
      </c>
      <c r="E312" s="11"/>
    </row>
    <row r="313" spans="1:6">
      <c r="A313" t="s">
        <v>3196</v>
      </c>
      <c r="B313" t="s">
        <v>3197</v>
      </c>
      <c r="C313" t="s">
        <v>8505</v>
      </c>
      <c r="E313" s="11"/>
    </row>
    <row r="314" spans="1:6">
      <c r="A314" t="s">
        <v>3661</v>
      </c>
      <c r="B314" t="s">
        <v>3662</v>
      </c>
      <c r="C314" t="s">
        <v>8505</v>
      </c>
      <c r="E314" s="11"/>
    </row>
    <row r="315" spans="1:6">
      <c r="A315" t="s">
        <v>3826</v>
      </c>
      <c r="B315" t="s">
        <v>3827</v>
      </c>
      <c r="C315" t="s">
        <v>8505</v>
      </c>
      <c r="E315" s="11"/>
    </row>
    <row r="316" spans="1:6">
      <c r="A316" t="s">
        <v>3913</v>
      </c>
      <c r="B316" t="s">
        <v>3914</v>
      </c>
      <c r="C316" t="s">
        <v>8505</v>
      </c>
      <c r="E316" s="11"/>
    </row>
    <row r="317" spans="1:6">
      <c r="A317" t="s">
        <v>4042</v>
      </c>
      <c r="B317" t="s">
        <v>4043</v>
      </c>
      <c r="C317" t="s">
        <v>8505</v>
      </c>
      <c r="E317" s="11"/>
    </row>
    <row r="318" spans="1:6">
      <c r="A318" t="s">
        <v>4101</v>
      </c>
      <c r="B318" t="s">
        <v>4102</v>
      </c>
      <c r="C318" t="s">
        <v>8505</v>
      </c>
      <c r="E318" s="11"/>
    </row>
    <row r="319" spans="1:6">
      <c r="A319" t="s">
        <v>4225</v>
      </c>
      <c r="B319" t="s">
        <v>4226</v>
      </c>
      <c r="C319" t="s">
        <v>8505</v>
      </c>
      <c r="E319" s="11"/>
    </row>
    <row r="320" spans="1:6">
      <c r="A320" t="s">
        <v>4517</v>
      </c>
      <c r="B320" t="s">
        <v>4518</v>
      </c>
      <c r="C320" t="s">
        <v>8505</v>
      </c>
      <c r="E320" s="11"/>
    </row>
    <row r="321" spans="1:8">
      <c r="A321" t="s">
        <v>5227</v>
      </c>
      <c r="B321" t="s">
        <v>5228</v>
      </c>
      <c r="C321" t="s">
        <v>8505</v>
      </c>
      <c r="E321" s="11"/>
    </row>
    <row r="322" spans="1:8">
      <c r="A322" t="s">
        <v>5813</v>
      </c>
      <c r="B322" t="s">
        <v>5814</v>
      </c>
      <c r="C322" t="s">
        <v>8505</v>
      </c>
      <c r="E322" s="11"/>
    </row>
    <row r="323" spans="1:8">
      <c r="A323" t="s">
        <v>7018</v>
      </c>
      <c r="B323" t="s">
        <v>7019</v>
      </c>
      <c r="C323" t="s">
        <v>8505</v>
      </c>
      <c r="E323" s="11"/>
    </row>
    <row r="324" spans="1:8">
      <c r="A324" t="s">
        <v>7168</v>
      </c>
      <c r="B324" t="s">
        <v>7169</v>
      </c>
      <c r="C324" t="s">
        <v>8505</v>
      </c>
      <c r="E324" s="11"/>
    </row>
    <row r="325" spans="1:8">
      <c r="A325" t="s">
        <v>7814</v>
      </c>
      <c r="B325" t="s">
        <v>7815</v>
      </c>
      <c r="C325" t="s">
        <v>8505</v>
      </c>
      <c r="E325" s="11"/>
    </row>
    <row r="326" spans="1:8">
      <c r="A326" t="s">
        <v>8038</v>
      </c>
      <c r="B326" t="s">
        <v>8039</v>
      </c>
      <c r="C326" t="s">
        <v>8505</v>
      </c>
      <c r="E326" s="11"/>
    </row>
    <row r="327" spans="1:8">
      <c r="A327" t="s">
        <v>1253</v>
      </c>
      <c r="B327" t="s">
        <v>1254</v>
      </c>
      <c r="C327" t="s">
        <v>9389</v>
      </c>
      <c r="E327" s="11" t="s">
        <v>9390</v>
      </c>
      <c r="F327" s="11" t="s">
        <v>9391</v>
      </c>
      <c r="G327" t="s">
        <v>10636</v>
      </c>
      <c r="H327" t="s">
        <v>10637</v>
      </c>
    </row>
    <row r="328" spans="1:8">
      <c r="A328" t="s">
        <v>1253</v>
      </c>
      <c r="B328" t="s">
        <v>1254</v>
      </c>
      <c r="C328" t="s">
        <v>9389</v>
      </c>
      <c r="E328" s="11" t="s">
        <v>9390</v>
      </c>
      <c r="F328" s="11" t="s">
        <v>9392</v>
      </c>
      <c r="G328" t="s">
        <v>10636</v>
      </c>
      <c r="H328" t="s">
        <v>10638</v>
      </c>
    </row>
    <row r="329" spans="1:8">
      <c r="A329" t="s">
        <v>1253</v>
      </c>
      <c r="B329" t="s">
        <v>1254</v>
      </c>
      <c r="C329" t="s">
        <v>9389</v>
      </c>
      <c r="E329" s="11" t="s">
        <v>9390</v>
      </c>
      <c r="F329" s="11" t="s">
        <v>9393</v>
      </c>
      <c r="G329" t="s">
        <v>10639</v>
      </c>
      <c r="H329" t="s">
        <v>10637</v>
      </c>
    </row>
    <row r="330" spans="1:8">
      <c r="A330" t="s">
        <v>1253</v>
      </c>
      <c r="B330" t="s">
        <v>1254</v>
      </c>
      <c r="C330" t="s">
        <v>9389</v>
      </c>
      <c r="E330" s="11" t="s">
        <v>9390</v>
      </c>
      <c r="F330" s="11" t="s">
        <v>9394</v>
      </c>
      <c r="G330" t="s">
        <v>10640</v>
      </c>
      <c r="H330" t="s">
        <v>10641</v>
      </c>
    </row>
    <row r="331" spans="1:8">
      <c r="A331" t="s">
        <v>5510</v>
      </c>
      <c r="B331" t="s">
        <v>5511</v>
      </c>
      <c r="C331" t="s">
        <v>9389</v>
      </c>
      <c r="E331" s="11" t="s">
        <v>9390</v>
      </c>
      <c r="F331" s="11" t="s">
        <v>9391</v>
      </c>
      <c r="G331" t="s">
        <v>10636</v>
      </c>
      <c r="H331" t="s">
        <v>10637</v>
      </c>
    </row>
    <row r="332" spans="1:8">
      <c r="A332" t="s">
        <v>5510</v>
      </c>
      <c r="B332" t="s">
        <v>5511</v>
      </c>
      <c r="C332" t="s">
        <v>9389</v>
      </c>
      <c r="E332" s="11" t="s">
        <v>9390</v>
      </c>
      <c r="F332" s="11" t="s">
        <v>9392</v>
      </c>
      <c r="G332" t="s">
        <v>10636</v>
      </c>
      <c r="H332" t="s">
        <v>10638</v>
      </c>
    </row>
    <row r="333" spans="1:8">
      <c r="A333" t="s">
        <v>5510</v>
      </c>
      <c r="B333" t="s">
        <v>5511</v>
      </c>
      <c r="C333" t="s">
        <v>9389</v>
      </c>
      <c r="E333" s="11" t="s">
        <v>9390</v>
      </c>
      <c r="F333" s="11" t="s">
        <v>9393</v>
      </c>
      <c r="G333" t="s">
        <v>10639</v>
      </c>
      <c r="H333" t="s">
        <v>10637</v>
      </c>
    </row>
    <row r="334" spans="1:8">
      <c r="A334" t="s">
        <v>5510</v>
      </c>
      <c r="B334" t="s">
        <v>5511</v>
      </c>
      <c r="C334" t="s">
        <v>9389</v>
      </c>
      <c r="E334" s="11" t="s">
        <v>9390</v>
      </c>
      <c r="F334" s="11" t="s">
        <v>9394</v>
      </c>
      <c r="G334" t="s">
        <v>10640</v>
      </c>
      <c r="H334" t="s">
        <v>10641</v>
      </c>
    </row>
    <row r="335" spans="1:8">
      <c r="A335" t="s">
        <v>4252</v>
      </c>
      <c r="B335" t="s">
        <v>4253</v>
      </c>
      <c r="C335" t="s">
        <v>9687</v>
      </c>
      <c r="E335" s="11" t="s">
        <v>9688</v>
      </c>
      <c r="F335" s="11" t="s">
        <v>9689</v>
      </c>
      <c r="G335" t="s">
        <v>11128</v>
      </c>
      <c r="H335" t="s">
        <v>11129</v>
      </c>
    </row>
    <row r="336" spans="1:8">
      <c r="A336" t="s">
        <v>4252</v>
      </c>
      <c r="B336" t="s">
        <v>4253</v>
      </c>
      <c r="C336" t="s">
        <v>9687</v>
      </c>
      <c r="E336" s="11" t="s">
        <v>9688</v>
      </c>
      <c r="F336" s="11" t="s">
        <v>9690</v>
      </c>
      <c r="G336" t="s">
        <v>10975</v>
      </c>
      <c r="H336" t="s">
        <v>10976</v>
      </c>
    </row>
    <row r="337" spans="1:8">
      <c r="A337" t="s">
        <v>3252</v>
      </c>
      <c r="B337" t="s">
        <v>3253</v>
      </c>
      <c r="C337" t="s">
        <v>9916</v>
      </c>
      <c r="E337" s="11" t="s">
        <v>9917</v>
      </c>
      <c r="F337" s="11" t="s">
        <v>9918</v>
      </c>
      <c r="G337" t="s">
        <v>10973</v>
      </c>
      <c r="H337" t="s">
        <v>10974</v>
      </c>
    </row>
    <row r="338" spans="1:8">
      <c r="A338" t="s">
        <v>3252</v>
      </c>
      <c r="B338" t="s">
        <v>3253</v>
      </c>
      <c r="C338" t="s">
        <v>9916</v>
      </c>
      <c r="E338" s="11" t="s">
        <v>9917</v>
      </c>
      <c r="F338" s="11" t="s">
        <v>9690</v>
      </c>
      <c r="G338" t="s">
        <v>10975</v>
      </c>
      <c r="H338" t="s">
        <v>10976</v>
      </c>
    </row>
    <row r="339" spans="1:8">
      <c r="A339" t="s">
        <v>5432</v>
      </c>
      <c r="B339" t="s">
        <v>5433</v>
      </c>
      <c r="C339" t="s">
        <v>9417</v>
      </c>
      <c r="E339" s="11" t="s">
        <v>9418</v>
      </c>
      <c r="F339" s="11" t="s">
        <v>9419</v>
      </c>
      <c r="G339" t="s">
        <v>11280</v>
      </c>
      <c r="H339" t="s">
        <v>11281</v>
      </c>
    </row>
    <row r="340" spans="1:8">
      <c r="A340" t="s">
        <v>1370</v>
      </c>
      <c r="B340" t="s">
        <v>1371</v>
      </c>
      <c r="C340" t="s">
        <v>10243</v>
      </c>
      <c r="E340" s="11" t="s">
        <v>10244</v>
      </c>
      <c r="F340" s="11" t="s">
        <v>10245</v>
      </c>
      <c r="G340" t="s">
        <v>10657</v>
      </c>
      <c r="H340" t="s">
        <v>10658</v>
      </c>
    </row>
    <row r="341" spans="1:8">
      <c r="A341" t="s">
        <v>8399</v>
      </c>
      <c r="B341" t="s">
        <v>8400</v>
      </c>
      <c r="C341" t="s">
        <v>8483</v>
      </c>
      <c r="E341" s="11" t="s">
        <v>11799</v>
      </c>
    </row>
    <row r="342" spans="1:8">
      <c r="A342" t="s">
        <v>3758</v>
      </c>
      <c r="B342" t="s">
        <v>3759</v>
      </c>
      <c r="C342" t="s">
        <v>9782</v>
      </c>
      <c r="E342" s="11" t="s">
        <v>9783</v>
      </c>
      <c r="F342" s="11" t="s">
        <v>9784</v>
      </c>
      <c r="G342" t="s">
        <v>11062</v>
      </c>
      <c r="H342" t="s">
        <v>11063</v>
      </c>
    </row>
    <row r="343" spans="1:8">
      <c r="A343" t="s">
        <v>2630</v>
      </c>
      <c r="B343" t="s">
        <v>2631</v>
      </c>
      <c r="C343" t="s">
        <v>10026</v>
      </c>
      <c r="E343" s="11" t="s">
        <v>10027</v>
      </c>
      <c r="F343" s="11" t="s">
        <v>10028</v>
      </c>
      <c r="G343" t="s">
        <v>10874</v>
      </c>
      <c r="H343" t="s">
        <v>10875</v>
      </c>
    </row>
    <row r="344" spans="1:8">
      <c r="A344" t="s">
        <v>5565</v>
      </c>
      <c r="B344" t="s">
        <v>5566</v>
      </c>
      <c r="C344" t="s">
        <v>9366</v>
      </c>
      <c r="E344" s="11" t="s">
        <v>9367</v>
      </c>
    </row>
    <row r="345" spans="1:8">
      <c r="A345" t="s">
        <v>6306</v>
      </c>
      <c r="B345" t="s">
        <v>6307</v>
      </c>
      <c r="C345" t="s">
        <v>9111</v>
      </c>
      <c r="E345" s="11" t="s">
        <v>9112</v>
      </c>
    </row>
    <row r="346" spans="1:8">
      <c r="A346" t="s">
        <v>2582</v>
      </c>
      <c r="B346" t="s">
        <v>2583</v>
      </c>
      <c r="C346" t="s">
        <v>10038</v>
      </c>
      <c r="E346" s="11" t="s">
        <v>10039</v>
      </c>
    </row>
    <row r="347" spans="1:8">
      <c r="A347" t="s">
        <v>5977</v>
      </c>
      <c r="B347" t="s">
        <v>5978</v>
      </c>
      <c r="C347" t="s">
        <v>9205</v>
      </c>
      <c r="E347" s="11" t="s">
        <v>9206</v>
      </c>
    </row>
    <row r="348" spans="1:8">
      <c r="A348" t="s">
        <v>1889</v>
      </c>
      <c r="B348" t="s">
        <v>1890</v>
      </c>
      <c r="C348" t="s">
        <v>10195</v>
      </c>
      <c r="E348" s="11" t="s">
        <v>10196</v>
      </c>
    </row>
    <row r="349" spans="1:8">
      <c r="A349" t="s">
        <v>5653</v>
      </c>
      <c r="B349" t="s">
        <v>5654</v>
      </c>
      <c r="C349" t="s">
        <v>9337</v>
      </c>
      <c r="E349" s="11" t="s">
        <v>9338</v>
      </c>
      <c r="F349" s="11" t="s">
        <v>9339</v>
      </c>
      <c r="G349" t="s">
        <v>11342</v>
      </c>
      <c r="H349" t="s">
        <v>11343</v>
      </c>
    </row>
    <row r="350" spans="1:8">
      <c r="A350" t="s">
        <v>3422</v>
      </c>
      <c r="B350" t="s">
        <v>3423</v>
      </c>
      <c r="C350" t="s">
        <v>9883</v>
      </c>
      <c r="E350" s="11" t="s">
        <v>9884</v>
      </c>
      <c r="F350" s="11" t="s">
        <v>9885</v>
      </c>
      <c r="G350" t="s">
        <v>11008</v>
      </c>
      <c r="H350" t="s">
        <v>11009</v>
      </c>
    </row>
    <row r="351" spans="1:8">
      <c r="A351" t="s">
        <v>7824</v>
      </c>
      <c r="B351" t="s">
        <v>7825</v>
      </c>
      <c r="C351" t="s">
        <v>8595</v>
      </c>
      <c r="E351" s="11" t="s">
        <v>8596</v>
      </c>
      <c r="F351" s="11" t="s">
        <v>8597</v>
      </c>
      <c r="G351" t="s">
        <v>11342</v>
      </c>
      <c r="H351" t="s">
        <v>11764</v>
      </c>
    </row>
    <row r="352" spans="1:8">
      <c r="A352" t="s">
        <v>4963</v>
      </c>
      <c r="B352" t="s">
        <v>4964</v>
      </c>
      <c r="C352" t="s">
        <v>9491</v>
      </c>
      <c r="E352" s="11" t="s">
        <v>9492</v>
      </c>
      <c r="F352" s="11" t="s">
        <v>9493</v>
      </c>
      <c r="G352" t="s">
        <v>11241</v>
      </c>
      <c r="H352" t="s">
        <v>11242</v>
      </c>
    </row>
    <row r="353" spans="1:8">
      <c r="A353" t="s">
        <v>4963</v>
      </c>
      <c r="B353" t="s">
        <v>4964</v>
      </c>
      <c r="C353" t="s">
        <v>9491</v>
      </c>
      <c r="E353" s="11" t="s">
        <v>9492</v>
      </c>
      <c r="F353" s="11" t="s">
        <v>9494</v>
      </c>
      <c r="G353" t="s">
        <v>11243</v>
      </c>
      <c r="H353" t="s">
        <v>11242</v>
      </c>
    </row>
    <row r="354" spans="1:8">
      <c r="A354" t="s">
        <v>2442</v>
      </c>
      <c r="B354" t="s">
        <v>2443</v>
      </c>
      <c r="C354" t="s">
        <v>10078</v>
      </c>
      <c r="E354" s="11" t="s">
        <v>10079</v>
      </c>
      <c r="F354" s="11" t="s">
        <v>10080</v>
      </c>
      <c r="G354" t="s">
        <v>10848</v>
      </c>
      <c r="H354" t="s">
        <v>10849</v>
      </c>
    </row>
    <row r="355" spans="1:8">
      <c r="A355" t="s">
        <v>472</v>
      </c>
      <c r="B355" t="s">
        <v>473</v>
      </c>
      <c r="C355" t="s">
        <v>8497</v>
      </c>
      <c r="E355" s="11" t="s">
        <v>8498</v>
      </c>
      <c r="F355" s="11" t="s">
        <v>8499</v>
      </c>
      <c r="G355" t="s">
        <v>10510</v>
      </c>
      <c r="H355" t="s">
        <v>10511</v>
      </c>
    </row>
    <row r="356" spans="1:8">
      <c r="A356" t="s">
        <v>8167</v>
      </c>
      <c r="B356" t="s">
        <v>8168</v>
      </c>
      <c r="C356" t="s">
        <v>8497</v>
      </c>
      <c r="E356" s="11" t="s">
        <v>8498</v>
      </c>
      <c r="F356" s="11" t="s">
        <v>8499</v>
      </c>
      <c r="G356" t="s">
        <v>10510</v>
      </c>
      <c r="H356" t="s">
        <v>10511</v>
      </c>
    </row>
    <row r="357" spans="1:8">
      <c r="A357" t="s">
        <v>8337</v>
      </c>
      <c r="B357" t="s">
        <v>8338</v>
      </c>
      <c r="C357" t="s">
        <v>8497</v>
      </c>
      <c r="E357" s="11" t="s">
        <v>8498</v>
      </c>
      <c r="F357" s="11" t="s">
        <v>8499</v>
      </c>
      <c r="G357" t="s">
        <v>10510</v>
      </c>
      <c r="H357" t="s">
        <v>10511</v>
      </c>
    </row>
    <row r="358" spans="1:8">
      <c r="A358" t="s">
        <v>7569</v>
      </c>
      <c r="B358" t="s">
        <v>7570</v>
      </c>
      <c r="C358" t="s">
        <v>8631</v>
      </c>
      <c r="E358" s="11"/>
    </row>
    <row r="359" spans="1:8">
      <c r="A359" t="s">
        <v>2864</v>
      </c>
      <c r="B359" t="s">
        <v>2865</v>
      </c>
      <c r="C359" t="s">
        <v>9981</v>
      </c>
      <c r="E359" s="11" t="s">
        <v>9982</v>
      </c>
      <c r="F359" s="11" t="s">
        <v>9983</v>
      </c>
      <c r="G359" t="s">
        <v>10922</v>
      </c>
      <c r="H359" t="s">
        <v>10923</v>
      </c>
    </row>
    <row r="360" spans="1:8">
      <c r="A360" t="s">
        <v>2864</v>
      </c>
      <c r="B360" t="s">
        <v>2865</v>
      </c>
      <c r="C360" t="s">
        <v>9981</v>
      </c>
      <c r="E360" s="11" t="s">
        <v>9982</v>
      </c>
      <c r="F360" s="11" t="s">
        <v>9984</v>
      </c>
      <c r="G360" t="s">
        <v>10924</v>
      </c>
      <c r="H360" t="s">
        <v>10925</v>
      </c>
    </row>
    <row r="361" spans="1:8">
      <c r="A361" t="s">
        <v>380</v>
      </c>
      <c r="B361" t="s">
        <v>381</v>
      </c>
      <c r="C361" t="s">
        <v>10434</v>
      </c>
      <c r="E361" s="11" t="s">
        <v>10435</v>
      </c>
      <c r="F361" s="11" t="s">
        <v>10436</v>
      </c>
      <c r="G361" t="s">
        <v>10506</v>
      </c>
      <c r="H361" t="s">
        <v>10507</v>
      </c>
    </row>
    <row r="362" spans="1:8">
      <c r="A362" t="s">
        <v>380</v>
      </c>
      <c r="B362" t="s">
        <v>381</v>
      </c>
      <c r="C362" t="s">
        <v>10434</v>
      </c>
      <c r="E362" s="11" t="s">
        <v>10435</v>
      </c>
      <c r="F362" s="11" t="s">
        <v>10437</v>
      </c>
      <c r="G362" t="s">
        <v>10438</v>
      </c>
      <c r="H362" t="s">
        <v>10508</v>
      </c>
    </row>
    <row r="363" spans="1:8">
      <c r="A363" t="s">
        <v>2490</v>
      </c>
      <c r="B363" t="s">
        <v>2491</v>
      </c>
      <c r="C363" t="s">
        <v>10058</v>
      </c>
      <c r="E363" s="11" t="s">
        <v>10059</v>
      </c>
      <c r="F363" s="11" t="s">
        <v>10060</v>
      </c>
      <c r="G363" t="s">
        <v>10854</v>
      </c>
      <c r="H363" t="s">
        <v>10855</v>
      </c>
    </row>
    <row r="364" spans="1:8">
      <c r="A364" t="s">
        <v>2490</v>
      </c>
      <c r="B364" t="s">
        <v>2491</v>
      </c>
      <c r="C364" t="s">
        <v>10058</v>
      </c>
      <c r="E364" s="11" t="s">
        <v>10059</v>
      </c>
      <c r="F364" s="11" t="s">
        <v>10061</v>
      </c>
      <c r="G364" t="s">
        <v>10856</v>
      </c>
      <c r="H364" t="s">
        <v>10857</v>
      </c>
    </row>
    <row r="365" spans="1:8">
      <c r="A365" t="s">
        <v>2494</v>
      </c>
      <c r="B365" t="s">
        <v>2495</v>
      </c>
      <c r="C365" t="s">
        <v>10051</v>
      </c>
      <c r="E365" s="11" t="s">
        <v>10053</v>
      </c>
      <c r="F365" s="11" t="s">
        <v>10054</v>
      </c>
      <c r="G365" t="s">
        <v>10858</v>
      </c>
      <c r="H365" t="s">
        <v>10859</v>
      </c>
    </row>
    <row r="366" spans="1:8">
      <c r="A366" t="s">
        <v>4521</v>
      </c>
      <c r="B366" t="s">
        <v>4522</v>
      </c>
      <c r="C366" t="s">
        <v>9592</v>
      </c>
      <c r="E366" s="11" t="s">
        <v>9593</v>
      </c>
      <c r="F366" s="11" t="s">
        <v>9594</v>
      </c>
      <c r="G366" t="s">
        <v>11183</v>
      </c>
      <c r="H366" t="s">
        <v>11184</v>
      </c>
    </row>
    <row r="367" spans="1:8">
      <c r="A367" t="s">
        <v>2409</v>
      </c>
      <c r="B367" t="s">
        <v>2410</v>
      </c>
      <c r="C367" t="s">
        <v>10090</v>
      </c>
      <c r="E367" s="11" t="s">
        <v>10091</v>
      </c>
      <c r="F367" s="11" t="s">
        <v>10092</v>
      </c>
      <c r="G367" t="s">
        <v>10803</v>
      </c>
      <c r="H367" t="s">
        <v>10804</v>
      </c>
    </row>
    <row r="368" spans="1:8">
      <c r="A368" t="s">
        <v>4566</v>
      </c>
      <c r="B368" t="s">
        <v>4567</v>
      </c>
      <c r="C368" t="s">
        <v>9548</v>
      </c>
      <c r="E368" s="11" t="s">
        <v>9549</v>
      </c>
      <c r="F368" s="11" t="s">
        <v>9550</v>
      </c>
      <c r="G368" t="s">
        <v>11214</v>
      </c>
      <c r="H368" t="s">
        <v>11215</v>
      </c>
    </row>
    <row r="369" spans="1:8">
      <c r="A369" t="s">
        <v>2965</v>
      </c>
      <c r="B369" t="s">
        <v>2966</v>
      </c>
      <c r="C369" t="s">
        <v>9750</v>
      </c>
      <c r="E369" s="11" t="s">
        <v>9751</v>
      </c>
      <c r="F369" s="11" t="s">
        <v>9752</v>
      </c>
      <c r="G369" t="s">
        <v>10942</v>
      </c>
      <c r="H369" t="s">
        <v>10943</v>
      </c>
    </row>
    <row r="370" spans="1:8">
      <c r="A370" t="s">
        <v>3945</v>
      </c>
      <c r="B370" t="s">
        <v>3946</v>
      </c>
      <c r="C370" t="s">
        <v>9750</v>
      </c>
      <c r="E370" s="11" t="s">
        <v>9751</v>
      </c>
      <c r="F370" s="11" t="s">
        <v>9752</v>
      </c>
      <c r="G370" t="s">
        <v>10942</v>
      </c>
      <c r="H370" t="s">
        <v>10943</v>
      </c>
    </row>
    <row r="371" spans="1:8">
      <c r="A371" t="s">
        <v>4432</v>
      </c>
      <c r="B371" t="s">
        <v>4433</v>
      </c>
      <c r="C371" t="s">
        <v>9642</v>
      </c>
      <c r="E371" s="11" t="s">
        <v>9643</v>
      </c>
      <c r="F371" s="11" t="s">
        <v>9644</v>
      </c>
      <c r="G371" t="s">
        <v>11153</v>
      </c>
      <c r="H371" t="s">
        <v>11154</v>
      </c>
    </row>
    <row r="372" spans="1:8">
      <c r="A372" t="s">
        <v>4432</v>
      </c>
      <c r="B372" t="s">
        <v>4433</v>
      </c>
      <c r="C372" t="s">
        <v>9642</v>
      </c>
      <c r="E372" s="11" t="s">
        <v>9643</v>
      </c>
      <c r="F372" s="11" t="s">
        <v>9645</v>
      </c>
      <c r="G372" t="s">
        <v>11155</v>
      </c>
      <c r="H372" t="s">
        <v>11156</v>
      </c>
    </row>
    <row r="373" spans="1:8">
      <c r="A373" t="s">
        <v>4432</v>
      </c>
      <c r="B373" t="s">
        <v>4433</v>
      </c>
      <c r="C373" t="s">
        <v>9642</v>
      </c>
      <c r="E373" s="11" t="s">
        <v>9643</v>
      </c>
      <c r="F373" s="11" t="s">
        <v>9646</v>
      </c>
      <c r="G373" t="s">
        <v>11157</v>
      </c>
      <c r="H373" t="s">
        <v>11156</v>
      </c>
    </row>
    <row r="374" spans="1:8">
      <c r="A374" t="s">
        <v>4432</v>
      </c>
      <c r="B374" t="s">
        <v>4433</v>
      </c>
      <c r="C374" t="s">
        <v>9642</v>
      </c>
      <c r="E374" s="11" t="s">
        <v>9643</v>
      </c>
      <c r="F374" s="11" t="s">
        <v>9647</v>
      </c>
      <c r="G374" t="s">
        <v>11158</v>
      </c>
      <c r="H374" t="s">
        <v>11159</v>
      </c>
    </row>
    <row r="375" spans="1:8">
      <c r="A375" t="s">
        <v>4432</v>
      </c>
      <c r="B375" t="s">
        <v>4433</v>
      </c>
      <c r="C375" t="s">
        <v>9642</v>
      </c>
      <c r="E375" s="11" t="s">
        <v>9643</v>
      </c>
      <c r="F375" s="11" t="s">
        <v>9648</v>
      </c>
      <c r="G375" t="s">
        <v>11160</v>
      </c>
      <c r="H375" t="s">
        <v>11161</v>
      </c>
    </row>
    <row r="376" spans="1:8">
      <c r="A376" t="s">
        <v>4432</v>
      </c>
      <c r="B376" t="s">
        <v>4433</v>
      </c>
      <c r="C376" t="s">
        <v>9642</v>
      </c>
      <c r="E376" s="11" t="s">
        <v>9643</v>
      </c>
      <c r="F376" s="11" t="s">
        <v>9649</v>
      </c>
      <c r="G376" t="s">
        <v>11162</v>
      </c>
      <c r="H376" t="s">
        <v>11163</v>
      </c>
    </row>
    <row r="377" spans="1:8">
      <c r="A377" t="s">
        <v>4436</v>
      </c>
      <c r="B377" t="s">
        <v>4437</v>
      </c>
      <c r="C377" t="s">
        <v>9638</v>
      </c>
      <c r="E377" s="11" t="s">
        <v>9639</v>
      </c>
      <c r="F377" s="11" t="s">
        <v>9640</v>
      </c>
      <c r="G377" t="s">
        <v>11153</v>
      </c>
      <c r="H377" t="s">
        <v>11164</v>
      </c>
    </row>
    <row r="378" spans="1:8">
      <c r="A378" t="s">
        <v>4436</v>
      </c>
      <c r="B378" t="s">
        <v>4437</v>
      </c>
      <c r="C378" t="s">
        <v>9638</v>
      </c>
      <c r="E378" s="11" t="s">
        <v>9639</v>
      </c>
      <c r="F378" s="11" t="s">
        <v>9641</v>
      </c>
      <c r="G378" t="s">
        <v>11153</v>
      </c>
      <c r="H378" t="s">
        <v>11165</v>
      </c>
    </row>
    <row r="379" spans="1:8">
      <c r="A379" t="s">
        <v>3615</v>
      </c>
      <c r="B379" t="s">
        <v>3616</v>
      </c>
      <c r="C379" t="s">
        <v>9837</v>
      </c>
      <c r="E379" s="11" t="s">
        <v>9838</v>
      </c>
      <c r="F379" s="11" t="s">
        <v>9839</v>
      </c>
      <c r="G379" t="s">
        <v>11024</v>
      </c>
      <c r="H379" t="s">
        <v>9840</v>
      </c>
    </row>
    <row r="380" spans="1:8">
      <c r="A380" t="s">
        <v>3615</v>
      </c>
      <c r="B380" t="s">
        <v>3616</v>
      </c>
      <c r="C380" t="s">
        <v>9837</v>
      </c>
      <c r="E380" s="11" t="s">
        <v>9838</v>
      </c>
      <c r="F380" s="11" t="s">
        <v>9841</v>
      </c>
      <c r="G380" t="s">
        <v>11025</v>
      </c>
      <c r="H380" t="s">
        <v>9840</v>
      </c>
    </row>
    <row r="381" spans="1:8">
      <c r="A381" t="s">
        <v>3615</v>
      </c>
      <c r="B381" t="s">
        <v>3616</v>
      </c>
      <c r="C381" t="s">
        <v>9837</v>
      </c>
      <c r="E381" s="11" t="s">
        <v>9838</v>
      </c>
      <c r="F381" s="11" t="s">
        <v>9122</v>
      </c>
      <c r="G381" t="s">
        <v>11026</v>
      </c>
      <c r="H381" t="s">
        <v>11027</v>
      </c>
    </row>
    <row r="382" spans="1:8">
      <c r="A382" t="s">
        <v>3615</v>
      </c>
      <c r="B382" t="s">
        <v>3616</v>
      </c>
      <c r="C382" t="s">
        <v>9837</v>
      </c>
      <c r="E382" s="11" t="s">
        <v>9838</v>
      </c>
      <c r="F382" s="11" t="s">
        <v>9842</v>
      </c>
      <c r="G382" t="s">
        <v>11028</v>
      </c>
      <c r="H382" t="s">
        <v>11029</v>
      </c>
    </row>
    <row r="383" spans="1:8">
      <c r="A383" t="s">
        <v>3615</v>
      </c>
      <c r="B383" t="s">
        <v>3616</v>
      </c>
      <c r="C383" t="s">
        <v>9837</v>
      </c>
      <c r="E383" s="11" t="s">
        <v>9838</v>
      </c>
      <c r="F383" s="11" t="s">
        <v>9843</v>
      </c>
      <c r="G383" t="s">
        <v>11030</v>
      </c>
      <c r="H383" t="s">
        <v>11029</v>
      </c>
    </row>
    <row r="384" spans="1:8">
      <c r="A384" t="s">
        <v>3615</v>
      </c>
      <c r="B384" t="s">
        <v>3616</v>
      </c>
      <c r="C384" t="s">
        <v>9837</v>
      </c>
      <c r="E384" s="11" t="s">
        <v>9838</v>
      </c>
      <c r="F384" s="11" t="s">
        <v>9844</v>
      </c>
      <c r="G384" t="s">
        <v>11031</v>
      </c>
      <c r="H384" t="s">
        <v>11032</v>
      </c>
    </row>
    <row r="385" spans="1:8">
      <c r="A385" t="s">
        <v>3615</v>
      </c>
      <c r="B385" t="s">
        <v>3616</v>
      </c>
      <c r="C385" t="s">
        <v>9837</v>
      </c>
      <c r="E385" s="11" t="s">
        <v>9838</v>
      </c>
      <c r="F385" s="11" t="s">
        <v>9845</v>
      </c>
      <c r="G385" t="s">
        <v>11033</v>
      </c>
      <c r="H385" t="s">
        <v>11034</v>
      </c>
    </row>
    <row r="386" spans="1:8">
      <c r="A386" t="s">
        <v>5224</v>
      </c>
      <c r="B386" t="s">
        <v>5225</v>
      </c>
      <c r="C386" t="s">
        <v>9474</v>
      </c>
      <c r="E386" s="11" t="s">
        <v>9475</v>
      </c>
      <c r="F386" s="11" t="s">
        <v>9476</v>
      </c>
      <c r="G386" t="s">
        <v>11250</v>
      </c>
      <c r="H386" t="s">
        <v>11251</v>
      </c>
    </row>
    <row r="387" spans="1:8">
      <c r="A387" t="s">
        <v>1358</v>
      </c>
      <c r="B387" t="s">
        <v>1359</v>
      </c>
      <c r="C387" t="s">
        <v>10246</v>
      </c>
      <c r="E387" s="11" t="s">
        <v>10247</v>
      </c>
      <c r="F387" s="11" t="s">
        <v>10248</v>
      </c>
      <c r="G387" t="s">
        <v>10655</v>
      </c>
      <c r="H387" t="s">
        <v>10656</v>
      </c>
    </row>
    <row r="388" spans="1:8">
      <c r="A388" t="s">
        <v>550</v>
      </c>
      <c r="B388" t="s">
        <v>551</v>
      </c>
      <c r="C388" t="s">
        <v>8632</v>
      </c>
      <c r="E388" s="11"/>
    </row>
    <row r="389" spans="1:8">
      <c r="A389" t="s">
        <v>1072</v>
      </c>
      <c r="B389" t="s">
        <v>1073</v>
      </c>
      <c r="C389" t="s">
        <v>8632</v>
      </c>
      <c r="E389" s="11"/>
    </row>
    <row r="390" spans="1:8">
      <c r="A390" t="s">
        <v>1664</v>
      </c>
      <c r="B390" t="s">
        <v>1665</v>
      </c>
      <c r="C390" t="s">
        <v>8632</v>
      </c>
      <c r="E390" s="11"/>
    </row>
    <row r="391" spans="1:8">
      <c r="A391" t="s">
        <v>2561</v>
      </c>
      <c r="B391" t="s">
        <v>2562</v>
      </c>
      <c r="C391" t="s">
        <v>8632</v>
      </c>
      <c r="E391" s="11"/>
    </row>
    <row r="392" spans="1:8">
      <c r="A392" t="s">
        <v>3515</v>
      </c>
      <c r="B392" t="s">
        <v>3516</v>
      </c>
      <c r="C392" t="s">
        <v>8632</v>
      </c>
      <c r="E392" s="11"/>
    </row>
    <row r="393" spans="1:8">
      <c r="A393" t="s">
        <v>3569</v>
      </c>
      <c r="B393" t="s">
        <v>3570</v>
      </c>
      <c r="C393" t="s">
        <v>8632</v>
      </c>
      <c r="E393" s="11"/>
    </row>
    <row r="394" spans="1:8">
      <c r="A394" t="s">
        <v>3925</v>
      </c>
      <c r="B394" t="s">
        <v>3926</v>
      </c>
      <c r="C394" t="s">
        <v>8632</v>
      </c>
      <c r="E394" s="11"/>
    </row>
    <row r="395" spans="1:8">
      <c r="A395" t="s">
        <v>4017</v>
      </c>
      <c r="B395" t="s">
        <v>4018</v>
      </c>
      <c r="C395" t="s">
        <v>8632</v>
      </c>
      <c r="E395" s="11"/>
    </row>
    <row r="396" spans="1:8">
      <c r="A396" t="s">
        <v>4759</v>
      </c>
      <c r="B396" t="s">
        <v>4760</v>
      </c>
      <c r="C396" t="s">
        <v>8632</v>
      </c>
      <c r="E396" s="11"/>
    </row>
    <row r="397" spans="1:8">
      <c r="A397" t="s">
        <v>5355</v>
      </c>
      <c r="B397" t="s">
        <v>5356</v>
      </c>
      <c r="C397" t="s">
        <v>8632</v>
      </c>
      <c r="E397" s="11"/>
    </row>
    <row r="398" spans="1:8">
      <c r="A398" t="s">
        <v>5987</v>
      </c>
      <c r="B398" t="s">
        <v>5988</v>
      </c>
      <c r="C398" t="s">
        <v>8632</v>
      </c>
      <c r="E398" s="11"/>
    </row>
    <row r="399" spans="1:8">
      <c r="A399" t="s">
        <v>6539</v>
      </c>
      <c r="B399" t="s">
        <v>6540</v>
      </c>
      <c r="C399" t="s">
        <v>8632</v>
      </c>
      <c r="E399" s="11"/>
    </row>
    <row r="400" spans="1:8">
      <c r="A400" t="s">
        <v>7041</v>
      </c>
      <c r="B400" t="s">
        <v>7042</v>
      </c>
      <c r="C400" t="s">
        <v>8632</v>
      </c>
      <c r="E400" s="11"/>
    </row>
    <row r="401" spans="1:8">
      <c r="A401" t="s">
        <v>7559</v>
      </c>
      <c r="B401" t="s">
        <v>7560</v>
      </c>
      <c r="C401" t="s">
        <v>8632</v>
      </c>
      <c r="E401" s="11"/>
    </row>
    <row r="402" spans="1:8">
      <c r="A402" t="s">
        <v>455</v>
      </c>
      <c r="B402" t="s">
        <v>456</v>
      </c>
      <c r="C402" t="s">
        <v>8581</v>
      </c>
      <c r="E402" s="11"/>
    </row>
    <row r="403" spans="1:8">
      <c r="A403" t="s">
        <v>1084</v>
      </c>
      <c r="B403" t="s">
        <v>1085</v>
      </c>
      <c r="C403" t="s">
        <v>8581</v>
      </c>
      <c r="E403" s="11"/>
    </row>
    <row r="404" spans="1:8">
      <c r="A404" t="s">
        <v>1566</v>
      </c>
      <c r="B404" t="s">
        <v>1567</v>
      </c>
      <c r="C404" t="s">
        <v>8581</v>
      </c>
      <c r="E404" s="11"/>
    </row>
    <row r="405" spans="1:8">
      <c r="A405" t="s">
        <v>1880</v>
      </c>
      <c r="B405" t="s">
        <v>1881</v>
      </c>
      <c r="C405" t="s">
        <v>8581</v>
      </c>
      <c r="E405" s="11"/>
    </row>
    <row r="406" spans="1:8">
      <c r="A406" t="s">
        <v>2036</v>
      </c>
      <c r="B406" t="s">
        <v>2037</v>
      </c>
      <c r="C406" t="s">
        <v>8581</v>
      </c>
      <c r="E406" s="11"/>
    </row>
    <row r="407" spans="1:8">
      <c r="A407" t="s">
        <v>2967</v>
      </c>
      <c r="B407" t="s">
        <v>2968</v>
      </c>
      <c r="C407" t="s">
        <v>8581</v>
      </c>
      <c r="E407" s="11"/>
    </row>
    <row r="408" spans="1:8">
      <c r="A408" t="s">
        <v>3062</v>
      </c>
      <c r="B408" t="s">
        <v>3063</v>
      </c>
      <c r="C408" t="s">
        <v>8581</v>
      </c>
      <c r="E408" s="11"/>
    </row>
    <row r="409" spans="1:8">
      <c r="A409" t="s">
        <v>4301</v>
      </c>
      <c r="B409" t="s">
        <v>4302</v>
      </c>
      <c r="C409" t="s">
        <v>8581</v>
      </c>
      <c r="E409" s="11"/>
    </row>
    <row r="410" spans="1:8">
      <c r="A410" t="s">
        <v>6029</v>
      </c>
      <c r="B410" t="s">
        <v>6030</v>
      </c>
      <c r="C410" t="s">
        <v>8581</v>
      </c>
      <c r="E410" s="11"/>
    </row>
    <row r="411" spans="1:8">
      <c r="A411" t="s">
        <v>6539</v>
      </c>
      <c r="B411" t="s">
        <v>6540</v>
      </c>
      <c r="C411" t="s">
        <v>8581</v>
      </c>
      <c r="E411" s="11"/>
    </row>
    <row r="412" spans="1:8">
      <c r="A412" t="s">
        <v>7041</v>
      </c>
      <c r="B412" t="s">
        <v>7042</v>
      </c>
      <c r="C412" t="s">
        <v>8581</v>
      </c>
      <c r="E412" s="11"/>
    </row>
    <row r="413" spans="1:8">
      <c r="A413" t="s">
        <v>7890</v>
      </c>
      <c r="B413" t="s">
        <v>7891</v>
      </c>
      <c r="C413" t="s">
        <v>8581</v>
      </c>
      <c r="E413" s="11"/>
    </row>
    <row r="414" spans="1:8">
      <c r="A414" t="s">
        <v>3935</v>
      </c>
      <c r="B414" t="s">
        <v>3936</v>
      </c>
      <c r="C414" t="s">
        <v>8645</v>
      </c>
      <c r="E414" s="11" t="s">
        <v>8646</v>
      </c>
      <c r="F414" s="11" t="s">
        <v>8647</v>
      </c>
      <c r="G414" t="s">
        <v>11082</v>
      </c>
      <c r="H414" t="s">
        <v>11083</v>
      </c>
    </row>
    <row r="415" spans="1:8">
      <c r="A415" t="s">
        <v>7519</v>
      </c>
      <c r="B415" t="s">
        <v>7520</v>
      </c>
      <c r="C415" t="s">
        <v>8645</v>
      </c>
      <c r="E415" s="11" t="s">
        <v>8646</v>
      </c>
      <c r="F415" s="11" t="s">
        <v>8647</v>
      </c>
      <c r="G415" t="s">
        <v>11082</v>
      </c>
      <c r="H415" t="s">
        <v>11083</v>
      </c>
    </row>
    <row r="416" spans="1:8">
      <c r="A416" t="s">
        <v>3154</v>
      </c>
      <c r="B416" t="s">
        <v>3155</v>
      </c>
      <c r="C416" t="s">
        <v>9936</v>
      </c>
      <c r="E416" s="11" t="s">
        <v>9937</v>
      </c>
      <c r="F416" s="11" t="s">
        <v>9938</v>
      </c>
      <c r="G416" t="s">
        <v>10956</v>
      </c>
      <c r="H416" t="s">
        <v>10957</v>
      </c>
    </row>
    <row r="417" spans="1:8">
      <c r="A417" t="s">
        <v>6098</v>
      </c>
      <c r="B417" t="s">
        <v>6099</v>
      </c>
      <c r="C417" t="s">
        <v>9151</v>
      </c>
      <c r="E417" s="11" t="s">
        <v>9152</v>
      </c>
      <c r="F417" s="11" t="s">
        <v>9153</v>
      </c>
      <c r="G417" t="s">
        <v>11465</v>
      </c>
      <c r="H417" t="s">
        <v>11466</v>
      </c>
    </row>
    <row r="418" spans="1:8">
      <c r="A418" t="s">
        <v>6098</v>
      </c>
      <c r="B418" t="s">
        <v>6099</v>
      </c>
      <c r="C418" t="s">
        <v>9151</v>
      </c>
      <c r="E418" s="11" t="s">
        <v>9152</v>
      </c>
      <c r="F418" s="11" t="s">
        <v>9154</v>
      </c>
      <c r="G418" t="s">
        <v>11467</v>
      </c>
      <c r="H418" t="s">
        <v>11468</v>
      </c>
    </row>
    <row r="419" spans="1:8">
      <c r="A419" t="s">
        <v>6098</v>
      </c>
      <c r="B419" t="s">
        <v>6099</v>
      </c>
      <c r="C419" t="s">
        <v>9151</v>
      </c>
      <c r="E419" s="11" t="s">
        <v>9152</v>
      </c>
      <c r="F419" s="11" t="s">
        <v>9155</v>
      </c>
      <c r="G419" t="s">
        <v>11469</v>
      </c>
      <c r="H419" t="s">
        <v>11470</v>
      </c>
    </row>
    <row r="420" spans="1:8">
      <c r="A420" t="s">
        <v>6098</v>
      </c>
      <c r="B420" t="s">
        <v>6099</v>
      </c>
      <c r="C420" t="s">
        <v>9151</v>
      </c>
      <c r="E420" s="11" t="s">
        <v>9152</v>
      </c>
      <c r="F420" s="11" t="s">
        <v>9156</v>
      </c>
      <c r="G420" t="s">
        <v>11471</v>
      </c>
      <c r="H420" t="s">
        <v>11472</v>
      </c>
    </row>
    <row r="421" spans="1:8">
      <c r="A421" t="s">
        <v>7092</v>
      </c>
      <c r="B421" t="s">
        <v>7093</v>
      </c>
      <c r="C421" t="s">
        <v>8796</v>
      </c>
      <c r="E421" s="11" t="s">
        <v>8797</v>
      </c>
      <c r="F421" s="11" t="s">
        <v>8798</v>
      </c>
      <c r="G421" t="s">
        <v>11679</v>
      </c>
      <c r="H421" t="s">
        <v>11680</v>
      </c>
    </row>
    <row r="422" spans="1:8">
      <c r="A422" t="s">
        <v>1735</v>
      </c>
      <c r="B422" t="s">
        <v>1736</v>
      </c>
      <c r="C422" t="s">
        <v>10209</v>
      </c>
      <c r="E422" s="11" t="s">
        <v>10210</v>
      </c>
      <c r="F422" s="11" t="s">
        <v>10211</v>
      </c>
      <c r="G422" t="s">
        <v>10677</v>
      </c>
      <c r="H422" t="s">
        <v>10678</v>
      </c>
    </row>
    <row r="423" spans="1:8">
      <c r="A423" t="s">
        <v>1743</v>
      </c>
      <c r="B423" t="s">
        <v>1744</v>
      </c>
      <c r="C423" t="s">
        <v>10209</v>
      </c>
      <c r="E423" s="11" t="s">
        <v>10210</v>
      </c>
      <c r="F423" s="11" t="s">
        <v>10211</v>
      </c>
      <c r="G423" t="s">
        <v>10677</v>
      </c>
      <c r="H423" t="s">
        <v>10678</v>
      </c>
    </row>
    <row r="424" spans="1:8">
      <c r="A424" t="s">
        <v>1739</v>
      </c>
      <c r="B424" t="s">
        <v>1740</v>
      </c>
      <c r="C424" t="s">
        <v>10212</v>
      </c>
      <c r="E424" s="11" t="s">
        <v>10213</v>
      </c>
      <c r="F424" s="11" t="s">
        <v>10214</v>
      </c>
      <c r="G424" t="s">
        <v>10679</v>
      </c>
      <c r="H424" t="s">
        <v>10680</v>
      </c>
    </row>
    <row r="425" spans="1:8">
      <c r="A425" t="s">
        <v>4170</v>
      </c>
      <c r="B425" t="s">
        <v>4171</v>
      </c>
      <c r="C425" t="s">
        <v>9715</v>
      </c>
      <c r="E425" s="11" t="s">
        <v>9716</v>
      </c>
    </row>
    <row r="426" spans="1:8">
      <c r="A426" t="s">
        <v>276</v>
      </c>
      <c r="B426" t="s">
        <v>277</v>
      </c>
      <c r="C426" t="s">
        <v>10451</v>
      </c>
      <c r="E426" s="11" t="s">
        <v>10452</v>
      </c>
      <c r="F426" s="11" t="s">
        <v>10453</v>
      </c>
      <c r="G426" t="s">
        <v>10488</v>
      </c>
      <c r="H426" t="s">
        <v>10489</v>
      </c>
    </row>
    <row r="427" spans="1:8">
      <c r="A427" t="s">
        <v>276</v>
      </c>
      <c r="B427" t="s">
        <v>277</v>
      </c>
      <c r="C427" t="s">
        <v>10451</v>
      </c>
      <c r="E427" s="11" t="s">
        <v>10452</v>
      </c>
      <c r="F427" s="11" t="s">
        <v>10454</v>
      </c>
      <c r="G427" t="s">
        <v>10490</v>
      </c>
      <c r="H427" t="s">
        <v>10491</v>
      </c>
    </row>
    <row r="428" spans="1:8">
      <c r="A428" t="s">
        <v>1904</v>
      </c>
      <c r="B428" t="s">
        <v>1905</v>
      </c>
      <c r="C428" t="s">
        <v>10192</v>
      </c>
      <c r="E428" s="11" t="s">
        <v>10193</v>
      </c>
      <c r="F428" s="11" t="s">
        <v>10194</v>
      </c>
      <c r="G428" t="s">
        <v>10691</v>
      </c>
      <c r="H428" t="s">
        <v>10692</v>
      </c>
    </row>
    <row r="429" spans="1:8">
      <c r="A429" t="s">
        <v>3935</v>
      </c>
      <c r="B429" t="s">
        <v>3936</v>
      </c>
      <c r="C429" t="s">
        <v>9759</v>
      </c>
      <c r="E429" s="11" t="s">
        <v>9760</v>
      </c>
      <c r="F429" s="11" t="s">
        <v>9761</v>
      </c>
      <c r="G429" t="s">
        <v>11084</v>
      </c>
      <c r="H429" t="s">
        <v>11085</v>
      </c>
    </row>
    <row r="430" spans="1:8">
      <c r="A430" t="s">
        <v>7555</v>
      </c>
      <c r="B430" t="s">
        <v>7556</v>
      </c>
      <c r="C430" t="s">
        <v>8633</v>
      </c>
      <c r="E430" s="11" t="s">
        <v>8634</v>
      </c>
      <c r="F430" s="11" t="s">
        <v>8635</v>
      </c>
      <c r="G430" t="s">
        <v>11747</v>
      </c>
      <c r="H430" t="s">
        <v>11748</v>
      </c>
    </row>
    <row r="431" spans="1:8">
      <c r="A431" t="s">
        <v>7555</v>
      </c>
      <c r="B431" t="s">
        <v>7556</v>
      </c>
      <c r="C431" t="s">
        <v>8633</v>
      </c>
      <c r="E431" s="11" t="s">
        <v>8634</v>
      </c>
      <c r="F431" s="11" t="s">
        <v>11910</v>
      </c>
      <c r="G431" t="s">
        <v>11911</v>
      </c>
      <c r="H431" t="s">
        <v>11912</v>
      </c>
    </row>
    <row r="432" spans="1:8">
      <c r="A432" t="s">
        <v>2423</v>
      </c>
      <c r="B432" t="s">
        <v>2424</v>
      </c>
      <c r="C432" t="s">
        <v>8873</v>
      </c>
      <c r="E432" s="11" t="s">
        <v>8874</v>
      </c>
      <c r="F432" s="11" t="s">
        <v>8875</v>
      </c>
      <c r="G432" t="s">
        <v>10805</v>
      </c>
      <c r="H432" t="s">
        <v>10806</v>
      </c>
    </row>
    <row r="433" spans="1:8">
      <c r="A433" t="s">
        <v>2423</v>
      </c>
      <c r="B433" t="s">
        <v>2424</v>
      </c>
      <c r="C433" t="s">
        <v>8873</v>
      </c>
      <c r="E433" s="11" t="s">
        <v>8874</v>
      </c>
      <c r="F433" s="11" t="s">
        <v>8876</v>
      </c>
      <c r="G433" t="s">
        <v>10807</v>
      </c>
      <c r="H433" t="s">
        <v>10808</v>
      </c>
    </row>
    <row r="434" spans="1:8">
      <c r="A434" t="s">
        <v>2423</v>
      </c>
      <c r="B434" t="s">
        <v>2424</v>
      </c>
      <c r="C434" t="s">
        <v>8873</v>
      </c>
      <c r="E434" s="11" t="s">
        <v>8874</v>
      </c>
      <c r="F434" s="11" t="s">
        <v>8877</v>
      </c>
      <c r="G434" t="s">
        <v>10809</v>
      </c>
      <c r="H434" t="s">
        <v>10810</v>
      </c>
    </row>
    <row r="435" spans="1:8">
      <c r="A435" t="s">
        <v>2423</v>
      </c>
      <c r="B435" t="s">
        <v>2424</v>
      </c>
      <c r="C435" t="s">
        <v>8873</v>
      </c>
      <c r="E435" s="11" t="s">
        <v>8874</v>
      </c>
      <c r="F435" s="11" t="s">
        <v>8878</v>
      </c>
      <c r="G435" t="s">
        <v>10811</v>
      </c>
      <c r="H435" t="s">
        <v>10812</v>
      </c>
    </row>
    <row r="436" spans="1:8">
      <c r="A436" t="s">
        <v>2423</v>
      </c>
      <c r="B436" t="s">
        <v>2424</v>
      </c>
      <c r="C436" t="s">
        <v>8873</v>
      </c>
      <c r="E436" s="11" t="s">
        <v>8874</v>
      </c>
      <c r="F436" s="11" t="s">
        <v>8879</v>
      </c>
      <c r="G436" t="s">
        <v>10813</v>
      </c>
      <c r="H436" t="s">
        <v>10814</v>
      </c>
    </row>
    <row r="437" spans="1:8">
      <c r="A437" t="s">
        <v>2423</v>
      </c>
      <c r="B437" t="s">
        <v>2424</v>
      </c>
      <c r="C437" t="s">
        <v>8873</v>
      </c>
      <c r="E437" s="11" t="s">
        <v>8874</v>
      </c>
      <c r="F437" s="11" t="s">
        <v>8880</v>
      </c>
      <c r="G437" t="s">
        <v>8881</v>
      </c>
      <c r="H437" t="s">
        <v>10815</v>
      </c>
    </row>
    <row r="438" spans="1:8">
      <c r="A438" t="s">
        <v>2423</v>
      </c>
      <c r="B438" t="s">
        <v>2424</v>
      </c>
      <c r="C438" t="s">
        <v>8873</v>
      </c>
      <c r="E438" s="11" t="s">
        <v>8874</v>
      </c>
      <c r="F438" s="11" t="s">
        <v>8882</v>
      </c>
      <c r="G438" t="s">
        <v>10816</v>
      </c>
      <c r="H438" t="s">
        <v>10817</v>
      </c>
    </row>
    <row r="439" spans="1:8">
      <c r="A439" t="s">
        <v>2423</v>
      </c>
      <c r="B439" t="s">
        <v>2424</v>
      </c>
      <c r="C439" t="s">
        <v>8873</v>
      </c>
      <c r="E439" s="11" t="s">
        <v>8874</v>
      </c>
      <c r="F439" s="11" t="s">
        <v>8883</v>
      </c>
      <c r="G439" t="s">
        <v>10750</v>
      </c>
      <c r="H439" t="s">
        <v>10751</v>
      </c>
    </row>
    <row r="440" spans="1:8">
      <c r="A440" t="s">
        <v>2423</v>
      </c>
      <c r="B440" t="s">
        <v>2424</v>
      </c>
      <c r="C440" t="s">
        <v>8873</v>
      </c>
      <c r="E440" s="11" t="s">
        <v>8874</v>
      </c>
      <c r="F440" s="11" t="s">
        <v>8884</v>
      </c>
      <c r="G440" t="s">
        <v>10752</v>
      </c>
      <c r="H440" t="s">
        <v>10753</v>
      </c>
    </row>
    <row r="441" spans="1:8">
      <c r="A441" t="s">
        <v>2423</v>
      </c>
      <c r="B441" t="s">
        <v>2424</v>
      </c>
      <c r="C441" t="s">
        <v>8873</v>
      </c>
      <c r="E441" s="11" t="s">
        <v>8874</v>
      </c>
      <c r="F441" s="11" t="s">
        <v>8885</v>
      </c>
      <c r="G441" t="s">
        <v>8886</v>
      </c>
      <c r="H441" t="s">
        <v>10818</v>
      </c>
    </row>
    <row r="442" spans="1:8">
      <c r="A442" t="s">
        <v>2423</v>
      </c>
      <c r="B442" t="s">
        <v>2424</v>
      </c>
      <c r="C442" t="s">
        <v>8873</v>
      </c>
      <c r="E442" s="11" t="s">
        <v>8874</v>
      </c>
      <c r="F442" s="11" t="s">
        <v>8887</v>
      </c>
      <c r="G442" t="s">
        <v>10754</v>
      </c>
      <c r="H442" t="s">
        <v>10755</v>
      </c>
    </row>
    <row r="443" spans="1:8">
      <c r="A443" t="s">
        <v>2423</v>
      </c>
      <c r="B443" t="s">
        <v>2424</v>
      </c>
      <c r="C443" t="s">
        <v>8873</v>
      </c>
      <c r="E443" s="11" t="s">
        <v>8874</v>
      </c>
      <c r="F443" s="11" t="s">
        <v>8888</v>
      </c>
      <c r="G443" t="s">
        <v>8889</v>
      </c>
      <c r="H443" t="s">
        <v>10819</v>
      </c>
    </row>
    <row r="444" spans="1:8">
      <c r="A444" t="s">
        <v>2423</v>
      </c>
      <c r="B444" t="s">
        <v>2424</v>
      </c>
      <c r="C444" t="s">
        <v>8873</v>
      </c>
      <c r="E444" s="11" t="s">
        <v>8874</v>
      </c>
      <c r="F444" s="11" t="s">
        <v>8890</v>
      </c>
      <c r="G444" t="s">
        <v>10756</v>
      </c>
      <c r="H444" t="s">
        <v>10757</v>
      </c>
    </row>
    <row r="445" spans="1:8">
      <c r="A445" t="s">
        <v>2423</v>
      </c>
      <c r="B445" t="s">
        <v>2424</v>
      </c>
      <c r="C445" t="s">
        <v>8873</v>
      </c>
      <c r="E445" s="11" t="s">
        <v>8874</v>
      </c>
      <c r="F445" s="11" t="s">
        <v>8891</v>
      </c>
      <c r="G445" t="s">
        <v>8892</v>
      </c>
      <c r="H445" t="s">
        <v>10820</v>
      </c>
    </row>
    <row r="446" spans="1:8">
      <c r="A446" t="s">
        <v>2423</v>
      </c>
      <c r="B446" t="s">
        <v>2424</v>
      </c>
      <c r="C446" t="s">
        <v>8873</v>
      </c>
      <c r="E446" s="11" t="s">
        <v>8874</v>
      </c>
      <c r="F446" s="11" t="s">
        <v>8893</v>
      </c>
      <c r="G446" t="s">
        <v>10758</v>
      </c>
      <c r="H446" t="s">
        <v>10821</v>
      </c>
    </row>
    <row r="447" spans="1:8">
      <c r="A447" t="s">
        <v>2423</v>
      </c>
      <c r="B447" t="s">
        <v>2424</v>
      </c>
      <c r="C447" t="s">
        <v>8873</v>
      </c>
      <c r="E447" s="11" t="s">
        <v>8874</v>
      </c>
      <c r="F447" s="11" t="s">
        <v>8894</v>
      </c>
      <c r="G447" t="s">
        <v>8895</v>
      </c>
      <c r="H447" t="s">
        <v>10822</v>
      </c>
    </row>
    <row r="448" spans="1:8">
      <c r="A448" t="s">
        <v>2423</v>
      </c>
      <c r="B448" t="s">
        <v>2424</v>
      </c>
      <c r="C448" t="s">
        <v>8873</v>
      </c>
      <c r="E448" s="11" t="s">
        <v>8874</v>
      </c>
      <c r="F448" s="11" t="s">
        <v>8896</v>
      </c>
      <c r="G448" t="s">
        <v>10823</v>
      </c>
      <c r="H448" t="s">
        <v>10824</v>
      </c>
    </row>
    <row r="449" spans="1:8">
      <c r="A449" t="s">
        <v>2423</v>
      </c>
      <c r="B449" t="s">
        <v>2424</v>
      </c>
      <c r="C449" t="s">
        <v>8873</v>
      </c>
      <c r="E449" s="11" t="s">
        <v>8874</v>
      </c>
      <c r="F449" s="11" t="s">
        <v>8897</v>
      </c>
      <c r="G449" t="s">
        <v>10825</v>
      </c>
      <c r="H449" t="s">
        <v>10826</v>
      </c>
    </row>
    <row r="450" spans="1:8">
      <c r="A450" t="s">
        <v>2423</v>
      </c>
      <c r="B450" t="s">
        <v>2424</v>
      </c>
      <c r="C450" t="s">
        <v>8873</v>
      </c>
      <c r="E450" s="11" t="s">
        <v>8874</v>
      </c>
      <c r="F450" s="11" t="s">
        <v>8898</v>
      </c>
      <c r="G450" t="s">
        <v>10827</v>
      </c>
      <c r="H450" t="s">
        <v>10828</v>
      </c>
    </row>
    <row r="451" spans="1:8">
      <c r="A451" t="s">
        <v>2423</v>
      </c>
      <c r="B451" t="s">
        <v>2424</v>
      </c>
      <c r="C451" t="s">
        <v>8873</v>
      </c>
      <c r="E451" s="11" t="s">
        <v>8874</v>
      </c>
      <c r="F451" s="11" t="s">
        <v>8899</v>
      </c>
      <c r="G451" t="s">
        <v>10759</v>
      </c>
      <c r="H451" t="s">
        <v>10760</v>
      </c>
    </row>
    <row r="452" spans="1:8">
      <c r="A452" t="s">
        <v>2423</v>
      </c>
      <c r="B452" t="s">
        <v>2424</v>
      </c>
      <c r="C452" t="s">
        <v>8873</v>
      </c>
      <c r="E452" s="11" t="s">
        <v>8874</v>
      </c>
      <c r="F452" s="11" t="s">
        <v>8900</v>
      </c>
      <c r="G452" t="s">
        <v>8901</v>
      </c>
      <c r="H452" t="s">
        <v>10829</v>
      </c>
    </row>
    <row r="453" spans="1:8">
      <c r="A453" t="s">
        <v>2423</v>
      </c>
      <c r="B453" t="s">
        <v>2424</v>
      </c>
      <c r="C453" t="s">
        <v>8873</v>
      </c>
      <c r="E453" s="11" t="s">
        <v>8874</v>
      </c>
      <c r="F453" s="11" t="s">
        <v>8902</v>
      </c>
      <c r="G453" t="s">
        <v>10830</v>
      </c>
      <c r="H453" t="s">
        <v>10831</v>
      </c>
    </row>
    <row r="454" spans="1:8">
      <c r="A454" t="s">
        <v>2423</v>
      </c>
      <c r="B454" t="s">
        <v>2424</v>
      </c>
      <c r="C454" t="s">
        <v>8873</v>
      </c>
      <c r="E454" s="11" t="s">
        <v>8874</v>
      </c>
      <c r="F454" s="11" t="s">
        <v>8903</v>
      </c>
      <c r="G454" t="s">
        <v>10832</v>
      </c>
      <c r="H454" t="s">
        <v>10833</v>
      </c>
    </row>
    <row r="455" spans="1:8">
      <c r="A455" t="s">
        <v>2423</v>
      </c>
      <c r="B455" t="s">
        <v>2424</v>
      </c>
      <c r="C455" t="s">
        <v>8873</v>
      </c>
      <c r="E455" s="11" t="s">
        <v>8874</v>
      </c>
      <c r="F455" s="11" t="s">
        <v>8904</v>
      </c>
      <c r="G455" t="s">
        <v>16069</v>
      </c>
      <c r="H455" t="s">
        <v>10834</v>
      </c>
    </row>
    <row r="456" spans="1:8">
      <c r="A456" t="s">
        <v>2423</v>
      </c>
      <c r="B456" t="s">
        <v>2424</v>
      </c>
      <c r="C456" t="s">
        <v>8873</v>
      </c>
      <c r="E456" s="11" t="s">
        <v>8874</v>
      </c>
      <c r="F456" s="11" t="s">
        <v>8905</v>
      </c>
      <c r="G456" t="s">
        <v>10835</v>
      </c>
      <c r="H456" t="s">
        <v>10836</v>
      </c>
    </row>
    <row r="457" spans="1:8">
      <c r="A457" t="s">
        <v>2423</v>
      </c>
      <c r="B457" t="s">
        <v>2424</v>
      </c>
      <c r="C457" t="s">
        <v>8873</v>
      </c>
      <c r="E457" s="11" t="s">
        <v>8874</v>
      </c>
      <c r="F457" s="11" t="s">
        <v>8906</v>
      </c>
      <c r="G457" t="s">
        <v>10837</v>
      </c>
      <c r="H457" t="s">
        <v>10838</v>
      </c>
    </row>
    <row r="458" spans="1:8">
      <c r="A458" t="s">
        <v>2423</v>
      </c>
      <c r="B458" t="s">
        <v>2424</v>
      </c>
      <c r="C458" t="s">
        <v>8873</v>
      </c>
      <c r="E458" s="11" t="s">
        <v>8874</v>
      </c>
      <c r="F458" s="11" t="s">
        <v>8907</v>
      </c>
      <c r="G458" t="s">
        <v>10839</v>
      </c>
      <c r="H458" t="s">
        <v>10840</v>
      </c>
    </row>
    <row r="459" spans="1:8">
      <c r="A459" t="s">
        <v>2423</v>
      </c>
      <c r="B459" t="s">
        <v>2424</v>
      </c>
      <c r="C459" t="s">
        <v>8873</v>
      </c>
      <c r="E459" s="11" t="s">
        <v>8874</v>
      </c>
      <c r="F459" s="11" t="s">
        <v>8908</v>
      </c>
      <c r="G459" t="s">
        <v>10761</v>
      </c>
      <c r="H459" t="s">
        <v>10762</v>
      </c>
    </row>
    <row r="460" spans="1:8">
      <c r="A460" t="s">
        <v>2423</v>
      </c>
      <c r="B460" t="s">
        <v>2424</v>
      </c>
      <c r="C460" t="s">
        <v>8873</v>
      </c>
      <c r="E460" s="11" t="s">
        <v>8874</v>
      </c>
      <c r="F460" s="11" t="s">
        <v>8909</v>
      </c>
      <c r="G460" t="s">
        <v>8910</v>
      </c>
      <c r="H460" t="s">
        <v>10841</v>
      </c>
    </row>
    <row r="461" spans="1:8">
      <c r="A461" t="s">
        <v>2423</v>
      </c>
      <c r="B461" t="s">
        <v>2424</v>
      </c>
      <c r="C461" t="s">
        <v>8873</v>
      </c>
      <c r="E461" s="11" t="s">
        <v>8874</v>
      </c>
      <c r="F461" s="11" t="s">
        <v>8911</v>
      </c>
      <c r="G461" t="s">
        <v>10842</v>
      </c>
      <c r="H461" t="s">
        <v>10843</v>
      </c>
    </row>
    <row r="462" spans="1:8">
      <c r="A462" t="s">
        <v>2423</v>
      </c>
      <c r="B462" t="s">
        <v>2424</v>
      </c>
      <c r="C462" t="s">
        <v>8873</v>
      </c>
      <c r="E462" s="11" t="s">
        <v>8874</v>
      </c>
      <c r="F462" s="11" t="s">
        <v>8912</v>
      </c>
      <c r="G462" t="s">
        <v>10844</v>
      </c>
      <c r="H462" t="s">
        <v>10845</v>
      </c>
    </row>
    <row r="463" spans="1:8">
      <c r="A463" t="s">
        <v>2423</v>
      </c>
      <c r="B463" t="s">
        <v>2424</v>
      </c>
      <c r="C463" t="s">
        <v>8873</v>
      </c>
      <c r="E463" s="11" t="s">
        <v>8874</v>
      </c>
      <c r="F463" s="11" t="s">
        <v>8913</v>
      </c>
      <c r="G463" t="s">
        <v>10846</v>
      </c>
      <c r="H463" t="s">
        <v>10847</v>
      </c>
    </row>
    <row r="464" spans="1:8">
      <c r="A464" t="s">
        <v>6857</v>
      </c>
      <c r="B464" t="s">
        <v>6858</v>
      </c>
      <c r="C464" t="s">
        <v>8873</v>
      </c>
      <c r="E464" s="11" t="s">
        <v>8874</v>
      </c>
      <c r="F464" s="11" t="s">
        <v>8875</v>
      </c>
      <c r="G464" t="s">
        <v>10805</v>
      </c>
      <c r="H464" t="s">
        <v>10806</v>
      </c>
    </row>
    <row r="465" spans="1:8">
      <c r="A465" t="s">
        <v>6857</v>
      </c>
      <c r="B465" t="s">
        <v>6858</v>
      </c>
      <c r="C465" t="s">
        <v>8873</v>
      </c>
      <c r="E465" s="11" t="s">
        <v>8874</v>
      </c>
      <c r="F465" s="11" t="s">
        <v>8876</v>
      </c>
      <c r="G465" t="s">
        <v>10807</v>
      </c>
      <c r="H465" t="s">
        <v>10808</v>
      </c>
    </row>
    <row r="466" spans="1:8">
      <c r="A466" t="s">
        <v>6857</v>
      </c>
      <c r="B466" t="s">
        <v>6858</v>
      </c>
      <c r="C466" t="s">
        <v>8873</v>
      </c>
      <c r="E466" s="11" t="s">
        <v>8874</v>
      </c>
      <c r="F466" s="11" t="s">
        <v>8877</v>
      </c>
      <c r="G466" t="s">
        <v>10809</v>
      </c>
      <c r="H466" t="s">
        <v>10810</v>
      </c>
    </row>
    <row r="467" spans="1:8">
      <c r="A467" t="s">
        <v>6857</v>
      </c>
      <c r="B467" t="s">
        <v>6858</v>
      </c>
      <c r="C467" t="s">
        <v>8873</v>
      </c>
      <c r="E467" s="11" t="s">
        <v>8874</v>
      </c>
      <c r="F467" s="11" t="s">
        <v>8878</v>
      </c>
      <c r="G467" t="s">
        <v>10811</v>
      </c>
      <c r="H467" t="s">
        <v>10812</v>
      </c>
    </row>
    <row r="468" spans="1:8">
      <c r="A468" t="s">
        <v>6857</v>
      </c>
      <c r="B468" t="s">
        <v>6858</v>
      </c>
      <c r="C468" t="s">
        <v>8873</v>
      </c>
      <c r="E468" s="11" t="s">
        <v>8874</v>
      </c>
      <c r="F468" s="11" t="s">
        <v>8879</v>
      </c>
      <c r="G468" t="s">
        <v>10813</v>
      </c>
      <c r="H468" t="s">
        <v>10814</v>
      </c>
    </row>
    <row r="469" spans="1:8">
      <c r="A469" t="s">
        <v>6857</v>
      </c>
      <c r="B469" t="s">
        <v>6858</v>
      </c>
      <c r="C469" t="s">
        <v>8873</v>
      </c>
      <c r="E469" s="11" t="s">
        <v>8874</v>
      </c>
      <c r="F469" s="11" t="s">
        <v>8880</v>
      </c>
      <c r="G469" t="s">
        <v>8881</v>
      </c>
      <c r="H469" t="s">
        <v>10815</v>
      </c>
    </row>
    <row r="470" spans="1:8">
      <c r="A470" t="s">
        <v>6857</v>
      </c>
      <c r="B470" t="s">
        <v>6858</v>
      </c>
      <c r="C470" t="s">
        <v>8873</v>
      </c>
      <c r="E470" s="11" t="s">
        <v>8874</v>
      </c>
      <c r="F470" s="11" t="s">
        <v>8882</v>
      </c>
      <c r="G470" t="s">
        <v>10816</v>
      </c>
      <c r="H470" t="s">
        <v>10817</v>
      </c>
    </row>
    <row r="471" spans="1:8">
      <c r="A471" t="s">
        <v>6857</v>
      </c>
      <c r="B471" t="s">
        <v>6858</v>
      </c>
      <c r="C471" t="s">
        <v>8873</v>
      </c>
      <c r="E471" s="11" t="s">
        <v>8874</v>
      </c>
      <c r="F471" s="11" t="s">
        <v>8883</v>
      </c>
      <c r="G471" t="s">
        <v>10750</v>
      </c>
      <c r="H471" t="s">
        <v>10751</v>
      </c>
    </row>
    <row r="472" spans="1:8">
      <c r="A472" t="s">
        <v>6857</v>
      </c>
      <c r="B472" t="s">
        <v>6858</v>
      </c>
      <c r="C472" t="s">
        <v>8873</v>
      </c>
      <c r="E472" s="11" t="s">
        <v>8874</v>
      </c>
      <c r="F472" s="11" t="s">
        <v>8884</v>
      </c>
      <c r="G472" t="s">
        <v>10752</v>
      </c>
      <c r="H472" t="s">
        <v>10753</v>
      </c>
    </row>
    <row r="473" spans="1:8">
      <c r="A473" t="s">
        <v>6857</v>
      </c>
      <c r="B473" t="s">
        <v>6858</v>
      </c>
      <c r="C473" t="s">
        <v>8873</v>
      </c>
      <c r="E473" s="11" t="s">
        <v>8874</v>
      </c>
      <c r="F473" s="11" t="s">
        <v>8885</v>
      </c>
      <c r="G473" t="s">
        <v>8886</v>
      </c>
      <c r="H473" t="s">
        <v>10818</v>
      </c>
    </row>
    <row r="474" spans="1:8">
      <c r="A474" t="s">
        <v>6857</v>
      </c>
      <c r="B474" t="s">
        <v>6858</v>
      </c>
      <c r="C474" t="s">
        <v>8873</v>
      </c>
      <c r="E474" s="11" t="s">
        <v>8874</v>
      </c>
      <c r="F474" s="11" t="s">
        <v>8887</v>
      </c>
      <c r="G474" t="s">
        <v>10754</v>
      </c>
      <c r="H474" t="s">
        <v>10755</v>
      </c>
    </row>
    <row r="475" spans="1:8">
      <c r="A475" t="s">
        <v>6857</v>
      </c>
      <c r="B475" t="s">
        <v>6858</v>
      </c>
      <c r="C475" t="s">
        <v>8873</v>
      </c>
      <c r="E475" s="11" t="s">
        <v>8874</v>
      </c>
      <c r="F475" s="11" t="s">
        <v>8888</v>
      </c>
      <c r="G475" t="s">
        <v>8889</v>
      </c>
      <c r="H475" t="s">
        <v>10819</v>
      </c>
    </row>
    <row r="476" spans="1:8">
      <c r="A476" t="s">
        <v>6857</v>
      </c>
      <c r="B476" t="s">
        <v>6858</v>
      </c>
      <c r="C476" t="s">
        <v>8873</v>
      </c>
      <c r="E476" s="11" t="s">
        <v>8874</v>
      </c>
      <c r="F476" s="11" t="s">
        <v>8890</v>
      </c>
      <c r="G476" t="s">
        <v>10756</v>
      </c>
      <c r="H476" t="s">
        <v>10757</v>
      </c>
    </row>
    <row r="477" spans="1:8">
      <c r="A477" t="s">
        <v>6857</v>
      </c>
      <c r="B477" t="s">
        <v>6858</v>
      </c>
      <c r="C477" t="s">
        <v>8873</v>
      </c>
      <c r="E477" s="11" t="s">
        <v>8874</v>
      </c>
      <c r="F477" s="11" t="s">
        <v>8891</v>
      </c>
      <c r="G477" t="s">
        <v>8892</v>
      </c>
      <c r="H477" t="s">
        <v>10820</v>
      </c>
    </row>
    <row r="478" spans="1:8">
      <c r="A478" t="s">
        <v>6857</v>
      </c>
      <c r="B478" t="s">
        <v>6858</v>
      </c>
      <c r="C478" t="s">
        <v>8873</v>
      </c>
      <c r="E478" s="11" t="s">
        <v>8874</v>
      </c>
      <c r="F478" s="11" t="s">
        <v>8893</v>
      </c>
      <c r="G478" t="s">
        <v>10758</v>
      </c>
      <c r="H478" t="s">
        <v>10821</v>
      </c>
    </row>
    <row r="479" spans="1:8">
      <c r="A479" t="s">
        <v>6857</v>
      </c>
      <c r="B479" t="s">
        <v>6858</v>
      </c>
      <c r="C479" t="s">
        <v>8873</v>
      </c>
      <c r="E479" s="11" t="s">
        <v>8874</v>
      </c>
      <c r="F479" s="11" t="s">
        <v>8894</v>
      </c>
      <c r="G479" t="s">
        <v>8895</v>
      </c>
      <c r="H479" t="s">
        <v>10822</v>
      </c>
    </row>
    <row r="480" spans="1:8">
      <c r="A480" t="s">
        <v>6857</v>
      </c>
      <c r="B480" t="s">
        <v>6858</v>
      </c>
      <c r="C480" t="s">
        <v>8873</v>
      </c>
      <c r="E480" s="11" t="s">
        <v>8874</v>
      </c>
      <c r="F480" s="11" t="s">
        <v>8896</v>
      </c>
      <c r="G480" t="s">
        <v>10823</v>
      </c>
      <c r="H480" t="s">
        <v>10824</v>
      </c>
    </row>
    <row r="481" spans="1:8">
      <c r="A481" t="s">
        <v>6857</v>
      </c>
      <c r="B481" t="s">
        <v>6858</v>
      </c>
      <c r="C481" t="s">
        <v>8873</v>
      </c>
      <c r="E481" s="11" t="s">
        <v>8874</v>
      </c>
      <c r="F481" s="11" t="s">
        <v>8897</v>
      </c>
      <c r="G481" t="s">
        <v>10825</v>
      </c>
      <c r="H481" t="s">
        <v>10826</v>
      </c>
    </row>
    <row r="482" spans="1:8">
      <c r="A482" t="s">
        <v>6857</v>
      </c>
      <c r="B482" t="s">
        <v>6858</v>
      </c>
      <c r="C482" t="s">
        <v>8873</v>
      </c>
      <c r="E482" s="11" t="s">
        <v>8874</v>
      </c>
      <c r="F482" s="11" t="s">
        <v>8898</v>
      </c>
      <c r="G482" t="s">
        <v>10827</v>
      </c>
      <c r="H482" t="s">
        <v>10828</v>
      </c>
    </row>
    <row r="483" spans="1:8">
      <c r="A483" t="s">
        <v>6857</v>
      </c>
      <c r="B483" t="s">
        <v>6858</v>
      </c>
      <c r="C483" t="s">
        <v>8873</v>
      </c>
      <c r="E483" s="11" t="s">
        <v>8874</v>
      </c>
      <c r="F483" s="11" t="s">
        <v>8899</v>
      </c>
      <c r="G483" t="s">
        <v>10759</v>
      </c>
      <c r="H483" t="s">
        <v>10760</v>
      </c>
    </row>
    <row r="484" spans="1:8">
      <c r="A484" t="s">
        <v>6857</v>
      </c>
      <c r="B484" t="s">
        <v>6858</v>
      </c>
      <c r="C484" t="s">
        <v>8873</v>
      </c>
      <c r="E484" s="11" t="s">
        <v>8874</v>
      </c>
      <c r="F484" s="11" t="s">
        <v>8900</v>
      </c>
      <c r="G484" t="s">
        <v>8901</v>
      </c>
      <c r="H484" t="s">
        <v>10829</v>
      </c>
    </row>
    <row r="485" spans="1:8">
      <c r="A485" t="s">
        <v>6857</v>
      </c>
      <c r="B485" t="s">
        <v>6858</v>
      </c>
      <c r="C485" t="s">
        <v>8873</v>
      </c>
      <c r="E485" s="11" t="s">
        <v>8874</v>
      </c>
      <c r="F485" s="11" t="s">
        <v>8902</v>
      </c>
      <c r="G485" t="s">
        <v>10830</v>
      </c>
      <c r="H485" t="s">
        <v>10831</v>
      </c>
    </row>
    <row r="486" spans="1:8">
      <c r="A486" t="s">
        <v>6857</v>
      </c>
      <c r="B486" t="s">
        <v>6858</v>
      </c>
      <c r="C486" t="s">
        <v>8873</v>
      </c>
      <c r="E486" s="11" t="s">
        <v>8874</v>
      </c>
      <c r="F486" s="11" t="s">
        <v>8903</v>
      </c>
      <c r="G486" t="s">
        <v>10832</v>
      </c>
      <c r="H486" t="s">
        <v>10833</v>
      </c>
    </row>
    <row r="487" spans="1:8">
      <c r="A487" t="s">
        <v>6857</v>
      </c>
      <c r="B487" t="s">
        <v>6858</v>
      </c>
      <c r="C487" t="s">
        <v>8873</v>
      </c>
      <c r="E487" s="11" t="s">
        <v>8874</v>
      </c>
      <c r="F487" s="11" t="s">
        <v>8904</v>
      </c>
      <c r="G487" t="s">
        <v>16069</v>
      </c>
      <c r="H487" t="s">
        <v>10834</v>
      </c>
    </row>
    <row r="488" spans="1:8">
      <c r="A488" t="s">
        <v>6857</v>
      </c>
      <c r="B488" t="s">
        <v>6858</v>
      </c>
      <c r="C488" t="s">
        <v>8873</v>
      </c>
      <c r="E488" s="11" t="s">
        <v>8874</v>
      </c>
      <c r="F488" s="11" t="s">
        <v>8905</v>
      </c>
      <c r="G488" t="s">
        <v>10835</v>
      </c>
      <c r="H488" t="s">
        <v>10836</v>
      </c>
    </row>
    <row r="489" spans="1:8">
      <c r="A489" t="s">
        <v>6857</v>
      </c>
      <c r="B489" t="s">
        <v>6858</v>
      </c>
      <c r="C489" t="s">
        <v>8873</v>
      </c>
      <c r="E489" s="11" t="s">
        <v>8874</v>
      </c>
      <c r="F489" s="11" t="s">
        <v>8906</v>
      </c>
      <c r="G489" t="s">
        <v>10837</v>
      </c>
      <c r="H489" t="s">
        <v>10838</v>
      </c>
    </row>
    <row r="490" spans="1:8">
      <c r="A490" t="s">
        <v>6857</v>
      </c>
      <c r="B490" t="s">
        <v>6858</v>
      </c>
      <c r="C490" t="s">
        <v>8873</v>
      </c>
      <c r="E490" s="11" t="s">
        <v>8874</v>
      </c>
      <c r="F490" s="11" t="s">
        <v>8907</v>
      </c>
      <c r="G490" t="s">
        <v>10839</v>
      </c>
      <c r="H490" t="s">
        <v>10840</v>
      </c>
    </row>
    <row r="491" spans="1:8">
      <c r="A491" t="s">
        <v>6857</v>
      </c>
      <c r="B491" t="s">
        <v>6858</v>
      </c>
      <c r="C491" t="s">
        <v>8873</v>
      </c>
      <c r="E491" s="11" t="s">
        <v>8874</v>
      </c>
      <c r="F491" s="11" t="s">
        <v>8908</v>
      </c>
      <c r="G491" t="s">
        <v>10761</v>
      </c>
      <c r="H491" t="s">
        <v>10762</v>
      </c>
    </row>
    <row r="492" spans="1:8">
      <c r="A492" t="s">
        <v>6857</v>
      </c>
      <c r="B492" t="s">
        <v>6858</v>
      </c>
      <c r="C492" t="s">
        <v>8873</v>
      </c>
      <c r="E492" s="11" t="s">
        <v>8874</v>
      </c>
      <c r="F492" s="11" t="s">
        <v>8909</v>
      </c>
      <c r="G492" t="s">
        <v>8910</v>
      </c>
      <c r="H492" t="s">
        <v>10841</v>
      </c>
    </row>
    <row r="493" spans="1:8">
      <c r="A493" t="s">
        <v>6857</v>
      </c>
      <c r="B493" t="s">
        <v>6858</v>
      </c>
      <c r="C493" t="s">
        <v>8873</v>
      </c>
      <c r="E493" s="11" t="s">
        <v>8874</v>
      </c>
      <c r="F493" s="11" t="s">
        <v>8911</v>
      </c>
      <c r="G493" t="s">
        <v>10842</v>
      </c>
      <c r="H493" t="s">
        <v>10843</v>
      </c>
    </row>
    <row r="494" spans="1:8">
      <c r="A494" t="s">
        <v>6857</v>
      </c>
      <c r="B494" t="s">
        <v>6858</v>
      </c>
      <c r="C494" t="s">
        <v>8873</v>
      </c>
      <c r="E494" s="11" t="s">
        <v>8874</v>
      </c>
      <c r="F494" s="11" t="s">
        <v>8912</v>
      </c>
      <c r="G494" t="s">
        <v>10844</v>
      </c>
      <c r="H494" t="s">
        <v>10845</v>
      </c>
    </row>
    <row r="495" spans="1:8">
      <c r="A495" t="s">
        <v>6857</v>
      </c>
      <c r="B495" t="s">
        <v>6858</v>
      </c>
      <c r="C495" t="s">
        <v>8873</v>
      </c>
      <c r="E495" s="11" t="s">
        <v>8874</v>
      </c>
      <c r="F495" s="11" t="s">
        <v>8913</v>
      </c>
      <c r="G495" t="s">
        <v>10846</v>
      </c>
      <c r="H495" t="s">
        <v>10847</v>
      </c>
    </row>
    <row r="496" spans="1:8">
      <c r="A496" t="s">
        <v>6593</v>
      </c>
      <c r="B496" t="s">
        <v>6594</v>
      </c>
      <c r="C496" t="s">
        <v>9019</v>
      </c>
      <c r="E496" s="11" t="s">
        <v>9020</v>
      </c>
      <c r="F496" s="11" t="s">
        <v>9021</v>
      </c>
      <c r="G496" t="s">
        <v>9022</v>
      </c>
      <c r="H496" t="s">
        <v>11579</v>
      </c>
    </row>
    <row r="497" spans="1:8">
      <c r="A497" t="s">
        <v>6593</v>
      </c>
      <c r="B497" t="s">
        <v>6594</v>
      </c>
      <c r="C497" t="s">
        <v>9019</v>
      </c>
      <c r="E497" s="11" t="s">
        <v>9020</v>
      </c>
      <c r="F497" s="11" t="s">
        <v>9023</v>
      </c>
      <c r="G497" t="s">
        <v>11580</v>
      </c>
      <c r="H497" t="s">
        <v>11581</v>
      </c>
    </row>
    <row r="498" spans="1:8">
      <c r="A498" t="s">
        <v>6593</v>
      </c>
      <c r="B498" t="s">
        <v>6594</v>
      </c>
      <c r="C498" t="s">
        <v>9019</v>
      </c>
      <c r="E498" s="11" t="s">
        <v>9020</v>
      </c>
      <c r="F498" s="11" t="s">
        <v>9024</v>
      </c>
      <c r="G498" t="s">
        <v>11582</v>
      </c>
      <c r="H498" t="s">
        <v>11583</v>
      </c>
    </row>
    <row r="499" spans="1:8">
      <c r="A499" t="s">
        <v>1632</v>
      </c>
      <c r="B499" t="s">
        <v>1633</v>
      </c>
      <c r="C499" t="s">
        <v>8928</v>
      </c>
      <c r="E499" s="11"/>
    </row>
    <row r="500" spans="1:8">
      <c r="A500" t="s">
        <v>6806</v>
      </c>
      <c r="B500" t="s">
        <v>6807</v>
      </c>
      <c r="C500" t="s">
        <v>8928</v>
      </c>
      <c r="E500" s="11"/>
    </row>
    <row r="501" spans="1:8">
      <c r="A501" t="s">
        <v>2756</v>
      </c>
      <c r="B501" t="s">
        <v>2757</v>
      </c>
      <c r="C501" t="s">
        <v>9996</v>
      </c>
      <c r="E501" s="11" t="s">
        <v>9997</v>
      </c>
      <c r="F501" s="11" t="s">
        <v>9998</v>
      </c>
      <c r="G501" t="s">
        <v>10896</v>
      </c>
      <c r="H501" t="s">
        <v>10897</v>
      </c>
    </row>
    <row r="502" spans="1:8">
      <c r="A502" t="s">
        <v>2756</v>
      </c>
      <c r="B502" t="s">
        <v>2757</v>
      </c>
      <c r="C502" t="s">
        <v>9996</v>
      </c>
      <c r="E502" s="11" t="s">
        <v>9997</v>
      </c>
      <c r="F502" s="11" t="s">
        <v>9999</v>
      </c>
      <c r="G502" t="s">
        <v>10898</v>
      </c>
      <c r="H502" t="s">
        <v>10899</v>
      </c>
    </row>
    <row r="503" spans="1:8">
      <c r="A503" t="s">
        <v>2756</v>
      </c>
      <c r="B503" t="s">
        <v>2757</v>
      </c>
      <c r="C503" t="s">
        <v>9996</v>
      </c>
      <c r="E503" s="11" t="s">
        <v>9997</v>
      </c>
      <c r="F503" s="11" t="s">
        <v>10000</v>
      </c>
      <c r="G503" t="s">
        <v>10900</v>
      </c>
      <c r="H503" t="s">
        <v>10901</v>
      </c>
    </row>
    <row r="504" spans="1:8">
      <c r="A504" t="s">
        <v>2756</v>
      </c>
      <c r="B504" t="s">
        <v>2757</v>
      </c>
      <c r="C504" t="s">
        <v>9996</v>
      </c>
      <c r="E504" s="11" t="s">
        <v>9997</v>
      </c>
      <c r="F504" s="11" t="s">
        <v>10001</v>
      </c>
      <c r="G504" t="s">
        <v>10902</v>
      </c>
      <c r="H504" t="s">
        <v>10903</v>
      </c>
    </row>
    <row r="505" spans="1:8">
      <c r="A505" t="s">
        <v>2756</v>
      </c>
      <c r="B505" t="s">
        <v>2757</v>
      </c>
      <c r="C505" t="s">
        <v>9996</v>
      </c>
      <c r="E505" s="11" t="s">
        <v>9997</v>
      </c>
      <c r="F505" s="11" t="s">
        <v>10002</v>
      </c>
      <c r="G505" t="s">
        <v>10904</v>
      </c>
      <c r="H505" t="s">
        <v>10905</v>
      </c>
    </row>
    <row r="506" spans="1:8">
      <c r="A506" t="s">
        <v>2756</v>
      </c>
      <c r="B506" t="s">
        <v>2757</v>
      </c>
      <c r="C506" t="s">
        <v>9996</v>
      </c>
      <c r="E506" s="11" t="s">
        <v>9997</v>
      </c>
      <c r="F506" s="11" t="s">
        <v>10003</v>
      </c>
      <c r="G506" t="s">
        <v>10906</v>
      </c>
      <c r="H506" t="s">
        <v>10907</v>
      </c>
    </row>
    <row r="507" spans="1:8">
      <c r="A507" t="s">
        <v>2756</v>
      </c>
      <c r="B507" t="s">
        <v>2757</v>
      </c>
      <c r="C507" t="s">
        <v>9996</v>
      </c>
      <c r="E507" s="11" t="s">
        <v>9997</v>
      </c>
      <c r="F507" s="11" t="s">
        <v>10004</v>
      </c>
      <c r="G507" t="s">
        <v>10908</v>
      </c>
      <c r="H507" t="s">
        <v>10909</v>
      </c>
    </row>
    <row r="508" spans="1:8">
      <c r="A508" t="s">
        <v>2756</v>
      </c>
      <c r="B508" t="s">
        <v>2757</v>
      </c>
      <c r="C508" t="s">
        <v>9996</v>
      </c>
      <c r="E508" s="11" t="s">
        <v>9997</v>
      </c>
      <c r="F508" s="11" t="s">
        <v>10005</v>
      </c>
      <c r="G508" t="s">
        <v>10910</v>
      </c>
      <c r="H508" t="s">
        <v>10911</v>
      </c>
    </row>
    <row r="509" spans="1:8">
      <c r="A509" t="s">
        <v>767</v>
      </c>
      <c r="B509" t="s">
        <v>768</v>
      </c>
      <c r="C509" t="s">
        <v>10385</v>
      </c>
      <c r="E509" s="11" t="s">
        <v>10386</v>
      </c>
      <c r="F509" s="11" t="s">
        <v>10387</v>
      </c>
      <c r="G509" t="s">
        <v>10547</v>
      </c>
      <c r="H509" t="s">
        <v>10548</v>
      </c>
    </row>
    <row r="510" spans="1:8">
      <c r="A510" t="s">
        <v>1922</v>
      </c>
      <c r="B510" t="s">
        <v>1923</v>
      </c>
      <c r="C510" t="s">
        <v>10093</v>
      </c>
      <c r="E510" s="11" t="s">
        <v>10094</v>
      </c>
      <c r="F510" s="11" t="s">
        <v>10095</v>
      </c>
      <c r="G510" t="s">
        <v>10702</v>
      </c>
      <c r="H510" t="s">
        <v>10703</v>
      </c>
    </row>
    <row r="511" spans="1:8">
      <c r="A511" t="s">
        <v>2016</v>
      </c>
      <c r="B511" t="s">
        <v>2017</v>
      </c>
      <c r="C511" t="s">
        <v>10093</v>
      </c>
      <c r="E511" s="11" t="s">
        <v>10094</v>
      </c>
      <c r="F511" s="11" t="s">
        <v>10095</v>
      </c>
      <c r="G511" t="s">
        <v>10702</v>
      </c>
      <c r="H511" t="s">
        <v>10703</v>
      </c>
    </row>
    <row r="512" spans="1:8">
      <c r="A512" t="s">
        <v>2402</v>
      </c>
      <c r="B512" t="s">
        <v>2403</v>
      </c>
      <c r="C512" t="s">
        <v>10093</v>
      </c>
      <c r="E512" s="11" t="s">
        <v>10094</v>
      </c>
      <c r="F512" s="11" t="s">
        <v>10095</v>
      </c>
      <c r="G512" t="s">
        <v>10702</v>
      </c>
      <c r="H512" t="s">
        <v>10703</v>
      </c>
    </row>
    <row r="513" spans="1:8">
      <c r="A513" t="s">
        <v>1922</v>
      </c>
      <c r="B513" t="s">
        <v>1923</v>
      </c>
      <c r="C513" t="s">
        <v>10162</v>
      </c>
      <c r="E513" s="11" t="s">
        <v>10163</v>
      </c>
      <c r="F513" s="11" t="s">
        <v>10164</v>
      </c>
      <c r="G513" t="s">
        <v>10704</v>
      </c>
      <c r="H513" t="s">
        <v>10705</v>
      </c>
    </row>
    <row r="514" spans="1:8">
      <c r="A514" t="s">
        <v>1922</v>
      </c>
      <c r="B514" t="s">
        <v>1923</v>
      </c>
      <c r="C514" t="s">
        <v>10162</v>
      </c>
      <c r="E514" s="11" t="s">
        <v>10163</v>
      </c>
      <c r="F514" s="11" t="s">
        <v>10095</v>
      </c>
      <c r="G514" t="s">
        <v>10702</v>
      </c>
      <c r="H514" t="s">
        <v>10703</v>
      </c>
    </row>
    <row r="515" spans="1:8">
      <c r="A515" t="s">
        <v>2016</v>
      </c>
      <c r="B515" t="s">
        <v>2017</v>
      </c>
      <c r="C515" t="s">
        <v>10162</v>
      </c>
      <c r="E515" s="11" t="s">
        <v>10163</v>
      </c>
      <c r="F515" s="11" t="s">
        <v>10164</v>
      </c>
      <c r="G515" t="s">
        <v>10704</v>
      </c>
      <c r="H515" t="s">
        <v>10705</v>
      </c>
    </row>
    <row r="516" spans="1:8">
      <c r="A516" t="s">
        <v>2016</v>
      </c>
      <c r="B516" t="s">
        <v>2017</v>
      </c>
      <c r="C516" t="s">
        <v>10162</v>
      </c>
      <c r="E516" s="11" t="s">
        <v>10163</v>
      </c>
      <c r="F516" s="11" t="s">
        <v>10095</v>
      </c>
      <c r="G516" t="s">
        <v>10702</v>
      </c>
      <c r="H516" t="s">
        <v>10703</v>
      </c>
    </row>
    <row r="517" spans="1:8">
      <c r="A517" t="s">
        <v>6417</v>
      </c>
      <c r="B517" t="s">
        <v>6418</v>
      </c>
      <c r="C517" t="s">
        <v>9075</v>
      </c>
      <c r="E517" s="11" t="s">
        <v>9076</v>
      </c>
      <c r="F517" s="11" t="s">
        <v>9077</v>
      </c>
      <c r="G517" t="s">
        <v>11518</v>
      </c>
      <c r="H517" t="s">
        <v>11519</v>
      </c>
    </row>
    <row r="518" spans="1:8">
      <c r="A518" t="s">
        <v>415</v>
      </c>
      <c r="B518" t="s">
        <v>416</v>
      </c>
      <c r="C518" t="s">
        <v>8556</v>
      </c>
      <c r="E518" s="11"/>
    </row>
    <row r="519" spans="1:8">
      <c r="A519" t="s">
        <v>418</v>
      </c>
      <c r="B519" t="s">
        <v>419</v>
      </c>
      <c r="C519" t="s">
        <v>8556</v>
      </c>
      <c r="E519" s="11"/>
    </row>
    <row r="520" spans="1:8">
      <c r="A520" t="s">
        <v>978</v>
      </c>
      <c r="B520" t="s">
        <v>979</v>
      </c>
      <c r="C520" t="s">
        <v>8556</v>
      </c>
      <c r="E520" s="11"/>
    </row>
    <row r="521" spans="1:8">
      <c r="A521" t="s">
        <v>983</v>
      </c>
      <c r="B521" t="s">
        <v>984</v>
      </c>
      <c r="C521" t="s">
        <v>8556</v>
      </c>
      <c r="E521" s="11"/>
    </row>
    <row r="522" spans="1:8">
      <c r="A522" t="s">
        <v>1047</v>
      </c>
      <c r="B522" t="s">
        <v>1048</v>
      </c>
      <c r="C522" t="s">
        <v>8556</v>
      </c>
      <c r="E522" s="11"/>
    </row>
    <row r="523" spans="1:8">
      <c r="A523" t="s">
        <v>1059</v>
      </c>
      <c r="B523" t="s">
        <v>1060</v>
      </c>
      <c r="C523" t="s">
        <v>8556</v>
      </c>
      <c r="E523" s="11"/>
    </row>
    <row r="524" spans="1:8">
      <c r="A524" t="s">
        <v>1081</v>
      </c>
      <c r="B524" t="s">
        <v>1082</v>
      </c>
      <c r="C524" t="s">
        <v>8556</v>
      </c>
      <c r="E524" s="11"/>
    </row>
    <row r="525" spans="1:8">
      <c r="A525" t="s">
        <v>1363</v>
      </c>
      <c r="B525" t="s">
        <v>1364</v>
      </c>
      <c r="C525" t="s">
        <v>8556</v>
      </c>
      <c r="E525" s="11"/>
    </row>
    <row r="526" spans="1:8">
      <c r="A526" t="s">
        <v>2128</v>
      </c>
      <c r="B526" t="s">
        <v>2129</v>
      </c>
      <c r="C526" t="s">
        <v>8556</v>
      </c>
      <c r="E526" s="11"/>
    </row>
    <row r="527" spans="1:8">
      <c r="A527" t="s">
        <v>2977</v>
      </c>
      <c r="B527" t="s">
        <v>2978</v>
      </c>
      <c r="C527" t="s">
        <v>8556</v>
      </c>
      <c r="E527" s="11"/>
    </row>
    <row r="528" spans="1:8">
      <c r="A528" t="s">
        <v>4718</v>
      </c>
      <c r="B528" t="s">
        <v>4719</v>
      </c>
      <c r="C528" t="s">
        <v>8556</v>
      </c>
      <c r="E528" s="11"/>
    </row>
    <row r="529" spans="1:8">
      <c r="A529" t="s">
        <v>7810</v>
      </c>
      <c r="B529" t="s">
        <v>7811</v>
      </c>
      <c r="C529" t="s">
        <v>8556</v>
      </c>
      <c r="E529" s="11"/>
    </row>
    <row r="530" spans="1:8">
      <c r="A530" t="s">
        <v>7867</v>
      </c>
      <c r="B530" t="s">
        <v>7868</v>
      </c>
      <c r="C530" t="s">
        <v>8556</v>
      </c>
      <c r="E530" s="11"/>
    </row>
    <row r="531" spans="1:8">
      <c r="A531" t="s">
        <v>8120</v>
      </c>
      <c r="B531" t="s">
        <v>8121</v>
      </c>
      <c r="C531" t="s">
        <v>8556</v>
      </c>
      <c r="E531" s="11"/>
    </row>
    <row r="532" spans="1:8">
      <c r="A532" t="s">
        <v>8122</v>
      </c>
      <c r="B532" t="s">
        <v>8123</v>
      </c>
      <c r="C532" t="s">
        <v>8556</v>
      </c>
      <c r="E532" s="11"/>
    </row>
    <row r="533" spans="1:8">
      <c r="A533" t="s">
        <v>4166</v>
      </c>
      <c r="B533" t="s">
        <v>4167</v>
      </c>
      <c r="C533" t="s">
        <v>9717</v>
      </c>
      <c r="E533" s="11"/>
    </row>
    <row r="534" spans="1:8">
      <c r="A534" t="s">
        <v>2578</v>
      </c>
      <c r="B534" t="s">
        <v>2579</v>
      </c>
      <c r="C534" t="s">
        <v>10040</v>
      </c>
      <c r="E534" s="11" t="s">
        <v>10041</v>
      </c>
      <c r="F534" s="11" t="s">
        <v>10042</v>
      </c>
      <c r="G534" t="s">
        <v>10862</v>
      </c>
      <c r="H534" t="s">
        <v>10863</v>
      </c>
    </row>
    <row r="535" spans="1:8">
      <c r="A535" t="s">
        <v>2578</v>
      </c>
      <c r="B535" t="s">
        <v>2579</v>
      </c>
      <c r="C535" t="s">
        <v>10040</v>
      </c>
      <c r="E535" s="11" t="s">
        <v>10041</v>
      </c>
      <c r="F535" s="11" t="s">
        <v>10043</v>
      </c>
      <c r="G535" t="s">
        <v>10864</v>
      </c>
      <c r="H535" t="s">
        <v>10865</v>
      </c>
    </row>
    <row r="536" spans="1:8">
      <c r="A536" t="s">
        <v>2578</v>
      </c>
      <c r="B536" t="s">
        <v>2579</v>
      </c>
      <c r="C536" t="s">
        <v>10040</v>
      </c>
      <c r="E536" s="11" t="s">
        <v>10041</v>
      </c>
      <c r="F536" s="11" t="s">
        <v>10044</v>
      </c>
      <c r="G536" t="s">
        <v>10866</v>
      </c>
      <c r="H536" t="s">
        <v>10867</v>
      </c>
    </row>
    <row r="537" spans="1:8">
      <c r="A537" t="s">
        <v>7226</v>
      </c>
      <c r="B537" t="s">
        <v>7227</v>
      </c>
      <c r="C537" t="s">
        <v>8740</v>
      </c>
      <c r="E537" s="11" t="s">
        <v>8741</v>
      </c>
      <c r="F537" s="11" t="s">
        <v>8742</v>
      </c>
      <c r="G537" t="s">
        <v>11704</v>
      </c>
      <c r="H537" t="s">
        <v>11705</v>
      </c>
    </row>
    <row r="538" spans="1:8">
      <c r="A538" t="s">
        <v>7226</v>
      </c>
      <c r="B538" t="s">
        <v>7227</v>
      </c>
      <c r="C538" t="s">
        <v>8740</v>
      </c>
      <c r="E538" s="11" t="s">
        <v>8741</v>
      </c>
      <c r="F538" s="11" t="s">
        <v>8743</v>
      </c>
      <c r="G538" t="s">
        <v>11706</v>
      </c>
      <c r="H538" t="s">
        <v>11707</v>
      </c>
    </row>
    <row r="539" spans="1:8">
      <c r="A539" t="s">
        <v>7226</v>
      </c>
      <c r="B539" t="s">
        <v>7227</v>
      </c>
      <c r="C539" t="s">
        <v>8740</v>
      </c>
      <c r="E539" s="11" t="s">
        <v>8741</v>
      </c>
      <c r="F539" s="11" t="s">
        <v>8744</v>
      </c>
      <c r="G539" t="s">
        <v>11708</v>
      </c>
      <c r="H539" t="s">
        <v>11705</v>
      </c>
    </row>
    <row r="540" spans="1:8">
      <c r="A540" t="s">
        <v>7226</v>
      </c>
      <c r="B540" t="s">
        <v>7227</v>
      </c>
      <c r="C540" t="s">
        <v>8740</v>
      </c>
      <c r="E540" s="11" t="s">
        <v>8741</v>
      </c>
      <c r="F540" s="11" t="s">
        <v>8745</v>
      </c>
      <c r="G540" t="s">
        <v>11709</v>
      </c>
      <c r="H540" t="s">
        <v>11707</v>
      </c>
    </row>
    <row r="541" spans="1:8">
      <c r="A541" t="s">
        <v>3488</v>
      </c>
      <c r="B541" t="s">
        <v>3489</v>
      </c>
      <c r="C541" t="s">
        <v>9866</v>
      </c>
      <c r="E541" s="11" t="s">
        <v>9867</v>
      </c>
      <c r="F541" s="11" t="s">
        <v>9868</v>
      </c>
      <c r="G541" t="s">
        <v>9869</v>
      </c>
      <c r="H541" t="s">
        <v>9870</v>
      </c>
    </row>
    <row r="542" spans="1:8">
      <c r="A542" t="s">
        <v>3488</v>
      </c>
      <c r="B542" t="s">
        <v>3489</v>
      </c>
      <c r="C542" t="s">
        <v>9866</v>
      </c>
      <c r="E542" s="11" t="s">
        <v>9867</v>
      </c>
      <c r="F542" s="11" t="s">
        <v>9871</v>
      </c>
      <c r="G542" t="s">
        <v>9109</v>
      </c>
      <c r="H542" t="s">
        <v>9872</v>
      </c>
    </row>
    <row r="543" spans="1:8">
      <c r="A543" t="s">
        <v>3190</v>
      </c>
      <c r="B543" t="s">
        <v>3191</v>
      </c>
      <c r="C543" t="s">
        <v>9926</v>
      </c>
      <c r="E543" s="11" t="s">
        <v>9927</v>
      </c>
      <c r="F543" s="11" t="s">
        <v>9928</v>
      </c>
      <c r="G543" t="s">
        <v>10966</v>
      </c>
      <c r="H543" t="s">
        <v>10967</v>
      </c>
    </row>
    <row r="544" spans="1:8">
      <c r="A544" t="s">
        <v>3190</v>
      </c>
      <c r="B544" t="s">
        <v>3191</v>
      </c>
      <c r="C544" t="s">
        <v>9926</v>
      </c>
      <c r="E544" s="11" t="s">
        <v>9927</v>
      </c>
      <c r="F544" s="11" t="s">
        <v>9929</v>
      </c>
      <c r="G544" t="s">
        <v>10968</v>
      </c>
      <c r="H544" t="s">
        <v>10969</v>
      </c>
    </row>
    <row r="545" spans="1:8">
      <c r="A545" t="s">
        <v>5950</v>
      </c>
      <c r="B545" t="s">
        <v>5951</v>
      </c>
      <c r="C545" t="s">
        <v>9221</v>
      </c>
      <c r="E545" s="11" t="s">
        <v>9222</v>
      </c>
      <c r="F545" s="11" t="s">
        <v>9223</v>
      </c>
      <c r="G545" t="s">
        <v>11395</v>
      </c>
      <c r="H545" t="s">
        <v>11396</v>
      </c>
    </row>
    <row r="546" spans="1:8">
      <c r="A546" t="s">
        <v>5950</v>
      </c>
      <c r="B546" t="s">
        <v>5951</v>
      </c>
      <c r="C546" t="s">
        <v>9221</v>
      </c>
      <c r="E546" s="11" t="s">
        <v>9222</v>
      </c>
      <c r="F546" s="11" t="s">
        <v>9224</v>
      </c>
      <c r="G546" t="s">
        <v>11397</v>
      </c>
      <c r="H546" t="s">
        <v>11398</v>
      </c>
    </row>
    <row r="547" spans="1:8">
      <c r="A547" t="s">
        <v>5950</v>
      </c>
      <c r="B547" t="s">
        <v>5951</v>
      </c>
      <c r="C547" t="s">
        <v>9221</v>
      </c>
      <c r="E547" s="11" t="s">
        <v>9222</v>
      </c>
      <c r="F547" s="11" t="s">
        <v>9225</v>
      </c>
      <c r="G547" t="s">
        <v>11399</v>
      </c>
      <c r="H547" t="s">
        <v>11400</v>
      </c>
    </row>
    <row r="548" spans="1:8">
      <c r="A548" t="s">
        <v>5950</v>
      </c>
      <c r="B548" t="s">
        <v>5951</v>
      </c>
      <c r="C548" t="s">
        <v>9221</v>
      </c>
      <c r="E548" s="11" t="s">
        <v>9222</v>
      </c>
      <c r="F548" s="11" t="s">
        <v>9226</v>
      </c>
      <c r="G548" t="s">
        <v>11401</v>
      </c>
      <c r="H548" t="s">
        <v>11402</v>
      </c>
    </row>
    <row r="549" spans="1:8">
      <c r="A549" t="s">
        <v>5950</v>
      </c>
      <c r="B549" t="s">
        <v>5951</v>
      </c>
      <c r="C549" t="s">
        <v>9221</v>
      </c>
      <c r="E549" s="11" t="s">
        <v>9222</v>
      </c>
      <c r="F549" s="11" t="s">
        <v>9227</v>
      </c>
      <c r="G549" t="s">
        <v>11403</v>
      </c>
      <c r="H549" t="s">
        <v>11404</v>
      </c>
    </row>
    <row r="550" spans="1:8">
      <c r="A550" t="s">
        <v>6331</v>
      </c>
      <c r="B550" t="s">
        <v>6332</v>
      </c>
      <c r="C550" t="s">
        <v>9105</v>
      </c>
      <c r="E550" s="11" t="s">
        <v>9106</v>
      </c>
      <c r="F550" s="11" t="s">
        <v>9107</v>
      </c>
      <c r="G550" t="s">
        <v>11501</v>
      </c>
      <c r="H550" t="s">
        <v>9100</v>
      </c>
    </row>
    <row r="551" spans="1:8">
      <c r="A551" t="s">
        <v>6331</v>
      </c>
      <c r="B551" t="s">
        <v>6332</v>
      </c>
      <c r="C551" t="s">
        <v>9105</v>
      </c>
      <c r="E551" s="11" t="s">
        <v>9106</v>
      </c>
      <c r="F551" s="11" t="s">
        <v>9108</v>
      </c>
      <c r="G551" t="s">
        <v>11502</v>
      </c>
      <c r="H551" t="s">
        <v>9103</v>
      </c>
    </row>
    <row r="552" spans="1:8">
      <c r="A552" t="s">
        <v>1184</v>
      </c>
      <c r="B552" t="s">
        <v>1185</v>
      </c>
      <c r="C552" t="s">
        <v>10314</v>
      </c>
      <c r="E552" s="11" t="s">
        <v>10315</v>
      </c>
      <c r="F552" s="11" t="s">
        <v>10316</v>
      </c>
      <c r="G552" t="s">
        <v>10618</v>
      </c>
      <c r="H552" t="s">
        <v>10619</v>
      </c>
    </row>
    <row r="553" spans="1:8">
      <c r="A553" t="s">
        <v>3175</v>
      </c>
      <c r="B553" t="s">
        <v>3176</v>
      </c>
      <c r="C553" t="s">
        <v>9930</v>
      </c>
      <c r="E553" s="11" t="s">
        <v>9931</v>
      </c>
      <c r="F553" s="11" t="s">
        <v>9932</v>
      </c>
      <c r="G553" t="s">
        <v>10964</v>
      </c>
      <c r="H553" t="s">
        <v>10965</v>
      </c>
    </row>
    <row r="554" spans="1:8">
      <c r="A554" t="s">
        <v>604</v>
      </c>
      <c r="B554" t="s">
        <v>605</v>
      </c>
      <c r="C554" t="s">
        <v>10408</v>
      </c>
      <c r="E554" s="11" t="s">
        <v>10409</v>
      </c>
      <c r="F554" s="11" t="s">
        <v>10410</v>
      </c>
      <c r="G554" t="s">
        <v>10523</v>
      </c>
      <c r="H554" t="s">
        <v>10524</v>
      </c>
    </row>
    <row r="555" spans="1:8">
      <c r="A555" t="s">
        <v>604</v>
      </c>
      <c r="B555" t="s">
        <v>605</v>
      </c>
      <c r="C555" t="s">
        <v>10408</v>
      </c>
      <c r="E555" s="11" t="s">
        <v>10409</v>
      </c>
      <c r="F555" s="11" t="s">
        <v>10411</v>
      </c>
      <c r="G555" t="s">
        <v>10525</v>
      </c>
      <c r="H555" t="s">
        <v>10526</v>
      </c>
    </row>
    <row r="556" spans="1:8">
      <c r="A556" t="s">
        <v>6036</v>
      </c>
      <c r="B556" t="s">
        <v>6037</v>
      </c>
      <c r="C556" t="s">
        <v>9187</v>
      </c>
      <c r="E556" s="11" t="s">
        <v>9188</v>
      </c>
      <c r="F556" s="11" t="s">
        <v>9189</v>
      </c>
      <c r="G556" t="s">
        <v>11425</v>
      </c>
      <c r="H556" t="s">
        <v>11426</v>
      </c>
    </row>
    <row r="557" spans="1:8">
      <c r="A557" t="s">
        <v>6036</v>
      </c>
      <c r="B557" t="s">
        <v>6037</v>
      </c>
      <c r="C557" t="s">
        <v>9187</v>
      </c>
      <c r="E557" s="11" t="s">
        <v>9188</v>
      </c>
      <c r="F557" s="11" t="s">
        <v>9190</v>
      </c>
      <c r="G557" t="s">
        <v>11427</v>
      </c>
      <c r="H557" t="s">
        <v>11428</v>
      </c>
    </row>
    <row r="558" spans="1:8">
      <c r="A558" t="s">
        <v>6036</v>
      </c>
      <c r="B558" t="s">
        <v>6037</v>
      </c>
      <c r="C558" t="s">
        <v>9187</v>
      </c>
      <c r="E558" s="11" t="s">
        <v>9188</v>
      </c>
      <c r="F558" s="11" t="s">
        <v>9191</v>
      </c>
      <c r="G558" t="s">
        <v>11429</v>
      </c>
      <c r="H558" t="s">
        <v>11430</v>
      </c>
    </row>
    <row r="559" spans="1:8">
      <c r="A559" t="s">
        <v>6036</v>
      </c>
      <c r="B559" t="s">
        <v>6037</v>
      </c>
      <c r="C559" t="s">
        <v>9187</v>
      </c>
      <c r="E559" s="11" t="s">
        <v>9188</v>
      </c>
      <c r="F559" s="11" t="s">
        <v>9192</v>
      </c>
      <c r="G559" t="s">
        <v>11431</v>
      </c>
      <c r="H559" t="s">
        <v>11432</v>
      </c>
    </row>
    <row r="560" spans="1:8">
      <c r="A560" t="s">
        <v>4140</v>
      </c>
      <c r="B560" t="s">
        <v>4141</v>
      </c>
      <c r="C560" t="s">
        <v>8594</v>
      </c>
      <c r="E560" s="11"/>
    </row>
    <row r="561" spans="1:8">
      <c r="A561" t="s">
        <v>7859</v>
      </c>
      <c r="B561" t="s">
        <v>7860</v>
      </c>
      <c r="C561" t="s">
        <v>8594</v>
      </c>
      <c r="E561" s="11"/>
    </row>
    <row r="562" spans="1:8">
      <c r="A562" t="s">
        <v>7601</v>
      </c>
      <c r="B562" t="s">
        <v>7602</v>
      </c>
      <c r="C562" t="s">
        <v>8620</v>
      </c>
      <c r="E562" s="11" t="s">
        <v>8621</v>
      </c>
      <c r="F562" s="11" t="s">
        <v>8622</v>
      </c>
      <c r="G562" t="s">
        <v>11752</v>
      </c>
      <c r="H562" t="s">
        <v>11753</v>
      </c>
    </row>
    <row r="563" spans="1:8">
      <c r="A563" t="s">
        <v>7601</v>
      </c>
      <c r="B563" t="s">
        <v>7602</v>
      </c>
      <c r="C563" t="s">
        <v>8620</v>
      </c>
      <c r="E563" s="11" t="s">
        <v>8621</v>
      </c>
      <c r="F563" s="11" t="s">
        <v>11900</v>
      </c>
      <c r="G563" t="s">
        <v>16075</v>
      </c>
      <c r="H563" t="s">
        <v>11901</v>
      </c>
    </row>
    <row r="564" spans="1:8">
      <c r="A564" t="s">
        <v>7117</v>
      </c>
      <c r="B564" t="s">
        <v>7118</v>
      </c>
      <c r="C564" t="s">
        <v>8784</v>
      </c>
      <c r="E564" s="11" t="s">
        <v>8785</v>
      </c>
      <c r="F564" s="11" t="s">
        <v>8786</v>
      </c>
      <c r="G564" t="s">
        <v>11684</v>
      </c>
      <c r="H564" t="s">
        <v>11685</v>
      </c>
    </row>
    <row r="565" spans="1:8">
      <c r="A565" t="s">
        <v>4243</v>
      </c>
      <c r="B565" t="s">
        <v>4244</v>
      </c>
      <c r="C565" t="s">
        <v>9694</v>
      </c>
      <c r="E565" s="11" t="s">
        <v>9695</v>
      </c>
      <c r="F565" s="11" t="s">
        <v>9696</v>
      </c>
      <c r="G565" t="s">
        <v>11124</v>
      </c>
      <c r="H565" t="s">
        <v>11125</v>
      </c>
    </row>
    <row r="566" spans="1:8">
      <c r="A566" t="s">
        <v>8240</v>
      </c>
      <c r="B566" t="s">
        <v>8241</v>
      </c>
      <c r="C566" t="s">
        <v>8517</v>
      </c>
      <c r="E566" s="11" t="s">
        <v>8518</v>
      </c>
      <c r="F566" s="11" t="s">
        <v>8519</v>
      </c>
      <c r="G566" t="s">
        <v>11788</v>
      </c>
      <c r="H566" t="s">
        <v>11789</v>
      </c>
    </row>
    <row r="567" spans="1:8">
      <c r="A567" t="s">
        <v>3046</v>
      </c>
      <c r="B567" t="s">
        <v>3047</v>
      </c>
      <c r="C567" t="s">
        <v>9955</v>
      </c>
      <c r="E567" s="11" t="s">
        <v>9956</v>
      </c>
      <c r="F567" s="11" t="s">
        <v>9957</v>
      </c>
      <c r="G567" t="s">
        <v>10944</v>
      </c>
      <c r="H567" t="s">
        <v>10945</v>
      </c>
    </row>
    <row r="568" spans="1:8">
      <c r="A568" t="s">
        <v>6077</v>
      </c>
      <c r="B568" t="s">
        <v>6078</v>
      </c>
      <c r="C568" t="s">
        <v>9169</v>
      </c>
      <c r="E568" s="11" t="s">
        <v>9170</v>
      </c>
      <c r="F568" s="11" t="s">
        <v>9171</v>
      </c>
      <c r="G568" t="s">
        <v>11447</v>
      </c>
      <c r="H568" t="s">
        <v>11448</v>
      </c>
    </row>
    <row r="569" spans="1:8">
      <c r="A569" t="s">
        <v>713</v>
      </c>
      <c r="B569" t="s">
        <v>714</v>
      </c>
      <c r="C569" t="s">
        <v>10390</v>
      </c>
      <c r="E569" s="11" t="s">
        <v>10391</v>
      </c>
      <c r="F569" s="11" t="s">
        <v>10392</v>
      </c>
      <c r="G569" t="s">
        <v>10543</v>
      </c>
      <c r="H569" t="s">
        <v>10544</v>
      </c>
    </row>
    <row r="570" spans="1:8">
      <c r="A570" t="s">
        <v>7862</v>
      </c>
      <c r="B570" t="s">
        <v>7863</v>
      </c>
      <c r="C570" t="s">
        <v>8591</v>
      </c>
      <c r="E570" s="11" t="s">
        <v>8592</v>
      </c>
      <c r="F570" s="11" t="s">
        <v>8593</v>
      </c>
      <c r="G570" t="s">
        <v>11765</v>
      </c>
      <c r="H570" t="s">
        <v>11766</v>
      </c>
    </row>
    <row r="571" spans="1:8">
      <c r="A571" t="s">
        <v>5206</v>
      </c>
      <c r="B571" t="s">
        <v>5207</v>
      </c>
      <c r="C571" t="s">
        <v>9487</v>
      </c>
      <c r="E571" s="11" t="s">
        <v>9488</v>
      </c>
    </row>
    <row r="572" spans="1:8">
      <c r="A572" t="s">
        <v>4679</v>
      </c>
      <c r="B572" t="s">
        <v>4680</v>
      </c>
      <c r="C572" t="s">
        <v>9505</v>
      </c>
      <c r="E572" s="11" t="s">
        <v>9506</v>
      </c>
      <c r="F572" s="11" t="s">
        <v>9507</v>
      </c>
      <c r="G572" t="s">
        <v>10721</v>
      </c>
      <c r="H572" t="s">
        <v>11234</v>
      </c>
    </row>
    <row r="573" spans="1:8">
      <c r="A573" t="s">
        <v>4679</v>
      </c>
      <c r="B573" t="s">
        <v>4680</v>
      </c>
      <c r="C573" t="s">
        <v>9505</v>
      </c>
      <c r="E573" s="11" t="s">
        <v>9506</v>
      </c>
      <c r="F573" s="11" t="s">
        <v>9508</v>
      </c>
      <c r="G573" t="s">
        <v>11235</v>
      </c>
      <c r="H573" t="s">
        <v>11236</v>
      </c>
    </row>
    <row r="574" spans="1:8">
      <c r="A574" t="s">
        <v>7410</v>
      </c>
      <c r="B574" t="s">
        <v>7411</v>
      </c>
      <c r="C574" t="s">
        <v>8672</v>
      </c>
      <c r="E574" s="11" t="s">
        <v>8673</v>
      </c>
      <c r="F574" s="11" t="s">
        <v>8674</v>
      </c>
      <c r="G574" t="s">
        <v>11634</v>
      </c>
      <c r="H574" t="s">
        <v>11737</v>
      </c>
    </row>
    <row r="575" spans="1:8">
      <c r="A575" t="s">
        <v>7410</v>
      </c>
      <c r="B575" t="s">
        <v>7411</v>
      </c>
      <c r="C575" t="s">
        <v>8672</v>
      </c>
      <c r="E575" s="11" t="s">
        <v>8673</v>
      </c>
      <c r="F575" s="11" t="s">
        <v>11924</v>
      </c>
      <c r="G575" t="s">
        <v>10723</v>
      </c>
      <c r="H575" t="s">
        <v>11925</v>
      </c>
    </row>
    <row r="576" spans="1:8">
      <c r="A576" t="s">
        <v>7410</v>
      </c>
      <c r="B576" t="s">
        <v>7411</v>
      </c>
      <c r="C576" t="s">
        <v>8672</v>
      </c>
      <c r="E576" s="11" t="s">
        <v>8673</v>
      </c>
      <c r="F576" s="11" t="s">
        <v>11926</v>
      </c>
      <c r="G576" t="s">
        <v>11636</v>
      </c>
      <c r="H576" t="s">
        <v>11927</v>
      </c>
    </row>
    <row r="577" spans="1:8">
      <c r="A577" t="s">
        <v>7410</v>
      </c>
      <c r="B577" t="s">
        <v>7411</v>
      </c>
      <c r="C577" t="s">
        <v>8672</v>
      </c>
      <c r="E577" s="11" t="s">
        <v>8673</v>
      </c>
      <c r="F577" s="11" t="s">
        <v>11928</v>
      </c>
      <c r="G577" t="s">
        <v>11929</v>
      </c>
      <c r="H577" t="s">
        <v>11640</v>
      </c>
    </row>
    <row r="578" spans="1:8">
      <c r="A578" t="s">
        <v>7410</v>
      </c>
      <c r="B578" t="s">
        <v>7411</v>
      </c>
      <c r="C578" t="s">
        <v>8672</v>
      </c>
      <c r="E578" s="11" t="s">
        <v>8673</v>
      </c>
      <c r="F578" s="11" t="s">
        <v>11930</v>
      </c>
      <c r="G578" t="s">
        <v>11931</v>
      </c>
      <c r="H578" t="s">
        <v>11932</v>
      </c>
    </row>
    <row r="579" spans="1:8">
      <c r="A579" t="s">
        <v>7410</v>
      </c>
      <c r="B579" t="s">
        <v>7411</v>
      </c>
      <c r="C579" t="s">
        <v>8672</v>
      </c>
      <c r="E579" s="11" t="s">
        <v>8673</v>
      </c>
      <c r="F579" s="11" t="s">
        <v>11933</v>
      </c>
      <c r="G579" t="s">
        <v>11934</v>
      </c>
      <c r="H579" t="s">
        <v>11935</v>
      </c>
    </row>
    <row r="580" spans="1:8">
      <c r="A580" t="s">
        <v>1985</v>
      </c>
      <c r="B580" t="s">
        <v>1986</v>
      </c>
      <c r="C580" t="s">
        <v>9545</v>
      </c>
      <c r="E580" s="11" t="s">
        <v>9546</v>
      </c>
      <c r="F580" s="11" t="s">
        <v>9547</v>
      </c>
      <c r="G580" t="s">
        <v>10712</v>
      </c>
      <c r="H580" t="s">
        <v>10713</v>
      </c>
    </row>
    <row r="581" spans="1:8">
      <c r="A581" t="s">
        <v>4570</v>
      </c>
      <c r="B581" t="s">
        <v>4571</v>
      </c>
      <c r="C581" t="s">
        <v>9545</v>
      </c>
      <c r="E581" s="11" t="s">
        <v>9546</v>
      </c>
      <c r="F581" s="11" t="s">
        <v>9547</v>
      </c>
      <c r="G581" t="s">
        <v>10712</v>
      </c>
      <c r="H581" t="s">
        <v>10713</v>
      </c>
    </row>
    <row r="582" spans="1:8">
      <c r="A582" t="s">
        <v>3491</v>
      </c>
      <c r="B582" t="s">
        <v>3492</v>
      </c>
      <c r="C582" t="s">
        <v>9863</v>
      </c>
      <c r="E582" s="11" t="s">
        <v>9864</v>
      </c>
      <c r="F582" s="11" t="s">
        <v>9865</v>
      </c>
      <c r="G582" t="s">
        <v>11013</v>
      </c>
      <c r="H582" t="s">
        <v>11014</v>
      </c>
    </row>
    <row r="583" spans="1:8">
      <c r="A583" t="s">
        <v>168</v>
      </c>
      <c r="B583" t="s">
        <v>169</v>
      </c>
      <c r="C583" t="s">
        <v>8480</v>
      </c>
      <c r="E583" s="11" t="s">
        <v>10459</v>
      </c>
      <c r="F583" s="41" t="s">
        <v>8481</v>
      </c>
      <c r="G583" t="s">
        <v>10476</v>
      </c>
      <c r="H583" t="s">
        <v>10477</v>
      </c>
    </row>
    <row r="584" spans="1:8">
      <c r="A584" t="s">
        <v>168</v>
      </c>
      <c r="B584" t="s">
        <v>169</v>
      </c>
      <c r="C584" t="s">
        <v>8480</v>
      </c>
      <c r="E584" s="11" t="s">
        <v>10459</v>
      </c>
      <c r="F584" s="11" t="s">
        <v>10460</v>
      </c>
      <c r="G584" t="s">
        <v>10478</v>
      </c>
      <c r="H584" t="s">
        <v>10479</v>
      </c>
    </row>
    <row r="585" spans="1:8">
      <c r="A585" t="s">
        <v>168</v>
      </c>
      <c r="B585" t="s">
        <v>169</v>
      </c>
      <c r="C585" t="s">
        <v>8480</v>
      </c>
      <c r="E585" s="11" t="s">
        <v>10459</v>
      </c>
      <c r="F585" s="11" t="s">
        <v>10461</v>
      </c>
      <c r="G585" t="s">
        <v>10480</v>
      </c>
      <c r="H585" t="s">
        <v>10481</v>
      </c>
    </row>
    <row r="586" spans="1:8">
      <c r="A586" t="s">
        <v>168</v>
      </c>
      <c r="B586" t="s">
        <v>169</v>
      </c>
      <c r="C586" t="s">
        <v>8480</v>
      </c>
      <c r="E586" s="11" t="s">
        <v>10459</v>
      </c>
      <c r="F586" s="11" t="s">
        <v>10462</v>
      </c>
      <c r="G586" t="s">
        <v>10482</v>
      </c>
      <c r="H586" t="s">
        <v>10483</v>
      </c>
    </row>
    <row r="587" spans="1:8">
      <c r="A587" t="s">
        <v>1376</v>
      </c>
      <c r="B587" t="s">
        <v>1377</v>
      </c>
      <c r="C587" t="s">
        <v>8795</v>
      </c>
      <c r="E587" s="11"/>
    </row>
    <row r="588" spans="1:8">
      <c r="A588" t="s">
        <v>1830</v>
      </c>
      <c r="B588" t="s">
        <v>1831</v>
      </c>
      <c r="C588" t="s">
        <v>8795</v>
      </c>
      <c r="E588" s="11"/>
    </row>
    <row r="589" spans="1:8">
      <c r="A589" t="s">
        <v>1834</v>
      </c>
      <c r="B589" t="s">
        <v>1835</v>
      </c>
      <c r="C589" t="s">
        <v>8795</v>
      </c>
      <c r="E589" s="11"/>
    </row>
    <row r="590" spans="1:8">
      <c r="A590" t="s">
        <v>6696</v>
      </c>
      <c r="B590" t="s">
        <v>6697</v>
      </c>
      <c r="C590" t="s">
        <v>8795</v>
      </c>
      <c r="E590" s="11"/>
    </row>
    <row r="591" spans="1:8">
      <c r="A591" t="s">
        <v>4428</v>
      </c>
      <c r="B591" t="s">
        <v>4429</v>
      </c>
      <c r="C591" t="s">
        <v>9650</v>
      </c>
      <c r="E591" s="11" t="s">
        <v>9651</v>
      </c>
      <c r="F591" s="11" t="s">
        <v>9652</v>
      </c>
      <c r="G591" t="s">
        <v>11151</v>
      </c>
      <c r="H591" t="s">
        <v>11152</v>
      </c>
    </row>
    <row r="592" spans="1:8">
      <c r="A592" t="s">
        <v>2151</v>
      </c>
      <c r="B592" t="s">
        <v>2152</v>
      </c>
      <c r="C592" t="s">
        <v>9299</v>
      </c>
      <c r="E592" s="11" t="s">
        <v>9300</v>
      </c>
    </row>
    <row r="593" spans="1:8">
      <c r="A593" t="s">
        <v>5760</v>
      </c>
      <c r="B593" t="s">
        <v>5761</v>
      </c>
      <c r="C593" t="s">
        <v>9299</v>
      </c>
      <c r="E593" s="11" t="s">
        <v>9300</v>
      </c>
    </row>
    <row r="594" spans="1:8">
      <c r="A594" t="s">
        <v>3172</v>
      </c>
      <c r="B594" t="s">
        <v>3173</v>
      </c>
      <c r="C594" t="s">
        <v>8678</v>
      </c>
      <c r="E594" s="11" t="s">
        <v>8679</v>
      </c>
      <c r="F594" s="11" t="s">
        <v>8680</v>
      </c>
      <c r="G594" t="s">
        <v>10960</v>
      </c>
      <c r="H594" t="s">
        <v>10961</v>
      </c>
    </row>
    <row r="595" spans="1:8">
      <c r="A595" t="s">
        <v>3172</v>
      </c>
      <c r="B595" t="s">
        <v>3173</v>
      </c>
      <c r="C595" t="s">
        <v>8678</v>
      </c>
      <c r="E595" s="11" t="s">
        <v>8679</v>
      </c>
      <c r="F595" s="11" t="s">
        <v>8714</v>
      </c>
      <c r="G595" t="s">
        <v>10962</v>
      </c>
      <c r="H595" t="s">
        <v>10963</v>
      </c>
    </row>
    <row r="596" spans="1:8">
      <c r="A596" t="s">
        <v>7398</v>
      </c>
      <c r="B596" t="s">
        <v>7399</v>
      </c>
      <c r="C596" t="s">
        <v>8678</v>
      </c>
      <c r="E596" s="11" t="s">
        <v>8679</v>
      </c>
      <c r="F596" s="11" t="s">
        <v>8680</v>
      </c>
      <c r="G596" t="s">
        <v>10960</v>
      </c>
      <c r="H596" t="s">
        <v>10961</v>
      </c>
    </row>
    <row r="597" spans="1:8">
      <c r="A597" t="s">
        <v>7398</v>
      </c>
      <c r="B597" t="s">
        <v>7399</v>
      </c>
      <c r="C597" t="s">
        <v>8678</v>
      </c>
      <c r="E597" s="11" t="s">
        <v>8679</v>
      </c>
      <c r="F597" s="11" t="s">
        <v>8714</v>
      </c>
      <c r="G597" t="s">
        <v>10962</v>
      </c>
      <c r="H597" t="s">
        <v>10963</v>
      </c>
    </row>
    <row r="598" spans="1:8">
      <c r="A598" t="s">
        <v>3518</v>
      </c>
      <c r="B598" t="s">
        <v>3519</v>
      </c>
      <c r="C598" t="s">
        <v>8660</v>
      </c>
      <c r="E598" s="11" t="s">
        <v>8661</v>
      </c>
      <c r="F598" s="11" t="s">
        <v>8662</v>
      </c>
      <c r="G598" t="s">
        <v>11017</v>
      </c>
      <c r="H598" t="s">
        <v>11018</v>
      </c>
    </row>
    <row r="599" spans="1:8">
      <c r="A599" t="s">
        <v>7424</v>
      </c>
      <c r="B599" t="s">
        <v>7425</v>
      </c>
      <c r="C599" t="s">
        <v>8660</v>
      </c>
      <c r="E599" s="11" t="s">
        <v>8661</v>
      </c>
      <c r="F599" s="11" t="s">
        <v>8662</v>
      </c>
      <c r="G599" t="s">
        <v>11017</v>
      </c>
      <c r="H599" t="s">
        <v>11018</v>
      </c>
    </row>
    <row r="600" spans="1:8">
      <c r="A600" t="s">
        <v>7424</v>
      </c>
      <c r="B600" t="s">
        <v>7425</v>
      </c>
      <c r="C600" t="s">
        <v>8660</v>
      </c>
      <c r="E600" s="11" t="s">
        <v>8661</v>
      </c>
      <c r="F600" s="11" t="s">
        <v>11921</v>
      </c>
      <c r="G600" t="s">
        <v>11922</v>
      </c>
      <c r="H600" t="s">
        <v>11923</v>
      </c>
    </row>
    <row r="601" spans="1:8">
      <c r="A601" t="s">
        <v>7027</v>
      </c>
      <c r="B601" t="s">
        <v>7028</v>
      </c>
      <c r="C601" t="s">
        <v>8812</v>
      </c>
      <c r="E601" s="11" t="s">
        <v>8813</v>
      </c>
      <c r="F601" s="11" t="s">
        <v>8814</v>
      </c>
      <c r="G601" t="s">
        <v>11665</v>
      </c>
      <c r="H601" t="s">
        <v>11666</v>
      </c>
    </row>
    <row r="602" spans="1:8">
      <c r="A602" t="s">
        <v>7027</v>
      </c>
      <c r="B602" t="s">
        <v>7028</v>
      </c>
      <c r="C602" t="s">
        <v>8812</v>
      </c>
      <c r="E602" s="11" t="s">
        <v>8813</v>
      </c>
      <c r="F602" s="11" t="s">
        <v>8815</v>
      </c>
      <c r="G602" t="s">
        <v>11667</v>
      </c>
      <c r="H602" t="s">
        <v>11668</v>
      </c>
    </row>
    <row r="603" spans="1:8">
      <c r="A603" t="s">
        <v>7027</v>
      </c>
      <c r="B603" t="s">
        <v>7028</v>
      </c>
      <c r="C603" t="s">
        <v>8812</v>
      </c>
      <c r="E603" s="11" t="s">
        <v>8813</v>
      </c>
      <c r="F603" s="11" t="s">
        <v>8816</v>
      </c>
      <c r="G603" t="s">
        <v>11669</v>
      </c>
      <c r="H603" t="s">
        <v>11670</v>
      </c>
    </row>
    <row r="604" spans="1:8">
      <c r="A604" t="s">
        <v>7027</v>
      </c>
      <c r="B604" t="s">
        <v>7028</v>
      </c>
      <c r="C604" t="s">
        <v>8812</v>
      </c>
      <c r="E604" s="11" t="s">
        <v>8813</v>
      </c>
      <c r="F604" s="11" t="s">
        <v>8817</v>
      </c>
      <c r="G604" t="s">
        <v>11671</v>
      </c>
      <c r="H604" t="s">
        <v>11672</v>
      </c>
    </row>
    <row r="605" spans="1:8">
      <c r="A605" t="s">
        <v>7027</v>
      </c>
      <c r="B605" t="s">
        <v>7028</v>
      </c>
      <c r="C605" t="s">
        <v>8812</v>
      </c>
      <c r="E605" s="11" t="s">
        <v>8813</v>
      </c>
      <c r="F605" s="11" t="s">
        <v>8818</v>
      </c>
      <c r="G605" t="s">
        <v>11673</v>
      </c>
      <c r="H605" t="s">
        <v>11674</v>
      </c>
    </row>
    <row r="606" spans="1:8">
      <c r="A606" t="s">
        <v>2200</v>
      </c>
      <c r="B606" t="s">
        <v>2201</v>
      </c>
      <c r="C606" t="s">
        <v>10108</v>
      </c>
      <c r="E606" s="11" t="s">
        <v>10109</v>
      </c>
      <c r="F606" s="11" t="s">
        <v>10110</v>
      </c>
      <c r="G606" t="s">
        <v>10787</v>
      </c>
      <c r="H606" t="s">
        <v>10788</v>
      </c>
    </row>
    <row r="607" spans="1:8">
      <c r="A607" t="s">
        <v>5621</v>
      </c>
      <c r="B607" t="s">
        <v>5622</v>
      </c>
      <c r="C607" t="s">
        <v>9351</v>
      </c>
      <c r="E607" s="11" t="s">
        <v>9352</v>
      </c>
      <c r="F607" s="11" t="s">
        <v>9353</v>
      </c>
      <c r="G607" t="s">
        <v>11322</v>
      </c>
      <c r="H607" t="s">
        <v>11323</v>
      </c>
    </row>
    <row r="608" spans="1:8">
      <c r="A608" t="s">
        <v>5621</v>
      </c>
      <c r="B608" t="s">
        <v>5622</v>
      </c>
      <c r="C608" t="s">
        <v>9351</v>
      </c>
      <c r="E608" s="11" t="s">
        <v>9352</v>
      </c>
      <c r="F608" s="11" t="s">
        <v>9354</v>
      </c>
      <c r="G608" t="s">
        <v>11324</v>
      </c>
      <c r="H608" t="s">
        <v>11325</v>
      </c>
    </row>
    <row r="609" spans="1:8">
      <c r="A609" t="s">
        <v>5621</v>
      </c>
      <c r="B609" t="s">
        <v>5622</v>
      </c>
      <c r="C609" t="s">
        <v>9351</v>
      </c>
      <c r="E609" s="11" t="s">
        <v>9352</v>
      </c>
      <c r="F609" s="11" t="s">
        <v>9355</v>
      </c>
      <c r="G609" t="s">
        <v>11326</v>
      </c>
      <c r="H609" t="s">
        <v>11327</v>
      </c>
    </row>
    <row r="610" spans="1:8">
      <c r="A610" t="s">
        <v>1907</v>
      </c>
      <c r="B610" t="s">
        <v>1908</v>
      </c>
      <c r="C610" t="s">
        <v>8806</v>
      </c>
      <c r="E610" s="11" t="s">
        <v>8807</v>
      </c>
      <c r="F610" s="11" t="s">
        <v>8808</v>
      </c>
      <c r="G610" t="s">
        <v>10693</v>
      </c>
      <c r="H610" t="s">
        <v>10694</v>
      </c>
    </row>
    <row r="611" spans="1:8">
      <c r="A611" t="s">
        <v>1907</v>
      </c>
      <c r="B611" t="s">
        <v>1908</v>
      </c>
      <c r="C611" t="s">
        <v>8806</v>
      </c>
      <c r="E611" s="11" t="s">
        <v>8807</v>
      </c>
      <c r="F611" s="11" t="s">
        <v>8809</v>
      </c>
      <c r="G611" t="s">
        <v>10695</v>
      </c>
      <c r="H611" t="s">
        <v>10696</v>
      </c>
    </row>
    <row r="612" spans="1:8">
      <c r="A612" t="s">
        <v>1907</v>
      </c>
      <c r="B612" t="s">
        <v>1908</v>
      </c>
      <c r="C612" t="s">
        <v>8806</v>
      </c>
      <c r="E612" s="11" t="s">
        <v>8807</v>
      </c>
      <c r="F612" s="11" t="s">
        <v>8810</v>
      </c>
      <c r="G612" t="s">
        <v>10697</v>
      </c>
      <c r="H612" t="s">
        <v>10698</v>
      </c>
    </row>
    <row r="613" spans="1:8">
      <c r="A613" t="s">
        <v>1907</v>
      </c>
      <c r="B613" t="s">
        <v>1908</v>
      </c>
      <c r="C613" t="s">
        <v>8806</v>
      </c>
      <c r="E613" s="11" t="s">
        <v>8807</v>
      </c>
      <c r="F613" s="11" t="s">
        <v>8811</v>
      </c>
      <c r="G613" t="s">
        <v>10699</v>
      </c>
      <c r="H613" t="s">
        <v>10700</v>
      </c>
    </row>
    <row r="614" spans="1:8">
      <c r="A614" t="s">
        <v>7035</v>
      </c>
      <c r="B614" t="s">
        <v>7036</v>
      </c>
      <c r="C614" t="s">
        <v>8806</v>
      </c>
      <c r="E614" s="11" t="s">
        <v>8807</v>
      </c>
      <c r="F614" s="11" t="s">
        <v>8808</v>
      </c>
      <c r="G614" t="s">
        <v>10693</v>
      </c>
      <c r="H614" t="s">
        <v>10694</v>
      </c>
    </row>
    <row r="615" spans="1:8">
      <c r="A615" t="s">
        <v>7035</v>
      </c>
      <c r="B615" t="s">
        <v>7036</v>
      </c>
      <c r="C615" t="s">
        <v>8806</v>
      </c>
      <c r="E615" s="11" t="s">
        <v>8807</v>
      </c>
      <c r="F615" s="11" t="s">
        <v>8809</v>
      </c>
      <c r="G615" t="s">
        <v>10695</v>
      </c>
      <c r="H615" t="s">
        <v>10696</v>
      </c>
    </row>
    <row r="616" spans="1:8">
      <c r="A616" t="s">
        <v>7035</v>
      </c>
      <c r="B616" t="s">
        <v>7036</v>
      </c>
      <c r="C616" t="s">
        <v>8806</v>
      </c>
      <c r="E616" s="11" t="s">
        <v>8807</v>
      </c>
      <c r="F616" s="11" t="s">
        <v>8810</v>
      </c>
      <c r="G616" t="s">
        <v>10697</v>
      </c>
      <c r="H616" t="s">
        <v>10698</v>
      </c>
    </row>
    <row r="617" spans="1:8">
      <c r="A617" t="s">
        <v>7035</v>
      </c>
      <c r="B617" t="s">
        <v>7036</v>
      </c>
      <c r="C617" t="s">
        <v>8806</v>
      </c>
      <c r="E617" s="11" t="s">
        <v>8807</v>
      </c>
      <c r="F617" s="11" t="s">
        <v>8811</v>
      </c>
      <c r="G617" t="s">
        <v>10699</v>
      </c>
      <c r="H617" t="s">
        <v>10700</v>
      </c>
    </row>
    <row r="618" spans="1:8">
      <c r="A618" t="s">
        <v>6726</v>
      </c>
      <c r="B618" t="s">
        <v>6727</v>
      </c>
      <c r="C618" t="s">
        <v>8941</v>
      </c>
      <c r="E618" s="11" t="s">
        <v>8942</v>
      </c>
      <c r="F618" s="11" t="s">
        <v>8943</v>
      </c>
      <c r="G618" t="s">
        <v>11613</v>
      </c>
      <c r="H618" t="s">
        <v>11614</v>
      </c>
    </row>
    <row r="619" spans="1:8">
      <c r="A619" t="s">
        <v>6726</v>
      </c>
      <c r="B619" t="s">
        <v>6727</v>
      </c>
      <c r="C619" t="s">
        <v>8941</v>
      </c>
      <c r="E619" s="11" t="s">
        <v>8942</v>
      </c>
      <c r="F619" s="11" t="s">
        <v>8944</v>
      </c>
      <c r="G619" t="s">
        <v>11615</v>
      </c>
      <c r="H619" t="s">
        <v>11616</v>
      </c>
    </row>
    <row r="620" spans="1:8">
      <c r="A620" t="s">
        <v>6726</v>
      </c>
      <c r="B620" t="s">
        <v>6727</v>
      </c>
      <c r="C620" t="s">
        <v>8941</v>
      </c>
      <c r="E620" s="11" t="s">
        <v>8942</v>
      </c>
      <c r="F620" s="11" t="s">
        <v>8945</v>
      </c>
      <c r="G620" t="s">
        <v>11617</v>
      </c>
      <c r="H620" t="s">
        <v>11618</v>
      </c>
    </row>
    <row r="621" spans="1:8">
      <c r="A621" t="s">
        <v>6726</v>
      </c>
      <c r="B621" t="s">
        <v>6727</v>
      </c>
      <c r="C621" t="s">
        <v>8941</v>
      </c>
      <c r="E621" s="11" t="s">
        <v>8942</v>
      </c>
      <c r="F621" s="11" t="s">
        <v>8946</v>
      </c>
      <c r="G621" t="s">
        <v>11619</v>
      </c>
      <c r="H621" t="s">
        <v>11613</v>
      </c>
    </row>
    <row r="622" spans="1:8">
      <c r="A622" t="s">
        <v>6726</v>
      </c>
      <c r="B622" t="s">
        <v>6727</v>
      </c>
      <c r="C622" t="s">
        <v>8941</v>
      </c>
      <c r="E622" s="11" t="s">
        <v>8942</v>
      </c>
      <c r="F622" s="11" t="s">
        <v>8947</v>
      </c>
      <c r="G622" t="s">
        <v>11620</v>
      </c>
      <c r="H622" t="s">
        <v>11621</v>
      </c>
    </row>
    <row r="623" spans="1:8">
      <c r="A623" t="s">
        <v>6726</v>
      </c>
      <c r="B623" t="s">
        <v>6727</v>
      </c>
      <c r="C623" t="s">
        <v>8941</v>
      </c>
      <c r="E623" s="11" t="s">
        <v>8942</v>
      </c>
      <c r="F623" s="11" t="s">
        <v>8948</v>
      </c>
      <c r="G623" t="s">
        <v>11622</v>
      </c>
      <c r="H623" t="s">
        <v>11623</v>
      </c>
    </row>
    <row r="624" spans="1:8">
      <c r="A624" t="s">
        <v>6726</v>
      </c>
      <c r="B624" t="s">
        <v>6727</v>
      </c>
      <c r="C624" t="s">
        <v>8941</v>
      </c>
      <c r="E624" s="11" t="s">
        <v>8942</v>
      </c>
      <c r="F624" s="11" t="s">
        <v>8949</v>
      </c>
      <c r="G624" t="s">
        <v>11624</v>
      </c>
      <c r="H624" t="s">
        <v>11625</v>
      </c>
    </row>
    <row r="625" spans="1:8">
      <c r="A625" t="s">
        <v>6726</v>
      </c>
      <c r="B625" t="s">
        <v>6727</v>
      </c>
      <c r="C625" t="s">
        <v>8941</v>
      </c>
      <c r="E625" s="11" t="s">
        <v>8942</v>
      </c>
      <c r="F625" s="11" t="s">
        <v>8950</v>
      </c>
      <c r="G625" t="s">
        <v>11626</v>
      </c>
      <c r="H625" t="s">
        <v>11627</v>
      </c>
    </row>
    <row r="626" spans="1:8">
      <c r="A626" t="s">
        <v>2850</v>
      </c>
      <c r="B626" t="s">
        <v>2851</v>
      </c>
      <c r="C626" t="s">
        <v>9198</v>
      </c>
      <c r="E626" s="11" t="s">
        <v>9199</v>
      </c>
      <c r="F626" s="11" t="s">
        <v>9200</v>
      </c>
      <c r="G626" t="s">
        <v>10914</v>
      </c>
      <c r="H626" t="s">
        <v>10915</v>
      </c>
    </row>
    <row r="627" spans="1:8">
      <c r="A627" t="s">
        <v>6013</v>
      </c>
      <c r="B627" t="s">
        <v>6014</v>
      </c>
      <c r="C627" t="s">
        <v>9198</v>
      </c>
      <c r="E627" s="11" t="s">
        <v>9199</v>
      </c>
      <c r="F627" s="11" t="s">
        <v>9200</v>
      </c>
      <c r="G627" t="s">
        <v>10914</v>
      </c>
      <c r="H627" t="s">
        <v>10915</v>
      </c>
    </row>
    <row r="628" spans="1:8">
      <c r="A628" t="s">
        <v>4532</v>
      </c>
      <c r="B628" t="s">
        <v>4533</v>
      </c>
      <c r="C628" t="s">
        <v>9587</v>
      </c>
      <c r="E628" s="11" t="s">
        <v>9588</v>
      </c>
      <c r="F628" s="11" t="s">
        <v>9589</v>
      </c>
      <c r="G628" t="s">
        <v>11189</v>
      </c>
      <c r="H628" t="s">
        <v>11190</v>
      </c>
    </row>
    <row r="629" spans="1:8">
      <c r="A629" t="s">
        <v>4532</v>
      </c>
      <c r="B629" t="s">
        <v>4533</v>
      </c>
      <c r="C629" t="s">
        <v>9587</v>
      </c>
      <c r="E629" s="11" t="s">
        <v>9588</v>
      </c>
      <c r="F629" s="11" t="s">
        <v>9590</v>
      </c>
      <c r="G629" t="s">
        <v>11191</v>
      </c>
      <c r="H629" t="s">
        <v>11192</v>
      </c>
    </row>
    <row r="630" spans="1:8">
      <c r="A630" t="s">
        <v>1224</v>
      </c>
      <c r="B630" t="s">
        <v>1225</v>
      </c>
      <c r="C630" t="s">
        <v>10297</v>
      </c>
      <c r="E630" s="11" t="s">
        <v>10298</v>
      </c>
      <c r="F630" s="11" t="s">
        <v>10299</v>
      </c>
      <c r="G630" t="s">
        <v>10632</v>
      </c>
      <c r="H630" t="s">
        <v>10633</v>
      </c>
    </row>
    <row r="631" spans="1:8">
      <c r="A631" t="s">
        <v>1053</v>
      </c>
      <c r="B631" t="s">
        <v>1054</v>
      </c>
      <c r="C631" t="s">
        <v>8819</v>
      </c>
      <c r="E631" s="11" t="s">
        <v>8820</v>
      </c>
      <c r="F631" s="11" t="s">
        <v>8821</v>
      </c>
      <c r="G631" t="s">
        <v>10599</v>
      </c>
      <c r="H631" t="s">
        <v>10600</v>
      </c>
    </row>
    <row r="632" spans="1:8">
      <c r="A632" t="s">
        <v>7024</v>
      </c>
      <c r="B632" t="s">
        <v>7025</v>
      </c>
      <c r="C632" t="s">
        <v>8819</v>
      </c>
      <c r="E632" s="11" t="s">
        <v>8820</v>
      </c>
      <c r="F632" s="11" t="s">
        <v>8821</v>
      </c>
      <c r="G632" t="s">
        <v>10599</v>
      </c>
      <c r="H632" t="s">
        <v>10600</v>
      </c>
    </row>
    <row r="633" spans="1:8">
      <c r="A633" t="s">
        <v>3050</v>
      </c>
      <c r="B633" t="s">
        <v>3051</v>
      </c>
      <c r="C633" t="s">
        <v>9952</v>
      </c>
      <c r="E633" s="11" t="s">
        <v>9953</v>
      </c>
      <c r="F633" s="11" t="s">
        <v>9954</v>
      </c>
      <c r="G633" t="s">
        <v>10946</v>
      </c>
      <c r="H633" t="s">
        <v>10947</v>
      </c>
    </row>
    <row r="634" spans="1:8">
      <c r="A634" t="s">
        <v>1307</v>
      </c>
      <c r="B634" t="s">
        <v>1308</v>
      </c>
      <c r="C634" t="s">
        <v>10265</v>
      </c>
      <c r="E634" s="11" t="s">
        <v>10266</v>
      </c>
      <c r="F634" s="11" t="s">
        <v>10267</v>
      </c>
      <c r="G634" t="s">
        <v>10647</v>
      </c>
      <c r="H634" t="s">
        <v>10648</v>
      </c>
    </row>
    <row r="635" spans="1:8">
      <c r="A635" t="s">
        <v>5348</v>
      </c>
      <c r="B635" t="s">
        <v>5349</v>
      </c>
      <c r="C635" t="s">
        <v>9431</v>
      </c>
      <c r="E635" s="11" t="s">
        <v>9432</v>
      </c>
      <c r="F635" s="11" t="s">
        <v>9433</v>
      </c>
      <c r="G635" t="s">
        <v>11269</v>
      </c>
      <c r="H635" t="s">
        <v>11270</v>
      </c>
    </row>
    <row r="636" spans="1:8">
      <c r="A636" t="s">
        <v>4500</v>
      </c>
      <c r="B636" t="s">
        <v>4501</v>
      </c>
      <c r="C636" t="s">
        <v>9615</v>
      </c>
      <c r="E636" s="11" t="s">
        <v>9616</v>
      </c>
      <c r="F636" s="11" t="s">
        <v>9617</v>
      </c>
      <c r="G636" t="s">
        <v>11174</v>
      </c>
      <c r="H636" t="s">
        <v>11175</v>
      </c>
    </row>
    <row r="637" spans="1:8">
      <c r="A637" t="s">
        <v>4506</v>
      </c>
      <c r="B637" t="s">
        <v>4507</v>
      </c>
      <c r="C637" t="s">
        <v>9605</v>
      </c>
      <c r="E637" s="11" t="s">
        <v>9606</v>
      </c>
      <c r="F637" s="11" t="s">
        <v>9607</v>
      </c>
      <c r="G637" t="s">
        <v>9608</v>
      </c>
      <c r="H637" t="s">
        <v>11178</v>
      </c>
    </row>
    <row r="638" spans="1:8">
      <c r="A638" t="s">
        <v>1041</v>
      </c>
      <c r="B638" t="s">
        <v>1042</v>
      </c>
      <c r="C638" t="s">
        <v>8604</v>
      </c>
      <c r="E638" s="11"/>
    </row>
    <row r="639" spans="1:8">
      <c r="A639" t="s">
        <v>2356</v>
      </c>
      <c r="B639" t="s">
        <v>2357</v>
      </c>
      <c r="C639" t="s">
        <v>8604</v>
      </c>
      <c r="E639" s="11"/>
    </row>
    <row r="640" spans="1:8">
      <c r="A640" t="s">
        <v>7160</v>
      </c>
      <c r="B640" t="s">
        <v>7161</v>
      </c>
      <c r="C640" t="s">
        <v>8604</v>
      </c>
      <c r="E640" s="11"/>
    </row>
    <row r="641" spans="1:8">
      <c r="A641" t="s">
        <v>7771</v>
      </c>
      <c r="B641" t="s">
        <v>7772</v>
      </c>
      <c r="C641" t="s">
        <v>8604</v>
      </c>
      <c r="E641" s="11"/>
    </row>
    <row r="642" spans="1:8">
      <c r="A642" t="s">
        <v>5685</v>
      </c>
      <c r="B642" t="s">
        <v>5686</v>
      </c>
      <c r="C642" s="12" t="s">
        <v>16074</v>
      </c>
      <c r="E642" s="39" t="s">
        <v>16128</v>
      </c>
      <c r="F642" s="39" t="s">
        <v>16129</v>
      </c>
      <c r="G642" t="s">
        <v>16130</v>
      </c>
      <c r="H642" t="s">
        <v>16131</v>
      </c>
    </row>
    <row r="643" spans="1:8">
      <c r="A643" t="s">
        <v>5685</v>
      </c>
      <c r="B643" t="s">
        <v>5686</v>
      </c>
      <c r="C643" s="12" t="s">
        <v>16074</v>
      </c>
      <c r="E643" s="39" t="s">
        <v>16128</v>
      </c>
      <c r="F643" s="39" t="s">
        <v>9281</v>
      </c>
      <c r="G643" t="s">
        <v>10535</v>
      </c>
      <c r="H643" t="s">
        <v>10536</v>
      </c>
    </row>
    <row r="644" spans="1:8">
      <c r="A644" t="s">
        <v>5685</v>
      </c>
      <c r="B644" t="s">
        <v>5686</v>
      </c>
      <c r="C644" s="12" t="s">
        <v>16074</v>
      </c>
      <c r="E644" s="39" t="s">
        <v>16128</v>
      </c>
      <c r="F644" s="39" t="s">
        <v>9282</v>
      </c>
      <c r="G644" t="s">
        <v>10537</v>
      </c>
      <c r="H644" t="s">
        <v>10538</v>
      </c>
    </row>
    <row r="645" spans="1:8">
      <c r="A645" t="s">
        <v>5685</v>
      </c>
      <c r="B645" t="s">
        <v>5686</v>
      </c>
      <c r="C645" s="12" t="s">
        <v>16074</v>
      </c>
      <c r="E645" s="39" t="s">
        <v>16128</v>
      </c>
      <c r="F645" s="39" t="s">
        <v>16132</v>
      </c>
      <c r="G645" t="s">
        <v>16133</v>
      </c>
      <c r="H645" t="s">
        <v>16134</v>
      </c>
    </row>
    <row r="646" spans="1:8">
      <c r="A646" t="s">
        <v>5685</v>
      </c>
      <c r="B646" t="s">
        <v>5686</v>
      </c>
      <c r="C646" s="12" t="s">
        <v>16074</v>
      </c>
      <c r="E646" s="39" t="s">
        <v>16128</v>
      </c>
      <c r="F646" s="39" t="s">
        <v>16135</v>
      </c>
      <c r="G646" t="s">
        <v>16133</v>
      </c>
      <c r="H646" t="s">
        <v>16136</v>
      </c>
    </row>
    <row r="647" spans="1:8">
      <c r="A647" t="s">
        <v>5685</v>
      </c>
      <c r="B647" t="s">
        <v>5686</v>
      </c>
      <c r="C647" s="12" t="s">
        <v>16074</v>
      </c>
      <c r="E647" s="39" t="s">
        <v>16128</v>
      </c>
      <c r="F647" s="39" t="s">
        <v>16137</v>
      </c>
      <c r="G647" t="s">
        <v>16138</v>
      </c>
      <c r="H647" t="s">
        <v>16139</v>
      </c>
    </row>
    <row r="648" spans="1:8">
      <c r="A648" t="s">
        <v>5685</v>
      </c>
      <c r="B648" t="s">
        <v>5686</v>
      </c>
      <c r="C648" s="12" t="s">
        <v>16074</v>
      </c>
      <c r="E648" s="39" t="s">
        <v>16128</v>
      </c>
      <c r="F648" s="39" t="s">
        <v>16140</v>
      </c>
      <c r="G648" t="s">
        <v>16141</v>
      </c>
      <c r="H648" t="s">
        <v>16142</v>
      </c>
    </row>
    <row r="649" spans="1:8">
      <c r="A649" t="s">
        <v>5685</v>
      </c>
      <c r="B649" t="s">
        <v>5686</v>
      </c>
      <c r="C649" s="12" t="s">
        <v>16074</v>
      </c>
      <c r="E649" s="39" t="s">
        <v>16128</v>
      </c>
      <c r="F649" s="39" t="s">
        <v>16143</v>
      </c>
      <c r="G649" t="s">
        <v>16144</v>
      </c>
      <c r="H649" t="s">
        <v>16145</v>
      </c>
    </row>
    <row r="650" spans="1:8">
      <c r="A650" t="s">
        <v>3942</v>
      </c>
      <c r="B650" t="s">
        <v>3943</v>
      </c>
      <c r="C650" t="s">
        <v>9753</v>
      </c>
      <c r="E650" s="11" t="s">
        <v>9754</v>
      </c>
      <c r="F650" s="11" t="s">
        <v>9755</v>
      </c>
      <c r="G650" t="s">
        <v>11088</v>
      </c>
      <c r="H650" t="s">
        <v>11089</v>
      </c>
    </row>
    <row r="651" spans="1:8">
      <c r="A651" t="s">
        <v>6260</v>
      </c>
      <c r="B651" t="s">
        <v>6261</v>
      </c>
      <c r="C651" t="s">
        <v>9116</v>
      </c>
      <c r="E651" s="11" t="s">
        <v>9117</v>
      </c>
      <c r="F651" s="11" t="s">
        <v>9118</v>
      </c>
      <c r="G651" t="s">
        <v>11497</v>
      </c>
      <c r="H651" t="s">
        <v>11498</v>
      </c>
    </row>
    <row r="652" spans="1:8">
      <c r="A652" t="s">
        <v>3146</v>
      </c>
      <c r="B652" t="s">
        <v>3147</v>
      </c>
      <c r="C652" t="s">
        <v>9939</v>
      </c>
      <c r="E652" s="11" t="s">
        <v>9940</v>
      </c>
      <c r="F652" s="11" t="s">
        <v>9941</v>
      </c>
      <c r="G652" t="s">
        <v>10954</v>
      </c>
      <c r="H652" t="s">
        <v>10955</v>
      </c>
    </row>
    <row r="653" spans="1:8">
      <c r="A653" t="s">
        <v>1407</v>
      </c>
      <c r="B653" t="s">
        <v>1408</v>
      </c>
      <c r="C653" t="s">
        <v>10236</v>
      </c>
      <c r="E653" s="11" t="s">
        <v>10237</v>
      </c>
      <c r="F653" s="11" t="s">
        <v>10238</v>
      </c>
      <c r="G653" t="s">
        <v>10661</v>
      </c>
      <c r="H653" t="s">
        <v>10662</v>
      </c>
    </row>
    <row r="654" spans="1:8">
      <c r="A654" t="s">
        <v>1407</v>
      </c>
      <c r="B654" t="s">
        <v>1408</v>
      </c>
      <c r="C654" t="s">
        <v>10236</v>
      </c>
      <c r="E654" s="11" t="s">
        <v>10237</v>
      </c>
      <c r="F654" s="11" t="s">
        <v>10239</v>
      </c>
      <c r="G654" t="s">
        <v>10663</v>
      </c>
      <c r="H654" t="s">
        <v>10664</v>
      </c>
    </row>
    <row r="655" spans="1:8">
      <c r="A655" t="s">
        <v>6085</v>
      </c>
      <c r="B655" t="s">
        <v>6086</v>
      </c>
      <c r="C655" t="s">
        <v>9159</v>
      </c>
      <c r="E655" s="11" t="s">
        <v>9160</v>
      </c>
      <c r="F655" s="11" t="s">
        <v>9161</v>
      </c>
      <c r="G655" t="s">
        <v>11453</v>
      </c>
      <c r="H655" t="s">
        <v>11454</v>
      </c>
    </row>
    <row r="656" spans="1:8">
      <c r="A656" t="s">
        <v>6085</v>
      </c>
      <c r="B656" t="s">
        <v>6086</v>
      </c>
      <c r="C656" t="s">
        <v>9159</v>
      </c>
      <c r="E656" s="11" t="s">
        <v>9160</v>
      </c>
      <c r="F656" s="11" t="s">
        <v>9162</v>
      </c>
      <c r="G656" t="s">
        <v>11455</v>
      </c>
      <c r="H656" t="s">
        <v>11456</v>
      </c>
    </row>
    <row r="657" spans="1:8">
      <c r="A657" t="s">
        <v>6085</v>
      </c>
      <c r="B657" t="s">
        <v>6086</v>
      </c>
      <c r="C657" t="s">
        <v>9159</v>
      </c>
      <c r="E657" s="11" t="s">
        <v>9160</v>
      </c>
      <c r="F657" s="11" t="s">
        <v>9163</v>
      </c>
      <c r="G657" t="s">
        <v>11457</v>
      </c>
      <c r="H657" t="s">
        <v>11458</v>
      </c>
    </row>
    <row r="658" spans="1:8">
      <c r="A658" t="s">
        <v>6085</v>
      </c>
      <c r="B658" t="s">
        <v>6086</v>
      </c>
      <c r="C658" t="s">
        <v>9159</v>
      </c>
      <c r="E658" s="11" t="s">
        <v>9160</v>
      </c>
      <c r="F658" s="11" t="s">
        <v>9164</v>
      </c>
      <c r="G658" t="s">
        <v>11459</v>
      </c>
      <c r="H658" t="s">
        <v>11460</v>
      </c>
    </row>
    <row r="659" spans="1:8">
      <c r="A659" t="s">
        <v>2399</v>
      </c>
      <c r="B659" t="s">
        <v>2400</v>
      </c>
      <c r="C659" t="s">
        <v>10096</v>
      </c>
      <c r="E659" s="11" t="s">
        <v>10097</v>
      </c>
      <c r="F659" s="11" t="s">
        <v>10098</v>
      </c>
      <c r="G659" t="s">
        <v>10799</v>
      </c>
      <c r="H659" t="s">
        <v>10800</v>
      </c>
    </row>
    <row r="660" spans="1:8">
      <c r="A660" t="s">
        <v>2399</v>
      </c>
      <c r="B660" t="s">
        <v>2400</v>
      </c>
      <c r="C660" t="s">
        <v>10096</v>
      </c>
      <c r="E660" s="11" t="s">
        <v>10097</v>
      </c>
      <c r="F660" s="11" t="s">
        <v>10099</v>
      </c>
      <c r="G660" t="s">
        <v>10801</v>
      </c>
      <c r="H660" t="s">
        <v>10802</v>
      </c>
    </row>
    <row r="661" spans="1:8">
      <c r="A661" t="s">
        <v>7174</v>
      </c>
      <c r="B661" t="s">
        <v>7175</v>
      </c>
      <c r="C661" t="s">
        <v>8757</v>
      </c>
      <c r="E661" s="11" t="s">
        <v>8758</v>
      </c>
      <c r="F661" s="11" t="s">
        <v>8759</v>
      </c>
      <c r="G661" t="s">
        <v>11695</v>
      </c>
      <c r="H661" t="s">
        <v>11696</v>
      </c>
    </row>
    <row r="662" spans="1:8">
      <c r="A662" t="s">
        <v>2868</v>
      </c>
      <c r="B662" t="s">
        <v>2869</v>
      </c>
      <c r="C662" t="s">
        <v>9977</v>
      </c>
      <c r="E662" s="11" t="s">
        <v>9978</v>
      </c>
      <c r="F662" s="11" t="s">
        <v>8780</v>
      </c>
      <c r="G662" t="s">
        <v>10519</v>
      </c>
      <c r="H662" t="s">
        <v>10520</v>
      </c>
    </row>
    <row r="663" spans="1:8">
      <c r="A663" t="s">
        <v>2868</v>
      </c>
      <c r="B663" t="s">
        <v>2869</v>
      </c>
      <c r="C663" t="s">
        <v>9977</v>
      </c>
      <c r="E663" s="11" t="s">
        <v>9978</v>
      </c>
      <c r="F663" s="11" t="s">
        <v>9979</v>
      </c>
      <c r="G663" t="s">
        <v>10926</v>
      </c>
      <c r="H663" t="s">
        <v>10927</v>
      </c>
    </row>
    <row r="664" spans="1:8">
      <c r="A664" t="s">
        <v>2868</v>
      </c>
      <c r="B664" t="s">
        <v>2869</v>
      </c>
      <c r="C664" t="s">
        <v>9977</v>
      </c>
      <c r="E664" s="11" t="s">
        <v>9978</v>
      </c>
      <c r="F664" s="11" t="s">
        <v>9980</v>
      </c>
      <c r="G664" t="s">
        <v>10928</v>
      </c>
      <c r="H664" t="s">
        <v>10929</v>
      </c>
    </row>
    <row r="665" spans="1:8">
      <c r="A665" t="s">
        <v>666</v>
      </c>
      <c r="B665" t="s">
        <v>667</v>
      </c>
      <c r="C665" t="s">
        <v>9278</v>
      </c>
      <c r="E665" s="11" t="s">
        <v>9279</v>
      </c>
      <c r="F665" s="11" t="s">
        <v>9280</v>
      </c>
      <c r="G665" t="s">
        <v>10533</v>
      </c>
      <c r="H665" t="s">
        <v>10534</v>
      </c>
    </row>
    <row r="666" spans="1:8">
      <c r="A666" t="s">
        <v>666</v>
      </c>
      <c r="B666" t="s">
        <v>667</v>
      </c>
      <c r="C666" t="s">
        <v>9278</v>
      </c>
      <c r="E666" s="11" t="s">
        <v>9279</v>
      </c>
      <c r="F666" s="11" t="s">
        <v>9281</v>
      </c>
      <c r="G666" t="s">
        <v>10535</v>
      </c>
      <c r="H666" t="s">
        <v>10536</v>
      </c>
    </row>
    <row r="667" spans="1:8">
      <c r="A667" t="s">
        <v>666</v>
      </c>
      <c r="B667" t="s">
        <v>667</v>
      </c>
      <c r="C667" t="s">
        <v>9278</v>
      </c>
      <c r="E667" s="11" t="s">
        <v>9279</v>
      </c>
      <c r="F667" s="11" t="s">
        <v>9282</v>
      </c>
      <c r="G667" t="s">
        <v>10537</v>
      </c>
      <c r="H667" t="s">
        <v>10538</v>
      </c>
    </row>
    <row r="668" spans="1:8">
      <c r="A668" t="s">
        <v>5795</v>
      </c>
      <c r="B668" t="s">
        <v>5796</v>
      </c>
      <c r="C668" t="s">
        <v>9278</v>
      </c>
      <c r="E668" s="11" t="s">
        <v>9279</v>
      </c>
      <c r="F668" s="11" t="s">
        <v>9280</v>
      </c>
      <c r="G668" t="s">
        <v>10533</v>
      </c>
      <c r="H668" t="s">
        <v>10534</v>
      </c>
    </row>
    <row r="669" spans="1:8">
      <c r="A669" t="s">
        <v>5795</v>
      </c>
      <c r="B669" t="s">
        <v>5796</v>
      </c>
      <c r="C669" t="s">
        <v>9278</v>
      </c>
      <c r="E669" s="11" t="s">
        <v>9279</v>
      </c>
      <c r="F669" s="11" t="s">
        <v>9281</v>
      </c>
      <c r="G669" t="s">
        <v>10535</v>
      </c>
      <c r="H669" t="s">
        <v>10536</v>
      </c>
    </row>
    <row r="670" spans="1:8">
      <c r="A670" t="s">
        <v>5795</v>
      </c>
      <c r="B670" t="s">
        <v>5796</v>
      </c>
      <c r="C670" t="s">
        <v>9278</v>
      </c>
      <c r="E670" s="11" t="s">
        <v>9279</v>
      </c>
      <c r="F670" s="11" t="s">
        <v>9282</v>
      </c>
      <c r="G670" t="s">
        <v>10537</v>
      </c>
      <c r="H670" t="s">
        <v>10538</v>
      </c>
    </row>
    <row r="671" spans="1:8">
      <c r="A671" t="s">
        <v>7865</v>
      </c>
      <c r="B671" t="s">
        <v>7866</v>
      </c>
      <c r="C671" t="s">
        <v>8590</v>
      </c>
      <c r="E671" s="11"/>
    </row>
    <row r="672" spans="1:8">
      <c r="A672" t="s">
        <v>4633</v>
      </c>
      <c r="B672" t="s">
        <v>4634</v>
      </c>
      <c r="C672" t="s">
        <v>8794</v>
      </c>
      <c r="E672" s="11"/>
    </row>
    <row r="673" spans="1:8">
      <c r="A673" t="s">
        <v>6965</v>
      </c>
      <c r="B673" t="s">
        <v>6966</v>
      </c>
      <c r="C673" t="s">
        <v>8794</v>
      </c>
      <c r="E673" s="11"/>
    </row>
    <row r="674" spans="1:8">
      <c r="A674" t="s">
        <v>7097</v>
      </c>
      <c r="B674" t="s">
        <v>7098</v>
      </c>
      <c r="C674" t="s">
        <v>8794</v>
      </c>
      <c r="E674" s="11"/>
    </row>
    <row r="675" spans="1:8">
      <c r="A675" t="s">
        <v>8177</v>
      </c>
      <c r="B675" t="s">
        <v>8178</v>
      </c>
      <c r="C675" t="s">
        <v>8538</v>
      </c>
      <c r="E675" s="11" t="s">
        <v>8539</v>
      </c>
      <c r="F675" s="11" t="s">
        <v>8540</v>
      </c>
      <c r="G675" t="s">
        <v>11778</v>
      </c>
      <c r="H675" t="s">
        <v>11779</v>
      </c>
    </row>
    <row r="676" spans="1:8">
      <c r="A676" t="s">
        <v>2633</v>
      </c>
      <c r="B676" t="s">
        <v>2634</v>
      </c>
      <c r="C676" t="s">
        <v>10023</v>
      </c>
      <c r="E676" s="11" t="s">
        <v>10024</v>
      </c>
      <c r="F676" s="11" t="s">
        <v>10025</v>
      </c>
      <c r="G676" t="s">
        <v>10876</v>
      </c>
      <c r="H676" t="s">
        <v>10877</v>
      </c>
    </row>
    <row r="677" spans="1:8">
      <c r="A677" t="s">
        <v>6073</v>
      </c>
      <c r="B677" t="s">
        <v>6074</v>
      </c>
      <c r="C677" t="s">
        <v>9172</v>
      </c>
      <c r="E677" s="11" t="s">
        <v>9174</v>
      </c>
      <c r="F677" s="11" t="s">
        <v>9175</v>
      </c>
      <c r="G677" t="s">
        <v>11441</v>
      </c>
      <c r="H677" t="s">
        <v>11442</v>
      </c>
    </row>
    <row r="678" spans="1:8">
      <c r="A678" t="s">
        <v>6073</v>
      </c>
      <c r="B678" t="s">
        <v>6074</v>
      </c>
      <c r="C678" t="s">
        <v>9172</v>
      </c>
      <c r="E678" s="11" t="s">
        <v>9174</v>
      </c>
      <c r="F678" s="11" t="s">
        <v>9176</v>
      </c>
      <c r="G678" t="s">
        <v>11443</v>
      </c>
      <c r="H678" t="s">
        <v>11444</v>
      </c>
    </row>
    <row r="679" spans="1:8">
      <c r="A679" t="s">
        <v>372</v>
      </c>
      <c r="B679" t="s">
        <v>373</v>
      </c>
      <c r="C679" t="s">
        <v>10439</v>
      </c>
      <c r="E679" s="11" t="s">
        <v>10440</v>
      </c>
      <c r="F679" s="11" t="s">
        <v>10441</v>
      </c>
      <c r="G679" t="s">
        <v>10502</v>
      </c>
      <c r="H679" t="s">
        <v>10503</v>
      </c>
    </row>
    <row r="680" spans="1:8">
      <c r="A680" t="s">
        <v>6032</v>
      </c>
      <c r="B680" t="s">
        <v>6033</v>
      </c>
      <c r="C680" t="s">
        <v>9193</v>
      </c>
      <c r="E680" s="11" t="s">
        <v>9194</v>
      </c>
      <c r="F680" s="11" t="s">
        <v>9195</v>
      </c>
      <c r="G680" t="s">
        <v>11419</v>
      </c>
      <c r="H680" t="s">
        <v>11420</v>
      </c>
    </row>
    <row r="681" spans="1:8">
      <c r="A681" t="s">
        <v>6032</v>
      </c>
      <c r="B681" t="s">
        <v>6033</v>
      </c>
      <c r="C681" t="s">
        <v>9193</v>
      </c>
      <c r="E681" s="11" t="s">
        <v>9194</v>
      </c>
      <c r="F681" s="11" t="s">
        <v>9196</v>
      </c>
      <c r="G681" t="s">
        <v>11421</v>
      </c>
      <c r="H681" t="s">
        <v>11422</v>
      </c>
    </row>
    <row r="682" spans="1:8">
      <c r="A682" t="s">
        <v>6032</v>
      </c>
      <c r="B682" t="s">
        <v>6033</v>
      </c>
      <c r="C682" t="s">
        <v>9193</v>
      </c>
      <c r="E682" s="11" t="s">
        <v>9194</v>
      </c>
      <c r="F682" s="11" t="s">
        <v>9197</v>
      </c>
      <c r="G682" t="s">
        <v>11423</v>
      </c>
      <c r="H682" t="s">
        <v>11424</v>
      </c>
    </row>
    <row r="683" spans="1:8">
      <c r="A683" t="s">
        <v>7265</v>
      </c>
      <c r="B683" t="s">
        <v>7266</v>
      </c>
      <c r="C683" t="s">
        <v>8730</v>
      </c>
      <c r="E683" s="11" t="s">
        <v>8731</v>
      </c>
      <c r="F683" s="11" t="s">
        <v>8732</v>
      </c>
      <c r="G683" t="s">
        <v>11716</v>
      </c>
      <c r="H683" t="s">
        <v>11717</v>
      </c>
    </row>
    <row r="684" spans="1:8">
      <c r="A684" t="s">
        <v>3987</v>
      </c>
      <c r="B684" t="s">
        <v>3988</v>
      </c>
      <c r="C684" t="s">
        <v>9737</v>
      </c>
      <c r="E684" s="11" t="s">
        <v>9738</v>
      </c>
      <c r="F684" s="11" t="s">
        <v>9739</v>
      </c>
      <c r="G684" t="s">
        <v>11095</v>
      </c>
      <c r="H684" t="s">
        <v>11096</v>
      </c>
    </row>
    <row r="685" spans="1:8">
      <c r="A685" t="s">
        <v>3837</v>
      </c>
      <c r="B685" t="s">
        <v>3838</v>
      </c>
      <c r="C685" t="s">
        <v>9776</v>
      </c>
      <c r="E685" s="11" t="s">
        <v>9777</v>
      </c>
      <c r="F685" s="11" t="s">
        <v>9778</v>
      </c>
      <c r="G685" t="s">
        <v>11066</v>
      </c>
      <c r="H685" t="s">
        <v>11067</v>
      </c>
    </row>
    <row r="686" spans="1:8">
      <c r="A686" t="s">
        <v>5450</v>
      </c>
      <c r="B686" t="s">
        <v>5451</v>
      </c>
      <c r="C686" t="s">
        <v>9400</v>
      </c>
      <c r="E686" s="11" t="s">
        <v>9402</v>
      </c>
      <c r="F686" s="11" t="s">
        <v>9403</v>
      </c>
      <c r="G686" t="s">
        <v>11292</v>
      </c>
      <c r="H686" t="s">
        <v>11293</v>
      </c>
    </row>
    <row r="687" spans="1:8">
      <c r="A687" t="s">
        <v>7886</v>
      </c>
      <c r="B687" t="s">
        <v>7887</v>
      </c>
      <c r="C687" t="s">
        <v>8582</v>
      </c>
      <c r="E687" s="11" t="s">
        <v>8583</v>
      </c>
      <c r="F687" s="11" t="s">
        <v>8584</v>
      </c>
      <c r="G687" t="s">
        <v>11767</v>
      </c>
      <c r="H687" t="s">
        <v>11768</v>
      </c>
    </row>
    <row r="688" spans="1:8">
      <c r="A688" t="s">
        <v>5734</v>
      </c>
      <c r="B688" t="s">
        <v>5735</v>
      </c>
      <c r="C688" t="s">
        <v>9311</v>
      </c>
      <c r="E688" s="11" t="s">
        <v>9312</v>
      </c>
      <c r="F688" s="11" t="s">
        <v>9313</v>
      </c>
      <c r="G688" t="s">
        <v>11358</v>
      </c>
      <c r="H688" t="s">
        <v>11359</v>
      </c>
    </row>
    <row r="689" spans="1:8">
      <c r="A689" t="s">
        <v>2860</v>
      </c>
      <c r="B689" t="s">
        <v>2861</v>
      </c>
      <c r="C689" t="s">
        <v>9985</v>
      </c>
      <c r="E689" s="11" t="s">
        <v>9986</v>
      </c>
      <c r="F689" s="11" t="s">
        <v>9987</v>
      </c>
      <c r="G689" t="s">
        <v>10916</v>
      </c>
      <c r="H689" t="s">
        <v>10917</v>
      </c>
    </row>
    <row r="690" spans="1:8">
      <c r="A690" t="s">
        <v>2860</v>
      </c>
      <c r="B690" t="s">
        <v>2861</v>
      </c>
      <c r="C690" t="s">
        <v>9985</v>
      </c>
      <c r="E690" s="11" t="s">
        <v>9986</v>
      </c>
      <c r="F690" s="11" t="s">
        <v>9988</v>
      </c>
      <c r="G690" t="s">
        <v>10918</v>
      </c>
      <c r="H690" t="s">
        <v>10919</v>
      </c>
    </row>
    <row r="691" spans="1:8">
      <c r="A691" t="s">
        <v>2860</v>
      </c>
      <c r="B691" t="s">
        <v>2861</v>
      </c>
      <c r="C691" t="s">
        <v>9985</v>
      </c>
      <c r="E691" s="11" t="s">
        <v>9986</v>
      </c>
      <c r="F691" s="11" t="s">
        <v>9989</v>
      </c>
      <c r="G691" t="s">
        <v>10920</v>
      </c>
      <c r="H691" t="s">
        <v>10921</v>
      </c>
    </row>
    <row r="692" spans="1:8">
      <c r="A692" t="s">
        <v>2639</v>
      </c>
      <c r="B692" t="s">
        <v>2640</v>
      </c>
      <c r="C692" t="s">
        <v>10018</v>
      </c>
      <c r="E692" s="11" t="s">
        <v>10019</v>
      </c>
      <c r="F692" s="11" t="s">
        <v>10020</v>
      </c>
      <c r="G692" t="s">
        <v>10878</v>
      </c>
      <c r="H692" t="s">
        <v>10879</v>
      </c>
    </row>
    <row r="693" spans="1:8">
      <c r="A693" t="s">
        <v>2639</v>
      </c>
      <c r="B693" t="s">
        <v>2640</v>
      </c>
      <c r="C693" t="s">
        <v>10018</v>
      </c>
      <c r="E693" s="11" t="s">
        <v>10019</v>
      </c>
      <c r="F693" s="11" t="s">
        <v>10021</v>
      </c>
      <c r="G693" t="s">
        <v>10880</v>
      </c>
      <c r="H693" t="s">
        <v>10881</v>
      </c>
    </row>
    <row r="694" spans="1:8">
      <c r="A694" t="s">
        <v>2639</v>
      </c>
      <c r="B694" t="s">
        <v>2640</v>
      </c>
      <c r="C694" t="s">
        <v>10018</v>
      </c>
      <c r="E694" s="11" t="s">
        <v>10019</v>
      </c>
      <c r="F694" s="11" t="s">
        <v>10022</v>
      </c>
      <c r="G694" t="s">
        <v>10882</v>
      </c>
      <c r="H694" t="s">
        <v>10883</v>
      </c>
    </row>
    <row r="695" spans="1:8">
      <c r="A695" t="s">
        <v>3366</v>
      </c>
      <c r="B695" t="s">
        <v>3367</v>
      </c>
      <c r="C695" t="s">
        <v>9897</v>
      </c>
      <c r="E695" s="11" t="s">
        <v>9898</v>
      </c>
      <c r="F695" s="11" t="s">
        <v>9899</v>
      </c>
      <c r="G695" t="s">
        <v>10990</v>
      </c>
      <c r="H695" t="s">
        <v>10991</v>
      </c>
    </row>
    <row r="696" spans="1:8">
      <c r="A696" t="s">
        <v>5756</v>
      </c>
      <c r="B696" t="s">
        <v>5757</v>
      </c>
      <c r="C696" t="s">
        <v>9301</v>
      </c>
      <c r="E696" s="11" t="s">
        <v>9302</v>
      </c>
      <c r="F696" s="11" t="s">
        <v>9303</v>
      </c>
      <c r="G696" t="s">
        <v>11360</v>
      </c>
      <c r="H696" t="s">
        <v>11361</v>
      </c>
    </row>
    <row r="697" spans="1:8">
      <c r="A697" t="s">
        <v>5756</v>
      </c>
      <c r="B697" t="s">
        <v>5757</v>
      </c>
      <c r="C697" t="s">
        <v>9301</v>
      </c>
      <c r="E697" s="11" t="s">
        <v>9302</v>
      </c>
      <c r="F697" s="11" t="s">
        <v>9304</v>
      </c>
      <c r="G697" t="s">
        <v>11362</v>
      </c>
      <c r="H697" t="s">
        <v>11363</v>
      </c>
    </row>
    <row r="698" spans="1:8">
      <c r="A698" t="s">
        <v>5756</v>
      </c>
      <c r="B698" t="s">
        <v>5757</v>
      </c>
      <c r="C698" t="s">
        <v>9301</v>
      </c>
      <c r="E698" s="11" t="s">
        <v>9302</v>
      </c>
      <c r="F698" s="11" t="s">
        <v>9305</v>
      </c>
      <c r="G698" t="s">
        <v>11364</v>
      </c>
      <c r="H698" t="s">
        <v>11365</v>
      </c>
    </row>
    <row r="699" spans="1:8">
      <c r="A699" t="s">
        <v>5756</v>
      </c>
      <c r="B699" t="s">
        <v>5757</v>
      </c>
      <c r="C699" t="s">
        <v>9301</v>
      </c>
      <c r="E699" s="11" t="s">
        <v>9302</v>
      </c>
      <c r="F699" s="11" t="s">
        <v>9306</v>
      </c>
      <c r="G699" t="s">
        <v>11366</v>
      </c>
      <c r="H699" t="s">
        <v>11367</v>
      </c>
    </row>
    <row r="700" spans="1:8">
      <c r="A700" t="s">
        <v>5756</v>
      </c>
      <c r="B700" t="s">
        <v>5757</v>
      </c>
      <c r="C700" t="s">
        <v>9301</v>
      </c>
      <c r="E700" s="11" t="s">
        <v>9302</v>
      </c>
      <c r="F700" s="11" t="s">
        <v>9307</v>
      </c>
      <c r="G700" t="s">
        <v>11368</v>
      </c>
      <c r="H700" t="s">
        <v>11369</v>
      </c>
    </row>
    <row r="701" spans="1:8">
      <c r="A701" t="s">
        <v>5756</v>
      </c>
      <c r="B701" t="s">
        <v>5757</v>
      </c>
      <c r="C701" t="s">
        <v>9301</v>
      </c>
      <c r="E701" s="11" t="s">
        <v>9302</v>
      </c>
      <c r="F701" s="11" t="s">
        <v>9308</v>
      </c>
      <c r="G701" t="s">
        <v>11370</v>
      </c>
      <c r="H701" t="s">
        <v>11371</v>
      </c>
    </row>
    <row r="702" spans="1:8">
      <c r="A702" t="s">
        <v>5756</v>
      </c>
      <c r="B702" t="s">
        <v>5757</v>
      </c>
      <c r="C702" t="s">
        <v>9301</v>
      </c>
      <c r="E702" s="11" t="s">
        <v>9302</v>
      </c>
      <c r="F702" s="11" t="s">
        <v>9309</v>
      </c>
      <c r="G702" t="s">
        <v>11372</v>
      </c>
      <c r="H702" t="s">
        <v>11373</v>
      </c>
    </row>
    <row r="703" spans="1:8">
      <c r="A703" t="s">
        <v>5756</v>
      </c>
      <c r="B703" t="s">
        <v>5757</v>
      </c>
      <c r="C703" t="s">
        <v>9301</v>
      </c>
      <c r="E703" s="11" t="s">
        <v>9302</v>
      </c>
      <c r="F703" s="11" t="s">
        <v>9310</v>
      </c>
      <c r="G703" t="s">
        <v>11374</v>
      </c>
      <c r="H703" t="s">
        <v>11375</v>
      </c>
    </row>
    <row r="704" spans="1:8">
      <c r="A704" t="s">
        <v>4127</v>
      </c>
      <c r="B704" t="s">
        <v>4128</v>
      </c>
      <c r="C704" t="s">
        <v>8491</v>
      </c>
      <c r="E704" s="11" t="s">
        <v>8493</v>
      </c>
      <c r="F704" s="11" t="s">
        <v>8494</v>
      </c>
      <c r="G704" t="s">
        <v>11107</v>
      </c>
      <c r="H704" t="s">
        <v>11108</v>
      </c>
    </row>
    <row r="705" spans="1:8">
      <c r="A705" t="s">
        <v>8354</v>
      </c>
      <c r="B705" t="s">
        <v>8355</v>
      </c>
      <c r="C705" t="s">
        <v>8491</v>
      </c>
      <c r="E705" s="11" t="s">
        <v>8493</v>
      </c>
      <c r="F705" s="11" t="s">
        <v>8494</v>
      </c>
      <c r="G705" t="s">
        <v>11107</v>
      </c>
      <c r="H705" t="s">
        <v>11108</v>
      </c>
    </row>
    <row r="706" spans="1:8">
      <c r="A706" t="s">
        <v>4131</v>
      </c>
      <c r="B706" t="s">
        <v>4132</v>
      </c>
      <c r="C706" t="s">
        <v>9720</v>
      </c>
      <c r="E706" s="11" t="s">
        <v>9721</v>
      </c>
      <c r="F706" s="11" t="s">
        <v>9722</v>
      </c>
      <c r="G706" t="s">
        <v>11111</v>
      </c>
      <c r="H706" t="s">
        <v>11112</v>
      </c>
    </row>
    <row r="707" spans="1:8">
      <c r="A707" t="s">
        <v>5321</v>
      </c>
      <c r="B707" t="s">
        <v>5322</v>
      </c>
      <c r="C707" t="s">
        <v>9439</v>
      </c>
      <c r="E707" s="11" t="s">
        <v>9440</v>
      </c>
      <c r="F707" s="11" t="s">
        <v>9441</v>
      </c>
      <c r="G707" t="s">
        <v>11264</v>
      </c>
      <c r="H707" t="s">
        <v>11265</v>
      </c>
    </row>
    <row r="708" spans="1:8">
      <c r="A708" t="s">
        <v>5321</v>
      </c>
      <c r="B708" t="s">
        <v>5322</v>
      </c>
      <c r="C708" t="s">
        <v>9439</v>
      </c>
      <c r="E708" s="11" t="s">
        <v>9440</v>
      </c>
      <c r="F708" s="11" t="s">
        <v>9442</v>
      </c>
      <c r="G708" t="s">
        <v>11264</v>
      </c>
      <c r="H708" t="s">
        <v>11266</v>
      </c>
    </row>
    <row r="709" spans="1:8">
      <c r="A709" t="s">
        <v>5321</v>
      </c>
      <c r="B709" t="s">
        <v>5322</v>
      </c>
      <c r="C709" t="s">
        <v>9439</v>
      </c>
      <c r="E709" s="11" t="s">
        <v>9440</v>
      </c>
      <c r="F709" s="11" t="s">
        <v>9443</v>
      </c>
      <c r="G709" t="s">
        <v>11267</v>
      </c>
      <c r="H709" t="s">
        <v>11268</v>
      </c>
    </row>
    <row r="710" spans="1:8">
      <c r="A710" t="s">
        <v>5248</v>
      </c>
      <c r="B710" t="s">
        <v>5249</v>
      </c>
      <c r="C710" t="s">
        <v>9465</v>
      </c>
      <c r="E710" s="11" t="s">
        <v>9466</v>
      </c>
      <c r="F710" s="11" t="s">
        <v>9467</v>
      </c>
      <c r="G710" t="s">
        <v>11256</v>
      </c>
      <c r="H710" t="s">
        <v>11257</v>
      </c>
    </row>
    <row r="711" spans="1:8">
      <c r="A711" t="s">
        <v>5248</v>
      </c>
      <c r="B711" t="s">
        <v>5249</v>
      </c>
      <c r="C711" t="s">
        <v>9465</v>
      </c>
      <c r="E711" s="11" t="s">
        <v>9466</v>
      </c>
      <c r="F711" s="11" t="s">
        <v>9468</v>
      </c>
      <c r="G711" t="s">
        <v>11258</v>
      </c>
      <c r="H711" t="s">
        <v>11259</v>
      </c>
    </row>
    <row r="712" spans="1:8">
      <c r="A712" t="s">
        <v>5248</v>
      </c>
      <c r="B712" t="s">
        <v>5249</v>
      </c>
      <c r="C712" t="s">
        <v>9465</v>
      </c>
      <c r="E712" s="11" t="s">
        <v>9466</v>
      </c>
      <c r="F712" s="11" t="s">
        <v>9469</v>
      </c>
      <c r="G712" t="s">
        <v>11260</v>
      </c>
      <c r="H712" t="s">
        <v>11261</v>
      </c>
    </row>
    <row r="713" spans="1:8">
      <c r="A713" t="s">
        <v>4597</v>
      </c>
      <c r="B713" t="s">
        <v>4598</v>
      </c>
      <c r="C713" t="s">
        <v>9536</v>
      </c>
      <c r="E713" s="11" t="s">
        <v>9537</v>
      </c>
      <c r="F713" s="11" t="s">
        <v>9538</v>
      </c>
      <c r="G713" t="s">
        <v>11217</v>
      </c>
      <c r="H713" t="s">
        <v>11218</v>
      </c>
    </row>
    <row r="714" spans="1:8">
      <c r="A714" t="s">
        <v>498</v>
      </c>
      <c r="B714" t="s">
        <v>499</v>
      </c>
      <c r="C714" t="s">
        <v>10426</v>
      </c>
      <c r="E714" s="11" t="s">
        <v>10427</v>
      </c>
      <c r="F714" s="11" t="s">
        <v>10428</v>
      </c>
      <c r="G714" t="s">
        <v>10512</v>
      </c>
      <c r="H714" t="s">
        <v>10513</v>
      </c>
    </row>
    <row r="715" spans="1:8">
      <c r="A715" t="s">
        <v>1030</v>
      </c>
      <c r="B715" t="s">
        <v>1031</v>
      </c>
      <c r="C715" t="s">
        <v>10334</v>
      </c>
      <c r="E715" s="11"/>
    </row>
    <row r="716" spans="1:8">
      <c r="A716" t="s">
        <v>162</v>
      </c>
      <c r="B716" t="s">
        <v>163</v>
      </c>
      <c r="C716" t="s">
        <v>8479</v>
      </c>
      <c r="E716" s="11"/>
    </row>
    <row r="717" spans="1:8">
      <c r="A717" t="s">
        <v>3511</v>
      </c>
      <c r="B717" t="s">
        <v>3512</v>
      </c>
      <c r="C717" t="s">
        <v>8639</v>
      </c>
      <c r="E717" s="11" t="s">
        <v>8640</v>
      </c>
      <c r="F717" s="11" t="s">
        <v>8641</v>
      </c>
      <c r="G717" t="s">
        <v>11015</v>
      </c>
      <c r="H717" t="s">
        <v>11016</v>
      </c>
    </row>
    <row r="718" spans="1:8">
      <c r="A718" t="s">
        <v>7548</v>
      </c>
      <c r="B718" t="s">
        <v>7549</v>
      </c>
      <c r="C718" t="s">
        <v>8639</v>
      </c>
      <c r="E718" s="11" t="s">
        <v>8640</v>
      </c>
      <c r="F718" s="11" t="s">
        <v>8641</v>
      </c>
      <c r="G718" t="s">
        <v>11015</v>
      </c>
      <c r="H718" t="s">
        <v>11016</v>
      </c>
    </row>
    <row r="719" spans="1:8">
      <c r="A719" t="s">
        <v>7548</v>
      </c>
      <c r="B719" t="s">
        <v>7549</v>
      </c>
      <c r="C719" t="s">
        <v>8639</v>
      </c>
      <c r="E719" s="11" t="s">
        <v>8640</v>
      </c>
      <c r="F719" s="11" t="s">
        <v>11916</v>
      </c>
      <c r="G719" t="s">
        <v>11917</v>
      </c>
      <c r="H719" t="s">
        <v>11918</v>
      </c>
    </row>
    <row r="720" spans="1:8">
      <c r="A720" t="s">
        <v>238</v>
      </c>
      <c r="B720" t="s">
        <v>239</v>
      </c>
      <c r="C720" t="s">
        <v>8559</v>
      </c>
      <c r="E720" s="11" t="s">
        <v>8560</v>
      </c>
    </row>
    <row r="721" spans="1:8">
      <c r="A721" t="s">
        <v>838</v>
      </c>
      <c r="B721" t="s">
        <v>839</v>
      </c>
      <c r="C721" t="s">
        <v>8559</v>
      </c>
      <c r="E721" s="11" t="s">
        <v>8560</v>
      </c>
    </row>
    <row r="722" spans="1:8">
      <c r="A722" t="s">
        <v>1189</v>
      </c>
      <c r="B722" t="s">
        <v>1190</v>
      </c>
      <c r="C722" t="s">
        <v>8559</v>
      </c>
      <c r="E722" s="11" t="s">
        <v>8560</v>
      </c>
    </row>
    <row r="723" spans="1:8">
      <c r="A723" t="s">
        <v>2536</v>
      </c>
      <c r="B723" t="s">
        <v>2537</v>
      </c>
      <c r="C723" t="s">
        <v>8559</v>
      </c>
      <c r="E723" s="11" t="s">
        <v>8560</v>
      </c>
    </row>
    <row r="724" spans="1:8">
      <c r="A724" t="s">
        <v>2740</v>
      </c>
      <c r="B724" t="s">
        <v>2741</v>
      </c>
      <c r="C724" t="s">
        <v>8559</v>
      </c>
      <c r="E724" s="11" t="s">
        <v>8560</v>
      </c>
    </row>
    <row r="725" spans="1:8">
      <c r="A725" t="s">
        <v>5539</v>
      </c>
      <c r="B725" t="s">
        <v>5540</v>
      </c>
      <c r="C725" t="s">
        <v>8559</v>
      </c>
      <c r="E725" s="11" t="s">
        <v>8560</v>
      </c>
    </row>
    <row r="726" spans="1:8">
      <c r="A726" t="s">
        <v>7180</v>
      </c>
      <c r="B726" t="s">
        <v>7181</v>
      </c>
      <c r="C726" t="s">
        <v>8559</v>
      </c>
      <c r="E726" s="11" t="s">
        <v>8560</v>
      </c>
    </row>
    <row r="727" spans="1:8">
      <c r="A727" t="s">
        <v>7319</v>
      </c>
      <c r="B727" t="s">
        <v>7320</v>
      </c>
      <c r="C727" t="s">
        <v>8559</v>
      </c>
      <c r="E727" s="11" t="s">
        <v>8560</v>
      </c>
    </row>
    <row r="728" spans="1:8">
      <c r="A728" t="s">
        <v>7577</v>
      </c>
      <c r="B728" t="s">
        <v>7578</v>
      </c>
      <c r="C728" t="s">
        <v>8559</v>
      </c>
      <c r="E728" s="11" t="s">
        <v>8560</v>
      </c>
    </row>
    <row r="729" spans="1:8">
      <c r="A729" t="s">
        <v>7988</v>
      </c>
      <c r="B729" t="s">
        <v>7989</v>
      </c>
      <c r="C729" t="s">
        <v>8559</v>
      </c>
      <c r="E729" s="11" t="s">
        <v>8560</v>
      </c>
    </row>
    <row r="730" spans="1:8">
      <c r="A730" t="s">
        <v>8067</v>
      </c>
      <c r="B730" t="s">
        <v>8068</v>
      </c>
      <c r="C730" t="s">
        <v>8559</v>
      </c>
      <c r="E730" s="11" t="s">
        <v>8560</v>
      </c>
    </row>
    <row r="731" spans="1:8">
      <c r="A731" t="s">
        <v>7551</v>
      </c>
      <c r="B731" t="s">
        <v>7552</v>
      </c>
      <c r="C731" t="s">
        <v>8636</v>
      </c>
      <c r="E731" s="11" t="s">
        <v>8637</v>
      </c>
      <c r="F731" s="11" t="s">
        <v>8638</v>
      </c>
      <c r="G731" t="s">
        <v>11745</v>
      </c>
      <c r="H731" t="s">
        <v>11746</v>
      </c>
    </row>
    <row r="732" spans="1:8">
      <c r="A732" t="s">
        <v>7551</v>
      </c>
      <c r="B732" t="s">
        <v>7552</v>
      </c>
      <c r="C732" t="s">
        <v>8636</v>
      </c>
      <c r="E732" s="11" t="s">
        <v>8637</v>
      </c>
      <c r="F732" s="11" t="s">
        <v>11913</v>
      </c>
      <c r="G732" t="s">
        <v>11914</v>
      </c>
      <c r="H732" t="s">
        <v>11915</v>
      </c>
    </row>
    <row r="733" spans="1:8">
      <c r="A733" t="s">
        <v>6499</v>
      </c>
      <c r="B733" t="s">
        <v>6500</v>
      </c>
      <c r="C733" t="s">
        <v>9060</v>
      </c>
      <c r="E733" s="11" t="s">
        <v>9061</v>
      </c>
      <c r="F733" s="11" t="s">
        <v>9062</v>
      </c>
      <c r="G733" t="s">
        <v>11527</v>
      </c>
      <c r="H733" t="s">
        <v>11528</v>
      </c>
    </row>
    <row r="734" spans="1:8">
      <c r="A734" t="s">
        <v>4474</v>
      </c>
      <c r="B734" t="s">
        <v>4475</v>
      </c>
      <c r="C734" t="s">
        <v>9619</v>
      </c>
      <c r="E734" s="11" t="s">
        <v>9620</v>
      </c>
      <c r="F734" s="11" t="s">
        <v>9621</v>
      </c>
      <c r="G734" t="s">
        <v>11172</v>
      </c>
      <c r="H734" t="s">
        <v>11173</v>
      </c>
    </row>
    <row r="735" spans="1:8">
      <c r="A735" t="s">
        <v>773</v>
      </c>
      <c r="B735" t="s">
        <v>774</v>
      </c>
      <c r="C735" t="s">
        <v>10382</v>
      </c>
      <c r="E735" s="11" t="s">
        <v>10383</v>
      </c>
      <c r="F735" s="11" t="s">
        <v>10384</v>
      </c>
      <c r="G735" t="s">
        <v>10549</v>
      </c>
      <c r="H735" t="s">
        <v>10550</v>
      </c>
    </row>
    <row r="736" spans="1:8">
      <c r="A736" t="s">
        <v>3939</v>
      </c>
      <c r="B736" t="s">
        <v>3940</v>
      </c>
      <c r="C736" t="s">
        <v>9756</v>
      </c>
      <c r="E736" s="11" t="s">
        <v>9757</v>
      </c>
      <c r="F736" s="11" t="s">
        <v>9758</v>
      </c>
      <c r="G736" t="s">
        <v>11086</v>
      </c>
      <c r="H736" t="s">
        <v>11087</v>
      </c>
    </row>
    <row r="737" spans="1:8">
      <c r="A737" t="s">
        <v>5316</v>
      </c>
      <c r="B737" t="s">
        <v>5317</v>
      </c>
      <c r="C737" t="s">
        <v>9444</v>
      </c>
      <c r="E737" s="11" t="s">
        <v>9445</v>
      </c>
      <c r="F737" s="11" t="s">
        <v>9446</v>
      </c>
      <c r="G737" t="s">
        <v>11262</v>
      </c>
      <c r="H737" t="s">
        <v>11263</v>
      </c>
    </row>
    <row r="738" spans="1:8">
      <c r="A738" t="s">
        <v>4952</v>
      </c>
      <c r="B738" t="s">
        <v>4953</v>
      </c>
      <c r="C738" t="s">
        <v>9495</v>
      </c>
      <c r="E738" s="11"/>
    </row>
    <row r="739" spans="1:8">
      <c r="A739" t="s">
        <v>2651</v>
      </c>
      <c r="B739" t="s">
        <v>2652</v>
      </c>
      <c r="C739" t="s">
        <v>8654</v>
      </c>
      <c r="E739" s="11" t="s">
        <v>8655</v>
      </c>
      <c r="F739" s="11" t="s">
        <v>8656</v>
      </c>
      <c r="G739" t="s">
        <v>10884</v>
      </c>
      <c r="H739" t="s">
        <v>10885</v>
      </c>
    </row>
    <row r="740" spans="1:8">
      <c r="A740" t="s">
        <v>7452</v>
      </c>
      <c r="B740" t="s">
        <v>7453</v>
      </c>
      <c r="C740" t="s">
        <v>8654</v>
      </c>
      <c r="E740" s="11" t="s">
        <v>8655</v>
      </c>
      <c r="F740" s="11" t="s">
        <v>8656</v>
      </c>
      <c r="G740" t="s">
        <v>10884</v>
      </c>
      <c r="H740" t="s">
        <v>10885</v>
      </c>
    </row>
    <row r="741" spans="1:8">
      <c r="A741" t="s">
        <v>3742</v>
      </c>
      <c r="B741" t="s">
        <v>3743</v>
      </c>
      <c r="C741" t="s">
        <v>9787</v>
      </c>
      <c r="E741" s="11" t="s">
        <v>9788</v>
      </c>
      <c r="F741" s="11" t="s">
        <v>9789</v>
      </c>
      <c r="G741" t="s">
        <v>11060</v>
      </c>
      <c r="H741" t="s">
        <v>11061</v>
      </c>
    </row>
    <row r="742" spans="1:8">
      <c r="A742" t="s">
        <v>5579</v>
      </c>
      <c r="B742" t="s">
        <v>5580</v>
      </c>
      <c r="C742" t="s">
        <v>9360</v>
      </c>
      <c r="E742" s="11" t="s">
        <v>9361</v>
      </c>
      <c r="F742" s="11" t="s">
        <v>9362</v>
      </c>
      <c r="G742" t="s">
        <v>11320</v>
      </c>
      <c r="H742" t="s">
        <v>11321</v>
      </c>
    </row>
    <row r="743" spans="1:8">
      <c r="A743" t="s">
        <v>4030</v>
      </c>
      <c r="B743" t="s">
        <v>4031</v>
      </c>
      <c r="C743" t="s">
        <v>9728</v>
      </c>
      <c r="E743" s="11" t="s">
        <v>9729</v>
      </c>
      <c r="F743" s="11" t="s">
        <v>9730</v>
      </c>
      <c r="G743" t="s">
        <v>11101</v>
      </c>
      <c r="H743" t="s">
        <v>11102</v>
      </c>
    </row>
    <row r="744" spans="1:8">
      <c r="A744" t="s">
        <v>4030</v>
      </c>
      <c r="B744" t="s">
        <v>4031</v>
      </c>
      <c r="C744" t="s">
        <v>9728</v>
      </c>
      <c r="E744" s="11" t="s">
        <v>9729</v>
      </c>
      <c r="F744" s="11" t="s">
        <v>9731</v>
      </c>
      <c r="G744" t="s">
        <v>11103</v>
      </c>
      <c r="H744" t="s">
        <v>11104</v>
      </c>
    </row>
    <row r="745" spans="1:8">
      <c r="A745" t="s">
        <v>1625</v>
      </c>
      <c r="B745" t="s">
        <v>1626</v>
      </c>
      <c r="C745" t="s">
        <v>10230</v>
      </c>
      <c r="E745" s="11" t="s">
        <v>10231</v>
      </c>
      <c r="F745" s="11" t="s">
        <v>10232</v>
      </c>
      <c r="G745" t="s">
        <v>10672</v>
      </c>
      <c r="H745" t="s">
        <v>10233</v>
      </c>
    </row>
    <row r="746" spans="1:8">
      <c r="A746" t="s">
        <v>1625</v>
      </c>
      <c r="B746" t="s">
        <v>1626</v>
      </c>
      <c r="C746" t="s">
        <v>10230</v>
      </c>
      <c r="E746" s="11" t="s">
        <v>10231</v>
      </c>
      <c r="F746" s="11" t="s">
        <v>10234</v>
      </c>
      <c r="G746" t="s">
        <v>10673</v>
      </c>
      <c r="H746" t="s">
        <v>10674</v>
      </c>
    </row>
    <row r="747" spans="1:8">
      <c r="A747" t="s">
        <v>1625</v>
      </c>
      <c r="B747" t="s">
        <v>1626</v>
      </c>
      <c r="C747" t="s">
        <v>10230</v>
      </c>
      <c r="E747" s="11" t="s">
        <v>10231</v>
      </c>
      <c r="F747" s="11" t="s">
        <v>10235</v>
      </c>
      <c r="G747" t="s">
        <v>10675</v>
      </c>
      <c r="H747" t="s">
        <v>10676</v>
      </c>
    </row>
    <row r="748" spans="1:8">
      <c r="A748" t="s">
        <v>6535</v>
      </c>
      <c r="B748" t="s">
        <v>6536</v>
      </c>
      <c r="C748" t="s">
        <v>9042</v>
      </c>
      <c r="E748" s="11" t="s">
        <v>9043</v>
      </c>
      <c r="F748" s="11" t="s">
        <v>9044</v>
      </c>
      <c r="G748" t="s">
        <v>11529</v>
      </c>
      <c r="H748" t="s">
        <v>11530</v>
      </c>
    </row>
    <row r="749" spans="1:8">
      <c r="A749" t="s">
        <v>6535</v>
      </c>
      <c r="B749" t="s">
        <v>6536</v>
      </c>
      <c r="C749" t="s">
        <v>9042</v>
      </c>
      <c r="E749" s="11" t="s">
        <v>9043</v>
      </c>
      <c r="F749" s="11" t="s">
        <v>9045</v>
      </c>
      <c r="G749" t="s">
        <v>11531</v>
      </c>
      <c r="H749" t="s">
        <v>11532</v>
      </c>
    </row>
    <row r="750" spans="1:8">
      <c r="A750" t="s">
        <v>6535</v>
      </c>
      <c r="B750" t="s">
        <v>6536</v>
      </c>
      <c r="C750" t="s">
        <v>9042</v>
      </c>
      <c r="E750" s="11" t="s">
        <v>9043</v>
      </c>
      <c r="F750" s="11" t="s">
        <v>9046</v>
      </c>
      <c r="G750" t="s">
        <v>11533</v>
      </c>
      <c r="H750" t="s">
        <v>11534</v>
      </c>
    </row>
    <row r="751" spans="1:8">
      <c r="A751" t="s">
        <v>6535</v>
      </c>
      <c r="B751" t="s">
        <v>6536</v>
      </c>
      <c r="C751" t="s">
        <v>9042</v>
      </c>
      <c r="E751" s="11" t="s">
        <v>9043</v>
      </c>
      <c r="F751" s="11" t="s">
        <v>9047</v>
      </c>
      <c r="G751" t="s">
        <v>11535</v>
      </c>
      <c r="H751" t="s">
        <v>11536</v>
      </c>
    </row>
    <row r="752" spans="1:8">
      <c r="A752" t="s">
        <v>6535</v>
      </c>
      <c r="B752" t="s">
        <v>6536</v>
      </c>
      <c r="C752" t="s">
        <v>9042</v>
      </c>
      <c r="E752" s="11" t="s">
        <v>9043</v>
      </c>
      <c r="F752" s="11" t="s">
        <v>9048</v>
      </c>
      <c r="G752" t="s">
        <v>11537</v>
      </c>
      <c r="H752" t="s">
        <v>11538</v>
      </c>
    </row>
    <row r="753" spans="1:8">
      <c r="A753" t="s">
        <v>6535</v>
      </c>
      <c r="B753" t="s">
        <v>6536</v>
      </c>
      <c r="C753" t="s">
        <v>9042</v>
      </c>
      <c r="E753" s="11" t="s">
        <v>9043</v>
      </c>
      <c r="F753" s="11" t="s">
        <v>9049</v>
      </c>
      <c r="G753" t="s">
        <v>11539</v>
      </c>
      <c r="H753" t="s">
        <v>11540</v>
      </c>
    </row>
    <row r="754" spans="1:8">
      <c r="A754" t="s">
        <v>6535</v>
      </c>
      <c r="B754" t="s">
        <v>6536</v>
      </c>
      <c r="C754" t="s">
        <v>9042</v>
      </c>
      <c r="E754" s="11" t="s">
        <v>9043</v>
      </c>
      <c r="F754" s="11" t="s">
        <v>9050</v>
      </c>
      <c r="G754" t="s">
        <v>11541</v>
      </c>
      <c r="H754" t="s">
        <v>11542</v>
      </c>
    </row>
    <row r="755" spans="1:8">
      <c r="A755" t="s">
        <v>6535</v>
      </c>
      <c r="B755" t="s">
        <v>6536</v>
      </c>
      <c r="C755" t="s">
        <v>9042</v>
      </c>
      <c r="E755" s="11" t="s">
        <v>9043</v>
      </c>
      <c r="F755" s="11" t="s">
        <v>9051</v>
      </c>
      <c r="G755" t="s">
        <v>11543</v>
      </c>
      <c r="H755" t="s">
        <v>11544</v>
      </c>
    </row>
    <row r="756" spans="1:8">
      <c r="A756" t="s">
        <v>6535</v>
      </c>
      <c r="B756" t="s">
        <v>6536</v>
      </c>
      <c r="C756" t="s">
        <v>9042</v>
      </c>
      <c r="E756" s="11" t="s">
        <v>9043</v>
      </c>
      <c r="F756" s="11" t="s">
        <v>9052</v>
      </c>
      <c r="G756" t="s">
        <v>11545</v>
      </c>
      <c r="H756" t="s">
        <v>11546</v>
      </c>
    </row>
    <row r="757" spans="1:8">
      <c r="A757" t="s">
        <v>6535</v>
      </c>
      <c r="B757" t="s">
        <v>6536</v>
      </c>
      <c r="C757" t="s">
        <v>9042</v>
      </c>
      <c r="E757" s="11" t="s">
        <v>9043</v>
      </c>
      <c r="F757" s="11" t="s">
        <v>9053</v>
      </c>
      <c r="G757" t="s">
        <v>11547</v>
      </c>
      <c r="H757" t="s">
        <v>11548</v>
      </c>
    </row>
    <row r="758" spans="1:8">
      <c r="A758" t="s">
        <v>6535</v>
      </c>
      <c r="B758" t="s">
        <v>6536</v>
      </c>
      <c r="C758" t="s">
        <v>9042</v>
      </c>
      <c r="E758" s="11" t="s">
        <v>9043</v>
      </c>
      <c r="F758" s="11" t="s">
        <v>9054</v>
      </c>
      <c r="G758" t="s">
        <v>11549</v>
      </c>
      <c r="H758" t="s">
        <v>11550</v>
      </c>
    </row>
    <row r="759" spans="1:8">
      <c r="A759" t="s">
        <v>6535</v>
      </c>
      <c r="B759" t="s">
        <v>6536</v>
      </c>
      <c r="C759" t="s">
        <v>9042</v>
      </c>
      <c r="E759" s="11" t="s">
        <v>9043</v>
      </c>
      <c r="F759" s="11" t="s">
        <v>9055</v>
      </c>
      <c r="G759" t="s">
        <v>11551</v>
      </c>
      <c r="H759" t="s">
        <v>11552</v>
      </c>
    </row>
    <row r="760" spans="1:8">
      <c r="A760" t="s">
        <v>6535</v>
      </c>
      <c r="B760" t="s">
        <v>6536</v>
      </c>
      <c r="C760" t="s">
        <v>9042</v>
      </c>
      <c r="E760" s="11" t="s">
        <v>9043</v>
      </c>
      <c r="F760" s="11" t="s">
        <v>9056</v>
      </c>
      <c r="G760" t="s">
        <v>11553</v>
      </c>
      <c r="H760" t="s">
        <v>11554</v>
      </c>
    </row>
    <row r="761" spans="1:8">
      <c r="A761" t="s">
        <v>6535</v>
      </c>
      <c r="B761" t="s">
        <v>6536</v>
      </c>
      <c r="C761" t="s">
        <v>9042</v>
      </c>
      <c r="E761" s="11" t="s">
        <v>9043</v>
      </c>
      <c r="F761" s="11" t="s">
        <v>9057</v>
      </c>
      <c r="G761" t="s">
        <v>11555</v>
      </c>
      <c r="H761" t="s">
        <v>11556</v>
      </c>
    </row>
    <row r="762" spans="1:8">
      <c r="A762" t="s">
        <v>6535</v>
      </c>
      <c r="B762" t="s">
        <v>6536</v>
      </c>
      <c r="C762" t="s">
        <v>9042</v>
      </c>
      <c r="E762" s="11" t="s">
        <v>9043</v>
      </c>
      <c r="F762" s="11" t="s">
        <v>9058</v>
      </c>
      <c r="G762" t="s">
        <v>11557</v>
      </c>
      <c r="H762" t="s">
        <v>11558</v>
      </c>
    </row>
    <row r="763" spans="1:8">
      <c r="A763" t="s">
        <v>6535</v>
      </c>
      <c r="B763" t="s">
        <v>6536</v>
      </c>
      <c r="C763" t="s">
        <v>9042</v>
      </c>
      <c r="E763" s="11" t="s">
        <v>9043</v>
      </c>
      <c r="F763" s="11" t="s">
        <v>9059</v>
      </c>
      <c r="G763" t="s">
        <v>11559</v>
      </c>
      <c r="H763" t="s">
        <v>11560</v>
      </c>
    </row>
    <row r="764" spans="1:8">
      <c r="A764" t="s">
        <v>4127</v>
      </c>
      <c r="B764" t="s">
        <v>4128</v>
      </c>
      <c r="C764" t="s">
        <v>8492</v>
      </c>
      <c r="E764" s="11" t="s">
        <v>8495</v>
      </c>
      <c r="F764" s="11" t="s">
        <v>8496</v>
      </c>
      <c r="G764" t="s">
        <v>11109</v>
      </c>
      <c r="H764" t="s">
        <v>11110</v>
      </c>
    </row>
    <row r="765" spans="1:8">
      <c r="A765" t="s">
        <v>8354</v>
      </c>
      <c r="B765" t="s">
        <v>8355</v>
      </c>
      <c r="C765" t="s">
        <v>8492</v>
      </c>
      <c r="E765" s="11" t="s">
        <v>8495</v>
      </c>
      <c r="F765" s="11" t="s">
        <v>8496</v>
      </c>
      <c r="G765" t="s">
        <v>11109</v>
      </c>
      <c r="H765" t="s">
        <v>11110</v>
      </c>
    </row>
    <row r="766" spans="1:8">
      <c r="A766" t="s">
        <v>4544</v>
      </c>
      <c r="B766" t="s">
        <v>4545</v>
      </c>
      <c r="C766" t="s">
        <v>9566</v>
      </c>
      <c r="E766" s="11" t="s">
        <v>9567</v>
      </c>
      <c r="F766" s="11" t="s">
        <v>9568</v>
      </c>
      <c r="G766" t="s">
        <v>11196</v>
      </c>
      <c r="H766" t="s">
        <v>11197</v>
      </c>
    </row>
    <row r="767" spans="1:8">
      <c r="A767" t="s">
        <v>4544</v>
      </c>
      <c r="B767" t="s">
        <v>4545</v>
      </c>
      <c r="C767" t="s">
        <v>9566</v>
      </c>
      <c r="E767" s="11" t="s">
        <v>9567</v>
      </c>
      <c r="F767" s="11" t="s">
        <v>9569</v>
      </c>
      <c r="G767" t="s">
        <v>11198</v>
      </c>
      <c r="H767" t="s">
        <v>11199</v>
      </c>
    </row>
    <row r="768" spans="1:8">
      <c r="A768" t="s">
        <v>4544</v>
      </c>
      <c r="B768" t="s">
        <v>4545</v>
      </c>
      <c r="C768" t="s">
        <v>9566</v>
      </c>
      <c r="E768" s="11" t="s">
        <v>9567</v>
      </c>
      <c r="F768" s="11" t="s">
        <v>9570</v>
      </c>
      <c r="G768" t="s">
        <v>11200</v>
      </c>
      <c r="H768" t="s">
        <v>11201</v>
      </c>
    </row>
    <row r="769" spans="1:8">
      <c r="A769" t="s">
        <v>2160</v>
      </c>
      <c r="B769" t="s">
        <v>2161</v>
      </c>
      <c r="C769" t="s">
        <v>10111</v>
      </c>
      <c r="E769" s="11" t="s">
        <v>10112</v>
      </c>
      <c r="F769" s="11" t="s">
        <v>10113</v>
      </c>
      <c r="G769" t="s">
        <v>10783</v>
      </c>
      <c r="H769" t="s">
        <v>10784</v>
      </c>
    </row>
    <row r="770" spans="1:8">
      <c r="A770" t="s">
        <v>2160</v>
      </c>
      <c r="B770" t="s">
        <v>2161</v>
      </c>
      <c r="C770" t="s">
        <v>10111</v>
      </c>
      <c r="E770" s="11" t="s">
        <v>10112</v>
      </c>
      <c r="F770" s="11" t="s">
        <v>10114</v>
      </c>
      <c r="G770" t="s">
        <v>10785</v>
      </c>
      <c r="H770" t="s">
        <v>10786</v>
      </c>
    </row>
    <row r="771" spans="1:8">
      <c r="A771" t="s">
        <v>2725</v>
      </c>
      <c r="B771" t="s">
        <v>2726</v>
      </c>
      <c r="C771" t="s">
        <v>10009</v>
      </c>
      <c r="E771" s="11" t="s">
        <v>10010</v>
      </c>
      <c r="F771" s="11" t="s">
        <v>10011</v>
      </c>
      <c r="G771" t="s">
        <v>10892</v>
      </c>
      <c r="H771" t="s">
        <v>10893</v>
      </c>
    </row>
    <row r="772" spans="1:8">
      <c r="A772" t="s">
        <v>7392</v>
      </c>
      <c r="B772" t="s">
        <v>7393</v>
      </c>
      <c r="C772" t="s">
        <v>8685</v>
      </c>
      <c r="E772" s="11" t="s">
        <v>8686</v>
      </c>
      <c r="F772" s="11" t="s">
        <v>8687</v>
      </c>
      <c r="G772" t="s">
        <v>11733</v>
      </c>
      <c r="H772" t="s">
        <v>11734</v>
      </c>
    </row>
    <row r="773" spans="1:8">
      <c r="A773" t="s">
        <v>3346</v>
      </c>
      <c r="B773" t="s">
        <v>3347</v>
      </c>
      <c r="C773" t="s">
        <v>9261</v>
      </c>
      <c r="E773" s="11" t="s">
        <v>9262</v>
      </c>
      <c r="F773" s="11" t="s">
        <v>9263</v>
      </c>
      <c r="G773" t="s">
        <v>10981</v>
      </c>
      <c r="H773" t="s">
        <v>10982</v>
      </c>
    </row>
    <row r="774" spans="1:8">
      <c r="A774" t="s">
        <v>4676</v>
      </c>
      <c r="B774" t="s">
        <v>4677</v>
      </c>
      <c r="C774" t="s">
        <v>9261</v>
      </c>
      <c r="E774" s="11" t="s">
        <v>9262</v>
      </c>
      <c r="F774" s="11" t="s">
        <v>9263</v>
      </c>
      <c r="G774" t="s">
        <v>10981</v>
      </c>
      <c r="H774" t="s">
        <v>10982</v>
      </c>
    </row>
    <row r="775" spans="1:8">
      <c r="A775" t="s">
        <v>5838</v>
      </c>
      <c r="B775" t="s">
        <v>5839</v>
      </c>
      <c r="C775" t="s">
        <v>9261</v>
      </c>
      <c r="E775" s="11" t="s">
        <v>9262</v>
      </c>
      <c r="F775" s="11" t="s">
        <v>9263</v>
      </c>
      <c r="G775" t="s">
        <v>10981</v>
      </c>
      <c r="H775" t="s">
        <v>10982</v>
      </c>
    </row>
    <row r="776" spans="1:8">
      <c r="A776" t="s">
        <v>5513</v>
      </c>
      <c r="B776" t="s">
        <v>5514</v>
      </c>
      <c r="C776" t="s">
        <v>9387</v>
      </c>
      <c r="E776" s="11" t="s">
        <v>9388</v>
      </c>
    </row>
    <row r="777" spans="1:8">
      <c r="A777" t="s">
        <v>2131</v>
      </c>
      <c r="B777" t="s">
        <v>2132</v>
      </c>
      <c r="C777" t="s">
        <v>10123</v>
      </c>
      <c r="E777" s="11" t="s">
        <v>10124</v>
      </c>
      <c r="F777" s="11" t="s">
        <v>10125</v>
      </c>
      <c r="G777" t="s">
        <v>10779</v>
      </c>
      <c r="H777" t="s">
        <v>10780</v>
      </c>
    </row>
    <row r="778" spans="1:8">
      <c r="A778" t="s">
        <v>6487</v>
      </c>
      <c r="B778" t="s">
        <v>6488</v>
      </c>
      <c r="C778" t="s">
        <v>9066</v>
      </c>
      <c r="E778" s="11" t="s">
        <v>9067</v>
      </c>
      <c r="F778" s="11" t="s">
        <v>9068</v>
      </c>
      <c r="G778" t="s">
        <v>11521</v>
      </c>
      <c r="H778" t="s">
        <v>11522</v>
      </c>
    </row>
    <row r="779" spans="1:8">
      <c r="A779" t="s">
        <v>6487</v>
      </c>
      <c r="B779" t="s">
        <v>6488</v>
      </c>
      <c r="C779" t="s">
        <v>9066</v>
      </c>
      <c r="E779" s="11" t="s">
        <v>9067</v>
      </c>
      <c r="F779" s="11" t="s">
        <v>9069</v>
      </c>
      <c r="G779" t="s">
        <v>11523</v>
      </c>
      <c r="H779" t="s">
        <v>11524</v>
      </c>
    </row>
    <row r="780" spans="1:8">
      <c r="A780" t="s">
        <v>5450</v>
      </c>
      <c r="B780" t="s">
        <v>5451</v>
      </c>
      <c r="C780" t="s">
        <v>9401</v>
      </c>
      <c r="E780" s="11" t="s">
        <v>9404</v>
      </c>
      <c r="F780" s="11" t="s">
        <v>9405</v>
      </c>
      <c r="G780" t="s">
        <v>11294</v>
      </c>
      <c r="H780" t="s">
        <v>11295</v>
      </c>
    </row>
    <row r="781" spans="1:8">
      <c r="A781" t="s">
        <v>2729</v>
      </c>
      <c r="B781" t="s">
        <v>2730</v>
      </c>
      <c r="C781" t="s">
        <v>10006</v>
      </c>
      <c r="E781" s="11" t="s">
        <v>10007</v>
      </c>
      <c r="F781" s="11" t="s">
        <v>10008</v>
      </c>
      <c r="G781" t="s">
        <v>10894</v>
      </c>
      <c r="H781" t="s">
        <v>10895</v>
      </c>
    </row>
    <row r="782" spans="1:8">
      <c r="A782" t="s">
        <v>996</v>
      </c>
      <c r="B782" t="s">
        <v>997</v>
      </c>
      <c r="C782" t="s">
        <v>10339</v>
      </c>
      <c r="E782" s="11" t="s">
        <v>10340</v>
      </c>
      <c r="F782" s="11" t="s">
        <v>10341</v>
      </c>
      <c r="G782" t="s">
        <v>10596</v>
      </c>
      <c r="H782" t="s">
        <v>10597</v>
      </c>
    </row>
    <row r="783" spans="1:8">
      <c r="A783" t="s">
        <v>3194</v>
      </c>
      <c r="B783" t="s">
        <v>3195</v>
      </c>
      <c r="C783" t="s">
        <v>9923</v>
      </c>
      <c r="E783" s="11" t="s">
        <v>9924</v>
      </c>
      <c r="F783" s="11" t="s">
        <v>9925</v>
      </c>
      <c r="G783" t="s">
        <v>10970</v>
      </c>
      <c r="H783" t="s">
        <v>10971</v>
      </c>
    </row>
    <row r="784" spans="1:8">
      <c r="A784" t="s">
        <v>3762</v>
      </c>
      <c r="B784" t="s">
        <v>3763</v>
      </c>
      <c r="C784" t="s">
        <v>9779</v>
      </c>
      <c r="E784" s="11" t="s">
        <v>9780</v>
      </c>
      <c r="F784" s="11" t="s">
        <v>9781</v>
      </c>
      <c r="G784" t="s">
        <v>11064</v>
      </c>
      <c r="H784" t="s">
        <v>11065</v>
      </c>
    </row>
    <row r="785" spans="1:8">
      <c r="A785" t="s">
        <v>7700</v>
      </c>
      <c r="B785" t="s">
        <v>7701</v>
      </c>
      <c r="C785" t="s">
        <v>8611</v>
      </c>
      <c r="E785" s="11" t="s">
        <v>8612</v>
      </c>
      <c r="F785" s="11" t="s">
        <v>8613</v>
      </c>
      <c r="G785" t="s">
        <v>11756</v>
      </c>
      <c r="H785" t="s">
        <v>11757</v>
      </c>
    </row>
    <row r="786" spans="1:8">
      <c r="A786" t="s">
        <v>7700</v>
      </c>
      <c r="B786" t="s">
        <v>7701</v>
      </c>
      <c r="C786" t="s">
        <v>8611</v>
      </c>
      <c r="E786" s="11" t="s">
        <v>8612</v>
      </c>
      <c r="F786" s="11" t="s">
        <v>11843</v>
      </c>
      <c r="G786" t="s">
        <v>11844</v>
      </c>
      <c r="H786" t="s">
        <v>11845</v>
      </c>
    </row>
    <row r="787" spans="1:8">
      <c r="A787" t="s">
        <v>5571</v>
      </c>
      <c r="B787" t="s">
        <v>5572</v>
      </c>
      <c r="C787" t="s">
        <v>9363</v>
      </c>
      <c r="E787" s="11" t="s">
        <v>9364</v>
      </c>
      <c r="F787" s="11" t="s">
        <v>9365</v>
      </c>
      <c r="G787" t="s">
        <v>11318</v>
      </c>
      <c r="H787" t="s">
        <v>11319</v>
      </c>
    </row>
    <row r="788" spans="1:8">
      <c r="A788" t="s">
        <v>6147</v>
      </c>
      <c r="B788" t="s">
        <v>6148</v>
      </c>
      <c r="C788" t="s">
        <v>9130</v>
      </c>
      <c r="E788" s="11" t="s">
        <v>9132</v>
      </c>
      <c r="F788" s="11" t="s">
        <v>9133</v>
      </c>
      <c r="G788" t="s">
        <v>11487</v>
      </c>
      <c r="H788" t="s">
        <v>11488</v>
      </c>
    </row>
    <row r="789" spans="1:8">
      <c r="A789" t="s">
        <v>6876</v>
      </c>
      <c r="B789" t="s">
        <v>6877</v>
      </c>
      <c r="C789" t="s">
        <v>8863</v>
      </c>
      <c r="E789" s="11" t="s">
        <v>8864</v>
      </c>
      <c r="F789" s="11" t="s">
        <v>8865</v>
      </c>
      <c r="G789" t="s">
        <v>11641</v>
      </c>
      <c r="H789" t="s">
        <v>11642</v>
      </c>
    </row>
    <row r="790" spans="1:8">
      <c r="A790" t="s">
        <v>5679</v>
      </c>
      <c r="B790" t="s">
        <v>5680</v>
      </c>
      <c r="C790" t="s">
        <v>9334</v>
      </c>
      <c r="E790" s="11" t="s">
        <v>9335</v>
      </c>
      <c r="F790" s="11" t="s">
        <v>9336</v>
      </c>
      <c r="G790" t="s">
        <v>11344</v>
      </c>
      <c r="H790" t="s">
        <v>11345</v>
      </c>
    </row>
    <row r="791" spans="1:8">
      <c r="A791" t="s">
        <v>1434</v>
      </c>
      <c r="B791" t="s">
        <v>1435</v>
      </c>
      <c r="C791" t="s">
        <v>9571</v>
      </c>
      <c r="E791" s="11" t="s">
        <v>9572</v>
      </c>
      <c r="F791" s="11" t="s">
        <v>9573</v>
      </c>
      <c r="G791" t="s">
        <v>10665</v>
      </c>
      <c r="H791" t="s">
        <v>10666</v>
      </c>
    </row>
    <row r="792" spans="1:8">
      <c r="A792" t="s">
        <v>1434</v>
      </c>
      <c r="B792" t="s">
        <v>1435</v>
      </c>
      <c r="C792" t="s">
        <v>9571</v>
      </c>
      <c r="E792" s="11" t="s">
        <v>9572</v>
      </c>
      <c r="F792" s="11" t="s">
        <v>9574</v>
      </c>
      <c r="G792" t="s">
        <v>10667</v>
      </c>
      <c r="H792" t="s">
        <v>10666</v>
      </c>
    </row>
    <row r="793" spans="1:8">
      <c r="A793" t="s">
        <v>1434</v>
      </c>
      <c r="B793" t="s">
        <v>1435</v>
      </c>
      <c r="C793" t="s">
        <v>9571</v>
      </c>
      <c r="E793" s="11" t="s">
        <v>9572</v>
      </c>
      <c r="F793" s="11" t="s">
        <v>9575</v>
      </c>
      <c r="G793" t="s">
        <v>10668</v>
      </c>
      <c r="H793" t="s">
        <v>10666</v>
      </c>
    </row>
    <row r="794" spans="1:8">
      <c r="A794" t="s">
        <v>1434</v>
      </c>
      <c r="B794" t="s">
        <v>1435</v>
      </c>
      <c r="C794" t="s">
        <v>9571</v>
      </c>
      <c r="E794" s="11" t="s">
        <v>9572</v>
      </c>
      <c r="F794" s="11" t="s">
        <v>9576</v>
      </c>
      <c r="G794" t="s">
        <v>10669</v>
      </c>
      <c r="H794" t="s">
        <v>10666</v>
      </c>
    </row>
    <row r="795" spans="1:8">
      <c r="A795" t="s">
        <v>1434</v>
      </c>
      <c r="B795" t="s">
        <v>1435</v>
      </c>
      <c r="C795" t="s">
        <v>9571</v>
      </c>
      <c r="E795" s="11" t="s">
        <v>9572</v>
      </c>
      <c r="F795" s="11" t="s">
        <v>9577</v>
      </c>
      <c r="G795" t="s">
        <v>10670</v>
      </c>
      <c r="H795" t="s">
        <v>10666</v>
      </c>
    </row>
    <row r="796" spans="1:8">
      <c r="A796" t="s">
        <v>1434</v>
      </c>
      <c r="B796" t="s">
        <v>1435</v>
      </c>
      <c r="C796" t="s">
        <v>9571</v>
      </c>
      <c r="E796" s="11" t="s">
        <v>9572</v>
      </c>
      <c r="F796" s="11" t="s">
        <v>9578</v>
      </c>
      <c r="G796" t="s">
        <v>9579</v>
      </c>
      <c r="H796" t="s">
        <v>10671</v>
      </c>
    </row>
    <row r="797" spans="1:8">
      <c r="A797" t="s">
        <v>1437</v>
      </c>
      <c r="B797" t="s">
        <v>1438</v>
      </c>
      <c r="C797" t="s">
        <v>9571</v>
      </c>
      <c r="E797" s="11" t="s">
        <v>9572</v>
      </c>
      <c r="F797" s="11" t="s">
        <v>9573</v>
      </c>
      <c r="G797" t="s">
        <v>10665</v>
      </c>
      <c r="H797" t="s">
        <v>10666</v>
      </c>
    </row>
    <row r="798" spans="1:8">
      <c r="A798" t="s">
        <v>1437</v>
      </c>
      <c r="B798" t="s">
        <v>1438</v>
      </c>
      <c r="C798" t="s">
        <v>9571</v>
      </c>
      <c r="E798" s="11" t="s">
        <v>9572</v>
      </c>
      <c r="F798" s="11" t="s">
        <v>9574</v>
      </c>
      <c r="G798" t="s">
        <v>10667</v>
      </c>
      <c r="H798" t="s">
        <v>10666</v>
      </c>
    </row>
    <row r="799" spans="1:8">
      <c r="A799" t="s">
        <v>1437</v>
      </c>
      <c r="B799" t="s">
        <v>1438</v>
      </c>
      <c r="C799" t="s">
        <v>9571</v>
      </c>
      <c r="E799" s="11" t="s">
        <v>9572</v>
      </c>
      <c r="F799" s="11" t="s">
        <v>9575</v>
      </c>
      <c r="G799" t="s">
        <v>10668</v>
      </c>
      <c r="H799" t="s">
        <v>10666</v>
      </c>
    </row>
    <row r="800" spans="1:8">
      <c r="A800" t="s">
        <v>1437</v>
      </c>
      <c r="B800" t="s">
        <v>1438</v>
      </c>
      <c r="C800" t="s">
        <v>9571</v>
      </c>
      <c r="E800" s="11" t="s">
        <v>9572</v>
      </c>
      <c r="F800" s="11" t="s">
        <v>9576</v>
      </c>
      <c r="G800" t="s">
        <v>10669</v>
      </c>
      <c r="H800" t="s">
        <v>10666</v>
      </c>
    </row>
    <row r="801" spans="1:8">
      <c r="A801" t="s">
        <v>1437</v>
      </c>
      <c r="B801" t="s">
        <v>1438</v>
      </c>
      <c r="C801" t="s">
        <v>9571</v>
      </c>
      <c r="E801" s="11" t="s">
        <v>9572</v>
      </c>
      <c r="F801" s="11" t="s">
        <v>9577</v>
      </c>
      <c r="G801" t="s">
        <v>10670</v>
      </c>
      <c r="H801" t="s">
        <v>10666</v>
      </c>
    </row>
    <row r="802" spans="1:8">
      <c r="A802" t="s">
        <v>1437</v>
      </c>
      <c r="B802" t="s">
        <v>1438</v>
      </c>
      <c r="C802" t="s">
        <v>9571</v>
      </c>
      <c r="E802" s="11" t="s">
        <v>9572</v>
      </c>
      <c r="F802" s="11" t="s">
        <v>9578</v>
      </c>
      <c r="G802" t="s">
        <v>9579</v>
      </c>
      <c r="H802" t="s">
        <v>10671</v>
      </c>
    </row>
    <row r="803" spans="1:8">
      <c r="A803" t="s">
        <v>1651</v>
      </c>
      <c r="B803" t="s">
        <v>1652</v>
      </c>
      <c r="C803" t="s">
        <v>9571</v>
      </c>
      <c r="E803" s="11" t="s">
        <v>9572</v>
      </c>
      <c r="F803" s="11" t="s">
        <v>9573</v>
      </c>
      <c r="G803" t="s">
        <v>10665</v>
      </c>
      <c r="H803" t="s">
        <v>10666</v>
      </c>
    </row>
    <row r="804" spans="1:8">
      <c r="A804" t="s">
        <v>1651</v>
      </c>
      <c r="B804" t="s">
        <v>1652</v>
      </c>
      <c r="C804" t="s">
        <v>9571</v>
      </c>
      <c r="E804" s="11" t="s">
        <v>9572</v>
      </c>
      <c r="F804" s="11" t="s">
        <v>9574</v>
      </c>
      <c r="G804" t="s">
        <v>10667</v>
      </c>
      <c r="H804" t="s">
        <v>10666</v>
      </c>
    </row>
    <row r="805" spans="1:8">
      <c r="A805" t="s">
        <v>1651</v>
      </c>
      <c r="B805" t="s">
        <v>1652</v>
      </c>
      <c r="C805" t="s">
        <v>9571</v>
      </c>
      <c r="E805" s="11" t="s">
        <v>9572</v>
      </c>
      <c r="F805" s="11" t="s">
        <v>9575</v>
      </c>
      <c r="G805" t="s">
        <v>10668</v>
      </c>
      <c r="H805" t="s">
        <v>10666</v>
      </c>
    </row>
    <row r="806" spans="1:8">
      <c r="A806" t="s">
        <v>1651</v>
      </c>
      <c r="B806" t="s">
        <v>1652</v>
      </c>
      <c r="C806" t="s">
        <v>9571</v>
      </c>
      <c r="E806" s="11" t="s">
        <v>9572</v>
      </c>
      <c r="F806" s="11" t="s">
        <v>9576</v>
      </c>
      <c r="G806" t="s">
        <v>10669</v>
      </c>
      <c r="H806" t="s">
        <v>10666</v>
      </c>
    </row>
    <row r="807" spans="1:8">
      <c r="A807" t="s">
        <v>1651</v>
      </c>
      <c r="B807" t="s">
        <v>1652</v>
      </c>
      <c r="C807" t="s">
        <v>9571</v>
      </c>
      <c r="E807" s="11" t="s">
        <v>9572</v>
      </c>
      <c r="F807" s="11" t="s">
        <v>9577</v>
      </c>
      <c r="G807" t="s">
        <v>10670</v>
      </c>
      <c r="H807" t="s">
        <v>10666</v>
      </c>
    </row>
    <row r="808" spans="1:8">
      <c r="A808" t="s">
        <v>1651</v>
      </c>
      <c r="B808" t="s">
        <v>1652</v>
      </c>
      <c r="C808" t="s">
        <v>9571</v>
      </c>
      <c r="E808" s="11" t="s">
        <v>9572</v>
      </c>
      <c r="F808" s="11" t="s">
        <v>9578</v>
      </c>
      <c r="G808" t="s">
        <v>9579</v>
      </c>
      <c r="H808" t="s">
        <v>10671</v>
      </c>
    </row>
    <row r="809" spans="1:8">
      <c r="A809" t="s">
        <v>4540</v>
      </c>
      <c r="B809" t="s">
        <v>4541</v>
      </c>
      <c r="C809" t="s">
        <v>9571</v>
      </c>
      <c r="E809" s="11" t="s">
        <v>9572</v>
      </c>
      <c r="F809" s="11" t="s">
        <v>9573</v>
      </c>
      <c r="G809" t="s">
        <v>10665</v>
      </c>
      <c r="H809" t="s">
        <v>10666</v>
      </c>
    </row>
    <row r="810" spans="1:8">
      <c r="A810" t="s">
        <v>4540</v>
      </c>
      <c r="B810" t="s">
        <v>4541</v>
      </c>
      <c r="C810" t="s">
        <v>9571</v>
      </c>
      <c r="E810" s="11" t="s">
        <v>9572</v>
      </c>
      <c r="F810" s="11" t="s">
        <v>9574</v>
      </c>
      <c r="G810" t="s">
        <v>10667</v>
      </c>
      <c r="H810" t="s">
        <v>10666</v>
      </c>
    </row>
    <row r="811" spans="1:8">
      <c r="A811" t="s">
        <v>4540</v>
      </c>
      <c r="B811" t="s">
        <v>4541</v>
      </c>
      <c r="C811" t="s">
        <v>9571</v>
      </c>
      <c r="E811" s="11" t="s">
        <v>9572</v>
      </c>
      <c r="F811" s="11" t="s">
        <v>9575</v>
      </c>
      <c r="G811" t="s">
        <v>10668</v>
      </c>
      <c r="H811" t="s">
        <v>10666</v>
      </c>
    </row>
    <row r="812" spans="1:8">
      <c r="A812" t="s">
        <v>4540</v>
      </c>
      <c r="B812" t="s">
        <v>4541</v>
      </c>
      <c r="C812" t="s">
        <v>9571</v>
      </c>
      <c r="E812" s="11" t="s">
        <v>9572</v>
      </c>
      <c r="F812" s="11" t="s">
        <v>9576</v>
      </c>
      <c r="G812" t="s">
        <v>10669</v>
      </c>
      <c r="H812" t="s">
        <v>10666</v>
      </c>
    </row>
    <row r="813" spans="1:8">
      <c r="A813" t="s">
        <v>4540</v>
      </c>
      <c r="B813" t="s">
        <v>4541</v>
      </c>
      <c r="C813" t="s">
        <v>9571</v>
      </c>
      <c r="E813" s="11" t="s">
        <v>9572</v>
      </c>
      <c r="F813" s="11" t="s">
        <v>9577</v>
      </c>
      <c r="G813" t="s">
        <v>10670</v>
      </c>
      <c r="H813" t="s">
        <v>10666</v>
      </c>
    </row>
    <row r="814" spans="1:8">
      <c r="A814" t="s">
        <v>4540</v>
      </c>
      <c r="B814" t="s">
        <v>4541</v>
      </c>
      <c r="C814" t="s">
        <v>9571</v>
      </c>
      <c r="E814" s="11" t="s">
        <v>9572</v>
      </c>
      <c r="F814" s="11" t="s">
        <v>9578</v>
      </c>
      <c r="G814" t="s">
        <v>9579</v>
      </c>
      <c r="H814" t="s">
        <v>10671</v>
      </c>
    </row>
    <row r="815" spans="1:8">
      <c r="A815" t="s">
        <v>7312</v>
      </c>
      <c r="B815" t="s">
        <v>7313</v>
      </c>
      <c r="C815" t="s">
        <v>8707</v>
      </c>
      <c r="E815" s="11" t="s">
        <v>8708</v>
      </c>
      <c r="F815" s="11" t="s">
        <v>8709</v>
      </c>
      <c r="G815" t="s">
        <v>11722</v>
      </c>
      <c r="H815" t="s">
        <v>11723</v>
      </c>
    </row>
    <row r="816" spans="1:8">
      <c r="A816" t="s">
        <v>6073</v>
      </c>
      <c r="B816" t="s">
        <v>6074</v>
      </c>
      <c r="C816" t="s">
        <v>9173</v>
      </c>
      <c r="E816" s="11" t="s">
        <v>9177</v>
      </c>
      <c r="F816" s="11" t="s">
        <v>9178</v>
      </c>
      <c r="G816" t="s">
        <v>11445</v>
      </c>
      <c r="H816" t="s">
        <v>11446</v>
      </c>
    </row>
    <row r="817" spans="1:8">
      <c r="A817" t="s">
        <v>22</v>
      </c>
      <c r="B817" t="s">
        <v>23</v>
      </c>
      <c r="C817" t="s">
        <v>8474</v>
      </c>
      <c r="E817" s="11" t="s">
        <v>9234</v>
      </c>
      <c r="F817" s="11" t="s">
        <v>9235</v>
      </c>
      <c r="G817" t="s">
        <v>10470</v>
      </c>
      <c r="H817" t="s">
        <v>10471</v>
      </c>
    </row>
    <row r="818" spans="1:8">
      <c r="A818" t="s">
        <v>22</v>
      </c>
      <c r="B818" t="s">
        <v>23</v>
      </c>
      <c r="C818" t="s">
        <v>8474</v>
      </c>
      <c r="E818" s="11" t="s">
        <v>9234</v>
      </c>
      <c r="F818" s="11" t="s">
        <v>9236</v>
      </c>
      <c r="G818" t="s">
        <v>10472</v>
      </c>
      <c r="H818" t="s">
        <v>10471</v>
      </c>
    </row>
    <row r="819" spans="1:8">
      <c r="A819" t="s">
        <v>22</v>
      </c>
      <c r="B819" t="s">
        <v>23</v>
      </c>
      <c r="C819" t="s">
        <v>8474</v>
      </c>
      <c r="E819" s="11" t="s">
        <v>9234</v>
      </c>
      <c r="F819" s="11" t="s">
        <v>9237</v>
      </c>
      <c r="G819" t="s">
        <v>10473</v>
      </c>
      <c r="H819" t="s">
        <v>10471</v>
      </c>
    </row>
    <row r="820" spans="1:8">
      <c r="A820" t="s">
        <v>22</v>
      </c>
      <c r="B820" t="s">
        <v>23</v>
      </c>
      <c r="C820" t="s">
        <v>8474</v>
      </c>
      <c r="E820" s="11" t="s">
        <v>9234</v>
      </c>
      <c r="F820" s="11" t="s">
        <v>9238</v>
      </c>
      <c r="G820" t="s">
        <v>10474</v>
      </c>
      <c r="H820" t="s">
        <v>10471</v>
      </c>
    </row>
    <row r="821" spans="1:8">
      <c r="A821" t="s">
        <v>22</v>
      </c>
      <c r="B821" t="s">
        <v>23</v>
      </c>
      <c r="C821" t="s">
        <v>8474</v>
      </c>
      <c r="E821" s="11" t="s">
        <v>9234</v>
      </c>
      <c r="F821" s="11" t="s">
        <v>9239</v>
      </c>
      <c r="G821" t="s">
        <v>10475</v>
      </c>
      <c r="H821" t="s">
        <v>10471</v>
      </c>
    </row>
    <row r="822" spans="1:8">
      <c r="A822" t="s">
        <v>22</v>
      </c>
      <c r="B822" t="s">
        <v>23</v>
      </c>
      <c r="C822" t="s">
        <v>8474</v>
      </c>
      <c r="E822" s="11" t="s">
        <v>9234</v>
      </c>
      <c r="F822" s="11" t="s">
        <v>9240</v>
      </c>
      <c r="G822" t="s">
        <v>9241</v>
      </c>
      <c r="H822" t="s">
        <v>9242</v>
      </c>
    </row>
    <row r="823" spans="1:8">
      <c r="A823" t="s">
        <v>748</v>
      </c>
      <c r="B823" t="s">
        <v>749</v>
      </c>
      <c r="C823" t="s">
        <v>8474</v>
      </c>
      <c r="E823" s="11" t="s">
        <v>9234</v>
      </c>
      <c r="F823" s="11" t="s">
        <v>9235</v>
      </c>
      <c r="G823" t="s">
        <v>10470</v>
      </c>
      <c r="H823" t="s">
        <v>10471</v>
      </c>
    </row>
    <row r="824" spans="1:8">
      <c r="A824" t="s">
        <v>748</v>
      </c>
      <c r="B824" t="s">
        <v>749</v>
      </c>
      <c r="C824" t="s">
        <v>8474</v>
      </c>
      <c r="E824" s="11" t="s">
        <v>9234</v>
      </c>
      <c r="F824" s="11" t="s">
        <v>9236</v>
      </c>
      <c r="G824" t="s">
        <v>10472</v>
      </c>
      <c r="H824" t="s">
        <v>10471</v>
      </c>
    </row>
    <row r="825" spans="1:8">
      <c r="A825" t="s">
        <v>748</v>
      </c>
      <c r="B825" t="s">
        <v>749</v>
      </c>
      <c r="C825" t="s">
        <v>8474</v>
      </c>
      <c r="E825" s="11" t="s">
        <v>9234</v>
      </c>
      <c r="F825" s="11" t="s">
        <v>9237</v>
      </c>
      <c r="G825" t="s">
        <v>10473</v>
      </c>
      <c r="H825" t="s">
        <v>10471</v>
      </c>
    </row>
    <row r="826" spans="1:8">
      <c r="A826" t="s">
        <v>748</v>
      </c>
      <c r="B826" t="s">
        <v>749</v>
      </c>
      <c r="C826" t="s">
        <v>8474</v>
      </c>
      <c r="E826" s="11" t="s">
        <v>9234</v>
      </c>
      <c r="F826" s="11" t="s">
        <v>9238</v>
      </c>
      <c r="G826" t="s">
        <v>10474</v>
      </c>
      <c r="H826" t="s">
        <v>10471</v>
      </c>
    </row>
    <row r="827" spans="1:8">
      <c r="A827" t="s">
        <v>748</v>
      </c>
      <c r="B827" t="s">
        <v>749</v>
      </c>
      <c r="C827" t="s">
        <v>8474</v>
      </c>
      <c r="E827" s="11" t="s">
        <v>9234</v>
      </c>
      <c r="F827" s="11" t="s">
        <v>9239</v>
      </c>
      <c r="G827" t="s">
        <v>10475</v>
      </c>
      <c r="H827" t="s">
        <v>10471</v>
      </c>
    </row>
    <row r="828" spans="1:8">
      <c r="A828" t="s">
        <v>748</v>
      </c>
      <c r="B828" t="s">
        <v>749</v>
      </c>
      <c r="C828" t="s">
        <v>8474</v>
      </c>
      <c r="E828" s="11" t="s">
        <v>9234</v>
      </c>
      <c r="F828" s="11" t="s">
        <v>9240</v>
      </c>
      <c r="G828" t="s">
        <v>9241</v>
      </c>
      <c r="H828" t="s">
        <v>9242</v>
      </c>
    </row>
    <row r="829" spans="1:8">
      <c r="A829" t="s">
        <v>946</v>
      </c>
      <c r="B829" t="s">
        <v>947</v>
      </c>
      <c r="C829" t="s">
        <v>8474</v>
      </c>
      <c r="E829" s="11" t="s">
        <v>9234</v>
      </c>
      <c r="F829" s="11" t="s">
        <v>9235</v>
      </c>
      <c r="G829" t="s">
        <v>10470</v>
      </c>
      <c r="H829" t="s">
        <v>10471</v>
      </c>
    </row>
    <row r="830" spans="1:8">
      <c r="A830" t="s">
        <v>946</v>
      </c>
      <c r="B830" t="s">
        <v>947</v>
      </c>
      <c r="C830" t="s">
        <v>8474</v>
      </c>
      <c r="E830" s="11" t="s">
        <v>9234</v>
      </c>
      <c r="F830" s="11" t="s">
        <v>9236</v>
      </c>
      <c r="G830" t="s">
        <v>10472</v>
      </c>
      <c r="H830" t="s">
        <v>10471</v>
      </c>
    </row>
    <row r="831" spans="1:8">
      <c r="A831" t="s">
        <v>946</v>
      </c>
      <c r="B831" t="s">
        <v>947</v>
      </c>
      <c r="C831" t="s">
        <v>8474</v>
      </c>
      <c r="E831" s="11" t="s">
        <v>9234</v>
      </c>
      <c r="F831" s="11" t="s">
        <v>9237</v>
      </c>
      <c r="G831" t="s">
        <v>10473</v>
      </c>
      <c r="H831" t="s">
        <v>10471</v>
      </c>
    </row>
    <row r="832" spans="1:8">
      <c r="A832" t="s">
        <v>946</v>
      </c>
      <c r="B832" t="s">
        <v>947</v>
      </c>
      <c r="C832" t="s">
        <v>8474</v>
      </c>
      <c r="E832" s="11" t="s">
        <v>9234</v>
      </c>
      <c r="F832" s="11" t="s">
        <v>9238</v>
      </c>
      <c r="G832" t="s">
        <v>10474</v>
      </c>
      <c r="H832" t="s">
        <v>10471</v>
      </c>
    </row>
    <row r="833" spans="1:8">
      <c r="A833" t="s">
        <v>946</v>
      </c>
      <c r="B833" t="s">
        <v>947</v>
      </c>
      <c r="C833" t="s">
        <v>8474</v>
      </c>
      <c r="E833" s="11" t="s">
        <v>9234</v>
      </c>
      <c r="F833" s="11" t="s">
        <v>9239</v>
      </c>
      <c r="G833" t="s">
        <v>10475</v>
      </c>
      <c r="H833" t="s">
        <v>10471</v>
      </c>
    </row>
    <row r="834" spans="1:8">
      <c r="A834" t="s">
        <v>946</v>
      </c>
      <c r="B834" t="s">
        <v>947</v>
      </c>
      <c r="C834" t="s">
        <v>8474</v>
      </c>
      <c r="E834" s="11" t="s">
        <v>9234</v>
      </c>
      <c r="F834" s="11" t="s">
        <v>9240</v>
      </c>
      <c r="G834" t="s">
        <v>9241</v>
      </c>
      <c r="H834" t="s">
        <v>9242</v>
      </c>
    </row>
    <row r="835" spans="1:8">
      <c r="A835" t="s">
        <v>1810</v>
      </c>
      <c r="B835" t="s">
        <v>1811</v>
      </c>
      <c r="C835" t="s">
        <v>8474</v>
      </c>
      <c r="E835" s="11" t="s">
        <v>9234</v>
      </c>
      <c r="F835" s="11" t="s">
        <v>9235</v>
      </c>
      <c r="G835" t="s">
        <v>10470</v>
      </c>
      <c r="H835" t="s">
        <v>10471</v>
      </c>
    </row>
    <row r="836" spans="1:8">
      <c r="A836" t="s">
        <v>1810</v>
      </c>
      <c r="B836" t="s">
        <v>1811</v>
      </c>
      <c r="C836" t="s">
        <v>8474</v>
      </c>
      <c r="E836" s="11" t="s">
        <v>9234</v>
      </c>
      <c r="F836" s="11" t="s">
        <v>9236</v>
      </c>
      <c r="G836" t="s">
        <v>10472</v>
      </c>
      <c r="H836" t="s">
        <v>10471</v>
      </c>
    </row>
    <row r="837" spans="1:8">
      <c r="A837" t="s">
        <v>1810</v>
      </c>
      <c r="B837" t="s">
        <v>1811</v>
      </c>
      <c r="C837" t="s">
        <v>8474</v>
      </c>
      <c r="E837" s="11" t="s">
        <v>9234</v>
      </c>
      <c r="F837" s="11" t="s">
        <v>9237</v>
      </c>
      <c r="G837" t="s">
        <v>10473</v>
      </c>
      <c r="H837" t="s">
        <v>10471</v>
      </c>
    </row>
    <row r="838" spans="1:8">
      <c r="A838" t="s">
        <v>1810</v>
      </c>
      <c r="B838" t="s">
        <v>1811</v>
      </c>
      <c r="C838" t="s">
        <v>8474</v>
      </c>
      <c r="E838" s="11" t="s">
        <v>9234</v>
      </c>
      <c r="F838" s="11" t="s">
        <v>9238</v>
      </c>
      <c r="G838" t="s">
        <v>10474</v>
      </c>
      <c r="H838" t="s">
        <v>10471</v>
      </c>
    </row>
    <row r="839" spans="1:8">
      <c r="A839" t="s">
        <v>1810</v>
      </c>
      <c r="B839" t="s">
        <v>1811</v>
      </c>
      <c r="C839" t="s">
        <v>8474</v>
      </c>
      <c r="E839" s="11" t="s">
        <v>9234</v>
      </c>
      <c r="F839" s="11" t="s">
        <v>9239</v>
      </c>
      <c r="G839" t="s">
        <v>10475</v>
      </c>
      <c r="H839" t="s">
        <v>10471</v>
      </c>
    </row>
    <row r="840" spans="1:8">
      <c r="A840" t="s">
        <v>1810</v>
      </c>
      <c r="B840" t="s">
        <v>1811</v>
      </c>
      <c r="C840" t="s">
        <v>8474</v>
      </c>
      <c r="E840" s="11" t="s">
        <v>9234</v>
      </c>
      <c r="F840" s="11" t="s">
        <v>9240</v>
      </c>
      <c r="G840" t="s">
        <v>9241</v>
      </c>
      <c r="H840" t="s">
        <v>9242</v>
      </c>
    </row>
    <row r="841" spans="1:8">
      <c r="A841" t="s">
        <v>1866</v>
      </c>
      <c r="B841" t="s">
        <v>1867</v>
      </c>
      <c r="C841" t="s">
        <v>8474</v>
      </c>
      <c r="E841" s="11" t="s">
        <v>9234</v>
      </c>
      <c r="F841" s="11" t="s">
        <v>9235</v>
      </c>
      <c r="G841" t="s">
        <v>10470</v>
      </c>
      <c r="H841" t="s">
        <v>10471</v>
      </c>
    </row>
    <row r="842" spans="1:8">
      <c r="A842" t="s">
        <v>1866</v>
      </c>
      <c r="B842" t="s">
        <v>1867</v>
      </c>
      <c r="C842" t="s">
        <v>8474</v>
      </c>
      <c r="E842" s="11" t="s">
        <v>9234</v>
      </c>
      <c r="F842" s="11" t="s">
        <v>9236</v>
      </c>
      <c r="G842" t="s">
        <v>10472</v>
      </c>
      <c r="H842" t="s">
        <v>10471</v>
      </c>
    </row>
    <row r="843" spans="1:8">
      <c r="A843" t="s">
        <v>1866</v>
      </c>
      <c r="B843" t="s">
        <v>1867</v>
      </c>
      <c r="C843" t="s">
        <v>8474</v>
      </c>
      <c r="E843" s="11" t="s">
        <v>9234</v>
      </c>
      <c r="F843" s="11" t="s">
        <v>9237</v>
      </c>
      <c r="G843" t="s">
        <v>10473</v>
      </c>
      <c r="H843" t="s">
        <v>10471</v>
      </c>
    </row>
    <row r="844" spans="1:8">
      <c r="A844" t="s">
        <v>1866</v>
      </c>
      <c r="B844" t="s">
        <v>1867</v>
      </c>
      <c r="C844" t="s">
        <v>8474</v>
      </c>
      <c r="E844" s="11" t="s">
        <v>9234</v>
      </c>
      <c r="F844" s="11" t="s">
        <v>9238</v>
      </c>
      <c r="G844" t="s">
        <v>10474</v>
      </c>
      <c r="H844" t="s">
        <v>10471</v>
      </c>
    </row>
    <row r="845" spans="1:8">
      <c r="A845" t="s">
        <v>1866</v>
      </c>
      <c r="B845" t="s">
        <v>1867</v>
      </c>
      <c r="C845" t="s">
        <v>8474</v>
      </c>
      <c r="E845" s="11" t="s">
        <v>9234</v>
      </c>
      <c r="F845" s="11" t="s">
        <v>9239</v>
      </c>
      <c r="G845" t="s">
        <v>10475</v>
      </c>
      <c r="H845" t="s">
        <v>10471</v>
      </c>
    </row>
    <row r="846" spans="1:8">
      <c r="A846" t="s">
        <v>1866</v>
      </c>
      <c r="B846" t="s">
        <v>1867</v>
      </c>
      <c r="C846" t="s">
        <v>8474</v>
      </c>
      <c r="E846" s="11" t="s">
        <v>9234</v>
      </c>
      <c r="F846" s="11" t="s">
        <v>9240</v>
      </c>
      <c r="G846" t="s">
        <v>9241</v>
      </c>
      <c r="H846" t="s">
        <v>9242</v>
      </c>
    </row>
    <row r="847" spans="1:8">
      <c r="A847" t="s">
        <v>3818</v>
      </c>
      <c r="B847" t="s">
        <v>3819</v>
      </c>
      <c r="C847" t="s">
        <v>8474</v>
      </c>
      <c r="E847" s="11" t="s">
        <v>9234</v>
      </c>
      <c r="F847" s="11" t="s">
        <v>9235</v>
      </c>
      <c r="G847" t="s">
        <v>10470</v>
      </c>
      <c r="H847" t="s">
        <v>10471</v>
      </c>
    </row>
    <row r="848" spans="1:8">
      <c r="A848" t="s">
        <v>3818</v>
      </c>
      <c r="B848" t="s">
        <v>3819</v>
      </c>
      <c r="C848" t="s">
        <v>8474</v>
      </c>
      <c r="E848" s="11" t="s">
        <v>9234</v>
      </c>
      <c r="F848" s="11" t="s">
        <v>9236</v>
      </c>
      <c r="G848" t="s">
        <v>10472</v>
      </c>
      <c r="H848" t="s">
        <v>10471</v>
      </c>
    </row>
    <row r="849" spans="1:8">
      <c r="A849" t="s">
        <v>3818</v>
      </c>
      <c r="B849" t="s">
        <v>3819</v>
      </c>
      <c r="C849" t="s">
        <v>8474</v>
      </c>
      <c r="E849" s="11" t="s">
        <v>9234</v>
      </c>
      <c r="F849" s="11" t="s">
        <v>9237</v>
      </c>
      <c r="G849" t="s">
        <v>10473</v>
      </c>
      <c r="H849" t="s">
        <v>10471</v>
      </c>
    </row>
    <row r="850" spans="1:8">
      <c r="A850" t="s">
        <v>3818</v>
      </c>
      <c r="B850" t="s">
        <v>3819</v>
      </c>
      <c r="C850" t="s">
        <v>8474</v>
      </c>
      <c r="E850" s="11" t="s">
        <v>9234</v>
      </c>
      <c r="F850" s="11" t="s">
        <v>9238</v>
      </c>
      <c r="G850" t="s">
        <v>10474</v>
      </c>
      <c r="H850" t="s">
        <v>10471</v>
      </c>
    </row>
    <row r="851" spans="1:8">
      <c r="A851" t="s">
        <v>3818</v>
      </c>
      <c r="B851" t="s">
        <v>3819</v>
      </c>
      <c r="C851" t="s">
        <v>8474</v>
      </c>
      <c r="E851" s="11" t="s">
        <v>9234</v>
      </c>
      <c r="F851" s="11" t="s">
        <v>9239</v>
      </c>
      <c r="G851" t="s">
        <v>10475</v>
      </c>
      <c r="H851" t="s">
        <v>10471</v>
      </c>
    </row>
    <row r="852" spans="1:8">
      <c r="A852" t="s">
        <v>3818</v>
      </c>
      <c r="B852" t="s">
        <v>3819</v>
      </c>
      <c r="C852" t="s">
        <v>8474</v>
      </c>
      <c r="E852" s="11" t="s">
        <v>9234</v>
      </c>
      <c r="F852" s="11" t="s">
        <v>9240</v>
      </c>
      <c r="G852" t="s">
        <v>9241</v>
      </c>
      <c r="H852" t="s">
        <v>9242</v>
      </c>
    </row>
    <row r="853" spans="1:8">
      <c r="A853" t="s">
        <v>5870</v>
      </c>
      <c r="B853" t="s">
        <v>5871</v>
      </c>
      <c r="C853" t="s">
        <v>8474</v>
      </c>
      <c r="E853" s="11" t="s">
        <v>9234</v>
      </c>
      <c r="F853" s="11" t="s">
        <v>9235</v>
      </c>
      <c r="G853" t="s">
        <v>10470</v>
      </c>
      <c r="H853" t="s">
        <v>10471</v>
      </c>
    </row>
    <row r="854" spans="1:8">
      <c r="A854" t="s">
        <v>5870</v>
      </c>
      <c r="B854" t="s">
        <v>5871</v>
      </c>
      <c r="C854" t="s">
        <v>8474</v>
      </c>
      <c r="E854" s="11" t="s">
        <v>9234</v>
      </c>
      <c r="F854" s="11" t="s">
        <v>9236</v>
      </c>
      <c r="G854" t="s">
        <v>10472</v>
      </c>
      <c r="H854" t="s">
        <v>10471</v>
      </c>
    </row>
    <row r="855" spans="1:8">
      <c r="A855" t="s">
        <v>5870</v>
      </c>
      <c r="B855" t="s">
        <v>5871</v>
      </c>
      <c r="C855" t="s">
        <v>8474</v>
      </c>
      <c r="E855" s="11" t="s">
        <v>9234</v>
      </c>
      <c r="F855" s="11" t="s">
        <v>9237</v>
      </c>
      <c r="G855" t="s">
        <v>10473</v>
      </c>
      <c r="H855" t="s">
        <v>10471</v>
      </c>
    </row>
    <row r="856" spans="1:8">
      <c r="A856" t="s">
        <v>5870</v>
      </c>
      <c r="B856" t="s">
        <v>5871</v>
      </c>
      <c r="C856" t="s">
        <v>8474</v>
      </c>
      <c r="E856" s="11" t="s">
        <v>9234</v>
      </c>
      <c r="F856" s="11" t="s">
        <v>9238</v>
      </c>
      <c r="G856" t="s">
        <v>10474</v>
      </c>
      <c r="H856" t="s">
        <v>10471</v>
      </c>
    </row>
    <row r="857" spans="1:8">
      <c r="A857" t="s">
        <v>5870</v>
      </c>
      <c r="B857" t="s">
        <v>5871</v>
      </c>
      <c r="C857" t="s">
        <v>8474</v>
      </c>
      <c r="E857" s="11" t="s">
        <v>9234</v>
      </c>
      <c r="F857" s="11" t="s">
        <v>9239</v>
      </c>
      <c r="G857" t="s">
        <v>10475</v>
      </c>
      <c r="H857" t="s">
        <v>10471</v>
      </c>
    </row>
    <row r="858" spans="1:8">
      <c r="A858" t="s">
        <v>5870</v>
      </c>
      <c r="B858" t="s">
        <v>5871</v>
      </c>
      <c r="C858" t="s">
        <v>8474</v>
      </c>
      <c r="E858" s="11" t="s">
        <v>9234</v>
      </c>
      <c r="F858" s="11" t="s">
        <v>9240</v>
      </c>
      <c r="G858" t="s">
        <v>9241</v>
      </c>
      <c r="H858" t="s">
        <v>9242</v>
      </c>
    </row>
    <row r="859" spans="1:8">
      <c r="A859" t="s">
        <v>5907</v>
      </c>
      <c r="B859" t="s">
        <v>5908</v>
      </c>
      <c r="C859" t="s">
        <v>8474</v>
      </c>
      <c r="E859" s="11" t="s">
        <v>9234</v>
      </c>
      <c r="F859" s="11" t="s">
        <v>9235</v>
      </c>
      <c r="G859" t="s">
        <v>10470</v>
      </c>
      <c r="H859" t="s">
        <v>10471</v>
      </c>
    </row>
    <row r="860" spans="1:8">
      <c r="A860" t="s">
        <v>5907</v>
      </c>
      <c r="B860" t="s">
        <v>5908</v>
      </c>
      <c r="C860" t="s">
        <v>8474</v>
      </c>
      <c r="E860" s="11" t="s">
        <v>9234</v>
      </c>
      <c r="F860" s="11" t="s">
        <v>9236</v>
      </c>
      <c r="G860" t="s">
        <v>10472</v>
      </c>
      <c r="H860" t="s">
        <v>10471</v>
      </c>
    </row>
    <row r="861" spans="1:8">
      <c r="A861" t="s">
        <v>5907</v>
      </c>
      <c r="B861" t="s">
        <v>5908</v>
      </c>
      <c r="C861" t="s">
        <v>8474</v>
      </c>
      <c r="E861" s="11" t="s">
        <v>9234</v>
      </c>
      <c r="F861" s="11" t="s">
        <v>9237</v>
      </c>
      <c r="G861" t="s">
        <v>10473</v>
      </c>
      <c r="H861" t="s">
        <v>10471</v>
      </c>
    </row>
    <row r="862" spans="1:8">
      <c r="A862" t="s">
        <v>5907</v>
      </c>
      <c r="B862" t="s">
        <v>5908</v>
      </c>
      <c r="C862" t="s">
        <v>8474</v>
      </c>
      <c r="E862" s="11" t="s">
        <v>9234</v>
      </c>
      <c r="F862" s="11" t="s">
        <v>9238</v>
      </c>
      <c r="G862" t="s">
        <v>10474</v>
      </c>
      <c r="H862" t="s">
        <v>10471</v>
      </c>
    </row>
    <row r="863" spans="1:8">
      <c r="A863" t="s">
        <v>5907</v>
      </c>
      <c r="B863" t="s">
        <v>5908</v>
      </c>
      <c r="C863" t="s">
        <v>8474</v>
      </c>
      <c r="E863" s="11" t="s">
        <v>9234</v>
      </c>
      <c r="F863" s="11" t="s">
        <v>9239</v>
      </c>
      <c r="G863" t="s">
        <v>10475</v>
      </c>
      <c r="H863" t="s">
        <v>10471</v>
      </c>
    </row>
    <row r="864" spans="1:8">
      <c r="A864" t="s">
        <v>5907</v>
      </c>
      <c r="B864" t="s">
        <v>5908</v>
      </c>
      <c r="C864" t="s">
        <v>8474</v>
      </c>
      <c r="E864" s="11" t="s">
        <v>9234</v>
      </c>
      <c r="F864" s="11" t="s">
        <v>9240</v>
      </c>
      <c r="G864" t="s">
        <v>9241</v>
      </c>
      <c r="H864" t="s">
        <v>9242</v>
      </c>
    </row>
    <row r="865" spans="1:8">
      <c r="A865" t="s">
        <v>8370</v>
      </c>
      <c r="B865" t="s">
        <v>8371</v>
      </c>
      <c r="C865" t="s">
        <v>8488</v>
      </c>
      <c r="E865" s="11" t="s">
        <v>8489</v>
      </c>
      <c r="F865" s="11" t="s">
        <v>8490</v>
      </c>
      <c r="G865" t="s">
        <v>11795</v>
      </c>
      <c r="H865" t="s">
        <v>11796</v>
      </c>
    </row>
    <row r="866" spans="1:8">
      <c r="A866" t="s">
        <v>8370</v>
      </c>
      <c r="B866" t="s">
        <v>8371</v>
      </c>
      <c r="C866" t="s">
        <v>8488</v>
      </c>
      <c r="E866" s="11" t="s">
        <v>8489</v>
      </c>
      <c r="F866" s="11" t="s">
        <v>11809</v>
      </c>
      <c r="G866" t="s">
        <v>11810</v>
      </c>
      <c r="H866" t="s">
        <v>11811</v>
      </c>
    </row>
    <row r="867" spans="1:8">
      <c r="A867" t="s">
        <v>8370</v>
      </c>
      <c r="B867" t="s">
        <v>8371</v>
      </c>
      <c r="C867" t="s">
        <v>8488</v>
      </c>
      <c r="E867" s="11" t="s">
        <v>8489</v>
      </c>
      <c r="F867" s="11" t="s">
        <v>11812</v>
      </c>
      <c r="G867" t="s">
        <v>11813</v>
      </c>
      <c r="H867" t="s">
        <v>11814</v>
      </c>
    </row>
    <row r="868" spans="1:8">
      <c r="A868" t="s">
        <v>8370</v>
      </c>
      <c r="B868" t="s">
        <v>8371</v>
      </c>
      <c r="C868" t="s">
        <v>8488</v>
      </c>
      <c r="E868" s="11" t="s">
        <v>8489</v>
      </c>
      <c r="F868" s="11" t="s">
        <v>11815</v>
      </c>
      <c r="G868" t="s">
        <v>11816</v>
      </c>
      <c r="H868" t="s">
        <v>11796</v>
      </c>
    </row>
    <row r="869" spans="1:8">
      <c r="A869" t="s">
        <v>3401</v>
      </c>
      <c r="B869" t="s">
        <v>3402</v>
      </c>
      <c r="C869" t="s">
        <v>9890</v>
      </c>
      <c r="E869" s="11" t="s">
        <v>9891</v>
      </c>
      <c r="F869" s="11" t="s">
        <v>9892</v>
      </c>
      <c r="G869" t="s">
        <v>11004</v>
      </c>
      <c r="H869" t="s">
        <v>11005</v>
      </c>
    </row>
    <row r="870" spans="1:8">
      <c r="A870" t="s">
        <v>5441</v>
      </c>
      <c r="B870" t="s">
        <v>5442</v>
      </c>
      <c r="C870" t="s">
        <v>9406</v>
      </c>
      <c r="E870" s="11" t="s">
        <v>9407</v>
      </c>
      <c r="F870" s="11" t="s">
        <v>9408</v>
      </c>
      <c r="G870" t="s">
        <v>11286</v>
      </c>
      <c r="H870" t="s">
        <v>11287</v>
      </c>
    </row>
    <row r="871" spans="1:8">
      <c r="A871" t="s">
        <v>5441</v>
      </c>
      <c r="B871" t="s">
        <v>5442</v>
      </c>
      <c r="C871" t="s">
        <v>9406</v>
      </c>
      <c r="E871" s="11" t="s">
        <v>9407</v>
      </c>
      <c r="F871" s="11" t="s">
        <v>9409</v>
      </c>
      <c r="G871" t="s">
        <v>11286</v>
      </c>
      <c r="H871" t="s">
        <v>11288</v>
      </c>
    </row>
    <row r="872" spans="1:8">
      <c r="A872" t="s">
        <v>5441</v>
      </c>
      <c r="B872" t="s">
        <v>5442</v>
      </c>
      <c r="C872" t="s">
        <v>9406</v>
      </c>
      <c r="E872" s="11" t="s">
        <v>9407</v>
      </c>
      <c r="F872" s="11" t="s">
        <v>9410</v>
      </c>
      <c r="G872" t="s">
        <v>11286</v>
      </c>
      <c r="H872" t="s">
        <v>11289</v>
      </c>
    </row>
    <row r="873" spans="1:8">
      <c r="A873" t="s">
        <v>5441</v>
      </c>
      <c r="B873" t="s">
        <v>5442</v>
      </c>
      <c r="C873" t="s">
        <v>9406</v>
      </c>
      <c r="E873" s="11" t="s">
        <v>9407</v>
      </c>
      <c r="F873" s="11" t="s">
        <v>9411</v>
      </c>
      <c r="G873" t="s">
        <v>11286</v>
      </c>
      <c r="H873" t="s">
        <v>11290</v>
      </c>
    </row>
    <row r="874" spans="1:8">
      <c r="A874" t="s">
        <v>5441</v>
      </c>
      <c r="B874" t="s">
        <v>5442</v>
      </c>
      <c r="C874" t="s">
        <v>9406</v>
      </c>
      <c r="E874" s="11" t="s">
        <v>9407</v>
      </c>
      <c r="F874" s="11" t="s">
        <v>9412</v>
      </c>
      <c r="G874" t="s">
        <v>11286</v>
      </c>
      <c r="H874" t="s">
        <v>11291</v>
      </c>
    </row>
    <row r="875" spans="1:8">
      <c r="A875" t="s">
        <v>7329</v>
      </c>
      <c r="B875" t="s">
        <v>7330</v>
      </c>
      <c r="C875" t="s">
        <v>8703</v>
      </c>
      <c r="E875" s="11" t="s">
        <v>8704</v>
      </c>
      <c r="F875" s="11" t="s">
        <v>8705</v>
      </c>
      <c r="G875" t="s">
        <v>8706</v>
      </c>
      <c r="H875" t="s">
        <v>11724</v>
      </c>
    </row>
    <row r="876" spans="1:8">
      <c r="A876" t="s">
        <v>3425</v>
      </c>
      <c r="B876" t="s">
        <v>3426</v>
      </c>
      <c r="C876" t="s">
        <v>9880</v>
      </c>
      <c r="E876" s="11" t="s">
        <v>9881</v>
      </c>
      <c r="F876" s="11" t="s">
        <v>9882</v>
      </c>
      <c r="G876" t="s">
        <v>11010</v>
      </c>
      <c r="H876" t="s">
        <v>11011</v>
      </c>
    </row>
    <row r="877" spans="1:8">
      <c r="A877" t="s">
        <v>6147</v>
      </c>
      <c r="B877" t="s">
        <v>6148</v>
      </c>
      <c r="C877" t="s">
        <v>9131</v>
      </c>
      <c r="E877" s="11" t="s">
        <v>9134</v>
      </c>
      <c r="F877" s="11" t="s">
        <v>9135</v>
      </c>
      <c r="G877" t="s">
        <v>11489</v>
      </c>
      <c r="H877" t="s">
        <v>11490</v>
      </c>
    </row>
    <row r="878" spans="1:8">
      <c r="A878" t="s">
        <v>1091</v>
      </c>
      <c r="B878" t="s">
        <v>1092</v>
      </c>
      <c r="C878" t="s">
        <v>10045</v>
      </c>
      <c r="E878" s="11" t="s">
        <v>10046</v>
      </c>
      <c r="F878" s="11" t="s">
        <v>10047</v>
      </c>
      <c r="G878" t="s">
        <v>10613</v>
      </c>
      <c r="H878" t="s">
        <v>10614</v>
      </c>
    </row>
    <row r="879" spans="1:8">
      <c r="A879" t="s">
        <v>2555</v>
      </c>
      <c r="B879" t="s">
        <v>2556</v>
      </c>
      <c r="C879" t="s">
        <v>10045</v>
      </c>
      <c r="E879" s="11" t="s">
        <v>10046</v>
      </c>
      <c r="F879" s="11" t="s">
        <v>10047</v>
      </c>
      <c r="G879" t="s">
        <v>10613</v>
      </c>
      <c r="H879" t="s">
        <v>10614</v>
      </c>
    </row>
    <row r="880" spans="1:8">
      <c r="A880" t="s">
        <v>4725</v>
      </c>
      <c r="B880" t="s">
        <v>4726</v>
      </c>
      <c r="C880" t="s">
        <v>9502</v>
      </c>
      <c r="E880" s="11"/>
    </row>
    <row r="881" spans="1:8">
      <c r="A881" t="s">
        <v>5961</v>
      </c>
      <c r="B881" t="s">
        <v>5962</v>
      </c>
      <c r="C881" t="s">
        <v>9214</v>
      </c>
      <c r="E881" s="11" t="s">
        <v>9215</v>
      </c>
      <c r="F881" s="11" t="s">
        <v>9216</v>
      </c>
      <c r="G881" t="s">
        <v>11407</v>
      </c>
      <c r="H881" t="s">
        <v>11408</v>
      </c>
    </row>
    <row r="882" spans="1:8">
      <c r="A882" t="s">
        <v>5961</v>
      </c>
      <c r="B882" t="s">
        <v>5962</v>
      </c>
      <c r="C882" t="s">
        <v>9214</v>
      </c>
      <c r="E882" s="11" t="s">
        <v>9215</v>
      </c>
      <c r="F882" s="11" t="s">
        <v>9217</v>
      </c>
      <c r="G882" t="s">
        <v>11409</v>
      </c>
      <c r="H882" t="s">
        <v>11410</v>
      </c>
    </row>
    <row r="883" spans="1:8">
      <c r="A883" t="s">
        <v>6080</v>
      </c>
      <c r="B883" t="s">
        <v>6081</v>
      </c>
      <c r="C883" t="s">
        <v>9165</v>
      </c>
      <c r="E883" s="11" t="s">
        <v>9166</v>
      </c>
      <c r="F883" s="11" t="s">
        <v>9167</v>
      </c>
      <c r="G883" t="s">
        <v>11449</v>
      </c>
      <c r="H883" t="s">
        <v>11450</v>
      </c>
    </row>
    <row r="884" spans="1:8">
      <c r="A884" t="s">
        <v>6080</v>
      </c>
      <c r="B884" t="s">
        <v>6081</v>
      </c>
      <c r="C884" t="s">
        <v>9165</v>
      </c>
      <c r="E884" s="11" t="s">
        <v>9166</v>
      </c>
      <c r="F884" s="11" t="s">
        <v>9168</v>
      </c>
      <c r="G884" t="s">
        <v>11451</v>
      </c>
      <c r="H884" t="s">
        <v>11452</v>
      </c>
    </row>
    <row r="885" spans="1:8">
      <c r="A885" t="s">
        <v>5409</v>
      </c>
      <c r="B885" t="s">
        <v>5410</v>
      </c>
      <c r="C885" t="s">
        <v>9423</v>
      </c>
      <c r="E885" s="11" t="s">
        <v>9424</v>
      </c>
      <c r="F885" s="11" t="s">
        <v>9425</v>
      </c>
      <c r="G885" t="s">
        <v>11276</v>
      </c>
      <c r="H885" t="s">
        <v>11277</v>
      </c>
    </row>
    <row r="886" spans="1:8">
      <c r="A886" t="s">
        <v>5457</v>
      </c>
      <c r="B886" t="s">
        <v>5458</v>
      </c>
      <c r="C886" t="s">
        <v>8914</v>
      </c>
      <c r="E886" s="11" t="s">
        <v>8915</v>
      </c>
      <c r="F886" s="11" t="s">
        <v>8916</v>
      </c>
      <c r="G886" t="s">
        <v>11296</v>
      </c>
      <c r="H886" t="s">
        <v>11297</v>
      </c>
    </row>
    <row r="887" spans="1:8">
      <c r="A887" t="s">
        <v>6851</v>
      </c>
      <c r="B887" t="s">
        <v>6852</v>
      </c>
      <c r="C887" t="s">
        <v>8914</v>
      </c>
      <c r="E887" s="11" t="s">
        <v>8915</v>
      </c>
      <c r="F887" s="11" t="s">
        <v>8916</v>
      </c>
      <c r="G887" t="s">
        <v>11296</v>
      </c>
      <c r="H887" t="s">
        <v>11297</v>
      </c>
    </row>
    <row r="888" spans="1:8">
      <c r="A888" t="s">
        <v>2028</v>
      </c>
      <c r="B888" t="s">
        <v>2029</v>
      </c>
      <c r="C888" t="s">
        <v>8619</v>
      </c>
      <c r="E888" s="11"/>
    </row>
    <row r="889" spans="1:8">
      <c r="A889" t="s">
        <v>4019</v>
      </c>
      <c r="B889" t="s">
        <v>4020</v>
      </c>
      <c r="C889" t="s">
        <v>8619</v>
      </c>
      <c r="E889" s="11"/>
    </row>
    <row r="890" spans="1:8">
      <c r="A890" t="s">
        <v>7605</v>
      </c>
      <c r="B890" t="s">
        <v>7606</v>
      </c>
      <c r="C890" t="s">
        <v>8619</v>
      </c>
      <c r="E890" s="11"/>
    </row>
    <row r="891" spans="1:8">
      <c r="A891" t="s">
        <v>5632</v>
      </c>
      <c r="B891" t="s">
        <v>5633</v>
      </c>
      <c r="C891" t="s">
        <v>9340</v>
      </c>
      <c r="E891" s="11" t="s">
        <v>9341</v>
      </c>
      <c r="F891" s="11" t="s">
        <v>9342</v>
      </c>
      <c r="G891" t="s">
        <v>11340</v>
      </c>
      <c r="H891" t="s">
        <v>11341</v>
      </c>
    </row>
    <row r="892" spans="1:8">
      <c r="A892" t="s">
        <v>637</v>
      </c>
      <c r="B892" t="s">
        <v>638</v>
      </c>
      <c r="C892" t="s">
        <v>10402</v>
      </c>
      <c r="E892" s="11" t="s">
        <v>10403</v>
      </c>
      <c r="F892" s="11" t="s">
        <v>10404</v>
      </c>
      <c r="G892" t="s">
        <v>10529</v>
      </c>
      <c r="H892" t="s">
        <v>10530</v>
      </c>
    </row>
    <row r="893" spans="1:8">
      <c r="A893" t="s">
        <v>3526</v>
      </c>
      <c r="B893" t="s">
        <v>3527</v>
      </c>
      <c r="C893" t="s">
        <v>16072</v>
      </c>
      <c r="D893" s="42"/>
      <c r="E893" s="11" t="s">
        <v>17926</v>
      </c>
      <c r="F893" s="11" t="s">
        <v>17927</v>
      </c>
      <c r="G893" t="s">
        <v>17928</v>
      </c>
      <c r="H893" t="s">
        <v>17929</v>
      </c>
    </row>
    <row r="894" spans="1:8">
      <c r="A894" t="s">
        <v>250</v>
      </c>
      <c r="B894" t="s">
        <v>251</v>
      </c>
      <c r="C894" t="s">
        <v>10455</v>
      </c>
      <c r="E894" s="11" t="s">
        <v>10456</v>
      </c>
      <c r="F894" s="11" t="s">
        <v>10457</v>
      </c>
      <c r="G894" t="s">
        <v>10486</v>
      </c>
      <c r="H894" t="s">
        <v>10487</v>
      </c>
    </row>
    <row r="895" spans="1:8">
      <c r="A895" t="s">
        <v>4395</v>
      </c>
      <c r="B895" t="s">
        <v>4396</v>
      </c>
      <c r="C895" t="s">
        <v>9659</v>
      </c>
      <c r="E895" s="11" t="s">
        <v>9660</v>
      </c>
      <c r="F895" s="11" t="s">
        <v>9661</v>
      </c>
      <c r="G895" t="s">
        <v>11140</v>
      </c>
      <c r="H895" t="s">
        <v>11141</v>
      </c>
    </row>
    <row r="896" spans="1:8">
      <c r="A896" t="s">
        <v>4395</v>
      </c>
      <c r="B896" t="s">
        <v>4396</v>
      </c>
      <c r="C896" t="s">
        <v>9659</v>
      </c>
      <c r="E896" s="11" t="s">
        <v>9660</v>
      </c>
      <c r="F896" s="11" t="s">
        <v>9662</v>
      </c>
      <c r="G896" t="s">
        <v>11142</v>
      </c>
      <c r="H896" t="s">
        <v>11143</v>
      </c>
    </row>
    <row r="897" spans="1:8">
      <c r="A897" t="s">
        <v>4395</v>
      </c>
      <c r="B897" t="s">
        <v>4396</v>
      </c>
      <c r="C897" t="s">
        <v>9659</v>
      </c>
      <c r="E897" s="11" t="s">
        <v>9660</v>
      </c>
      <c r="F897" s="11" t="s">
        <v>9663</v>
      </c>
      <c r="G897" t="s">
        <v>11144</v>
      </c>
      <c r="H897" t="s">
        <v>11145</v>
      </c>
    </row>
    <row r="898" spans="1:8">
      <c r="A898" t="s">
        <v>6102</v>
      </c>
      <c r="B898" t="s">
        <v>6103</v>
      </c>
      <c r="C898" t="s">
        <v>9146</v>
      </c>
      <c r="E898" s="11" t="s">
        <v>9147</v>
      </c>
      <c r="F898" s="11" t="s">
        <v>9148</v>
      </c>
      <c r="G898" t="s">
        <v>11473</v>
      </c>
      <c r="H898" t="s">
        <v>11474</v>
      </c>
    </row>
    <row r="899" spans="1:8">
      <c r="A899" t="s">
        <v>6102</v>
      </c>
      <c r="B899" t="s">
        <v>6103</v>
      </c>
      <c r="C899" t="s">
        <v>9146</v>
      </c>
      <c r="E899" s="11" t="s">
        <v>9147</v>
      </c>
      <c r="F899" s="11" t="s">
        <v>9149</v>
      </c>
      <c r="G899" t="s">
        <v>11475</v>
      </c>
      <c r="H899" t="s">
        <v>11476</v>
      </c>
    </row>
    <row r="900" spans="1:8">
      <c r="A900" t="s">
        <v>6102</v>
      </c>
      <c r="B900" t="s">
        <v>6103</v>
      </c>
      <c r="C900" t="s">
        <v>9146</v>
      </c>
      <c r="E900" s="11" t="s">
        <v>9147</v>
      </c>
      <c r="F900" s="11" t="s">
        <v>9150</v>
      </c>
      <c r="G900" t="s">
        <v>11477</v>
      </c>
      <c r="H900" t="s">
        <v>11478</v>
      </c>
    </row>
    <row r="901" spans="1:8">
      <c r="A901" t="s">
        <v>7064</v>
      </c>
      <c r="B901" t="s">
        <v>7065</v>
      </c>
      <c r="C901" t="s">
        <v>8801</v>
      </c>
      <c r="E901" s="11"/>
    </row>
    <row r="902" spans="1:8">
      <c r="A902" t="s">
        <v>809</v>
      </c>
      <c r="B902" t="s">
        <v>810</v>
      </c>
      <c r="C902" t="s">
        <v>9685</v>
      </c>
      <c r="E902" s="11" t="s">
        <v>9686</v>
      </c>
    </row>
    <row r="903" spans="1:8">
      <c r="A903" t="s">
        <v>4263</v>
      </c>
      <c r="B903" t="s">
        <v>4264</v>
      </c>
      <c r="C903" t="s">
        <v>9685</v>
      </c>
      <c r="E903" s="11" t="s">
        <v>9686</v>
      </c>
    </row>
    <row r="904" spans="1:8">
      <c r="A904" t="s">
        <v>5362</v>
      </c>
      <c r="B904" t="s">
        <v>5363</v>
      </c>
      <c r="C904" t="s">
        <v>9426</v>
      </c>
      <c r="E904" s="11" t="s">
        <v>9427</v>
      </c>
      <c r="F904" s="11" t="s">
        <v>9428</v>
      </c>
      <c r="G904" t="s">
        <v>11271</v>
      </c>
      <c r="H904" t="s">
        <v>11272</v>
      </c>
    </row>
    <row r="905" spans="1:8">
      <c r="A905" t="s">
        <v>5362</v>
      </c>
      <c r="B905" t="s">
        <v>5363</v>
      </c>
      <c r="C905" t="s">
        <v>9426</v>
      </c>
      <c r="E905" s="11" t="s">
        <v>9427</v>
      </c>
      <c r="F905" s="11" t="s">
        <v>9429</v>
      </c>
      <c r="G905" t="s">
        <v>11271</v>
      </c>
      <c r="H905" t="s">
        <v>11273</v>
      </c>
    </row>
    <row r="906" spans="1:8">
      <c r="A906" t="s">
        <v>5362</v>
      </c>
      <c r="B906" t="s">
        <v>5363</v>
      </c>
      <c r="C906" t="s">
        <v>9426</v>
      </c>
      <c r="E906" s="11" t="s">
        <v>9427</v>
      </c>
      <c r="F906" s="11" t="s">
        <v>9430</v>
      </c>
      <c r="G906" t="s">
        <v>11274</v>
      </c>
      <c r="H906" t="s">
        <v>11275</v>
      </c>
    </row>
    <row r="907" spans="1:8">
      <c r="A907" t="s">
        <v>192</v>
      </c>
      <c r="B907" t="s">
        <v>193</v>
      </c>
      <c r="C907" t="s">
        <v>8569</v>
      </c>
      <c r="E907" s="11"/>
    </row>
    <row r="908" spans="1:8">
      <c r="A908" t="s">
        <v>392</v>
      </c>
      <c r="B908" t="s">
        <v>393</v>
      </c>
      <c r="C908" t="s">
        <v>8569</v>
      </c>
      <c r="E908" s="11"/>
    </row>
    <row r="909" spans="1:8">
      <c r="A909" t="s">
        <v>395</v>
      </c>
      <c r="B909" t="s">
        <v>396</v>
      </c>
      <c r="C909" t="s">
        <v>8569</v>
      </c>
      <c r="E909" s="11"/>
    </row>
    <row r="910" spans="1:8">
      <c r="A910" t="s">
        <v>476</v>
      </c>
      <c r="B910" t="s">
        <v>477</v>
      </c>
      <c r="C910" t="s">
        <v>8569</v>
      </c>
      <c r="E910" s="11"/>
    </row>
    <row r="911" spans="1:8">
      <c r="A911" t="s">
        <v>883</v>
      </c>
      <c r="B911" t="s">
        <v>884</v>
      </c>
      <c r="C911" t="s">
        <v>8569</v>
      </c>
      <c r="E911" s="11"/>
    </row>
    <row r="912" spans="1:8">
      <c r="A912" t="s">
        <v>1027</v>
      </c>
      <c r="B912" t="s">
        <v>1028</v>
      </c>
      <c r="C912" t="s">
        <v>8569</v>
      </c>
      <c r="E912" s="11"/>
    </row>
    <row r="913" spans="1:5">
      <c r="A913" t="s">
        <v>1214</v>
      </c>
      <c r="B913" t="s">
        <v>1215</v>
      </c>
      <c r="C913" t="s">
        <v>8569</v>
      </c>
      <c r="E913" s="11"/>
    </row>
    <row r="914" spans="1:5">
      <c r="A914" t="s">
        <v>1718</v>
      </c>
      <c r="B914" t="s">
        <v>1719</v>
      </c>
      <c r="C914" s="12" t="s">
        <v>8569</v>
      </c>
      <c r="E914" s="11"/>
    </row>
    <row r="915" spans="1:5">
      <c r="A915" t="s">
        <v>2206</v>
      </c>
      <c r="B915" t="s">
        <v>2207</v>
      </c>
      <c r="C915" t="s">
        <v>8569</v>
      </c>
      <c r="E915" s="11"/>
    </row>
    <row r="916" spans="1:5">
      <c r="A916" t="s">
        <v>2466</v>
      </c>
      <c r="B916" t="s">
        <v>2467</v>
      </c>
      <c r="C916" t="s">
        <v>8569</v>
      </c>
      <c r="E916" s="11"/>
    </row>
    <row r="917" spans="1:5">
      <c r="A917" t="s">
        <v>2654</v>
      </c>
      <c r="B917" t="s">
        <v>2655</v>
      </c>
      <c r="C917" t="s">
        <v>8569</v>
      </c>
      <c r="E917" s="11"/>
    </row>
    <row r="918" spans="1:5">
      <c r="A918" t="s">
        <v>2664</v>
      </c>
      <c r="B918" t="s">
        <v>2665</v>
      </c>
      <c r="C918" t="s">
        <v>8569</v>
      </c>
      <c r="E918" s="11"/>
    </row>
    <row r="919" spans="1:5">
      <c r="A919" t="s">
        <v>2677</v>
      </c>
      <c r="B919" t="s">
        <v>2678</v>
      </c>
      <c r="C919" t="s">
        <v>8569</v>
      </c>
      <c r="E919" s="11"/>
    </row>
    <row r="920" spans="1:5">
      <c r="A920" t="s">
        <v>2784</v>
      </c>
      <c r="B920" t="s">
        <v>2785</v>
      </c>
      <c r="C920" t="s">
        <v>8569</v>
      </c>
      <c r="E920" s="11"/>
    </row>
    <row r="921" spans="1:5">
      <c r="A921" t="s">
        <v>2881</v>
      </c>
      <c r="B921" t="s">
        <v>2882</v>
      </c>
      <c r="C921" t="s">
        <v>8569</v>
      </c>
      <c r="E921" s="11"/>
    </row>
    <row r="922" spans="1:5">
      <c r="A922" t="s">
        <v>2952</v>
      </c>
      <c r="B922" t="s">
        <v>2953</v>
      </c>
      <c r="C922" t="s">
        <v>8569</v>
      </c>
      <c r="E922" s="11"/>
    </row>
    <row r="923" spans="1:5">
      <c r="A923" t="s">
        <v>3150</v>
      </c>
      <c r="B923" t="s">
        <v>3151</v>
      </c>
      <c r="C923" t="s">
        <v>8569</v>
      </c>
      <c r="E923" s="11"/>
    </row>
    <row r="924" spans="1:5">
      <c r="A924" t="s">
        <v>3349</v>
      </c>
      <c r="B924" t="s">
        <v>3350</v>
      </c>
      <c r="C924" t="s">
        <v>8569</v>
      </c>
      <c r="E924" s="11"/>
    </row>
    <row r="925" spans="1:5">
      <c r="A925" t="s">
        <v>3712</v>
      </c>
      <c r="B925" t="s">
        <v>3713</v>
      </c>
      <c r="C925" t="s">
        <v>8569</v>
      </c>
      <c r="E925" s="11"/>
    </row>
    <row r="926" spans="1:5">
      <c r="A926" t="s">
        <v>4061</v>
      </c>
      <c r="B926" t="s">
        <v>4062</v>
      </c>
      <c r="C926" t="s">
        <v>8569</v>
      </c>
      <c r="E926" s="11"/>
    </row>
    <row r="927" spans="1:5">
      <c r="A927" t="s">
        <v>4124</v>
      </c>
      <c r="B927" t="s">
        <v>4125</v>
      </c>
      <c r="C927" t="s">
        <v>8569</v>
      </c>
      <c r="E927" s="11"/>
    </row>
    <row r="928" spans="1:5">
      <c r="A928" t="s">
        <v>4248</v>
      </c>
      <c r="B928" t="s">
        <v>4249</v>
      </c>
      <c r="C928" t="s">
        <v>8569</v>
      </c>
      <c r="E928" s="11"/>
    </row>
    <row r="929" spans="1:5">
      <c r="A929" t="s">
        <v>5521</v>
      </c>
      <c r="B929" t="s">
        <v>5522</v>
      </c>
      <c r="C929" t="s">
        <v>8569</v>
      </c>
      <c r="E929" s="11"/>
    </row>
    <row r="930" spans="1:5">
      <c r="A930" t="s">
        <v>6022</v>
      </c>
      <c r="B930" t="s">
        <v>6023</v>
      </c>
      <c r="C930" t="s">
        <v>8569</v>
      </c>
      <c r="E930" s="11"/>
    </row>
    <row r="931" spans="1:5">
      <c r="A931" t="s">
        <v>6214</v>
      </c>
      <c r="B931" t="s">
        <v>6215</v>
      </c>
      <c r="C931" t="s">
        <v>8569</v>
      </c>
      <c r="E931" s="11"/>
    </row>
    <row r="932" spans="1:5">
      <c r="A932" t="s">
        <v>6222</v>
      </c>
      <c r="B932" t="s">
        <v>6223</v>
      </c>
      <c r="C932" t="s">
        <v>8569</v>
      </c>
      <c r="E932" s="11"/>
    </row>
    <row r="933" spans="1:5">
      <c r="A933" t="s">
        <v>6282</v>
      </c>
      <c r="B933" t="s">
        <v>6283</v>
      </c>
      <c r="C933" t="s">
        <v>8569</v>
      </c>
      <c r="E933" s="11"/>
    </row>
    <row r="934" spans="1:5">
      <c r="A934" t="s">
        <v>6617</v>
      </c>
      <c r="B934" t="s">
        <v>6618</v>
      </c>
      <c r="C934" t="s">
        <v>8569</v>
      </c>
      <c r="E934" s="11"/>
    </row>
    <row r="935" spans="1:5">
      <c r="A935" t="s">
        <v>6664</v>
      </c>
      <c r="B935" t="s">
        <v>6665</v>
      </c>
      <c r="C935" t="s">
        <v>8569</v>
      </c>
      <c r="E935" s="11"/>
    </row>
    <row r="936" spans="1:5">
      <c r="A936" t="s">
        <v>6717</v>
      </c>
      <c r="B936" t="s">
        <v>6718</v>
      </c>
      <c r="C936" t="s">
        <v>8569</v>
      </c>
      <c r="E936" s="11"/>
    </row>
    <row r="937" spans="1:5">
      <c r="A937" t="s">
        <v>6742</v>
      </c>
      <c r="B937" t="s">
        <v>6743</v>
      </c>
      <c r="C937" t="s">
        <v>8569</v>
      </c>
      <c r="E937" s="11"/>
    </row>
    <row r="938" spans="1:5">
      <c r="A938" t="s">
        <v>6804</v>
      </c>
      <c r="B938" t="s">
        <v>6805</v>
      </c>
      <c r="C938" t="s">
        <v>8569</v>
      </c>
      <c r="E938" s="11"/>
    </row>
    <row r="939" spans="1:5">
      <c r="A939" t="s">
        <v>6836</v>
      </c>
      <c r="B939" t="s">
        <v>6837</v>
      </c>
      <c r="C939" t="s">
        <v>8569</v>
      </c>
      <c r="E939" s="11"/>
    </row>
    <row r="940" spans="1:5">
      <c r="A940" t="s">
        <v>6903</v>
      </c>
      <c r="B940" t="s">
        <v>6904</v>
      </c>
      <c r="C940" t="s">
        <v>8569</v>
      </c>
      <c r="E940" s="11"/>
    </row>
    <row r="941" spans="1:5">
      <c r="A941" t="s">
        <v>7060</v>
      </c>
      <c r="B941" t="s">
        <v>7061</v>
      </c>
      <c r="C941" t="s">
        <v>8569</v>
      </c>
      <c r="E941" s="11"/>
    </row>
    <row r="942" spans="1:5">
      <c r="A942" t="s">
        <v>7853</v>
      </c>
      <c r="B942" t="s">
        <v>7854</v>
      </c>
      <c r="C942" t="s">
        <v>8569</v>
      </c>
      <c r="E942" s="11"/>
    </row>
    <row r="943" spans="1:5">
      <c r="A943" t="s">
        <v>7855</v>
      </c>
      <c r="B943" t="s">
        <v>7856</v>
      </c>
      <c r="C943" t="s">
        <v>8569</v>
      </c>
      <c r="E943" s="11"/>
    </row>
    <row r="944" spans="1:5">
      <c r="A944" t="s">
        <v>7936</v>
      </c>
      <c r="B944" t="s">
        <v>7937</v>
      </c>
      <c r="C944" t="s">
        <v>8569</v>
      </c>
      <c r="E944" s="11"/>
    </row>
    <row r="945" spans="1:5">
      <c r="A945" t="s">
        <v>7938</v>
      </c>
      <c r="B945" t="s">
        <v>7939</v>
      </c>
      <c r="C945" t="s">
        <v>8569</v>
      </c>
      <c r="E945" s="11"/>
    </row>
    <row r="946" spans="1:5">
      <c r="A946" t="s">
        <v>847</v>
      </c>
      <c r="B946" t="s">
        <v>848</v>
      </c>
      <c r="C946" t="s">
        <v>8568</v>
      </c>
      <c r="E946" s="11"/>
    </row>
    <row r="947" spans="1:5">
      <c r="A947" t="s">
        <v>986</v>
      </c>
      <c r="B947" t="s">
        <v>987</v>
      </c>
      <c r="C947" t="s">
        <v>8568</v>
      </c>
      <c r="E947" s="11"/>
    </row>
    <row r="948" spans="1:5">
      <c r="A948" t="s">
        <v>1534</v>
      </c>
      <c r="B948" t="s">
        <v>1535</v>
      </c>
      <c r="C948" t="s">
        <v>8568</v>
      </c>
      <c r="E948" s="11"/>
    </row>
    <row r="949" spans="1:5">
      <c r="A949" t="s">
        <v>2622</v>
      </c>
      <c r="B949" t="s">
        <v>2623</v>
      </c>
      <c r="C949" t="s">
        <v>8568</v>
      </c>
      <c r="E949" s="11"/>
    </row>
    <row r="950" spans="1:5">
      <c r="A950" t="s">
        <v>3321</v>
      </c>
      <c r="B950" t="s">
        <v>3322</v>
      </c>
      <c r="C950" t="s">
        <v>8568</v>
      </c>
      <c r="E950" s="11"/>
    </row>
    <row r="951" spans="1:5">
      <c r="A951" t="s">
        <v>3923</v>
      </c>
      <c r="B951" t="s">
        <v>3924</v>
      </c>
      <c r="C951" t="s">
        <v>8568</v>
      </c>
      <c r="E951" s="11"/>
    </row>
    <row r="952" spans="1:5">
      <c r="A952" t="s">
        <v>5424</v>
      </c>
      <c r="B952" t="s">
        <v>5425</v>
      </c>
      <c r="C952" t="s">
        <v>8568</v>
      </c>
      <c r="E952" s="11"/>
    </row>
    <row r="953" spans="1:5">
      <c r="A953" t="s">
        <v>5459</v>
      </c>
      <c r="B953" t="s">
        <v>5460</v>
      </c>
      <c r="C953" t="s">
        <v>8568</v>
      </c>
      <c r="E953" s="11"/>
    </row>
    <row r="954" spans="1:5">
      <c r="A954" t="s">
        <v>5464</v>
      </c>
      <c r="B954" t="s">
        <v>5465</v>
      </c>
      <c r="C954" t="s">
        <v>8568</v>
      </c>
      <c r="E954" s="11"/>
    </row>
    <row r="955" spans="1:5">
      <c r="A955" t="s">
        <v>5830</v>
      </c>
      <c r="B955" t="s">
        <v>5831</v>
      </c>
      <c r="C955" t="s">
        <v>8568</v>
      </c>
      <c r="E955" s="11"/>
    </row>
    <row r="956" spans="1:5">
      <c r="A956" t="s">
        <v>6164</v>
      </c>
      <c r="B956" t="s">
        <v>6165</v>
      </c>
      <c r="C956" t="s">
        <v>8568</v>
      </c>
      <c r="E956" s="11"/>
    </row>
    <row r="957" spans="1:5">
      <c r="A957" t="s">
        <v>6239</v>
      </c>
      <c r="B957" t="s">
        <v>6240</v>
      </c>
      <c r="C957" t="s">
        <v>8568</v>
      </c>
      <c r="E957" s="11"/>
    </row>
    <row r="958" spans="1:5">
      <c r="A958" t="s">
        <v>6802</v>
      </c>
      <c r="B958" t="s">
        <v>6803</v>
      </c>
      <c r="C958" t="s">
        <v>8568</v>
      </c>
      <c r="E958" s="11"/>
    </row>
    <row r="959" spans="1:5">
      <c r="A959" t="s">
        <v>7143</v>
      </c>
      <c r="B959" t="s">
        <v>7144</v>
      </c>
      <c r="C959" t="s">
        <v>8568</v>
      </c>
      <c r="E959" s="11"/>
    </row>
    <row r="960" spans="1:5">
      <c r="A960" t="s">
        <v>7944</v>
      </c>
      <c r="B960" t="s">
        <v>7945</v>
      </c>
      <c r="C960" t="s">
        <v>8568</v>
      </c>
      <c r="E960" s="11"/>
    </row>
    <row r="961" spans="1:8">
      <c r="A961" t="s">
        <v>7955</v>
      </c>
      <c r="B961" t="s">
        <v>7956</v>
      </c>
      <c r="C961" t="s">
        <v>8568</v>
      </c>
      <c r="E961" s="11"/>
    </row>
    <row r="962" spans="1:8">
      <c r="A962" t="s">
        <v>279</v>
      </c>
      <c r="B962" t="s">
        <v>280</v>
      </c>
      <c r="C962" t="s">
        <v>8747</v>
      </c>
      <c r="E962" s="11"/>
    </row>
    <row r="963" spans="1:8">
      <c r="A963" t="s">
        <v>281</v>
      </c>
      <c r="B963" t="s">
        <v>282</v>
      </c>
      <c r="C963" t="s">
        <v>8747</v>
      </c>
      <c r="E963" s="11"/>
      <c r="F963" s="11"/>
    </row>
    <row r="964" spans="1:8">
      <c r="A964" t="s">
        <v>3236</v>
      </c>
      <c r="B964" t="s">
        <v>3237</v>
      </c>
      <c r="C964" t="s">
        <v>8747</v>
      </c>
      <c r="E964" s="11"/>
    </row>
    <row r="965" spans="1:8">
      <c r="A965" t="s">
        <v>3262</v>
      </c>
      <c r="B965" t="s">
        <v>3263</v>
      </c>
      <c r="C965" t="s">
        <v>8747</v>
      </c>
      <c r="E965" s="11"/>
    </row>
    <row r="966" spans="1:8">
      <c r="A966" t="s">
        <v>5700</v>
      </c>
      <c r="B966" t="s">
        <v>5701</v>
      </c>
      <c r="C966" t="s">
        <v>8747</v>
      </c>
      <c r="E966" s="11"/>
    </row>
    <row r="967" spans="1:8">
      <c r="A967" t="s">
        <v>7210</v>
      </c>
      <c r="B967" t="s">
        <v>7211</v>
      </c>
      <c r="C967" t="s">
        <v>8747</v>
      </c>
      <c r="E967" s="11"/>
    </row>
    <row r="968" spans="1:8">
      <c r="A968" t="s">
        <v>6597</v>
      </c>
      <c r="B968" t="s">
        <v>6598</v>
      </c>
      <c r="C968" t="s">
        <v>9015</v>
      </c>
      <c r="E968" s="11" t="s">
        <v>9016</v>
      </c>
      <c r="F968" s="11" t="s">
        <v>9017</v>
      </c>
      <c r="G968" t="s">
        <v>11584</v>
      </c>
      <c r="H968" t="s">
        <v>9018</v>
      </c>
    </row>
    <row r="969" spans="1:8">
      <c r="A969" t="s">
        <v>2704</v>
      </c>
      <c r="B969" t="s">
        <v>2705</v>
      </c>
      <c r="C969" t="s">
        <v>8851</v>
      </c>
      <c r="E969" s="11" t="s">
        <v>8852</v>
      </c>
      <c r="F969" s="11" t="s">
        <v>8853</v>
      </c>
      <c r="G969" t="s">
        <v>10886</v>
      </c>
      <c r="H969" t="s">
        <v>10887</v>
      </c>
    </row>
    <row r="970" spans="1:8">
      <c r="A970" t="s">
        <v>2714</v>
      </c>
      <c r="B970" t="s">
        <v>2715</v>
      </c>
      <c r="C970" t="s">
        <v>8851</v>
      </c>
      <c r="E970" s="11" t="s">
        <v>8852</v>
      </c>
      <c r="F970" s="11" t="s">
        <v>8853</v>
      </c>
      <c r="G970" t="s">
        <v>10886</v>
      </c>
      <c r="H970" t="s">
        <v>10887</v>
      </c>
    </row>
    <row r="971" spans="1:8">
      <c r="A971" t="s">
        <v>6922</v>
      </c>
      <c r="B971" t="s">
        <v>6923</v>
      </c>
      <c r="C971" t="s">
        <v>8851</v>
      </c>
      <c r="E971" s="11" t="s">
        <v>8852</v>
      </c>
      <c r="F971" s="11" t="s">
        <v>8853</v>
      </c>
      <c r="G971" t="s">
        <v>10886</v>
      </c>
      <c r="H971" t="s">
        <v>10887</v>
      </c>
    </row>
    <row r="972" spans="1:8">
      <c r="A972" t="s">
        <v>4447</v>
      </c>
      <c r="B972" t="s">
        <v>4448</v>
      </c>
      <c r="C972" t="s">
        <v>9630</v>
      </c>
      <c r="E972" s="11" t="s">
        <v>9631</v>
      </c>
      <c r="F972" s="11" t="s">
        <v>9632</v>
      </c>
      <c r="G972" t="s">
        <v>11169</v>
      </c>
      <c r="H972" t="s">
        <v>9633</v>
      </c>
    </row>
    <row r="973" spans="1:8">
      <c r="A973" t="s">
        <v>5270</v>
      </c>
      <c r="B973" t="s">
        <v>5271</v>
      </c>
      <c r="C973" t="s">
        <v>9463</v>
      </c>
      <c r="E973" s="11" t="s">
        <v>9464</v>
      </c>
    </row>
    <row r="974" spans="1:8">
      <c r="A974" t="s">
        <v>4231</v>
      </c>
      <c r="B974" t="s">
        <v>4232</v>
      </c>
      <c r="C974" t="s">
        <v>9701</v>
      </c>
      <c r="E974" s="11"/>
    </row>
    <row r="975" spans="1:8">
      <c r="A975" t="s">
        <v>1951</v>
      </c>
      <c r="B975" t="s">
        <v>1952</v>
      </c>
      <c r="C975" t="s">
        <v>8643</v>
      </c>
      <c r="E975" s="11" t="s">
        <v>8644</v>
      </c>
    </row>
    <row r="976" spans="1:8">
      <c r="A976" t="s">
        <v>7521</v>
      </c>
      <c r="B976" t="s">
        <v>7522</v>
      </c>
      <c r="C976" t="s">
        <v>8643</v>
      </c>
      <c r="E976" s="11" t="s">
        <v>8644</v>
      </c>
    </row>
    <row r="977" spans="1:5">
      <c r="A977" t="s">
        <v>2930</v>
      </c>
      <c r="B977" t="s">
        <v>2931</v>
      </c>
      <c r="C977" t="s">
        <v>9962</v>
      </c>
      <c r="E977" s="11" t="s">
        <v>9963</v>
      </c>
    </row>
    <row r="978" spans="1:5">
      <c r="A978" t="s">
        <v>2934</v>
      </c>
      <c r="B978" t="s">
        <v>2935</v>
      </c>
      <c r="C978" t="s">
        <v>9962</v>
      </c>
      <c r="E978" s="11" t="s">
        <v>9963</v>
      </c>
    </row>
    <row r="979" spans="1:5">
      <c r="A979" t="s">
        <v>5220</v>
      </c>
      <c r="B979" t="s">
        <v>5221</v>
      </c>
      <c r="C979" t="s">
        <v>9477</v>
      </c>
      <c r="E979" s="11" t="s">
        <v>9478</v>
      </c>
    </row>
    <row r="980" spans="1:5">
      <c r="A980" t="s">
        <v>2069</v>
      </c>
      <c r="B980" t="s">
        <v>2070</v>
      </c>
      <c r="C980" t="s">
        <v>8783</v>
      </c>
      <c r="E980" s="11"/>
    </row>
    <row r="981" spans="1:5">
      <c r="A981" t="s">
        <v>4099</v>
      </c>
      <c r="B981" t="s">
        <v>4100</v>
      </c>
      <c r="C981" t="s">
        <v>8783</v>
      </c>
      <c r="E981" s="11"/>
    </row>
    <row r="982" spans="1:5">
      <c r="A982" t="s">
        <v>4711</v>
      </c>
      <c r="B982" t="s">
        <v>4712</v>
      </c>
      <c r="C982" t="s">
        <v>8783</v>
      </c>
      <c r="E982" s="11"/>
    </row>
    <row r="983" spans="1:5">
      <c r="A983" t="s">
        <v>7122</v>
      </c>
      <c r="B983" t="s">
        <v>7123</v>
      </c>
      <c r="C983" t="s">
        <v>8783</v>
      </c>
      <c r="E983" s="11"/>
    </row>
    <row r="984" spans="1:5">
      <c r="A984" t="s">
        <v>4966</v>
      </c>
      <c r="B984" t="s">
        <v>4967</v>
      </c>
      <c r="C984" t="s">
        <v>9490</v>
      </c>
      <c r="E984" s="11"/>
    </row>
    <row r="985" spans="1:5">
      <c r="A985" t="s">
        <v>4623</v>
      </c>
      <c r="B985" t="s">
        <v>4624</v>
      </c>
      <c r="C985" t="s">
        <v>9503</v>
      </c>
      <c r="E985" s="11" t="s">
        <v>9504</v>
      </c>
    </row>
    <row r="986" spans="1:5">
      <c r="A986" t="s">
        <v>4705</v>
      </c>
      <c r="B986" t="s">
        <v>4706</v>
      </c>
      <c r="C986" t="s">
        <v>9503</v>
      </c>
      <c r="E986" s="11" t="s">
        <v>9504</v>
      </c>
    </row>
    <row r="987" spans="1:5">
      <c r="A987" t="s">
        <v>3861</v>
      </c>
      <c r="B987" t="s">
        <v>3862</v>
      </c>
      <c r="C987" t="s">
        <v>9618</v>
      </c>
      <c r="E987" s="11"/>
    </row>
    <row r="988" spans="1:5">
      <c r="A988" t="s">
        <v>3880</v>
      </c>
      <c r="B988" t="s">
        <v>3881</v>
      </c>
      <c r="C988" t="s">
        <v>9618</v>
      </c>
      <c r="E988" s="11"/>
    </row>
    <row r="989" spans="1:5">
      <c r="A989" t="s">
        <v>4494</v>
      </c>
      <c r="B989" t="s">
        <v>4495</v>
      </c>
      <c r="C989" t="s">
        <v>9618</v>
      </c>
      <c r="E989" s="11"/>
    </row>
    <row r="990" spans="1:5">
      <c r="A990" t="s">
        <v>5717</v>
      </c>
      <c r="B990" t="s">
        <v>5718</v>
      </c>
      <c r="C990" t="s">
        <v>9322</v>
      </c>
      <c r="E990" s="11" t="s">
        <v>9323</v>
      </c>
    </row>
    <row r="991" spans="1:5">
      <c r="A991" t="s">
        <v>5608</v>
      </c>
      <c r="B991" t="s">
        <v>5609</v>
      </c>
      <c r="C991" t="s">
        <v>9358</v>
      </c>
      <c r="E991" s="11" t="s">
        <v>9359</v>
      </c>
    </row>
    <row r="992" spans="1:5">
      <c r="A992" t="s">
        <v>8409</v>
      </c>
      <c r="B992" t="s">
        <v>8410</v>
      </c>
      <c r="C992" t="s">
        <v>8447</v>
      </c>
      <c r="E992" s="11" t="s">
        <v>8473</v>
      </c>
    </row>
    <row r="993" spans="1:8">
      <c r="A993" t="s">
        <v>360</v>
      </c>
      <c r="B993" t="s">
        <v>361</v>
      </c>
      <c r="C993" t="s">
        <v>8746</v>
      </c>
      <c r="E993" s="11"/>
    </row>
    <row r="994" spans="1:8">
      <c r="A994" t="s">
        <v>908</v>
      </c>
      <c r="B994" t="s">
        <v>909</v>
      </c>
      <c r="C994" t="s">
        <v>8746</v>
      </c>
      <c r="E994" s="11"/>
    </row>
    <row r="995" spans="1:8">
      <c r="A995" t="s">
        <v>2654</v>
      </c>
      <c r="B995" t="s">
        <v>2655</v>
      </c>
      <c r="C995" t="s">
        <v>8746</v>
      </c>
      <c r="E995" s="11"/>
    </row>
    <row r="996" spans="1:8">
      <c r="A996" t="s">
        <v>5244</v>
      </c>
      <c r="B996" t="s">
        <v>5245</v>
      </c>
      <c r="C996" t="s">
        <v>8746</v>
      </c>
      <c r="E996" s="11"/>
    </row>
    <row r="997" spans="1:8">
      <c r="A997" t="s">
        <v>7212</v>
      </c>
      <c r="B997" t="s">
        <v>7213</v>
      </c>
      <c r="C997" t="s">
        <v>8746</v>
      </c>
      <c r="E997" s="11"/>
    </row>
    <row r="998" spans="1:8">
      <c r="A998" t="s">
        <v>6755</v>
      </c>
      <c r="B998" t="s">
        <v>6756</v>
      </c>
      <c r="C998" t="s">
        <v>8934</v>
      </c>
      <c r="E998" s="11" t="s">
        <v>8935</v>
      </c>
      <c r="F998" s="11" t="s">
        <v>8936</v>
      </c>
      <c r="G998" t="s">
        <v>10992</v>
      </c>
      <c r="H998" t="s">
        <v>10993</v>
      </c>
    </row>
    <row r="999" spans="1:8">
      <c r="A999" t="s">
        <v>6755</v>
      </c>
      <c r="B999" t="s">
        <v>6756</v>
      </c>
      <c r="C999" t="s">
        <v>8934</v>
      </c>
      <c r="E999" s="11" t="s">
        <v>8935</v>
      </c>
      <c r="F999" s="11" t="s">
        <v>8937</v>
      </c>
      <c r="G999" t="s">
        <v>10996</v>
      </c>
      <c r="H999" t="s">
        <v>10997</v>
      </c>
    </row>
    <row r="1000" spans="1:8">
      <c r="A1000" t="s">
        <v>6755</v>
      </c>
      <c r="B1000" t="s">
        <v>6756</v>
      </c>
      <c r="C1000" t="s">
        <v>8934</v>
      </c>
      <c r="E1000" s="11" t="s">
        <v>8935</v>
      </c>
      <c r="F1000" s="11" t="s">
        <v>8938</v>
      </c>
      <c r="G1000" t="s">
        <v>10998</v>
      </c>
      <c r="H1000" t="s">
        <v>10999</v>
      </c>
    </row>
    <row r="1001" spans="1:8">
      <c r="A1001" t="s">
        <v>6755</v>
      </c>
      <c r="B1001" t="s">
        <v>6756</v>
      </c>
      <c r="C1001" t="s">
        <v>8934</v>
      </c>
      <c r="E1001" s="11" t="s">
        <v>8935</v>
      </c>
      <c r="F1001" s="11" t="s">
        <v>8939</v>
      </c>
      <c r="G1001" t="s">
        <v>11002</v>
      </c>
      <c r="H1001" t="s">
        <v>11003</v>
      </c>
    </row>
    <row r="1002" spans="1:8">
      <c r="A1002" t="s">
        <v>6755</v>
      </c>
      <c r="B1002" t="s">
        <v>6756</v>
      </c>
      <c r="C1002" t="s">
        <v>8934</v>
      </c>
      <c r="E1002" s="11" t="s">
        <v>8935</v>
      </c>
      <c r="F1002" s="11" t="s">
        <v>8940</v>
      </c>
      <c r="G1002" t="s">
        <v>11628</v>
      </c>
      <c r="H1002" t="s">
        <v>11629</v>
      </c>
    </row>
    <row r="1003" spans="1:8">
      <c r="A1003" t="s">
        <v>2919</v>
      </c>
      <c r="B1003" t="s">
        <v>2920</v>
      </c>
      <c r="C1003" t="s">
        <v>9964</v>
      </c>
      <c r="E1003" s="11" t="s">
        <v>9965</v>
      </c>
      <c r="F1003" s="11" t="s">
        <v>9966</v>
      </c>
      <c r="G1003" t="s">
        <v>10933</v>
      </c>
      <c r="H1003" t="s">
        <v>10934</v>
      </c>
    </row>
    <row r="1004" spans="1:8">
      <c r="A1004" t="s">
        <v>2919</v>
      </c>
      <c r="B1004" t="s">
        <v>2920</v>
      </c>
      <c r="C1004" t="s">
        <v>9964</v>
      </c>
      <c r="E1004" s="11" t="s">
        <v>9965</v>
      </c>
      <c r="F1004" s="11" t="s">
        <v>9967</v>
      </c>
      <c r="G1004" t="s">
        <v>10935</v>
      </c>
      <c r="H1004" t="s">
        <v>10936</v>
      </c>
    </row>
    <row r="1005" spans="1:8">
      <c r="A1005" t="s">
        <v>2919</v>
      </c>
      <c r="B1005" t="s">
        <v>2920</v>
      </c>
      <c r="C1005" t="s">
        <v>9964</v>
      </c>
      <c r="E1005" s="11" t="s">
        <v>9965</v>
      </c>
      <c r="F1005" s="11" t="s">
        <v>9968</v>
      </c>
      <c r="G1005" t="s">
        <v>10937</v>
      </c>
      <c r="H1005" t="s">
        <v>10938</v>
      </c>
    </row>
    <row r="1006" spans="1:8">
      <c r="A1006" t="s">
        <v>7232</v>
      </c>
      <c r="B1006" t="s">
        <v>7233</v>
      </c>
      <c r="C1006" t="s">
        <v>8736</v>
      </c>
      <c r="E1006" s="11" t="s">
        <v>8737</v>
      </c>
      <c r="F1006" s="11" t="s">
        <v>8738</v>
      </c>
      <c r="G1006" t="s">
        <v>11710</v>
      </c>
      <c r="H1006" t="s">
        <v>11711</v>
      </c>
    </row>
    <row r="1007" spans="1:8">
      <c r="A1007" t="s">
        <v>7232</v>
      </c>
      <c r="B1007" t="s">
        <v>7233</v>
      </c>
      <c r="C1007" t="s">
        <v>8736</v>
      </c>
      <c r="E1007" s="11" t="s">
        <v>8737</v>
      </c>
      <c r="F1007" s="11" t="s">
        <v>8739</v>
      </c>
      <c r="G1007" t="s">
        <v>11712</v>
      </c>
      <c r="H1007" t="s">
        <v>11713</v>
      </c>
    </row>
    <row r="1008" spans="1:8">
      <c r="A1008" t="s">
        <v>2306</v>
      </c>
      <c r="B1008" t="s">
        <v>2307</v>
      </c>
      <c r="C1008" t="s">
        <v>10100</v>
      </c>
      <c r="E1008" s="11" t="s">
        <v>10101</v>
      </c>
      <c r="F1008" s="11" t="s">
        <v>10102</v>
      </c>
      <c r="G1008" t="s">
        <v>10797</v>
      </c>
      <c r="H1008" t="s">
        <v>10798</v>
      </c>
    </row>
    <row r="1009" spans="1:8">
      <c r="A1009" t="s">
        <v>171</v>
      </c>
      <c r="B1009" t="s">
        <v>172</v>
      </c>
      <c r="C1009" t="s">
        <v>9496</v>
      </c>
      <c r="E1009" s="11" t="s">
        <v>9497</v>
      </c>
      <c r="F1009" s="11" t="s">
        <v>9498</v>
      </c>
      <c r="G1009" t="s">
        <v>10484</v>
      </c>
      <c r="H1009" t="s">
        <v>10485</v>
      </c>
    </row>
    <row r="1010" spans="1:8">
      <c r="A1010" t="s">
        <v>4842</v>
      </c>
      <c r="B1010" t="s">
        <v>4843</v>
      </c>
      <c r="C1010" t="s">
        <v>9496</v>
      </c>
      <c r="E1010" s="11" t="s">
        <v>9497</v>
      </c>
      <c r="F1010" s="11" t="s">
        <v>9498</v>
      </c>
      <c r="G1010" t="s">
        <v>10484</v>
      </c>
      <c r="H1010" t="s">
        <v>10485</v>
      </c>
    </row>
    <row r="1011" spans="1:8">
      <c r="A1011" t="s">
        <v>3392</v>
      </c>
      <c r="B1011" t="s">
        <v>3393</v>
      </c>
      <c r="C1011" t="s">
        <v>9893</v>
      </c>
      <c r="E1011" s="11" t="s">
        <v>9894</v>
      </c>
      <c r="F1011" s="11" t="s">
        <v>8936</v>
      </c>
      <c r="G1011" t="s">
        <v>10992</v>
      </c>
      <c r="H1011" t="s">
        <v>10993</v>
      </c>
    </row>
    <row r="1012" spans="1:8">
      <c r="A1012" t="s">
        <v>3392</v>
      </c>
      <c r="B1012" t="s">
        <v>3393</v>
      </c>
      <c r="C1012" t="s">
        <v>9893</v>
      </c>
      <c r="E1012" s="11" t="s">
        <v>9894</v>
      </c>
      <c r="F1012" s="11" t="s">
        <v>9895</v>
      </c>
      <c r="G1012" t="s">
        <v>10994</v>
      </c>
      <c r="H1012" t="s">
        <v>10995</v>
      </c>
    </row>
    <row r="1013" spans="1:8">
      <c r="A1013" t="s">
        <v>3392</v>
      </c>
      <c r="B1013" t="s">
        <v>3393</v>
      </c>
      <c r="C1013" t="s">
        <v>9893</v>
      </c>
      <c r="E1013" s="11" t="s">
        <v>9894</v>
      </c>
      <c r="F1013" s="11" t="s">
        <v>8937</v>
      </c>
      <c r="G1013" t="s">
        <v>10996</v>
      </c>
      <c r="H1013" t="s">
        <v>10997</v>
      </c>
    </row>
    <row r="1014" spans="1:8">
      <c r="A1014" t="s">
        <v>3392</v>
      </c>
      <c r="B1014" t="s">
        <v>3393</v>
      </c>
      <c r="C1014" t="s">
        <v>9893</v>
      </c>
      <c r="E1014" s="11" t="s">
        <v>9894</v>
      </c>
      <c r="F1014" s="11" t="s">
        <v>8938</v>
      </c>
      <c r="G1014" t="s">
        <v>10998</v>
      </c>
      <c r="H1014" t="s">
        <v>10999</v>
      </c>
    </row>
    <row r="1015" spans="1:8">
      <c r="A1015" t="s">
        <v>3392</v>
      </c>
      <c r="B1015" t="s">
        <v>3393</v>
      </c>
      <c r="C1015" t="s">
        <v>9893</v>
      </c>
      <c r="E1015" s="11" t="s">
        <v>9894</v>
      </c>
      <c r="F1015" s="11" t="s">
        <v>9896</v>
      </c>
      <c r="G1015" t="s">
        <v>11000</v>
      </c>
      <c r="H1015" t="s">
        <v>11001</v>
      </c>
    </row>
    <row r="1016" spans="1:8">
      <c r="A1016" t="s">
        <v>3392</v>
      </c>
      <c r="B1016" t="s">
        <v>3393</v>
      </c>
      <c r="C1016" t="s">
        <v>9893</v>
      </c>
      <c r="E1016" s="11" t="s">
        <v>9894</v>
      </c>
      <c r="F1016" s="11" t="s">
        <v>8939</v>
      </c>
      <c r="G1016" t="s">
        <v>11002</v>
      </c>
      <c r="H1016" t="s">
        <v>11003</v>
      </c>
    </row>
    <row r="1017" spans="1:8">
      <c r="A1017" t="s">
        <v>6926</v>
      </c>
      <c r="B1017" t="s">
        <v>6927</v>
      </c>
      <c r="C1017" t="s">
        <v>8847</v>
      </c>
      <c r="E1017" s="11" t="s">
        <v>8848</v>
      </c>
      <c r="F1017" s="11" t="s">
        <v>8849</v>
      </c>
      <c r="G1017" t="s">
        <v>11643</v>
      </c>
      <c r="H1017" t="s">
        <v>11644</v>
      </c>
    </row>
    <row r="1018" spans="1:8">
      <c r="A1018" t="s">
        <v>6926</v>
      </c>
      <c r="B1018" t="s">
        <v>6927</v>
      </c>
      <c r="C1018" t="s">
        <v>8847</v>
      </c>
      <c r="E1018" s="11" t="s">
        <v>8848</v>
      </c>
      <c r="F1018" s="11" t="s">
        <v>8850</v>
      </c>
      <c r="G1018" t="s">
        <v>11645</v>
      </c>
      <c r="H1018" t="s">
        <v>11646</v>
      </c>
    </row>
    <row r="1019" spans="1:8">
      <c r="A1019" t="s">
        <v>4842</v>
      </c>
      <c r="B1019" t="s">
        <v>4843</v>
      </c>
      <c r="C1019" t="s">
        <v>9124</v>
      </c>
      <c r="E1019" s="11" t="s">
        <v>9125</v>
      </c>
      <c r="F1019" s="11" t="s">
        <v>9126</v>
      </c>
      <c r="G1019" t="s">
        <v>11239</v>
      </c>
      <c r="H1019" t="s">
        <v>11240</v>
      </c>
    </row>
    <row r="1020" spans="1:8">
      <c r="A1020" t="s">
        <v>6182</v>
      </c>
      <c r="B1020" t="s">
        <v>6183</v>
      </c>
      <c r="C1020" t="s">
        <v>9124</v>
      </c>
      <c r="E1020" s="11" t="s">
        <v>9125</v>
      </c>
      <c r="F1020" s="11" t="s">
        <v>9126</v>
      </c>
      <c r="G1020" t="s">
        <v>11239</v>
      </c>
      <c r="H1020" t="s">
        <v>11240</v>
      </c>
    </row>
    <row r="1021" spans="1:8">
      <c r="A1021" t="s">
        <v>986</v>
      </c>
      <c r="B1021" t="s">
        <v>987</v>
      </c>
      <c r="C1021" t="s">
        <v>10342</v>
      </c>
      <c r="E1021" s="11" t="s">
        <v>10343</v>
      </c>
      <c r="F1021" s="11" t="s">
        <v>10344</v>
      </c>
      <c r="G1021" t="s">
        <v>10567</v>
      </c>
      <c r="H1021" t="s">
        <v>10568</v>
      </c>
    </row>
    <row r="1022" spans="1:8">
      <c r="A1022" t="s">
        <v>986</v>
      </c>
      <c r="B1022" t="s">
        <v>987</v>
      </c>
      <c r="C1022" t="s">
        <v>10342</v>
      </c>
      <c r="E1022" s="11" t="s">
        <v>10343</v>
      </c>
      <c r="F1022" s="11" t="s">
        <v>10345</v>
      </c>
      <c r="G1022" t="s">
        <v>10500</v>
      </c>
      <c r="H1022" t="s">
        <v>10569</v>
      </c>
    </row>
    <row r="1023" spans="1:8">
      <c r="A1023" t="s">
        <v>986</v>
      </c>
      <c r="B1023" t="s">
        <v>987</v>
      </c>
      <c r="C1023" t="s">
        <v>10342</v>
      </c>
      <c r="E1023" s="11" t="s">
        <v>10343</v>
      </c>
      <c r="F1023" s="11" t="s">
        <v>10346</v>
      </c>
      <c r="G1023" t="s">
        <v>10570</v>
      </c>
      <c r="H1023" t="s">
        <v>10571</v>
      </c>
    </row>
    <row r="1024" spans="1:8">
      <c r="A1024" t="s">
        <v>986</v>
      </c>
      <c r="B1024" t="s">
        <v>987</v>
      </c>
      <c r="C1024" t="s">
        <v>10342</v>
      </c>
      <c r="E1024" s="11" t="s">
        <v>10343</v>
      </c>
      <c r="F1024" s="11" t="s">
        <v>10347</v>
      </c>
      <c r="G1024" t="s">
        <v>10572</v>
      </c>
      <c r="H1024" t="s">
        <v>10573</v>
      </c>
    </row>
    <row r="1025" spans="1:8">
      <c r="A1025" t="s">
        <v>986</v>
      </c>
      <c r="B1025" t="s">
        <v>987</v>
      </c>
      <c r="C1025" t="s">
        <v>10342</v>
      </c>
      <c r="E1025" s="11" t="s">
        <v>10343</v>
      </c>
      <c r="F1025" s="11" t="s">
        <v>10348</v>
      </c>
      <c r="G1025" t="s">
        <v>10574</v>
      </c>
      <c r="H1025" t="s">
        <v>10575</v>
      </c>
    </row>
    <row r="1026" spans="1:8">
      <c r="A1026" t="s">
        <v>986</v>
      </c>
      <c r="B1026" t="s">
        <v>987</v>
      </c>
      <c r="C1026" t="s">
        <v>10342</v>
      </c>
      <c r="E1026" s="11" t="s">
        <v>10343</v>
      </c>
      <c r="F1026" s="11" t="s">
        <v>10349</v>
      </c>
      <c r="G1026" t="s">
        <v>10576</v>
      </c>
      <c r="H1026" t="s">
        <v>10577</v>
      </c>
    </row>
    <row r="1027" spans="1:8">
      <c r="A1027" t="s">
        <v>986</v>
      </c>
      <c r="B1027" t="s">
        <v>987</v>
      </c>
      <c r="C1027" t="s">
        <v>10342</v>
      </c>
      <c r="E1027" s="11" t="s">
        <v>10343</v>
      </c>
      <c r="F1027" s="11" t="s">
        <v>10350</v>
      </c>
      <c r="G1027" t="s">
        <v>10578</v>
      </c>
      <c r="H1027" t="s">
        <v>10579</v>
      </c>
    </row>
    <row r="1028" spans="1:8">
      <c r="A1028" t="s">
        <v>986</v>
      </c>
      <c r="B1028" t="s">
        <v>987</v>
      </c>
      <c r="C1028" t="s">
        <v>10342</v>
      </c>
      <c r="E1028" s="11" t="s">
        <v>10343</v>
      </c>
      <c r="F1028" s="11" t="s">
        <v>10351</v>
      </c>
      <c r="G1028" t="s">
        <v>10580</v>
      </c>
      <c r="H1028" t="s">
        <v>10581</v>
      </c>
    </row>
    <row r="1029" spans="1:8">
      <c r="A1029" t="s">
        <v>986</v>
      </c>
      <c r="B1029" t="s">
        <v>987</v>
      </c>
      <c r="C1029" t="s">
        <v>10342</v>
      </c>
      <c r="E1029" s="11" t="s">
        <v>10343</v>
      </c>
      <c r="F1029" s="11" t="s">
        <v>10352</v>
      </c>
      <c r="G1029" t="s">
        <v>10582</v>
      </c>
      <c r="H1029" t="s">
        <v>10583</v>
      </c>
    </row>
    <row r="1030" spans="1:8">
      <c r="A1030" t="s">
        <v>986</v>
      </c>
      <c r="B1030" t="s">
        <v>987</v>
      </c>
      <c r="C1030" t="s">
        <v>10342</v>
      </c>
      <c r="E1030" s="11" t="s">
        <v>10343</v>
      </c>
      <c r="F1030" s="11" t="s">
        <v>10353</v>
      </c>
      <c r="G1030" t="s">
        <v>10584</v>
      </c>
      <c r="H1030" t="s">
        <v>10585</v>
      </c>
    </row>
    <row r="1031" spans="1:8">
      <c r="A1031" t="s">
        <v>986</v>
      </c>
      <c r="B1031" t="s">
        <v>987</v>
      </c>
      <c r="C1031" t="s">
        <v>10342</v>
      </c>
      <c r="E1031" s="11" t="s">
        <v>10343</v>
      </c>
      <c r="F1031" s="11" t="s">
        <v>10354</v>
      </c>
      <c r="G1031" t="s">
        <v>10586</v>
      </c>
      <c r="H1031" t="s">
        <v>10587</v>
      </c>
    </row>
    <row r="1032" spans="1:8">
      <c r="A1032" t="s">
        <v>986</v>
      </c>
      <c r="B1032" t="s">
        <v>987</v>
      </c>
      <c r="C1032" t="s">
        <v>10342</v>
      </c>
      <c r="E1032" s="11" t="s">
        <v>10343</v>
      </c>
      <c r="F1032" s="11" t="s">
        <v>10355</v>
      </c>
      <c r="G1032" t="s">
        <v>10588</v>
      </c>
      <c r="H1032" t="s">
        <v>10589</v>
      </c>
    </row>
    <row r="1033" spans="1:8">
      <c r="A1033" t="s">
        <v>986</v>
      </c>
      <c r="B1033" t="s">
        <v>987</v>
      </c>
      <c r="C1033" t="s">
        <v>10342</v>
      </c>
      <c r="E1033" s="11" t="s">
        <v>10343</v>
      </c>
      <c r="F1033" s="11" t="s">
        <v>10356</v>
      </c>
      <c r="G1033" t="s">
        <v>10590</v>
      </c>
      <c r="H1033" t="s">
        <v>10591</v>
      </c>
    </row>
    <row r="1034" spans="1:8">
      <c r="A1034" t="s">
        <v>986</v>
      </c>
      <c r="B1034" t="s">
        <v>987</v>
      </c>
      <c r="C1034" t="s">
        <v>10342</v>
      </c>
      <c r="E1034" s="11" t="s">
        <v>10343</v>
      </c>
      <c r="F1034" s="11" t="s">
        <v>10357</v>
      </c>
      <c r="G1034" t="s">
        <v>10592</v>
      </c>
      <c r="H1034" t="s">
        <v>10593</v>
      </c>
    </row>
    <row r="1035" spans="1:8">
      <c r="A1035" t="s">
        <v>986</v>
      </c>
      <c r="B1035" t="s">
        <v>987</v>
      </c>
      <c r="C1035" t="s">
        <v>10342</v>
      </c>
      <c r="E1035" s="11" t="s">
        <v>10343</v>
      </c>
      <c r="F1035" s="11" t="s">
        <v>10358</v>
      </c>
      <c r="G1035" t="s">
        <v>10594</v>
      </c>
      <c r="H1035" t="s">
        <v>10595</v>
      </c>
    </row>
    <row r="1036" spans="1:8">
      <c r="A1036" t="s">
        <v>2445</v>
      </c>
      <c r="B1036" t="s">
        <v>2446</v>
      </c>
      <c r="C1036" t="s">
        <v>10074</v>
      </c>
      <c r="E1036" s="11" t="s">
        <v>10075</v>
      </c>
      <c r="F1036" s="11" t="s">
        <v>10076</v>
      </c>
      <c r="G1036" t="s">
        <v>10850</v>
      </c>
      <c r="H1036" t="s">
        <v>10851</v>
      </c>
    </row>
    <row r="1037" spans="1:8">
      <c r="A1037" t="s">
        <v>2445</v>
      </c>
      <c r="B1037" t="s">
        <v>2446</v>
      </c>
      <c r="C1037" t="s">
        <v>10074</v>
      </c>
      <c r="E1037" s="11" t="s">
        <v>10075</v>
      </c>
      <c r="F1037" s="11" t="s">
        <v>10077</v>
      </c>
      <c r="G1037" t="s">
        <v>10852</v>
      </c>
      <c r="H1037" t="s">
        <v>10853</v>
      </c>
    </row>
    <row r="1038" spans="1:8">
      <c r="A1038" t="s">
        <v>3911</v>
      </c>
      <c r="B1038" t="s">
        <v>3912</v>
      </c>
      <c r="C1038" t="s">
        <v>9768</v>
      </c>
      <c r="E1038" s="11"/>
    </row>
    <row r="1039" spans="1:8">
      <c r="A1039" t="s">
        <v>2157</v>
      </c>
      <c r="B1039" t="s">
        <v>2158</v>
      </c>
      <c r="C1039" t="s">
        <v>10115</v>
      </c>
      <c r="E1039" s="11" t="s">
        <v>10116</v>
      </c>
      <c r="F1039" s="11" t="s">
        <v>10117</v>
      </c>
      <c r="G1039" t="s">
        <v>10781</v>
      </c>
      <c r="H1039" t="s">
        <v>10782</v>
      </c>
    </row>
    <row r="1040" spans="1:8">
      <c r="A1040" t="s">
        <v>4382</v>
      </c>
      <c r="B1040" t="s">
        <v>4383</v>
      </c>
      <c r="C1040" t="s">
        <v>8623</v>
      </c>
      <c r="E1040" s="11"/>
    </row>
    <row r="1041" spans="1:8">
      <c r="A1041" t="s">
        <v>7199</v>
      </c>
      <c r="B1041" t="s">
        <v>7200</v>
      </c>
      <c r="C1041" t="s">
        <v>8623</v>
      </c>
      <c r="E1041" s="11"/>
    </row>
    <row r="1042" spans="1:8">
      <c r="A1042" t="s">
        <v>7287</v>
      </c>
      <c r="B1042" t="s">
        <v>7288</v>
      </c>
      <c r="C1042" t="s">
        <v>8623</v>
      </c>
      <c r="E1042" s="11"/>
    </row>
    <row r="1043" spans="1:8">
      <c r="A1043" t="s">
        <v>7595</v>
      </c>
      <c r="B1043" t="s">
        <v>7596</v>
      </c>
      <c r="C1043" t="s">
        <v>8623</v>
      </c>
      <c r="E1043" s="11"/>
    </row>
    <row r="1044" spans="1:8">
      <c r="A1044" t="s">
        <v>5857</v>
      </c>
      <c r="B1044" t="s">
        <v>5858</v>
      </c>
      <c r="C1044" t="s">
        <v>9258</v>
      </c>
      <c r="E1044" s="11" t="s">
        <v>9259</v>
      </c>
      <c r="F1044" s="11" t="s">
        <v>9260</v>
      </c>
      <c r="G1044" t="s">
        <v>11387</v>
      </c>
      <c r="H1044" t="s">
        <v>11388</v>
      </c>
    </row>
    <row r="1045" spans="1:8">
      <c r="A1045" t="s">
        <v>5811</v>
      </c>
      <c r="B1045" t="s">
        <v>5812</v>
      </c>
      <c r="C1045" t="s">
        <v>9271</v>
      </c>
      <c r="E1045" s="11" t="s">
        <v>9272</v>
      </c>
    </row>
    <row r="1046" spans="1:8">
      <c r="A1046" t="s">
        <v>386</v>
      </c>
      <c r="B1046" t="s">
        <v>387</v>
      </c>
      <c r="C1046" t="s">
        <v>8546</v>
      </c>
      <c r="E1046" s="11"/>
    </row>
    <row r="1047" spans="1:8">
      <c r="A1047" t="s">
        <v>2450</v>
      </c>
      <c r="B1047" t="s">
        <v>2451</v>
      </c>
      <c r="C1047" t="s">
        <v>8546</v>
      </c>
      <c r="E1047" s="11"/>
    </row>
    <row r="1048" spans="1:8">
      <c r="A1048" t="s">
        <v>3168</v>
      </c>
      <c r="B1048" t="s">
        <v>3169</v>
      </c>
      <c r="C1048" t="s">
        <v>8546</v>
      </c>
      <c r="E1048" s="11"/>
    </row>
    <row r="1049" spans="1:8">
      <c r="A1049" t="s">
        <v>6558</v>
      </c>
      <c r="B1049" t="s">
        <v>6559</v>
      </c>
      <c r="C1049" t="s">
        <v>8546</v>
      </c>
      <c r="E1049" s="11"/>
    </row>
    <row r="1050" spans="1:8">
      <c r="A1050" t="s">
        <v>8159</v>
      </c>
      <c r="B1050" t="s">
        <v>8160</v>
      </c>
      <c r="C1050" t="s">
        <v>8546</v>
      </c>
      <c r="E1050" s="11"/>
    </row>
    <row r="1051" spans="1:8">
      <c r="A1051" t="s">
        <v>461</v>
      </c>
      <c r="B1051" t="s">
        <v>462</v>
      </c>
      <c r="C1051" t="s">
        <v>8605</v>
      </c>
      <c r="E1051" s="11" t="s">
        <v>8606</v>
      </c>
    </row>
    <row r="1052" spans="1:8">
      <c r="A1052" t="s">
        <v>7756</v>
      </c>
      <c r="B1052" t="s">
        <v>7757</v>
      </c>
      <c r="C1052" t="s">
        <v>8605</v>
      </c>
      <c r="E1052" s="11" t="s">
        <v>8606</v>
      </c>
    </row>
    <row r="1053" spans="1:8">
      <c r="A1053" t="s">
        <v>5713</v>
      </c>
      <c r="B1053" t="s">
        <v>5714</v>
      </c>
      <c r="C1053" t="s">
        <v>9324</v>
      </c>
      <c r="E1053" s="11" t="s">
        <v>9326</v>
      </c>
    </row>
    <row r="1054" spans="1:8">
      <c r="A1054" t="s">
        <v>3745</v>
      </c>
      <c r="B1054" t="s">
        <v>3746</v>
      </c>
      <c r="C1054" t="s">
        <v>9785</v>
      </c>
      <c r="E1054" s="11" t="s">
        <v>9786</v>
      </c>
    </row>
    <row r="1055" spans="1:8">
      <c r="A1055" t="s">
        <v>323</v>
      </c>
      <c r="B1055" t="s">
        <v>324</v>
      </c>
      <c r="C1055" t="s">
        <v>10442</v>
      </c>
      <c r="E1055" s="11" t="s">
        <v>10443</v>
      </c>
      <c r="F1055" s="11" t="s">
        <v>10444</v>
      </c>
      <c r="G1055" t="s">
        <v>10500</v>
      </c>
      <c r="H1055" t="s">
        <v>10501</v>
      </c>
    </row>
    <row r="1056" spans="1:8">
      <c r="A1056" t="s">
        <v>940</v>
      </c>
      <c r="B1056" t="s">
        <v>941</v>
      </c>
      <c r="C1056" t="s">
        <v>10367</v>
      </c>
      <c r="E1056" s="11" t="s">
        <v>10368</v>
      </c>
      <c r="F1056" s="11" t="s">
        <v>10369</v>
      </c>
      <c r="G1056" t="s">
        <v>10558</v>
      </c>
      <c r="H1056" t="s">
        <v>10559</v>
      </c>
    </row>
    <row r="1057" spans="1:8">
      <c r="A1057" t="s">
        <v>940</v>
      </c>
      <c r="B1057" t="s">
        <v>941</v>
      </c>
      <c r="C1057" t="s">
        <v>10367</v>
      </c>
      <c r="E1057" s="11" t="s">
        <v>10368</v>
      </c>
      <c r="F1057" s="11" t="s">
        <v>10370</v>
      </c>
      <c r="G1057" t="s">
        <v>10560</v>
      </c>
      <c r="H1057" t="s">
        <v>10561</v>
      </c>
    </row>
    <row r="1058" spans="1:8">
      <c r="A1058" t="s">
        <v>1019</v>
      </c>
      <c r="B1058" t="s">
        <v>1020</v>
      </c>
      <c r="C1058" t="s">
        <v>8573</v>
      </c>
      <c r="E1058" s="11"/>
    </row>
    <row r="1059" spans="1:8">
      <c r="A1059" t="s">
        <v>1295</v>
      </c>
      <c r="B1059" t="s">
        <v>1296</v>
      </c>
      <c r="C1059" t="s">
        <v>8573</v>
      </c>
      <c r="E1059" s="11"/>
    </row>
    <row r="1060" spans="1:8">
      <c r="A1060" t="s">
        <v>1974</v>
      </c>
      <c r="B1060" t="s">
        <v>1975</v>
      </c>
      <c r="C1060" t="s">
        <v>8573</v>
      </c>
      <c r="E1060" s="11"/>
    </row>
    <row r="1061" spans="1:8">
      <c r="A1061" t="s">
        <v>1979</v>
      </c>
      <c r="B1061" t="s">
        <v>1980</v>
      </c>
      <c r="C1061" t="s">
        <v>8573</v>
      </c>
      <c r="E1061" s="11"/>
    </row>
    <row r="1062" spans="1:8">
      <c r="A1062" t="s">
        <v>2203</v>
      </c>
      <c r="B1062" t="s">
        <v>2204</v>
      </c>
      <c r="C1062" t="s">
        <v>8573</v>
      </c>
      <c r="E1062" s="11"/>
    </row>
    <row r="1063" spans="1:8">
      <c r="A1063" t="s">
        <v>2257</v>
      </c>
      <c r="B1063" t="s">
        <v>2258</v>
      </c>
      <c r="C1063" t="s">
        <v>8573</v>
      </c>
      <c r="E1063" s="11"/>
    </row>
    <row r="1064" spans="1:8">
      <c r="A1064" t="s">
        <v>4191</v>
      </c>
      <c r="B1064" t="s">
        <v>4192</v>
      </c>
      <c r="C1064" t="s">
        <v>8573</v>
      </c>
      <c r="E1064" s="11"/>
    </row>
    <row r="1065" spans="1:8">
      <c r="A1065" t="s">
        <v>6041</v>
      </c>
      <c r="B1065" t="s">
        <v>6042</v>
      </c>
      <c r="C1065" t="s">
        <v>8573</v>
      </c>
      <c r="E1065" s="11"/>
    </row>
    <row r="1066" spans="1:8">
      <c r="A1066" t="s">
        <v>7912</v>
      </c>
      <c r="B1066" t="s">
        <v>7913</v>
      </c>
      <c r="C1066" t="s">
        <v>8573</v>
      </c>
      <c r="E1066" s="11"/>
    </row>
    <row r="1067" spans="1:8">
      <c r="A1067" t="s">
        <v>1016</v>
      </c>
      <c r="B1067" t="s">
        <v>1017</v>
      </c>
      <c r="C1067" t="s">
        <v>10335</v>
      </c>
      <c r="E1067" s="11"/>
    </row>
    <row r="1068" spans="1:8">
      <c r="A1068" t="s">
        <v>6088</v>
      </c>
      <c r="B1068" t="s">
        <v>6089</v>
      </c>
      <c r="C1068" t="s">
        <v>9157</v>
      </c>
      <c r="E1068" s="11" t="s">
        <v>9158</v>
      </c>
      <c r="F1068" s="11" t="s">
        <v>8954</v>
      </c>
      <c r="G1068" t="s">
        <v>11461</v>
      </c>
      <c r="H1068" t="s">
        <v>11462</v>
      </c>
    </row>
    <row r="1069" spans="1:8">
      <c r="A1069" t="s">
        <v>6088</v>
      </c>
      <c r="B1069" t="s">
        <v>6089</v>
      </c>
      <c r="C1069" t="s">
        <v>9157</v>
      </c>
      <c r="E1069" s="11" t="s">
        <v>9158</v>
      </c>
      <c r="F1069" s="11" t="s">
        <v>8955</v>
      </c>
      <c r="G1069" t="s">
        <v>11463</v>
      </c>
      <c r="H1069" t="s">
        <v>11464</v>
      </c>
    </row>
    <row r="1070" spans="1:8">
      <c r="A1070" t="s">
        <v>1629</v>
      </c>
      <c r="B1070" t="s">
        <v>1630</v>
      </c>
      <c r="C1070" t="s">
        <v>9374</v>
      </c>
      <c r="E1070" s="11" t="s">
        <v>9375</v>
      </c>
    </row>
    <row r="1071" spans="1:8">
      <c r="A1071" t="s">
        <v>5533</v>
      </c>
      <c r="B1071" t="s">
        <v>5534</v>
      </c>
      <c r="C1071" t="s">
        <v>9374</v>
      </c>
      <c r="E1071" s="11" t="s">
        <v>9375</v>
      </c>
    </row>
    <row r="1072" spans="1:8">
      <c r="A1072" t="s">
        <v>6683</v>
      </c>
      <c r="B1072" t="s">
        <v>6684</v>
      </c>
      <c r="C1072" t="s">
        <v>8952</v>
      </c>
      <c r="E1072" s="11" t="s">
        <v>8953</v>
      </c>
      <c r="F1072" s="11" t="s">
        <v>8954</v>
      </c>
      <c r="G1072" t="s">
        <v>11461</v>
      </c>
      <c r="H1072" t="s">
        <v>11462</v>
      </c>
    </row>
    <row r="1073" spans="1:8">
      <c r="A1073" t="s">
        <v>6683</v>
      </c>
      <c r="B1073" t="s">
        <v>6684</v>
      </c>
      <c r="C1073" t="s">
        <v>8952</v>
      </c>
      <c r="E1073" s="11" t="s">
        <v>8953</v>
      </c>
      <c r="F1073" s="11" t="s">
        <v>8955</v>
      </c>
      <c r="G1073" t="s">
        <v>11463</v>
      </c>
      <c r="H1073" t="s">
        <v>11464</v>
      </c>
    </row>
    <row r="1074" spans="1:8">
      <c r="A1074" t="s">
        <v>4590</v>
      </c>
      <c r="B1074" t="s">
        <v>4591</v>
      </c>
      <c r="C1074" t="s">
        <v>9543</v>
      </c>
      <c r="E1074" s="11" t="s">
        <v>9544</v>
      </c>
    </row>
    <row r="1075" spans="1:8">
      <c r="A1075" t="s">
        <v>5971</v>
      </c>
      <c r="B1075" t="s">
        <v>5972</v>
      </c>
      <c r="C1075" t="s">
        <v>8667</v>
      </c>
      <c r="E1075" s="11" t="s">
        <v>8668</v>
      </c>
    </row>
    <row r="1076" spans="1:8">
      <c r="A1076" t="s">
        <v>7418</v>
      </c>
      <c r="B1076" t="s">
        <v>7419</v>
      </c>
      <c r="C1076" t="s">
        <v>8667</v>
      </c>
      <c r="E1076" s="11" t="s">
        <v>8668</v>
      </c>
    </row>
    <row r="1077" spans="1:8">
      <c r="A1077" t="s">
        <v>136</v>
      </c>
      <c r="B1077" t="s">
        <v>137</v>
      </c>
      <c r="C1077" t="s">
        <v>8856</v>
      </c>
      <c r="E1077" s="11"/>
      <c r="F1077" s="11"/>
    </row>
    <row r="1078" spans="1:8">
      <c r="A1078" t="s">
        <v>902</v>
      </c>
      <c r="B1078" t="s">
        <v>903</v>
      </c>
      <c r="C1078" t="s">
        <v>8856</v>
      </c>
      <c r="E1078" s="11"/>
    </row>
    <row r="1079" spans="1:8">
      <c r="A1079" t="s">
        <v>2287</v>
      </c>
      <c r="B1079" t="s">
        <v>2288</v>
      </c>
      <c r="C1079" t="s">
        <v>8856</v>
      </c>
      <c r="E1079" s="11"/>
    </row>
    <row r="1080" spans="1:8">
      <c r="A1080" t="s">
        <v>2539</v>
      </c>
      <c r="B1080" t="s">
        <v>2540</v>
      </c>
      <c r="C1080" t="s">
        <v>8856</v>
      </c>
      <c r="E1080" s="11"/>
    </row>
    <row r="1081" spans="1:8">
      <c r="A1081" t="s">
        <v>3805</v>
      </c>
      <c r="B1081" t="s">
        <v>3806</v>
      </c>
      <c r="C1081" t="s">
        <v>8856</v>
      </c>
      <c r="E1081" s="11"/>
    </row>
    <row r="1082" spans="1:8">
      <c r="A1082" t="s">
        <v>4193</v>
      </c>
      <c r="B1082" t="s">
        <v>4194</v>
      </c>
      <c r="C1082" t="s">
        <v>8856</v>
      </c>
      <c r="E1082" s="11"/>
    </row>
    <row r="1083" spans="1:8">
      <c r="A1083" t="s">
        <v>4837</v>
      </c>
      <c r="B1083" t="s">
        <v>4838</v>
      </c>
      <c r="C1083" t="s">
        <v>8856</v>
      </c>
      <c r="E1083" s="11"/>
    </row>
    <row r="1084" spans="1:8">
      <c r="A1084" t="s">
        <v>5063</v>
      </c>
      <c r="B1084" t="s">
        <v>5064</v>
      </c>
      <c r="C1084" t="s">
        <v>8856</v>
      </c>
      <c r="E1084" s="11"/>
    </row>
    <row r="1085" spans="1:8">
      <c r="A1085" t="s">
        <v>5156</v>
      </c>
      <c r="B1085" t="s">
        <v>5157</v>
      </c>
      <c r="C1085" t="s">
        <v>8856</v>
      </c>
      <c r="E1085" s="11"/>
    </row>
    <row r="1086" spans="1:8">
      <c r="A1086" t="s">
        <v>6900</v>
      </c>
      <c r="B1086" t="s">
        <v>6901</v>
      </c>
      <c r="C1086" t="s">
        <v>8856</v>
      </c>
      <c r="E1086" s="11"/>
    </row>
    <row r="1087" spans="1:8">
      <c r="A1087" t="s">
        <v>136</v>
      </c>
      <c r="B1087" t="s">
        <v>137</v>
      </c>
      <c r="C1087" t="s">
        <v>8478</v>
      </c>
      <c r="E1087" s="11" t="s">
        <v>8857</v>
      </c>
      <c r="F1087" s="11"/>
    </row>
    <row r="1088" spans="1:8">
      <c r="A1088" t="s">
        <v>6900</v>
      </c>
      <c r="B1088" t="s">
        <v>6901</v>
      </c>
      <c r="C1088" t="s">
        <v>8478</v>
      </c>
      <c r="E1088" s="11" t="s">
        <v>8857</v>
      </c>
    </row>
    <row r="1089" spans="1:8">
      <c r="A1089" t="s">
        <v>5307</v>
      </c>
      <c r="B1089" t="s">
        <v>5308</v>
      </c>
      <c r="C1089" t="s">
        <v>9447</v>
      </c>
      <c r="E1089" s="11" t="s">
        <v>9448</v>
      </c>
    </row>
    <row r="1090" spans="1:8">
      <c r="A1090" t="s">
        <v>5612</v>
      </c>
      <c r="B1090" t="s">
        <v>5613</v>
      </c>
      <c r="C1090" t="s">
        <v>9356</v>
      </c>
      <c r="E1090" s="11" t="s">
        <v>9357</v>
      </c>
    </row>
    <row r="1091" spans="1:8">
      <c r="A1091" t="s">
        <v>5895</v>
      </c>
      <c r="B1091" t="s">
        <v>5896</v>
      </c>
      <c r="C1091" t="s">
        <v>9244</v>
      </c>
      <c r="E1091" s="11" t="s">
        <v>9245</v>
      </c>
    </row>
    <row r="1092" spans="1:8">
      <c r="A1092" t="s">
        <v>4604</v>
      </c>
      <c r="B1092" t="s">
        <v>4605</v>
      </c>
      <c r="C1092" t="s">
        <v>9530</v>
      </c>
      <c r="E1092" s="11" t="s">
        <v>9531</v>
      </c>
    </row>
    <row r="1093" spans="1:8">
      <c r="A1093" t="s">
        <v>485</v>
      </c>
      <c r="B1093" t="s">
        <v>486</v>
      </c>
      <c r="C1093" t="s">
        <v>8872</v>
      </c>
      <c r="E1093" s="11"/>
    </row>
    <row r="1094" spans="1:8">
      <c r="A1094" t="s">
        <v>2483</v>
      </c>
      <c r="B1094" t="s">
        <v>2484</v>
      </c>
      <c r="C1094" t="s">
        <v>8872</v>
      </c>
      <c r="E1094" s="11"/>
    </row>
    <row r="1095" spans="1:8">
      <c r="A1095" t="s">
        <v>4640</v>
      </c>
      <c r="B1095" t="s">
        <v>4641</v>
      </c>
      <c r="C1095" t="s">
        <v>8872</v>
      </c>
      <c r="E1095" s="11"/>
    </row>
    <row r="1096" spans="1:8">
      <c r="A1096" t="s">
        <v>5550</v>
      </c>
      <c r="B1096" t="s">
        <v>5551</v>
      </c>
      <c r="C1096" t="s">
        <v>8872</v>
      </c>
      <c r="E1096" s="11"/>
    </row>
    <row r="1097" spans="1:8">
      <c r="A1097" t="s">
        <v>5589</v>
      </c>
      <c r="B1097" t="s">
        <v>5590</v>
      </c>
      <c r="C1097" t="s">
        <v>8872</v>
      </c>
      <c r="E1097" s="11"/>
    </row>
    <row r="1098" spans="1:8">
      <c r="A1098" t="s">
        <v>6340</v>
      </c>
      <c r="B1098" t="s">
        <v>6341</v>
      </c>
      <c r="C1098" t="s">
        <v>8872</v>
      </c>
      <c r="E1098" s="11"/>
    </row>
    <row r="1099" spans="1:8">
      <c r="A1099" t="s">
        <v>6863</v>
      </c>
      <c r="B1099" t="s">
        <v>6864</v>
      </c>
      <c r="C1099" t="s">
        <v>8872</v>
      </c>
      <c r="E1099" s="11"/>
    </row>
    <row r="1100" spans="1:8">
      <c r="A1100" t="s">
        <v>2596</v>
      </c>
      <c r="B1100" t="s">
        <v>2597</v>
      </c>
      <c r="C1100" t="s">
        <v>9976</v>
      </c>
      <c r="E1100" s="11"/>
    </row>
    <row r="1101" spans="1:8">
      <c r="A1101" t="s">
        <v>2884</v>
      </c>
      <c r="B1101" t="s">
        <v>2885</v>
      </c>
      <c r="C1101" t="s">
        <v>9976</v>
      </c>
      <c r="E1101" s="11"/>
    </row>
    <row r="1102" spans="1:8">
      <c r="A1102" t="s">
        <v>3086</v>
      </c>
      <c r="B1102" t="s">
        <v>3087</v>
      </c>
      <c r="C1102" t="s">
        <v>9243</v>
      </c>
      <c r="E1102" s="11"/>
    </row>
    <row r="1103" spans="1:8">
      <c r="A1103" t="s">
        <v>5904</v>
      </c>
      <c r="B1103" t="s">
        <v>5905</v>
      </c>
      <c r="C1103" t="s">
        <v>9243</v>
      </c>
      <c r="E1103" s="11"/>
    </row>
    <row r="1104" spans="1:8">
      <c r="A1104" t="s">
        <v>1136</v>
      </c>
      <c r="B1104" t="s">
        <v>1137</v>
      </c>
      <c r="C1104" t="s">
        <v>10325</v>
      </c>
      <c r="E1104" s="11" t="s">
        <v>10326</v>
      </c>
      <c r="F1104" s="11" t="s">
        <v>10327</v>
      </c>
      <c r="G1104" t="s">
        <v>10615</v>
      </c>
      <c r="H1104" t="s">
        <v>10616</v>
      </c>
    </row>
    <row r="1105" spans="1:8">
      <c r="A1105" t="s">
        <v>3136</v>
      </c>
      <c r="B1105" t="s">
        <v>3137</v>
      </c>
      <c r="C1105" t="s">
        <v>9942</v>
      </c>
      <c r="E1105" s="11" t="s">
        <v>9943</v>
      </c>
      <c r="F1105" s="11" t="s">
        <v>9944</v>
      </c>
      <c r="G1105" t="s">
        <v>10952</v>
      </c>
      <c r="H1105" t="s">
        <v>10953</v>
      </c>
    </row>
    <row r="1106" spans="1:8">
      <c r="A1106" t="s">
        <v>4218</v>
      </c>
      <c r="B1106" t="s">
        <v>4219</v>
      </c>
      <c r="C1106" t="s">
        <v>9704</v>
      </c>
      <c r="E1106" s="11" t="s">
        <v>9705</v>
      </c>
      <c r="F1106" s="11" t="s">
        <v>9706</v>
      </c>
      <c r="G1106" t="s">
        <v>11119</v>
      </c>
      <c r="H1106" t="s">
        <v>11120</v>
      </c>
    </row>
    <row r="1107" spans="1:8">
      <c r="A1107" t="s">
        <v>4218</v>
      </c>
      <c r="B1107" t="s">
        <v>4219</v>
      </c>
      <c r="C1107" t="s">
        <v>9704</v>
      </c>
      <c r="E1107" s="11" t="s">
        <v>9705</v>
      </c>
      <c r="F1107" s="11" t="s">
        <v>9707</v>
      </c>
      <c r="G1107" t="s">
        <v>11121</v>
      </c>
      <c r="H1107" t="s">
        <v>11122</v>
      </c>
    </row>
    <row r="1108" spans="1:8">
      <c r="A1108" t="s">
        <v>3165</v>
      </c>
      <c r="B1108" t="s">
        <v>3166</v>
      </c>
      <c r="C1108" t="s">
        <v>9933</v>
      </c>
      <c r="E1108" s="11" t="s">
        <v>9934</v>
      </c>
      <c r="F1108" s="11" t="s">
        <v>9935</v>
      </c>
      <c r="G1108" t="s">
        <v>10958</v>
      </c>
      <c r="H1108" t="s">
        <v>10959</v>
      </c>
    </row>
    <row r="1109" spans="1:8">
      <c r="A1109" t="s">
        <v>2280</v>
      </c>
      <c r="B1109" t="s">
        <v>2281</v>
      </c>
      <c r="C1109" t="s">
        <v>8778</v>
      </c>
      <c r="E1109" s="11" t="s">
        <v>8779</v>
      </c>
      <c r="F1109" s="11" t="s">
        <v>8780</v>
      </c>
      <c r="G1109" t="s">
        <v>10519</v>
      </c>
      <c r="H1109" t="s">
        <v>10520</v>
      </c>
    </row>
    <row r="1110" spans="1:8">
      <c r="A1110" t="s">
        <v>2280</v>
      </c>
      <c r="B1110" t="s">
        <v>2281</v>
      </c>
      <c r="C1110" t="s">
        <v>8778</v>
      </c>
      <c r="E1110" s="11" t="s">
        <v>8779</v>
      </c>
      <c r="F1110" s="11" t="s">
        <v>8781</v>
      </c>
      <c r="G1110" t="s">
        <v>10789</v>
      </c>
      <c r="H1110" t="s">
        <v>10790</v>
      </c>
    </row>
    <row r="1111" spans="1:8">
      <c r="A1111" t="s">
        <v>2280</v>
      </c>
      <c r="B1111" t="s">
        <v>2281</v>
      </c>
      <c r="C1111" t="s">
        <v>8778</v>
      </c>
      <c r="E1111" s="11" t="s">
        <v>8779</v>
      </c>
      <c r="F1111" s="11" t="s">
        <v>8782</v>
      </c>
      <c r="G1111" t="s">
        <v>10498</v>
      </c>
      <c r="H1111" t="s">
        <v>10499</v>
      </c>
    </row>
    <row r="1112" spans="1:8">
      <c r="A1112" t="s">
        <v>6821</v>
      </c>
      <c r="B1112" t="s">
        <v>6822</v>
      </c>
      <c r="C1112" t="s">
        <v>8778</v>
      </c>
      <c r="E1112" s="11" t="s">
        <v>8779</v>
      </c>
      <c r="F1112" s="11" t="s">
        <v>8780</v>
      </c>
      <c r="G1112" t="s">
        <v>10519</v>
      </c>
      <c r="H1112" t="s">
        <v>10520</v>
      </c>
    </row>
    <row r="1113" spans="1:8">
      <c r="A1113" t="s">
        <v>6821</v>
      </c>
      <c r="B1113" t="s">
        <v>6822</v>
      </c>
      <c r="C1113" t="s">
        <v>8778</v>
      </c>
      <c r="E1113" s="11" t="s">
        <v>8779</v>
      </c>
      <c r="F1113" s="11" t="s">
        <v>8781</v>
      </c>
      <c r="G1113" t="s">
        <v>10789</v>
      </c>
      <c r="H1113" t="s">
        <v>10790</v>
      </c>
    </row>
    <row r="1114" spans="1:8">
      <c r="A1114" t="s">
        <v>6821</v>
      </c>
      <c r="B1114" t="s">
        <v>6822</v>
      </c>
      <c r="C1114" t="s">
        <v>8778</v>
      </c>
      <c r="E1114" s="11" t="s">
        <v>8779</v>
      </c>
      <c r="F1114" s="11" t="s">
        <v>8782</v>
      </c>
      <c r="G1114" t="s">
        <v>10498</v>
      </c>
      <c r="H1114" t="s">
        <v>10499</v>
      </c>
    </row>
    <row r="1115" spans="1:8">
      <c r="A1115" t="s">
        <v>7133</v>
      </c>
      <c r="B1115" t="s">
        <v>7134</v>
      </c>
      <c r="C1115" t="s">
        <v>8778</v>
      </c>
      <c r="E1115" s="11" t="s">
        <v>8779</v>
      </c>
      <c r="F1115" s="11" t="s">
        <v>8780</v>
      </c>
      <c r="G1115" t="s">
        <v>10519</v>
      </c>
      <c r="H1115" t="s">
        <v>10520</v>
      </c>
    </row>
    <row r="1116" spans="1:8">
      <c r="A1116" t="s">
        <v>7133</v>
      </c>
      <c r="B1116" t="s">
        <v>7134</v>
      </c>
      <c r="C1116" t="s">
        <v>8778</v>
      </c>
      <c r="E1116" s="11" t="s">
        <v>8779</v>
      </c>
      <c r="F1116" s="11" t="s">
        <v>8781</v>
      </c>
      <c r="G1116" t="s">
        <v>10789</v>
      </c>
      <c r="H1116" t="s">
        <v>10790</v>
      </c>
    </row>
    <row r="1117" spans="1:8">
      <c r="A1117" t="s">
        <v>7133</v>
      </c>
      <c r="B1117" t="s">
        <v>7134</v>
      </c>
      <c r="C1117" t="s">
        <v>8778</v>
      </c>
      <c r="E1117" s="11" t="s">
        <v>8779</v>
      </c>
      <c r="F1117" s="11" t="s">
        <v>8782</v>
      </c>
      <c r="G1117" t="s">
        <v>10498</v>
      </c>
      <c r="H1117" t="s">
        <v>10499</v>
      </c>
    </row>
    <row r="1118" spans="1:8">
      <c r="A1118" t="s">
        <v>7276</v>
      </c>
      <c r="B1118" t="s">
        <v>7277</v>
      </c>
      <c r="C1118" t="s">
        <v>8724</v>
      </c>
      <c r="E1118" s="11" t="s">
        <v>8725</v>
      </c>
      <c r="F1118" s="11" t="s">
        <v>8726</v>
      </c>
      <c r="G1118" t="s">
        <v>11719</v>
      </c>
      <c r="H1118" t="s">
        <v>11720</v>
      </c>
    </row>
    <row r="1119" spans="1:8">
      <c r="A1119" t="s">
        <v>289</v>
      </c>
      <c r="B1119" t="s">
        <v>290</v>
      </c>
      <c r="C1119" t="s">
        <v>10445</v>
      </c>
      <c r="E1119" s="11" t="s">
        <v>10446</v>
      </c>
      <c r="F1119" s="11" t="s">
        <v>10447</v>
      </c>
      <c r="G1119" t="s">
        <v>10492</v>
      </c>
      <c r="H1119" t="s">
        <v>10493</v>
      </c>
    </row>
    <row r="1120" spans="1:8">
      <c r="A1120" t="s">
        <v>289</v>
      </c>
      <c r="B1120" t="s">
        <v>290</v>
      </c>
      <c r="C1120" t="s">
        <v>10445</v>
      </c>
      <c r="E1120" s="11" t="s">
        <v>10446</v>
      </c>
      <c r="F1120" s="11" t="s">
        <v>10448</v>
      </c>
      <c r="G1120" t="s">
        <v>10494</v>
      </c>
      <c r="H1120" t="s">
        <v>10495</v>
      </c>
    </row>
    <row r="1121" spans="1:8">
      <c r="A1121" t="s">
        <v>289</v>
      </c>
      <c r="B1121" t="s">
        <v>290</v>
      </c>
      <c r="C1121" t="s">
        <v>10445</v>
      </c>
      <c r="E1121" s="11" t="s">
        <v>10446</v>
      </c>
      <c r="F1121" s="11" t="s">
        <v>10449</v>
      </c>
      <c r="G1121" t="s">
        <v>10494</v>
      </c>
      <c r="H1121" t="s">
        <v>10496</v>
      </c>
    </row>
    <row r="1122" spans="1:8">
      <c r="A1122" t="s">
        <v>289</v>
      </c>
      <c r="B1122" t="s">
        <v>290</v>
      </c>
      <c r="C1122" t="s">
        <v>10445</v>
      </c>
      <c r="E1122" s="11" t="s">
        <v>10446</v>
      </c>
      <c r="F1122" s="11" t="s">
        <v>10450</v>
      </c>
      <c r="G1122" t="s">
        <v>10494</v>
      </c>
      <c r="H1122" t="s">
        <v>10497</v>
      </c>
    </row>
    <row r="1123" spans="1:8">
      <c r="A1123" t="s">
        <v>289</v>
      </c>
      <c r="B1123" t="s">
        <v>290</v>
      </c>
      <c r="C1123" t="s">
        <v>10445</v>
      </c>
      <c r="E1123" s="11" t="s">
        <v>10446</v>
      </c>
      <c r="F1123" s="11" t="s">
        <v>8782</v>
      </c>
      <c r="G1123" t="s">
        <v>10498</v>
      </c>
      <c r="H1123" t="s">
        <v>10499</v>
      </c>
    </row>
    <row r="1124" spans="1:8">
      <c r="A1124" t="s">
        <v>292</v>
      </c>
      <c r="B1124" t="s">
        <v>293</v>
      </c>
      <c r="C1124" t="s">
        <v>10445</v>
      </c>
      <c r="E1124" s="11" t="s">
        <v>10446</v>
      </c>
      <c r="F1124" s="11" t="s">
        <v>10447</v>
      </c>
      <c r="G1124" t="s">
        <v>10492</v>
      </c>
      <c r="H1124" t="s">
        <v>10493</v>
      </c>
    </row>
    <row r="1125" spans="1:8">
      <c r="A1125" t="s">
        <v>292</v>
      </c>
      <c r="B1125" t="s">
        <v>293</v>
      </c>
      <c r="C1125" t="s">
        <v>10445</v>
      </c>
      <c r="E1125" s="11" t="s">
        <v>10446</v>
      </c>
      <c r="F1125" s="11" t="s">
        <v>10448</v>
      </c>
      <c r="G1125" t="s">
        <v>10494</v>
      </c>
      <c r="H1125" t="s">
        <v>10495</v>
      </c>
    </row>
    <row r="1126" spans="1:8">
      <c r="A1126" t="s">
        <v>292</v>
      </c>
      <c r="B1126" t="s">
        <v>293</v>
      </c>
      <c r="C1126" t="s">
        <v>10445</v>
      </c>
      <c r="E1126" s="11" t="s">
        <v>10446</v>
      </c>
      <c r="F1126" s="11" t="s">
        <v>10449</v>
      </c>
      <c r="G1126" t="s">
        <v>10494</v>
      </c>
      <c r="H1126" t="s">
        <v>10496</v>
      </c>
    </row>
    <row r="1127" spans="1:8">
      <c r="A1127" t="s">
        <v>292</v>
      </c>
      <c r="B1127" t="s">
        <v>293</v>
      </c>
      <c r="C1127" t="s">
        <v>10445</v>
      </c>
      <c r="E1127" s="11" t="s">
        <v>10446</v>
      </c>
      <c r="F1127" s="11" t="s">
        <v>10450</v>
      </c>
      <c r="G1127" t="s">
        <v>10494</v>
      </c>
      <c r="H1127" t="s">
        <v>10497</v>
      </c>
    </row>
    <row r="1128" spans="1:8">
      <c r="A1128" t="s">
        <v>292</v>
      </c>
      <c r="B1128" t="s">
        <v>293</v>
      </c>
      <c r="C1128" t="s">
        <v>10445</v>
      </c>
      <c r="E1128" s="11" t="s">
        <v>10446</v>
      </c>
      <c r="F1128" s="11" t="s">
        <v>8782</v>
      </c>
      <c r="G1128" t="s">
        <v>10498</v>
      </c>
      <c r="H1128" t="s">
        <v>10499</v>
      </c>
    </row>
    <row r="1129" spans="1:8">
      <c r="A1129" t="s">
        <v>296</v>
      </c>
      <c r="B1129" t="s">
        <v>297</v>
      </c>
      <c r="C1129" t="s">
        <v>10445</v>
      </c>
      <c r="E1129" s="11" t="s">
        <v>10446</v>
      </c>
      <c r="F1129" s="11" t="s">
        <v>10447</v>
      </c>
      <c r="G1129" t="s">
        <v>10492</v>
      </c>
      <c r="H1129" t="s">
        <v>10493</v>
      </c>
    </row>
    <row r="1130" spans="1:8">
      <c r="A1130" t="s">
        <v>296</v>
      </c>
      <c r="B1130" t="s">
        <v>297</v>
      </c>
      <c r="C1130" t="s">
        <v>10445</v>
      </c>
      <c r="E1130" s="11" t="s">
        <v>10446</v>
      </c>
      <c r="F1130" s="11" t="s">
        <v>10448</v>
      </c>
      <c r="G1130" t="s">
        <v>10494</v>
      </c>
      <c r="H1130" t="s">
        <v>10495</v>
      </c>
    </row>
    <row r="1131" spans="1:8">
      <c r="A1131" t="s">
        <v>296</v>
      </c>
      <c r="B1131" t="s">
        <v>297</v>
      </c>
      <c r="C1131" t="s">
        <v>10445</v>
      </c>
      <c r="E1131" s="11" t="s">
        <v>10446</v>
      </c>
      <c r="F1131" s="11" t="s">
        <v>10449</v>
      </c>
      <c r="G1131" t="s">
        <v>10494</v>
      </c>
      <c r="H1131" t="s">
        <v>10496</v>
      </c>
    </row>
    <row r="1132" spans="1:8">
      <c r="A1132" t="s">
        <v>296</v>
      </c>
      <c r="B1132" t="s">
        <v>297</v>
      </c>
      <c r="C1132" t="s">
        <v>10445</v>
      </c>
      <c r="E1132" s="11" t="s">
        <v>10446</v>
      </c>
      <c r="F1132" s="11" t="s">
        <v>10450</v>
      </c>
      <c r="G1132" t="s">
        <v>10494</v>
      </c>
      <c r="H1132" t="s">
        <v>10497</v>
      </c>
    </row>
    <row r="1133" spans="1:8">
      <c r="A1133" t="s">
        <v>296</v>
      </c>
      <c r="B1133" t="s">
        <v>297</v>
      </c>
      <c r="C1133" t="s">
        <v>10445</v>
      </c>
      <c r="E1133" s="11" t="s">
        <v>10446</v>
      </c>
      <c r="F1133" s="11" t="s">
        <v>8782</v>
      </c>
      <c r="G1133" t="s">
        <v>10498</v>
      </c>
      <c r="H1133" t="s">
        <v>10499</v>
      </c>
    </row>
    <row r="1134" spans="1:8">
      <c r="A1134" t="s">
        <v>4525</v>
      </c>
      <c r="B1134" t="s">
        <v>4526</v>
      </c>
      <c r="C1134" t="s">
        <v>8648</v>
      </c>
      <c r="E1134" s="11" t="s">
        <v>8649</v>
      </c>
      <c r="F1134" s="11" t="s">
        <v>8650</v>
      </c>
      <c r="G1134" t="s">
        <v>11185</v>
      </c>
      <c r="H1134" t="s">
        <v>11186</v>
      </c>
    </row>
    <row r="1135" spans="1:8">
      <c r="A1135" t="s">
        <v>4525</v>
      </c>
      <c r="B1135" t="s">
        <v>4526</v>
      </c>
      <c r="C1135" t="s">
        <v>8648</v>
      </c>
      <c r="E1135" s="11" t="s">
        <v>8649</v>
      </c>
      <c r="F1135" s="11" t="s">
        <v>9591</v>
      </c>
      <c r="G1135" t="s">
        <v>11187</v>
      </c>
      <c r="H1135" t="s">
        <v>11188</v>
      </c>
    </row>
    <row r="1136" spans="1:8">
      <c r="A1136" t="s">
        <v>7516</v>
      </c>
      <c r="B1136" t="s">
        <v>7517</v>
      </c>
      <c r="C1136" t="s">
        <v>8648</v>
      </c>
      <c r="E1136" s="11" t="s">
        <v>8649</v>
      </c>
      <c r="F1136" s="11" t="s">
        <v>8650</v>
      </c>
      <c r="G1136" t="s">
        <v>11185</v>
      </c>
      <c r="H1136" t="s">
        <v>11186</v>
      </c>
    </row>
    <row r="1137" spans="1:8">
      <c r="A1137" t="s">
        <v>7516</v>
      </c>
      <c r="B1137" t="s">
        <v>7517</v>
      </c>
      <c r="C1137" t="s">
        <v>8648</v>
      </c>
      <c r="E1137" s="11" t="s">
        <v>8649</v>
      </c>
      <c r="F1137" s="11" t="s">
        <v>9591</v>
      </c>
      <c r="G1137" t="s">
        <v>11187</v>
      </c>
      <c r="H1137" t="s">
        <v>11188</v>
      </c>
    </row>
    <row r="1138" spans="1:8">
      <c r="A1138" t="s">
        <v>4563</v>
      </c>
      <c r="B1138" t="s">
        <v>4564</v>
      </c>
      <c r="C1138" t="s">
        <v>9551</v>
      </c>
      <c r="E1138" s="11" t="s">
        <v>9552</v>
      </c>
      <c r="F1138" s="11" t="s">
        <v>9553</v>
      </c>
      <c r="G1138" t="s">
        <v>11213</v>
      </c>
      <c r="H1138" t="s">
        <v>9554</v>
      </c>
    </row>
    <row r="1139" spans="1:8">
      <c r="A1139" t="s">
        <v>2887</v>
      </c>
      <c r="B1139" t="s">
        <v>2888</v>
      </c>
      <c r="C1139" t="s">
        <v>9973</v>
      </c>
      <c r="E1139" s="11" t="s">
        <v>9974</v>
      </c>
      <c r="F1139" s="11" t="s">
        <v>9975</v>
      </c>
      <c r="G1139" t="s">
        <v>10930</v>
      </c>
      <c r="H1139" t="s">
        <v>10931</v>
      </c>
    </row>
    <row r="1140" spans="1:8">
      <c r="A1140" t="s">
        <v>1883</v>
      </c>
      <c r="B1140" t="s">
        <v>1884</v>
      </c>
      <c r="C1140" t="s">
        <v>10197</v>
      </c>
      <c r="E1140" s="11"/>
    </row>
    <row r="1141" spans="1:8">
      <c r="A1141" t="s">
        <v>2494</v>
      </c>
      <c r="B1141" t="s">
        <v>2495</v>
      </c>
      <c r="C1141" t="s">
        <v>10052</v>
      </c>
      <c r="E1141" s="11" t="s">
        <v>10055</v>
      </c>
      <c r="F1141" s="11" t="s">
        <v>10056</v>
      </c>
      <c r="G1141" t="s">
        <v>10574</v>
      </c>
      <c r="H1141" t="s">
        <v>10057</v>
      </c>
    </row>
    <row r="1142" spans="1:8">
      <c r="A1142" t="s">
        <v>7782</v>
      </c>
      <c r="B1142" t="s">
        <v>7783</v>
      </c>
      <c r="C1142" t="s">
        <v>8601</v>
      </c>
      <c r="E1142" s="11" t="s">
        <v>8602</v>
      </c>
      <c r="F1142" s="11" t="s">
        <v>8603</v>
      </c>
      <c r="G1142" t="s">
        <v>11760</v>
      </c>
      <c r="H1142" t="s">
        <v>11761</v>
      </c>
    </row>
    <row r="1143" spans="1:8">
      <c r="A1143" t="s">
        <v>7402</v>
      </c>
      <c r="B1143" t="s">
        <v>7403</v>
      </c>
      <c r="C1143" t="s">
        <v>8675</v>
      </c>
      <c r="E1143" s="11" t="s">
        <v>8676</v>
      </c>
      <c r="F1143" s="11" t="s">
        <v>8677</v>
      </c>
      <c r="G1143" t="s">
        <v>10722</v>
      </c>
      <c r="H1143" t="s">
        <v>11736</v>
      </c>
    </row>
    <row r="1144" spans="1:8">
      <c r="A1144" t="s">
        <v>7402</v>
      </c>
      <c r="B1144" t="s">
        <v>7403</v>
      </c>
      <c r="C1144" t="s">
        <v>8675</v>
      </c>
      <c r="E1144" s="11" t="s">
        <v>8676</v>
      </c>
      <c r="F1144" s="11" t="s">
        <v>11936</v>
      </c>
      <c r="G1144" t="s">
        <v>10722</v>
      </c>
      <c r="H1144" t="s">
        <v>11937</v>
      </c>
    </row>
    <row r="1145" spans="1:8">
      <c r="A1145" t="s">
        <v>7402</v>
      </c>
      <c r="B1145" t="s">
        <v>7403</v>
      </c>
      <c r="C1145" t="s">
        <v>8675</v>
      </c>
      <c r="E1145" s="11" t="s">
        <v>8676</v>
      </c>
      <c r="F1145" s="11" t="s">
        <v>11938</v>
      </c>
      <c r="G1145" t="s">
        <v>11628</v>
      </c>
      <c r="H1145" t="s">
        <v>11939</v>
      </c>
    </row>
    <row r="1146" spans="1:8">
      <c r="A1146" t="s">
        <v>7402</v>
      </c>
      <c r="B1146" t="s">
        <v>7403</v>
      </c>
      <c r="C1146" t="s">
        <v>8675</v>
      </c>
      <c r="E1146" s="11" t="s">
        <v>8676</v>
      </c>
      <c r="F1146" s="11" t="s">
        <v>11940</v>
      </c>
      <c r="G1146" t="s">
        <v>11941</v>
      </c>
      <c r="H1146" t="s">
        <v>11942</v>
      </c>
    </row>
    <row r="1147" spans="1:8">
      <c r="A1147" t="s">
        <v>7402</v>
      </c>
      <c r="B1147" t="s">
        <v>7403</v>
      </c>
      <c r="C1147" t="s">
        <v>8675</v>
      </c>
      <c r="E1147" s="11" t="s">
        <v>8676</v>
      </c>
      <c r="F1147" s="11" t="s">
        <v>11943</v>
      </c>
      <c r="G1147" t="s">
        <v>11944</v>
      </c>
      <c r="H1147" t="s">
        <v>11939</v>
      </c>
    </row>
    <row r="1148" spans="1:8">
      <c r="A1148" t="s">
        <v>5770</v>
      </c>
      <c r="B1148" t="s">
        <v>5771</v>
      </c>
      <c r="C1148" t="s">
        <v>9296</v>
      </c>
      <c r="E1148" s="11" t="s">
        <v>9297</v>
      </c>
      <c r="F1148" s="11" t="s">
        <v>9298</v>
      </c>
      <c r="G1148" t="s">
        <v>11376</v>
      </c>
      <c r="H1148" t="s">
        <v>9294</v>
      </c>
    </row>
    <row r="1149" spans="1:8">
      <c r="A1149" t="s">
        <v>4503</v>
      </c>
      <c r="B1149" t="s">
        <v>4504</v>
      </c>
      <c r="C1149" t="s">
        <v>9609</v>
      </c>
      <c r="E1149" s="11" t="s">
        <v>9611</v>
      </c>
      <c r="F1149" s="11" t="s">
        <v>9612</v>
      </c>
      <c r="G1149" t="s">
        <v>10722</v>
      </c>
      <c r="H1149" t="s">
        <v>11176</v>
      </c>
    </row>
    <row r="1150" spans="1:8">
      <c r="A1150" t="s">
        <v>4510</v>
      </c>
      <c r="B1150" t="s">
        <v>4511</v>
      </c>
      <c r="C1150" t="s">
        <v>9600</v>
      </c>
      <c r="E1150" s="11" t="s">
        <v>9603</v>
      </c>
      <c r="F1150" s="11" t="s">
        <v>9604</v>
      </c>
      <c r="G1150" t="s">
        <v>11181</v>
      </c>
      <c r="H1150" t="s">
        <v>11182</v>
      </c>
    </row>
    <row r="1151" spans="1:8">
      <c r="A1151" t="s">
        <v>700</v>
      </c>
      <c r="B1151" t="s">
        <v>701</v>
      </c>
      <c r="C1151" t="s">
        <v>10393</v>
      </c>
      <c r="E1151" s="11" t="s">
        <v>10394</v>
      </c>
      <c r="F1151" s="11" t="s">
        <v>10395</v>
      </c>
      <c r="G1151" t="s">
        <v>10541</v>
      </c>
      <c r="H1151" t="s">
        <v>10542</v>
      </c>
    </row>
    <row r="1152" spans="1:8">
      <c r="A1152" t="s">
        <v>7273</v>
      </c>
      <c r="B1152" t="s">
        <v>7274</v>
      </c>
      <c r="C1152" t="s">
        <v>8727</v>
      </c>
      <c r="E1152" s="11" t="s">
        <v>8728</v>
      </c>
      <c r="F1152" s="11" t="s">
        <v>8729</v>
      </c>
      <c r="G1152" t="s">
        <v>11718</v>
      </c>
      <c r="H1152" t="s">
        <v>16066</v>
      </c>
    </row>
    <row r="1153" spans="1:8">
      <c r="A1153" t="s">
        <v>899</v>
      </c>
      <c r="B1153" t="s">
        <v>900</v>
      </c>
      <c r="C1153" t="s">
        <v>9914</v>
      </c>
      <c r="E1153" s="11"/>
    </row>
    <row r="1154" spans="1:8">
      <c r="A1154" t="s">
        <v>3287</v>
      </c>
      <c r="B1154" t="s">
        <v>3288</v>
      </c>
      <c r="C1154" t="s">
        <v>9914</v>
      </c>
      <c r="E1154" s="11"/>
    </row>
    <row r="1155" spans="1:8">
      <c r="A1155" t="s">
        <v>1200</v>
      </c>
      <c r="B1155" t="s">
        <v>1201</v>
      </c>
      <c r="C1155" t="s">
        <v>8487</v>
      </c>
      <c r="E1155" s="11"/>
      <c r="F1155" s="11"/>
    </row>
    <row r="1156" spans="1:8">
      <c r="A1156" t="s">
        <v>3052</v>
      </c>
      <c r="B1156" t="s">
        <v>3053</v>
      </c>
      <c r="C1156" t="s">
        <v>8487</v>
      </c>
      <c r="E1156" s="11"/>
    </row>
    <row r="1157" spans="1:8">
      <c r="A1157" t="s">
        <v>3108</v>
      </c>
      <c r="B1157" t="s">
        <v>3109</v>
      </c>
      <c r="C1157" t="s">
        <v>8487</v>
      </c>
      <c r="E1157" s="11"/>
    </row>
    <row r="1158" spans="1:8">
      <c r="A1158" t="s">
        <v>3495</v>
      </c>
      <c r="B1158" t="s">
        <v>3496</v>
      </c>
      <c r="C1158" t="s">
        <v>8487</v>
      </c>
      <c r="E1158" s="11"/>
    </row>
    <row r="1159" spans="1:8">
      <c r="A1159" t="s">
        <v>3730</v>
      </c>
      <c r="B1159" t="s">
        <v>3731</v>
      </c>
      <c r="C1159" t="s">
        <v>8487</v>
      </c>
      <c r="E1159" s="11"/>
    </row>
    <row r="1160" spans="1:8">
      <c r="A1160" t="s">
        <v>4528</v>
      </c>
      <c r="B1160" t="s">
        <v>4529</v>
      </c>
      <c r="C1160" t="s">
        <v>8487</v>
      </c>
      <c r="E1160" s="11"/>
    </row>
    <row r="1161" spans="1:8">
      <c r="A1161" t="s">
        <v>4950</v>
      </c>
      <c r="B1161" t="s">
        <v>4951</v>
      </c>
      <c r="C1161" t="s">
        <v>8487</v>
      </c>
      <c r="E1161" s="11"/>
    </row>
    <row r="1162" spans="1:8">
      <c r="A1162" t="s">
        <v>6120</v>
      </c>
      <c r="B1162" t="s">
        <v>6121</v>
      </c>
      <c r="C1162" t="s">
        <v>8487</v>
      </c>
      <c r="E1162" s="11"/>
    </row>
    <row r="1163" spans="1:8">
      <c r="A1163" t="s">
        <v>8372</v>
      </c>
      <c r="B1163" t="s">
        <v>8373</v>
      </c>
      <c r="C1163" t="s">
        <v>8487</v>
      </c>
      <c r="E1163" s="11"/>
    </row>
    <row r="1164" spans="1:8">
      <c r="A1164" t="s">
        <v>7421</v>
      </c>
      <c r="B1164" t="s">
        <v>7422</v>
      </c>
      <c r="C1164" t="s">
        <v>8663</v>
      </c>
      <c r="E1164" s="11" t="s">
        <v>8664</v>
      </c>
      <c r="F1164" s="11" t="s">
        <v>8665</v>
      </c>
      <c r="G1164" t="s">
        <v>11740</v>
      </c>
      <c r="H1164" t="s">
        <v>8666</v>
      </c>
    </row>
    <row r="1165" spans="1:8">
      <c r="A1165" t="s">
        <v>5234</v>
      </c>
      <c r="B1165" t="s">
        <v>5235</v>
      </c>
      <c r="C1165" t="s">
        <v>9470</v>
      </c>
      <c r="E1165" s="11" t="s">
        <v>9471</v>
      </c>
      <c r="F1165" s="11" t="s">
        <v>9472</v>
      </c>
      <c r="G1165" t="s">
        <v>11252</v>
      </c>
      <c r="H1165" t="s">
        <v>11253</v>
      </c>
    </row>
    <row r="1166" spans="1:8">
      <c r="A1166" t="s">
        <v>5234</v>
      </c>
      <c r="B1166" t="s">
        <v>5235</v>
      </c>
      <c r="C1166" t="s">
        <v>9470</v>
      </c>
      <c r="E1166" s="11" t="s">
        <v>9471</v>
      </c>
      <c r="F1166" s="11" t="s">
        <v>9473</v>
      </c>
      <c r="G1166" t="s">
        <v>11254</v>
      </c>
      <c r="H1166" t="s">
        <v>11255</v>
      </c>
    </row>
    <row r="1167" spans="1:8">
      <c r="A1167" t="s">
        <v>6156</v>
      </c>
      <c r="B1167" t="s">
        <v>6157</v>
      </c>
      <c r="C1167" t="s">
        <v>9127</v>
      </c>
      <c r="E1167" s="11" t="s">
        <v>9128</v>
      </c>
      <c r="F1167" s="11" t="s">
        <v>9129</v>
      </c>
      <c r="G1167" t="s">
        <v>11491</v>
      </c>
      <c r="H1167" t="s">
        <v>11492</v>
      </c>
    </row>
    <row r="1168" spans="1:8">
      <c r="A1168" t="s">
        <v>4275</v>
      </c>
      <c r="B1168" t="s">
        <v>4276</v>
      </c>
      <c r="C1168" t="s">
        <v>9676</v>
      </c>
      <c r="E1168" s="11" t="s">
        <v>9677</v>
      </c>
      <c r="F1168" s="11" t="s">
        <v>9678</v>
      </c>
      <c r="G1168" t="s">
        <v>11134</v>
      </c>
      <c r="H1168" t="s">
        <v>11135</v>
      </c>
    </row>
    <row r="1169" spans="1:8">
      <c r="A1169" t="s">
        <v>4246</v>
      </c>
      <c r="B1169" t="s">
        <v>4247</v>
      </c>
      <c r="C1169" t="s">
        <v>9691</v>
      </c>
      <c r="E1169" s="11" t="s">
        <v>9692</v>
      </c>
      <c r="F1169" s="11" t="s">
        <v>9693</v>
      </c>
      <c r="G1169" t="s">
        <v>11126</v>
      </c>
      <c r="H1169" t="s">
        <v>11127</v>
      </c>
    </row>
    <row r="1170" spans="1:8">
      <c r="A1170" t="s">
        <v>6872</v>
      </c>
      <c r="B1170" t="s">
        <v>6873</v>
      </c>
      <c r="C1170" t="s">
        <v>8866</v>
      </c>
      <c r="E1170" s="11" t="s">
        <v>8867</v>
      </c>
      <c r="F1170" s="11" t="s">
        <v>8868</v>
      </c>
      <c r="G1170" t="s">
        <v>11633</v>
      </c>
      <c r="H1170" t="s">
        <v>11634</v>
      </c>
    </row>
    <row r="1171" spans="1:8">
      <c r="A1171" t="s">
        <v>6872</v>
      </c>
      <c r="B1171" t="s">
        <v>6873</v>
      </c>
      <c r="C1171" t="s">
        <v>8866</v>
      </c>
      <c r="E1171" s="11" t="s">
        <v>8867</v>
      </c>
      <c r="F1171" s="11" t="s">
        <v>8869</v>
      </c>
      <c r="G1171" t="s">
        <v>11635</v>
      </c>
      <c r="H1171" t="s">
        <v>11636</v>
      </c>
    </row>
    <row r="1172" spans="1:8">
      <c r="A1172" t="s">
        <v>6872</v>
      </c>
      <c r="B1172" t="s">
        <v>6873</v>
      </c>
      <c r="C1172" t="s">
        <v>8866</v>
      </c>
      <c r="E1172" s="11" t="s">
        <v>8867</v>
      </c>
      <c r="F1172" s="11" t="s">
        <v>8870</v>
      </c>
      <c r="G1172" t="s">
        <v>11637</v>
      </c>
      <c r="H1172" t="s">
        <v>11638</v>
      </c>
    </row>
    <row r="1173" spans="1:8">
      <c r="A1173" t="s">
        <v>6872</v>
      </c>
      <c r="B1173" t="s">
        <v>6873</v>
      </c>
      <c r="C1173" t="s">
        <v>8866</v>
      </c>
      <c r="E1173" s="11" t="s">
        <v>8867</v>
      </c>
      <c r="F1173" s="11" t="s">
        <v>8871</v>
      </c>
      <c r="G1173" t="s">
        <v>11639</v>
      </c>
      <c r="H1173" t="s">
        <v>11640</v>
      </c>
    </row>
    <row r="1174" spans="1:8">
      <c r="A1174" t="s">
        <v>5698</v>
      </c>
      <c r="B1174" t="s">
        <v>5699</v>
      </c>
      <c r="C1174" t="s">
        <v>9328</v>
      </c>
      <c r="E1174" s="11" t="s">
        <v>9329</v>
      </c>
      <c r="F1174" s="11" t="s">
        <v>9330</v>
      </c>
      <c r="G1174" t="s">
        <v>11346</v>
      </c>
      <c r="H1174" t="s">
        <v>11347</v>
      </c>
    </row>
    <row r="1175" spans="1:8">
      <c r="A1175" t="s">
        <v>5698</v>
      </c>
      <c r="B1175" t="s">
        <v>5699</v>
      </c>
      <c r="C1175" t="s">
        <v>9328</v>
      </c>
      <c r="E1175" s="11" t="s">
        <v>9329</v>
      </c>
      <c r="F1175" s="11" t="s">
        <v>9331</v>
      </c>
      <c r="G1175" t="s">
        <v>11348</v>
      </c>
      <c r="H1175" t="s">
        <v>11349</v>
      </c>
    </row>
    <row r="1176" spans="1:8">
      <c r="A1176" t="s">
        <v>5698</v>
      </c>
      <c r="B1176" t="s">
        <v>5699</v>
      </c>
      <c r="C1176" t="s">
        <v>9328</v>
      </c>
      <c r="E1176" s="11" t="s">
        <v>9329</v>
      </c>
      <c r="F1176" s="11" t="s">
        <v>9332</v>
      </c>
      <c r="G1176" t="s">
        <v>11350</v>
      </c>
      <c r="H1176" t="s">
        <v>11351</v>
      </c>
    </row>
    <row r="1177" spans="1:8">
      <c r="A1177" t="s">
        <v>5698</v>
      </c>
      <c r="B1177" t="s">
        <v>5699</v>
      </c>
      <c r="C1177" t="s">
        <v>9328</v>
      </c>
      <c r="E1177" s="11" t="s">
        <v>9329</v>
      </c>
      <c r="F1177" s="11" t="s">
        <v>9333</v>
      </c>
      <c r="G1177" t="s">
        <v>11352</v>
      </c>
      <c r="H1177" t="s">
        <v>11353</v>
      </c>
    </row>
    <row r="1178" spans="1:8">
      <c r="A1178" t="s">
        <v>2039</v>
      </c>
      <c r="B1178" t="s">
        <v>2040</v>
      </c>
      <c r="C1178" t="s">
        <v>10148</v>
      </c>
      <c r="E1178" s="11" t="s">
        <v>10149</v>
      </c>
      <c r="F1178" s="11" t="s">
        <v>10150</v>
      </c>
      <c r="G1178" t="s">
        <v>10718</v>
      </c>
      <c r="H1178" t="s">
        <v>10719</v>
      </c>
    </row>
    <row r="1179" spans="1:8">
      <c r="A1179" t="s">
        <v>2039</v>
      </c>
      <c r="B1179" t="s">
        <v>2040</v>
      </c>
      <c r="C1179" t="s">
        <v>10148</v>
      </c>
      <c r="E1179" s="11" t="s">
        <v>10149</v>
      </c>
      <c r="F1179" s="11" t="s">
        <v>10151</v>
      </c>
      <c r="G1179" t="s">
        <v>10720</v>
      </c>
      <c r="H1179" t="s">
        <v>10721</v>
      </c>
    </row>
    <row r="1180" spans="1:8">
      <c r="A1180" t="s">
        <v>2039</v>
      </c>
      <c r="B1180" t="s">
        <v>2040</v>
      </c>
      <c r="C1180" t="s">
        <v>10148</v>
      </c>
      <c r="E1180" s="11" t="s">
        <v>10149</v>
      </c>
      <c r="F1180" s="11" t="s">
        <v>10152</v>
      </c>
      <c r="G1180" t="s">
        <v>10722</v>
      </c>
      <c r="H1180" t="s">
        <v>10723</v>
      </c>
    </row>
    <row r="1181" spans="1:8">
      <c r="A1181" t="s">
        <v>2039</v>
      </c>
      <c r="B1181" t="s">
        <v>2040</v>
      </c>
      <c r="C1181" t="s">
        <v>10148</v>
      </c>
      <c r="E1181" s="11" t="s">
        <v>10149</v>
      </c>
      <c r="F1181" s="11" t="s">
        <v>10153</v>
      </c>
      <c r="G1181" t="s">
        <v>10724</v>
      </c>
      <c r="H1181" t="s">
        <v>10725</v>
      </c>
    </row>
    <row r="1182" spans="1:8">
      <c r="A1182" t="s">
        <v>2039</v>
      </c>
      <c r="B1182" t="s">
        <v>2040</v>
      </c>
      <c r="C1182" t="s">
        <v>10148</v>
      </c>
      <c r="E1182" s="11" t="s">
        <v>10149</v>
      </c>
      <c r="F1182" s="11" t="s">
        <v>10154</v>
      </c>
      <c r="G1182" t="s">
        <v>10726</v>
      </c>
      <c r="H1182" t="s">
        <v>10712</v>
      </c>
    </row>
    <row r="1183" spans="1:8">
      <c r="A1183" t="s">
        <v>2039</v>
      </c>
      <c r="B1183" t="s">
        <v>2040</v>
      </c>
      <c r="C1183" t="s">
        <v>10148</v>
      </c>
      <c r="E1183" s="11" t="s">
        <v>10149</v>
      </c>
      <c r="F1183" s="11" t="s">
        <v>10155</v>
      </c>
      <c r="G1183" t="s">
        <v>10727</v>
      </c>
      <c r="H1183" t="s">
        <v>10728</v>
      </c>
    </row>
    <row r="1184" spans="1:8">
      <c r="A1184" t="s">
        <v>2039</v>
      </c>
      <c r="B1184" t="s">
        <v>2040</v>
      </c>
      <c r="C1184" t="s">
        <v>10148</v>
      </c>
      <c r="E1184" s="11" t="s">
        <v>10149</v>
      </c>
      <c r="F1184" s="11" t="s">
        <v>10156</v>
      </c>
      <c r="G1184" t="s">
        <v>10729</v>
      </c>
      <c r="H1184" t="s">
        <v>10730</v>
      </c>
    </row>
    <row r="1185" spans="1:8">
      <c r="A1185" t="s">
        <v>2039</v>
      </c>
      <c r="B1185" t="s">
        <v>2040</v>
      </c>
      <c r="C1185" t="s">
        <v>10148</v>
      </c>
      <c r="E1185" s="11" t="s">
        <v>10149</v>
      </c>
      <c r="F1185" s="11" t="s">
        <v>10157</v>
      </c>
      <c r="G1185" t="s">
        <v>10731</v>
      </c>
      <c r="H1185" t="s">
        <v>10732</v>
      </c>
    </row>
    <row r="1186" spans="1:8">
      <c r="A1186" t="s">
        <v>2039</v>
      </c>
      <c r="B1186" t="s">
        <v>2040</v>
      </c>
      <c r="C1186" t="s">
        <v>10148</v>
      </c>
      <c r="E1186" s="11" t="s">
        <v>10149</v>
      </c>
      <c r="F1186" s="11" t="s">
        <v>10158</v>
      </c>
      <c r="G1186" t="s">
        <v>10733</v>
      </c>
      <c r="H1186" t="s">
        <v>10734</v>
      </c>
    </row>
    <row r="1187" spans="1:8">
      <c r="A1187" t="s">
        <v>2039</v>
      </c>
      <c r="B1187" t="s">
        <v>2040</v>
      </c>
      <c r="C1187" t="s">
        <v>10148</v>
      </c>
      <c r="E1187" s="11" t="s">
        <v>10149</v>
      </c>
      <c r="F1187" s="11" t="s">
        <v>10159</v>
      </c>
      <c r="G1187" t="s">
        <v>10735</v>
      </c>
      <c r="H1187" t="s">
        <v>10736</v>
      </c>
    </row>
    <row r="1188" spans="1:8">
      <c r="A1188" t="s">
        <v>2039</v>
      </c>
      <c r="B1188" t="s">
        <v>2040</v>
      </c>
      <c r="C1188" t="s">
        <v>10148</v>
      </c>
      <c r="E1188" s="11" t="s">
        <v>10149</v>
      </c>
      <c r="F1188" s="11" t="s">
        <v>10160</v>
      </c>
      <c r="G1188" t="s">
        <v>10737</v>
      </c>
      <c r="H1188" t="s">
        <v>10738</v>
      </c>
    </row>
    <row r="1189" spans="1:8">
      <c r="A1189" t="s">
        <v>5396</v>
      </c>
      <c r="B1189" t="s">
        <v>5397</v>
      </c>
      <c r="C1189" t="s">
        <v>8561</v>
      </c>
      <c r="E1189" s="11"/>
    </row>
    <row r="1190" spans="1:8">
      <c r="A1190" t="s">
        <v>8061</v>
      </c>
      <c r="B1190" t="s">
        <v>8062</v>
      </c>
      <c r="C1190" t="s">
        <v>8561</v>
      </c>
      <c r="E1190" s="11"/>
    </row>
    <row r="1191" spans="1:8">
      <c r="A1191" t="s">
        <v>2122</v>
      </c>
      <c r="B1191" t="s">
        <v>2123</v>
      </c>
      <c r="C1191" t="s">
        <v>9451</v>
      </c>
      <c r="E1191" s="11"/>
      <c r="F1191" s="42"/>
    </row>
    <row r="1192" spans="1:8">
      <c r="A1192" t="s">
        <v>2226</v>
      </c>
      <c r="B1192" t="s">
        <v>2227</v>
      </c>
      <c r="C1192" t="s">
        <v>9451</v>
      </c>
      <c r="E1192" s="11"/>
    </row>
    <row r="1193" spans="1:8">
      <c r="A1193" t="s">
        <v>2238</v>
      </c>
      <c r="B1193" t="s">
        <v>2239</v>
      </c>
      <c r="C1193" t="s">
        <v>9451</v>
      </c>
      <c r="E1193" s="11"/>
    </row>
    <row r="1194" spans="1:8">
      <c r="A1194" t="s">
        <v>2240</v>
      </c>
      <c r="B1194" t="s">
        <v>2241</v>
      </c>
      <c r="C1194" t="s">
        <v>9451</v>
      </c>
      <c r="E1194" s="11"/>
    </row>
    <row r="1195" spans="1:8">
      <c r="A1195" t="s">
        <v>2447</v>
      </c>
      <c r="B1195" t="s">
        <v>2448</v>
      </c>
      <c r="C1195" t="s">
        <v>9451</v>
      </c>
      <c r="E1195" s="11"/>
    </row>
    <row r="1196" spans="1:8">
      <c r="A1196" t="s">
        <v>3315</v>
      </c>
      <c r="B1196" t="s">
        <v>3316</v>
      </c>
      <c r="C1196" t="s">
        <v>9451</v>
      </c>
      <c r="E1196" s="11"/>
    </row>
    <row r="1197" spans="1:8">
      <c r="A1197" t="s">
        <v>3872</v>
      </c>
      <c r="B1197" t="s">
        <v>3873</v>
      </c>
      <c r="C1197" t="s">
        <v>9451</v>
      </c>
      <c r="E1197" s="11"/>
    </row>
    <row r="1198" spans="1:8">
      <c r="A1198" t="s">
        <v>4090</v>
      </c>
      <c r="B1198" t="s">
        <v>4091</v>
      </c>
      <c r="C1198" t="s">
        <v>9451</v>
      </c>
      <c r="E1198" s="11"/>
    </row>
    <row r="1199" spans="1:8">
      <c r="A1199" t="s">
        <v>4195</v>
      </c>
      <c r="B1199" t="s">
        <v>4196</v>
      </c>
      <c r="C1199" t="s">
        <v>9451</v>
      </c>
      <c r="E1199" s="11"/>
    </row>
    <row r="1200" spans="1:8">
      <c r="A1200" t="s">
        <v>4642</v>
      </c>
      <c r="B1200" t="s">
        <v>4643</v>
      </c>
      <c r="C1200" t="s">
        <v>9451</v>
      </c>
      <c r="E1200" s="11"/>
    </row>
    <row r="1201" spans="1:8">
      <c r="A1201" t="s">
        <v>5100</v>
      </c>
      <c r="B1201" t="s">
        <v>5101</v>
      </c>
      <c r="C1201" t="s">
        <v>9451</v>
      </c>
      <c r="E1201" s="11"/>
    </row>
    <row r="1202" spans="1:8">
      <c r="A1202" t="s">
        <v>5257</v>
      </c>
      <c r="B1202" t="s">
        <v>5258</v>
      </c>
      <c r="C1202" t="s">
        <v>9451</v>
      </c>
      <c r="E1202" s="11"/>
    </row>
    <row r="1203" spans="1:8">
      <c r="A1203" t="s">
        <v>5287</v>
      </c>
      <c r="B1203" t="s">
        <v>5288</v>
      </c>
      <c r="C1203" t="s">
        <v>9451</v>
      </c>
      <c r="E1203" s="11"/>
    </row>
    <row r="1204" spans="1:8">
      <c r="A1204" t="s">
        <v>2473</v>
      </c>
      <c r="B1204" t="s">
        <v>2474</v>
      </c>
      <c r="C1204" t="s">
        <v>8854</v>
      </c>
      <c r="E1204" s="11" t="s">
        <v>8855</v>
      </c>
    </row>
    <row r="1205" spans="1:8">
      <c r="A1205" t="s">
        <v>3751</v>
      </c>
      <c r="B1205" t="s">
        <v>3752</v>
      </c>
      <c r="C1205" t="s">
        <v>8854</v>
      </c>
      <c r="E1205" s="11" t="s">
        <v>8855</v>
      </c>
    </row>
    <row r="1206" spans="1:8">
      <c r="A1206" t="s">
        <v>4697</v>
      </c>
      <c r="B1206" t="s">
        <v>4698</v>
      </c>
      <c r="C1206" t="s">
        <v>8854</v>
      </c>
      <c r="E1206" s="11" t="s">
        <v>8855</v>
      </c>
    </row>
    <row r="1207" spans="1:8">
      <c r="A1207" t="s">
        <v>4701</v>
      </c>
      <c r="B1207" t="s">
        <v>4702</v>
      </c>
      <c r="C1207" t="s">
        <v>8854</v>
      </c>
      <c r="E1207" s="11" t="s">
        <v>8855</v>
      </c>
    </row>
    <row r="1208" spans="1:8">
      <c r="A1208" t="s">
        <v>6918</v>
      </c>
      <c r="B1208" t="s">
        <v>6919</v>
      </c>
      <c r="C1208" t="s">
        <v>8854</v>
      </c>
      <c r="D1208" t="s">
        <v>8557</v>
      </c>
      <c r="E1208" s="11" t="s">
        <v>8558</v>
      </c>
    </row>
    <row r="1209" spans="1:8">
      <c r="A1209" t="s">
        <v>6918</v>
      </c>
      <c r="B1209" t="s">
        <v>6919</v>
      </c>
      <c r="C1209" t="s">
        <v>8854</v>
      </c>
      <c r="D1209" t="s">
        <v>10032</v>
      </c>
      <c r="E1209" s="11" t="s">
        <v>10033</v>
      </c>
    </row>
    <row r="1210" spans="1:8">
      <c r="A1210" t="s">
        <v>452</v>
      </c>
      <c r="B1210" t="s">
        <v>453</v>
      </c>
      <c r="C1210" t="s">
        <v>9449</v>
      </c>
      <c r="E1210" s="11" t="s">
        <v>9450</v>
      </c>
    </row>
    <row r="1211" spans="1:8">
      <c r="A1211" t="s">
        <v>5297</v>
      </c>
      <c r="B1211" t="s">
        <v>5298</v>
      </c>
      <c r="C1211" t="s">
        <v>9449</v>
      </c>
      <c r="E1211" s="11" t="s">
        <v>9450</v>
      </c>
    </row>
    <row r="1212" spans="1:8">
      <c r="A1212" t="s">
        <v>4305</v>
      </c>
      <c r="B1212" t="s">
        <v>4306</v>
      </c>
      <c r="C1212" t="s">
        <v>9672</v>
      </c>
      <c r="E1212" s="11"/>
    </row>
    <row r="1213" spans="1:8">
      <c r="A1213" t="s">
        <v>6453</v>
      </c>
      <c r="B1213" t="s">
        <v>6454</v>
      </c>
      <c r="C1213" t="s">
        <v>9070</v>
      </c>
      <c r="E1213" s="11"/>
    </row>
    <row r="1214" spans="1:8">
      <c r="A1214" t="s">
        <v>3659</v>
      </c>
      <c r="B1214" t="s">
        <v>3660</v>
      </c>
      <c r="C1214" t="s">
        <v>9813</v>
      </c>
      <c r="E1214" s="11"/>
    </row>
    <row r="1215" spans="1:8">
      <c r="A1215" t="s">
        <v>512</v>
      </c>
      <c r="B1215" t="s">
        <v>513</v>
      </c>
      <c r="C1215" t="s">
        <v>10418</v>
      </c>
      <c r="E1215" s="11" t="s">
        <v>10419</v>
      </c>
      <c r="F1215" s="11" t="s">
        <v>10420</v>
      </c>
      <c r="G1215" t="s">
        <v>10514</v>
      </c>
      <c r="H1215" t="s">
        <v>10421</v>
      </c>
    </row>
    <row r="1216" spans="1:8">
      <c r="A1216" t="s">
        <v>7279</v>
      </c>
      <c r="B1216" t="s">
        <v>7280</v>
      </c>
      <c r="C1216" t="s">
        <v>8723</v>
      </c>
      <c r="E1216" s="11"/>
    </row>
    <row r="1217" spans="1:8">
      <c r="A1217" t="s">
        <v>436</v>
      </c>
      <c r="B1217" t="s">
        <v>437</v>
      </c>
      <c r="C1217" t="s">
        <v>10430</v>
      </c>
      <c r="E1217" s="11" t="s">
        <v>10431</v>
      </c>
      <c r="F1217" s="11" t="s">
        <v>10432</v>
      </c>
      <c r="G1217" t="s">
        <v>9700</v>
      </c>
      <c r="H1217" t="s">
        <v>10509</v>
      </c>
    </row>
    <row r="1218" spans="1:8">
      <c r="A1218" t="s">
        <v>3357</v>
      </c>
      <c r="B1218" t="s">
        <v>3358</v>
      </c>
      <c r="C1218" t="s">
        <v>9904</v>
      </c>
      <c r="E1218" s="11" t="s">
        <v>9905</v>
      </c>
      <c r="F1218" s="11" t="s">
        <v>9906</v>
      </c>
      <c r="G1218" t="s">
        <v>9438</v>
      </c>
      <c r="H1218" t="s">
        <v>10985</v>
      </c>
    </row>
    <row r="1219" spans="1:8">
      <c r="A1219" t="s">
        <v>2064</v>
      </c>
      <c r="B1219" t="s">
        <v>2065</v>
      </c>
      <c r="C1219" t="s">
        <v>10132</v>
      </c>
      <c r="E1219" s="11" t="s">
        <v>10134</v>
      </c>
      <c r="F1219" s="11" t="s">
        <v>10135</v>
      </c>
      <c r="G1219" t="s">
        <v>10136</v>
      </c>
      <c r="H1219" t="s">
        <v>10747</v>
      </c>
    </row>
    <row r="1220" spans="1:8">
      <c r="A1220" t="s">
        <v>4552</v>
      </c>
      <c r="B1220" t="s">
        <v>4553</v>
      </c>
      <c r="C1220" t="s">
        <v>9562</v>
      </c>
      <c r="E1220" s="11" t="s">
        <v>9563</v>
      </c>
      <c r="F1220" s="11" t="s">
        <v>9564</v>
      </c>
      <c r="G1220" t="s">
        <v>9565</v>
      </c>
      <c r="H1220" t="s">
        <v>11202</v>
      </c>
    </row>
    <row r="1221" spans="1:8">
      <c r="A1221" t="s">
        <v>4466</v>
      </c>
      <c r="B1221" t="s">
        <v>4467</v>
      </c>
      <c r="C1221" t="s">
        <v>9627</v>
      </c>
      <c r="E1221" s="11" t="s">
        <v>9628</v>
      </c>
      <c r="F1221" s="11" t="s">
        <v>9629</v>
      </c>
      <c r="G1221" t="s">
        <v>11170</v>
      </c>
      <c r="H1221" t="s">
        <v>11171</v>
      </c>
    </row>
    <row r="1222" spans="1:8">
      <c r="A1222" t="s">
        <v>7817</v>
      </c>
      <c r="B1222" t="s">
        <v>7818</v>
      </c>
      <c r="C1222" t="s">
        <v>8598</v>
      </c>
      <c r="E1222" s="11" t="s">
        <v>8599</v>
      </c>
      <c r="F1222" s="11" t="s">
        <v>8600</v>
      </c>
      <c r="G1222" t="s">
        <v>11762</v>
      </c>
      <c r="H1222" t="s">
        <v>11763</v>
      </c>
    </row>
    <row r="1223" spans="1:8">
      <c r="A1223" t="s">
        <v>4536</v>
      </c>
      <c r="B1223" t="s">
        <v>4537</v>
      </c>
      <c r="C1223" t="s">
        <v>9580</v>
      </c>
      <c r="E1223" s="11" t="s">
        <v>9582</v>
      </c>
      <c r="F1223" s="11" t="s">
        <v>9583</v>
      </c>
      <c r="G1223" t="s">
        <v>9584</v>
      </c>
      <c r="H1223" t="s">
        <v>11193</v>
      </c>
    </row>
    <row r="1224" spans="1:8">
      <c r="A1224" t="s">
        <v>1270</v>
      </c>
      <c r="B1224" t="s">
        <v>1271</v>
      </c>
      <c r="C1224" t="s">
        <v>10276</v>
      </c>
      <c r="E1224" s="11" t="s">
        <v>10277</v>
      </c>
      <c r="F1224" s="11" t="s">
        <v>10278</v>
      </c>
      <c r="G1224" t="s">
        <v>10279</v>
      </c>
      <c r="H1224" t="s">
        <v>10643</v>
      </c>
    </row>
    <row r="1225" spans="1:8">
      <c r="A1225" t="s">
        <v>1270</v>
      </c>
      <c r="B1225" t="s">
        <v>1271</v>
      </c>
      <c r="C1225" t="s">
        <v>10276</v>
      </c>
      <c r="E1225" s="11" t="s">
        <v>10277</v>
      </c>
      <c r="F1225" s="11" t="s">
        <v>10280</v>
      </c>
      <c r="G1225" t="s">
        <v>10281</v>
      </c>
      <c r="H1225" t="s">
        <v>10644</v>
      </c>
    </row>
    <row r="1226" spans="1:8">
      <c r="A1226" t="s">
        <v>6604</v>
      </c>
      <c r="B1226" t="s">
        <v>6605</v>
      </c>
      <c r="C1226" t="s">
        <v>9012</v>
      </c>
      <c r="E1226" s="11" t="s">
        <v>9013</v>
      </c>
      <c r="F1226" s="11" t="s">
        <v>9014</v>
      </c>
      <c r="G1226" t="s">
        <v>9011</v>
      </c>
      <c r="H1226" t="s">
        <v>11585</v>
      </c>
    </row>
    <row r="1227" spans="1:8">
      <c r="A1227" t="s">
        <v>8244</v>
      </c>
      <c r="B1227" t="s">
        <v>8245</v>
      </c>
      <c r="C1227" t="s">
        <v>8509</v>
      </c>
      <c r="E1227" s="11" t="s">
        <v>8511</v>
      </c>
      <c r="F1227" s="11" t="s">
        <v>8512</v>
      </c>
      <c r="G1227" t="s">
        <v>8513</v>
      </c>
      <c r="H1227" t="s">
        <v>11790</v>
      </c>
    </row>
    <row r="1228" spans="1:8">
      <c r="A1228" t="s">
        <v>3226</v>
      </c>
      <c r="B1228" t="s">
        <v>3227</v>
      </c>
      <c r="C1228" t="s">
        <v>9919</v>
      </c>
      <c r="E1228" s="11" t="s">
        <v>9920</v>
      </c>
      <c r="F1228" s="11" t="s">
        <v>9921</v>
      </c>
      <c r="G1228" t="s">
        <v>9922</v>
      </c>
      <c r="H1228" t="s">
        <v>10972</v>
      </c>
    </row>
    <row r="1229" spans="1:8">
      <c r="A1229" t="s">
        <v>7592</v>
      </c>
      <c r="B1229" t="s">
        <v>7593</v>
      </c>
      <c r="C1229" t="s">
        <v>8624</v>
      </c>
      <c r="E1229" s="11" t="s">
        <v>8625</v>
      </c>
      <c r="F1229" s="11" t="s">
        <v>8626</v>
      </c>
      <c r="G1229" t="s">
        <v>8627</v>
      </c>
      <c r="H1229" t="s">
        <v>11751</v>
      </c>
    </row>
    <row r="1230" spans="1:8">
      <c r="A1230" t="s">
        <v>7592</v>
      </c>
      <c r="B1230" t="s">
        <v>7593</v>
      </c>
      <c r="C1230" t="s">
        <v>8624</v>
      </c>
      <c r="E1230" s="11" t="s">
        <v>8625</v>
      </c>
      <c r="F1230" s="11" t="s">
        <v>11902</v>
      </c>
      <c r="G1230" t="s">
        <v>11903</v>
      </c>
      <c r="H1230" t="s">
        <v>11751</v>
      </c>
    </row>
    <row r="1231" spans="1:8">
      <c r="A1231" t="s">
        <v>7592</v>
      </c>
      <c r="B1231" t="s">
        <v>7593</v>
      </c>
      <c r="C1231" t="s">
        <v>8624</v>
      </c>
      <c r="E1231" s="11" t="s">
        <v>8625</v>
      </c>
      <c r="F1231" s="11" t="s">
        <v>11904</v>
      </c>
      <c r="G1231" t="s">
        <v>11905</v>
      </c>
      <c r="H1231" t="s">
        <v>11906</v>
      </c>
    </row>
    <row r="1232" spans="1:8">
      <c r="A1232" t="s">
        <v>7592</v>
      </c>
      <c r="B1232" t="s">
        <v>7593</v>
      </c>
      <c r="C1232" t="s">
        <v>8624</v>
      </c>
      <c r="E1232" s="11" t="s">
        <v>8625</v>
      </c>
      <c r="F1232" s="11" t="s">
        <v>11907</v>
      </c>
      <c r="G1232" t="s">
        <v>11908</v>
      </c>
      <c r="H1232" t="s">
        <v>11909</v>
      </c>
    </row>
    <row r="1233" spans="1:8">
      <c r="A1233" t="s">
        <v>7396</v>
      </c>
      <c r="B1233" t="s">
        <v>7397</v>
      </c>
      <c r="C1233" t="s">
        <v>8681</v>
      </c>
      <c r="E1233" s="11" t="s">
        <v>8682</v>
      </c>
      <c r="F1233" s="11" t="s">
        <v>8683</v>
      </c>
      <c r="G1233" t="s">
        <v>8684</v>
      </c>
      <c r="H1233" t="s">
        <v>11735</v>
      </c>
    </row>
    <row r="1234" spans="1:8">
      <c r="A1234" t="s">
        <v>1140</v>
      </c>
      <c r="B1234" t="s">
        <v>1141</v>
      </c>
      <c r="C1234" t="s">
        <v>10321</v>
      </c>
      <c r="E1234" s="11" t="s">
        <v>10322</v>
      </c>
      <c r="F1234" s="11" t="s">
        <v>10323</v>
      </c>
      <c r="G1234" t="s">
        <v>10324</v>
      </c>
      <c r="H1234" t="s">
        <v>10617</v>
      </c>
    </row>
    <row r="1235" spans="1:8">
      <c r="A1235" t="s">
        <v>6421</v>
      </c>
      <c r="B1235" t="s">
        <v>6422</v>
      </c>
      <c r="C1235" t="s">
        <v>9071</v>
      </c>
      <c r="E1235" s="11" t="s">
        <v>9072</v>
      </c>
      <c r="F1235" s="11" t="s">
        <v>9073</v>
      </c>
      <c r="G1235" t="s">
        <v>9074</v>
      </c>
      <c r="H1235" t="s">
        <v>11520</v>
      </c>
    </row>
    <row r="1236" spans="1:8">
      <c r="A1236" t="s">
        <v>8233</v>
      </c>
      <c r="B1236" t="s">
        <v>8234</v>
      </c>
      <c r="C1236" t="s">
        <v>8520</v>
      </c>
      <c r="E1236" s="11" t="s">
        <v>8521</v>
      </c>
      <c r="F1236" s="11" t="s">
        <v>8522</v>
      </c>
      <c r="G1236" t="s">
        <v>10926</v>
      </c>
      <c r="H1236" t="s">
        <v>11786</v>
      </c>
    </row>
    <row r="1237" spans="1:8">
      <c r="A1237" t="s">
        <v>8233</v>
      </c>
      <c r="B1237" t="s">
        <v>8234</v>
      </c>
      <c r="C1237" t="s">
        <v>8520</v>
      </c>
      <c r="E1237" s="11" t="s">
        <v>8521</v>
      </c>
      <c r="F1237" s="11" t="s">
        <v>8523</v>
      </c>
      <c r="G1237" t="s">
        <v>10928</v>
      </c>
      <c r="H1237" t="s">
        <v>11787</v>
      </c>
    </row>
    <row r="1238" spans="1:8">
      <c r="A1238" t="s">
        <v>1919</v>
      </c>
      <c r="B1238" t="s">
        <v>1920</v>
      </c>
      <c r="C1238" t="s">
        <v>10165</v>
      </c>
      <c r="E1238" s="11" t="s">
        <v>10166</v>
      </c>
      <c r="F1238" s="11" t="s">
        <v>10167</v>
      </c>
      <c r="G1238" t="s">
        <v>10168</v>
      </c>
      <c r="H1238" t="s">
        <v>10701</v>
      </c>
    </row>
    <row r="1239" spans="1:8">
      <c r="A1239" t="s">
        <v>2014</v>
      </c>
      <c r="B1239" t="s">
        <v>2015</v>
      </c>
      <c r="C1239" t="s">
        <v>10165</v>
      </c>
      <c r="E1239" s="11" t="s">
        <v>10166</v>
      </c>
      <c r="F1239" s="11" t="s">
        <v>10167</v>
      </c>
      <c r="G1239" t="s">
        <v>10168</v>
      </c>
      <c r="H1239" t="s">
        <v>10701</v>
      </c>
    </row>
    <row r="1240" spans="1:8">
      <c r="A1240" t="s">
        <v>1345</v>
      </c>
      <c r="B1240" t="s">
        <v>1346</v>
      </c>
      <c r="C1240" t="s">
        <v>10257</v>
      </c>
      <c r="E1240" s="11" t="s">
        <v>10258</v>
      </c>
      <c r="F1240" s="11" t="s">
        <v>10259</v>
      </c>
      <c r="G1240" t="s">
        <v>10260</v>
      </c>
      <c r="H1240" t="s">
        <v>10651</v>
      </c>
    </row>
    <row r="1241" spans="1:8">
      <c r="A1241" t="s">
        <v>1345</v>
      </c>
      <c r="B1241" t="s">
        <v>1346</v>
      </c>
      <c r="C1241" t="s">
        <v>10257</v>
      </c>
      <c r="E1241" s="11" t="s">
        <v>10258</v>
      </c>
      <c r="F1241" s="11" t="s">
        <v>10261</v>
      </c>
      <c r="G1241" t="s">
        <v>10260</v>
      </c>
      <c r="H1241" t="s">
        <v>10652</v>
      </c>
    </row>
    <row r="1242" spans="1:8">
      <c r="A1242" t="s">
        <v>7103</v>
      </c>
      <c r="B1242" t="s">
        <v>7104</v>
      </c>
      <c r="C1242" t="s">
        <v>8790</v>
      </c>
      <c r="E1242" s="11" t="s">
        <v>8791</v>
      </c>
      <c r="F1242" s="11" t="s">
        <v>8792</v>
      </c>
      <c r="G1242" t="s">
        <v>8793</v>
      </c>
      <c r="H1242" t="s">
        <v>11681</v>
      </c>
    </row>
    <row r="1243" spans="1:8">
      <c r="A1243" t="s">
        <v>4503</v>
      </c>
      <c r="B1243" t="s">
        <v>4504</v>
      </c>
      <c r="C1243" t="s">
        <v>9610</v>
      </c>
      <c r="E1243" s="11" t="s">
        <v>9613</v>
      </c>
      <c r="F1243" s="11" t="s">
        <v>9614</v>
      </c>
      <c r="G1243" t="s">
        <v>8959</v>
      </c>
      <c r="H1243" t="s">
        <v>11177</v>
      </c>
    </row>
    <row r="1244" spans="1:8">
      <c r="A1244" t="s">
        <v>3701</v>
      </c>
      <c r="B1244" t="s">
        <v>3702</v>
      </c>
      <c r="C1244" t="s">
        <v>9802</v>
      </c>
      <c r="E1244" s="11" t="s">
        <v>9803</v>
      </c>
      <c r="F1244" s="11" t="s">
        <v>9804</v>
      </c>
      <c r="G1244" t="s">
        <v>11053</v>
      </c>
      <c r="H1244" t="s">
        <v>11054</v>
      </c>
    </row>
    <row r="1245" spans="1:8">
      <c r="A1245" t="s">
        <v>3407</v>
      </c>
      <c r="B1245" t="s">
        <v>3408</v>
      </c>
      <c r="C1245" t="s">
        <v>9886</v>
      </c>
      <c r="E1245" s="11" t="s">
        <v>9887</v>
      </c>
      <c r="F1245" s="11" t="s">
        <v>9888</v>
      </c>
      <c r="G1245" t="s">
        <v>11006</v>
      </c>
      <c r="H1245" t="s">
        <v>11007</v>
      </c>
    </row>
    <row r="1246" spans="1:8">
      <c r="A1246" t="s">
        <v>398</v>
      </c>
      <c r="B1246" t="s">
        <v>399</v>
      </c>
      <c r="C1246" t="s">
        <v>10433</v>
      </c>
      <c r="E1246" s="11"/>
    </row>
    <row r="1247" spans="1:8">
      <c r="A1247" t="s">
        <v>1238</v>
      </c>
      <c r="B1247" t="s">
        <v>1239</v>
      </c>
      <c r="C1247" t="s">
        <v>10289</v>
      </c>
      <c r="E1247" s="11" t="s">
        <v>10290</v>
      </c>
      <c r="F1247" s="11" t="s">
        <v>10291</v>
      </c>
      <c r="G1247" t="s">
        <v>10292</v>
      </c>
      <c r="H1247" t="s">
        <v>10635</v>
      </c>
    </row>
    <row r="1248" spans="1:8">
      <c r="A1248" t="s">
        <v>2805</v>
      </c>
      <c r="B1248" t="s">
        <v>2806</v>
      </c>
      <c r="C1248" t="s">
        <v>9990</v>
      </c>
      <c r="E1248" s="11" t="s">
        <v>9991</v>
      </c>
      <c r="F1248" s="11" t="s">
        <v>9992</v>
      </c>
      <c r="G1248" t="s">
        <v>9993</v>
      </c>
      <c r="H1248" t="s">
        <v>10912</v>
      </c>
    </row>
    <row r="1249" spans="1:8">
      <c r="A1249" t="s">
        <v>2805</v>
      </c>
      <c r="B1249" t="s">
        <v>2806</v>
      </c>
      <c r="C1249" t="s">
        <v>9990</v>
      </c>
      <c r="E1249" s="11" t="s">
        <v>9991</v>
      </c>
      <c r="F1249" s="11" t="s">
        <v>9994</v>
      </c>
      <c r="G1249" t="s">
        <v>9995</v>
      </c>
      <c r="H1249" t="s">
        <v>10913</v>
      </c>
    </row>
    <row r="1250" spans="1:8">
      <c r="A1250" t="s">
        <v>1354</v>
      </c>
      <c r="B1250" t="s">
        <v>1355</v>
      </c>
      <c r="C1250" t="s">
        <v>10249</v>
      </c>
      <c r="E1250" s="11" t="s">
        <v>10250</v>
      </c>
      <c r="F1250" s="11" t="s">
        <v>10251</v>
      </c>
      <c r="G1250" t="s">
        <v>10654</v>
      </c>
      <c r="H1250" t="s">
        <v>10252</v>
      </c>
    </row>
    <row r="1251" spans="1:8">
      <c r="A1251" t="s">
        <v>1234</v>
      </c>
      <c r="B1251" t="s">
        <v>1235</v>
      </c>
      <c r="C1251" t="s">
        <v>10293</v>
      </c>
      <c r="E1251" s="11" t="s">
        <v>10294</v>
      </c>
      <c r="F1251" s="11" t="s">
        <v>10295</v>
      </c>
      <c r="G1251" t="s">
        <v>10296</v>
      </c>
      <c r="H1251" t="s">
        <v>10634</v>
      </c>
    </row>
    <row r="1252" spans="1:8">
      <c r="A1252" t="s">
        <v>5793</v>
      </c>
      <c r="B1252" t="s">
        <v>5794</v>
      </c>
      <c r="C1252" t="s">
        <v>9283</v>
      </c>
      <c r="E1252" s="11" t="s">
        <v>9284</v>
      </c>
      <c r="F1252" s="11" t="s">
        <v>9285</v>
      </c>
      <c r="G1252" t="s">
        <v>9286</v>
      </c>
      <c r="H1252" t="s">
        <v>11381</v>
      </c>
    </row>
    <row r="1253" spans="1:8">
      <c r="A1253" t="s">
        <v>2897</v>
      </c>
      <c r="B1253" t="s">
        <v>2898</v>
      </c>
      <c r="C1253" t="s">
        <v>9969</v>
      </c>
      <c r="E1253" s="11" t="s">
        <v>9970</v>
      </c>
      <c r="F1253" s="11" t="s">
        <v>9971</v>
      </c>
      <c r="G1253" t="s">
        <v>9972</v>
      </c>
      <c r="H1253" t="s">
        <v>10932</v>
      </c>
    </row>
    <row r="1254" spans="1:8">
      <c r="A1254" t="s">
        <v>8248</v>
      </c>
      <c r="B1254" t="s">
        <v>8249</v>
      </c>
      <c r="C1254" t="s">
        <v>8506</v>
      </c>
      <c r="E1254" s="11" t="s">
        <v>8507</v>
      </c>
      <c r="F1254" s="11" t="s">
        <v>8508</v>
      </c>
      <c r="G1254" t="s">
        <v>11791</v>
      </c>
      <c r="H1254" t="s">
        <v>11792</v>
      </c>
    </row>
    <row r="1255" spans="1:8">
      <c r="A1255" t="s">
        <v>8248</v>
      </c>
      <c r="B1255" t="s">
        <v>8249</v>
      </c>
      <c r="C1255" t="s">
        <v>8506</v>
      </c>
      <c r="E1255" s="11" t="s">
        <v>8507</v>
      </c>
      <c r="F1255" s="11" t="s">
        <v>11817</v>
      </c>
      <c r="G1255" t="s">
        <v>11818</v>
      </c>
      <c r="H1255" t="s">
        <v>11819</v>
      </c>
    </row>
    <row r="1256" spans="1:8">
      <c r="A1256" t="s">
        <v>8248</v>
      </c>
      <c r="B1256" t="s">
        <v>8249</v>
      </c>
      <c r="C1256" t="s">
        <v>8506</v>
      </c>
      <c r="E1256" s="11" t="s">
        <v>8507</v>
      </c>
      <c r="F1256" s="11" t="s">
        <v>11820</v>
      </c>
      <c r="G1256" t="s">
        <v>11821</v>
      </c>
      <c r="H1256" t="s">
        <v>11822</v>
      </c>
    </row>
    <row r="1257" spans="1:8">
      <c r="A1257" t="s">
        <v>8252</v>
      </c>
      <c r="B1257" t="s">
        <v>8253</v>
      </c>
      <c r="C1257" t="s">
        <v>8506</v>
      </c>
      <c r="E1257" s="11" t="s">
        <v>8507</v>
      </c>
      <c r="F1257" s="11" t="s">
        <v>8508</v>
      </c>
      <c r="G1257" t="s">
        <v>11791</v>
      </c>
      <c r="H1257" t="s">
        <v>11792</v>
      </c>
    </row>
    <row r="1258" spans="1:8">
      <c r="A1258" t="s">
        <v>8252</v>
      </c>
      <c r="B1258" t="s">
        <v>8253</v>
      </c>
      <c r="C1258" t="s">
        <v>8506</v>
      </c>
      <c r="E1258" s="11" t="s">
        <v>8507</v>
      </c>
      <c r="F1258" s="11" t="s">
        <v>11817</v>
      </c>
      <c r="G1258" t="s">
        <v>11818</v>
      </c>
      <c r="H1258" t="s">
        <v>11819</v>
      </c>
    </row>
    <row r="1259" spans="1:8">
      <c r="A1259" t="s">
        <v>8252</v>
      </c>
      <c r="B1259" t="s">
        <v>8253</v>
      </c>
      <c r="C1259" t="s">
        <v>8506</v>
      </c>
      <c r="E1259" s="11" t="s">
        <v>8507</v>
      </c>
      <c r="F1259" s="11" t="s">
        <v>11820</v>
      </c>
      <c r="G1259" t="s">
        <v>11821</v>
      </c>
      <c r="H1259" t="s">
        <v>11822</v>
      </c>
    </row>
    <row r="1260" spans="1:8">
      <c r="A1260" t="s">
        <v>1260</v>
      </c>
      <c r="B1260" t="s">
        <v>1261</v>
      </c>
      <c r="C1260" t="s">
        <v>10282</v>
      </c>
      <c r="E1260" s="11" t="s">
        <v>10283</v>
      </c>
      <c r="F1260" s="11" t="s">
        <v>10284</v>
      </c>
      <c r="G1260" t="s">
        <v>10271</v>
      </c>
      <c r="H1260" t="s">
        <v>10632</v>
      </c>
    </row>
    <row r="1261" spans="1:8">
      <c r="A1261" t="s">
        <v>2012</v>
      </c>
      <c r="B1261" t="s">
        <v>2013</v>
      </c>
      <c r="C1261" t="s">
        <v>10169</v>
      </c>
      <c r="E1261" s="11" t="s">
        <v>10171</v>
      </c>
      <c r="F1261" s="11" t="s">
        <v>10172</v>
      </c>
      <c r="G1261" t="s">
        <v>10173</v>
      </c>
      <c r="H1261" t="s">
        <v>9074</v>
      </c>
    </row>
    <row r="1262" spans="1:8">
      <c r="A1262" t="s">
        <v>2012</v>
      </c>
      <c r="B1262" t="s">
        <v>2013</v>
      </c>
      <c r="C1262" t="s">
        <v>10169</v>
      </c>
      <c r="E1262" s="11" t="s">
        <v>10171</v>
      </c>
      <c r="F1262" s="11" t="s">
        <v>10174</v>
      </c>
      <c r="G1262" t="s">
        <v>10173</v>
      </c>
      <c r="H1262" t="s">
        <v>10716</v>
      </c>
    </row>
    <row r="1263" spans="1:8">
      <c r="A1263" t="s">
        <v>2012</v>
      </c>
      <c r="B1263" t="s">
        <v>2013</v>
      </c>
      <c r="C1263" t="s">
        <v>10169</v>
      </c>
      <c r="E1263" s="11" t="s">
        <v>10171</v>
      </c>
      <c r="F1263" s="11" t="s">
        <v>10175</v>
      </c>
      <c r="G1263" t="s">
        <v>9074</v>
      </c>
      <c r="H1263" t="s">
        <v>10716</v>
      </c>
    </row>
    <row r="1264" spans="1:8">
      <c r="A1264" t="s">
        <v>3724</v>
      </c>
      <c r="B1264" t="s">
        <v>3725</v>
      </c>
      <c r="C1264" t="s">
        <v>9795</v>
      </c>
      <c r="E1264" s="11" t="s">
        <v>9796</v>
      </c>
      <c r="F1264" s="11" t="s">
        <v>9797</v>
      </c>
      <c r="G1264" t="s">
        <v>9798</v>
      </c>
      <c r="H1264" t="s">
        <v>11055</v>
      </c>
    </row>
    <row r="1265" spans="1:8">
      <c r="A1265" t="s">
        <v>3724</v>
      </c>
      <c r="B1265" t="s">
        <v>3725</v>
      </c>
      <c r="C1265" t="s">
        <v>9795</v>
      </c>
      <c r="E1265" s="11" t="s">
        <v>9796</v>
      </c>
      <c r="F1265" s="11" t="s">
        <v>9799</v>
      </c>
      <c r="G1265" t="s">
        <v>9800</v>
      </c>
      <c r="H1265" t="s">
        <v>11055</v>
      </c>
    </row>
    <row r="1266" spans="1:8">
      <c r="A1266" t="s">
        <v>3724</v>
      </c>
      <c r="B1266" t="s">
        <v>3725</v>
      </c>
      <c r="C1266" t="s">
        <v>9795</v>
      </c>
      <c r="E1266" s="11" t="s">
        <v>9796</v>
      </c>
      <c r="F1266" s="11" t="s">
        <v>9801</v>
      </c>
      <c r="G1266" t="s">
        <v>9800</v>
      </c>
      <c r="H1266" t="s">
        <v>9798</v>
      </c>
    </row>
    <row r="1267" spans="1:8">
      <c r="A1267" t="s">
        <v>3728</v>
      </c>
      <c r="B1267" t="s">
        <v>3729</v>
      </c>
      <c r="C1267" t="s">
        <v>9795</v>
      </c>
      <c r="E1267" s="11" t="s">
        <v>9796</v>
      </c>
      <c r="F1267" s="11" t="s">
        <v>9797</v>
      </c>
      <c r="G1267" t="s">
        <v>9798</v>
      </c>
      <c r="H1267" t="s">
        <v>11055</v>
      </c>
    </row>
    <row r="1268" spans="1:8">
      <c r="A1268" t="s">
        <v>3728</v>
      </c>
      <c r="B1268" t="s">
        <v>3729</v>
      </c>
      <c r="C1268" t="s">
        <v>9795</v>
      </c>
      <c r="E1268" s="11" t="s">
        <v>9796</v>
      </c>
      <c r="F1268" s="11" t="s">
        <v>9799</v>
      </c>
      <c r="G1268" t="s">
        <v>9800</v>
      </c>
      <c r="H1268" t="s">
        <v>11055</v>
      </c>
    </row>
    <row r="1269" spans="1:8">
      <c r="A1269" t="s">
        <v>3728</v>
      </c>
      <c r="B1269" t="s">
        <v>3729</v>
      </c>
      <c r="C1269" t="s">
        <v>9795</v>
      </c>
      <c r="E1269" s="11" t="s">
        <v>9796</v>
      </c>
      <c r="F1269" s="11" t="s">
        <v>9801</v>
      </c>
      <c r="G1269" t="s">
        <v>9800</v>
      </c>
      <c r="H1269" t="s">
        <v>9798</v>
      </c>
    </row>
    <row r="1270" spans="1:8">
      <c r="A1270" t="s">
        <v>1003</v>
      </c>
      <c r="B1270" t="s">
        <v>1004</v>
      </c>
      <c r="C1270" t="s">
        <v>10336</v>
      </c>
      <c r="E1270" s="11" t="s">
        <v>10337</v>
      </c>
      <c r="F1270" s="11" t="s">
        <v>10338</v>
      </c>
      <c r="G1270" t="s">
        <v>9461</v>
      </c>
      <c r="H1270" t="s">
        <v>10598</v>
      </c>
    </row>
    <row r="1271" spans="1:8">
      <c r="A1271" t="s">
        <v>972</v>
      </c>
      <c r="B1271" t="s">
        <v>973</v>
      </c>
      <c r="C1271" t="s">
        <v>10359</v>
      </c>
      <c r="E1271" s="11" t="s">
        <v>10360</v>
      </c>
      <c r="F1271" s="11" t="s">
        <v>10361</v>
      </c>
      <c r="G1271" t="s">
        <v>10362</v>
      </c>
      <c r="H1271" t="s">
        <v>10566</v>
      </c>
    </row>
    <row r="1272" spans="1:8">
      <c r="A1272" t="s">
        <v>7906</v>
      </c>
      <c r="B1272" t="s">
        <v>7907</v>
      </c>
      <c r="C1272" t="s">
        <v>8574</v>
      </c>
      <c r="E1272" s="11" t="s">
        <v>8575</v>
      </c>
      <c r="F1272" s="11" t="s">
        <v>8576</v>
      </c>
      <c r="G1272" t="s">
        <v>8577</v>
      </c>
      <c r="H1272" t="s">
        <v>11771</v>
      </c>
    </row>
    <row r="1273" spans="1:8">
      <c r="A1273" t="s">
        <v>7906</v>
      </c>
      <c r="B1273" t="s">
        <v>7907</v>
      </c>
      <c r="C1273" t="s">
        <v>8574</v>
      </c>
      <c r="E1273" s="11" t="s">
        <v>8575</v>
      </c>
      <c r="F1273" s="11" t="s">
        <v>11835</v>
      </c>
      <c r="G1273" t="s">
        <v>11836</v>
      </c>
      <c r="H1273" t="s">
        <v>16080</v>
      </c>
    </row>
    <row r="1274" spans="1:8">
      <c r="A1274" t="s">
        <v>1253</v>
      </c>
      <c r="B1274" t="s">
        <v>1254</v>
      </c>
      <c r="C1274" t="s">
        <v>10285</v>
      </c>
      <c r="E1274" s="11" t="s">
        <v>10286</v>
      </c>
      <c r="F1274" s="11" t="s">
        <v>10287</v>
      </c>
      <c r="G1274" t="s">
        <v>10288</v>
      </c>
      <c r="H1274" t="s">
        <v>10642</v>
      </c>
    </row>
    <row r="1275" spans="1:8">
      <c r="A1275" t="s">
        <v>2012</v>
      </c>
      <c r="B1275" t="s">
        <v>2013</v>
      </c>
      <c r="C1275" t="s">
        <v>10170</v>
      </c>
      <c r="E1275" s="11" t="s">
        <v>10176</v>
      </c>
      <c r="F1275" s="11" t="s">
        <v>10177</v>
      </c>
      <c r="G1275" t="s">
        <v>10178</v>
      </c>
      <c r="H1275" t="s">
        <v>10717</v>
      </c>
    </row>
    <row r="1276" spans="1:8">
      <c r="A1276" t="s">
        <v>3603</v>
      </c>
      <c r="B1276" t="s">
        <v>3604</v>
      </c>
      <c r="C1276" t="s">
        <v>9846</v>
      </c>
      <c r="E1276" s="11" t="s">
        <v>9847</v>
      </c>
      <c r="F1276" s="11" t="s">
        <v>9848</v>
      </c>
      <c r="G1276" t="s">
        <v>9849</v>
      </c>
      <c r="H1276" t="s">
        <v>11021</v>
      </c>
    </row>
    <row r="1277" spans="1:8">
      <c r="A1277" t="s">
        <v>3603</v>
      </c>
      <c r="B1277" t="s">
        <v>3604</v>
      </c>
      <c r="C1277" t="s">
        <v>9846</v>
      </c>
      <c r="E1277" s="11" t="s">
        <v>9847</v>
      </c>
      <c r="F1277" s="11" t="s">
        <v>9850</v>
      </c>
      <c r="G1277" t="s">
        <v>9851</v>
      </c>
      <c r="H1277" t="s">
        <v>11021</v>
      </c>
    </row>
    <row r="1278" spans="1:8">
      <c r="A1278" t="s">
        <v>3603</v>
      </c>
      <c r="B1278" t="s">
        <v>3604</v>
      </c>
      <c r="C1278" t="s">
        <v>9846</v>
      </c>
      <c r="E1278" s="11" t="s">
        <v>9847</v>
      </c>
      <c r="F1278" s="11" t="s">
        <v>9852</v>
      </c>
      <c r="G1278" t="s">
        <v>12624</v>
      </c>
      <c r="H1278" t="s">
        <v>11023</v>
      </c>
    </row>
    <row r="1279" spans="1:8">
      <c r="A1279" t="s">
        <v>1348</v>
      </c>
      <c r="B1279" t="s">
        <v>1349</v>
      </c>
      <c r="C1279" t="s">
        <v>10253</v>
      </c>
      <c r="E1279" s="11" t="s">
        <v>10254</v>
      </c>
      <c r="F1279" s="11" t="s">
        <v>10255</v>
      </c>
      <c r="G1279" t="s">
        <v>10256</v>
      </c>
      <c r="H1279" t="s">
        <v>10653</v>
      </c>
    </row>
    <row r="1280" spans="1:8">
      <c r="A1280" t="s">
        <v>6129</v>
      </c>
      <c r="B1280" t="s">
        <v>6130</v>
      </c>
      <c r="C1280" t="s">
        <v>9139</v>
      </c>
      <c r="E1280" s="11" t="s">
        <v>9140</v>
      </c>
      <c r="F1280" s="11" t="s">
        <v>9141</v>
      </c>
      <c r="G1280" t="s">
        <v>11481</v>
      </c>
      <c r="H1280" t="s">
        <v>11482</v>
      </c>
    </row>
    <row r="1281" spans="1:8">
      <c r="A1281" t="s">
        <v>6129</v>
      </c>
      <c r="B1281" t="s">
        <v>6130</v>
      </c>
      <c r="C1281" t="s">
        <v>9139</v>
      </c>
      <c r="E1281" s="11" t="s">
        <v>9140</v>
      </c>
      <c r="F1281" s="11" t="s">
        <v>9142</v>
      </c>
      <c r="G1281" t="s">
        <v>11483</v>
      </c>
      <c r="H1281" t="s">
        <v>11484</v>
      </c>
    </row>
    <row r="1282" spans="1:8">
      <c r="A1282" t="s">
        <v>4594</v>
      </c>
      <c r="B1282" t="s">
        <v>4595</v>
      </c>
      <c r="C1282" t="s">
        <v>9539</v>
      </c>
      <c r="E1282" s="11" t="s">
        <v>9540</v>
      </c>
      <c r="F1282" s="11" t="s">
        <v>9541</v>
      </c>
      <c r="G1282" t="s">
        <v>9542</v>
      </c>
      <c r="H1282" t="s">
        <v>11216</v>
      </c>
    </row>
    <row r="1283" spans="1:8">
      <c r="A1283" t="s">
        <v>4601</v>
      </c>
      <c r="B1283" t="s">
        <v>4602</v>
      </c>
      <c r="C1283" t="s">
        <v>9532</v>
      </c>
      <c r="E1283" s="11" t="s">
        <v>9533</v>
      </c>
      <c r="F1283" s="11" t="s">
        <v>9534</v>
      </c>
      <c r="G1283" t="s">
        <v>9535</v>
      </c>
      <c r="H1283" t="s">
        <v>11219</v>
      </c>
    </row>
    <row r="1284" spans="1:8">
      <c r="A1284" t="s">
        <v>2450</v>
      </c>
      <c r="B1284" t="s">
        <v>2451</v>
      </c>
      <c r="C1284" t="s">
        <v>8547</v>
      </c>
      <c r="E1284" s="11"/>
    </row>
    <row r="1285" spans="1:8">
      <c r="A1285" t="s">
        <v>8159</v>
      </c>
      <c r="B1285" t="s">
        <v>8160</v>
      </c>
      <c r="C1285" t="s">
        <v>8547</v>
      </c>
      <c r="E1285" s="11"/>
    </row>
    <row r="1286" spans="1:8">
      <c r="A1286" t="s">
        <v>893</v>
      </c>
      <c r="B1286" t="s">
        <v>894</v>
      </c>
      <c r="C1286" t="s">
        <v>9325</v>
      </c>
      <c r="E1286" s="11" t="s">
        <v>9327</v>
      </c>
    </row>
    <row r="1287" spans="1:8">
      <c r="A1287" t="s">
        <v>5713</v>
      </c>
      <c r="B1287" t="s">
        <v>5714</v>
      </c>
      <c r="C1287" t="s">
        <v>9325</v>
      </c>
      <c r="E1287" s="11" t="s">
        <v>9327</v>
      </c>
    </row>
    <row r="1288" spans="1:8">
      <c r="A1288" t="s">
        <v>4239</v>
      </c>
      <c r="B1288" t="s">
        <v>4240</v>
      </c>
      <c r="C1288" t="s">
        <v>9697</v>
      </c>
      <c r="E1288" s="11" t="s">
        <v>9698</v>
      </c>
      <c r="F1288" s="11" t="s">
        <v>9699</v>
      </c>
      <c r="G1288" t="s">
        <v>9700</v>
      </c>
      <c r="H1288" t="s">
        <v>11123</v>
      </c>
    </row>
    <row r="1289" spans="1:8">
      <c r="A1289" t="s">
        <v>4657</v>
      </c>
      <c r="B1289" t="s">
        <v>4658</v>
      </c>
      <c r="C1289" t="s">
        <v>9513</v>
      </c>
      <c r="E1289" s="11" t="s">
        <v>9514</v>
      </c>
      <c r="F1289" s="11" t="s">
        <v>9254</v>
      </c>
      <c r="G1289" t="s">
        <v>9255</v>
      </c>
      <c r="H1289" t="s">
        <v>11228</v>
      </c>
    </row>
    <row r="1290" spans="1:8">
      <c r="A1290" t="s">
        <v>4657</v>
      </c>
      <c r="B1290" t="s">
        <v>4658</v>
      </c>
      <c r="C1290" t="s">
        <v>9513</v>
      </c>
      <c r="E1290" s="11" t="s">
        <v>9514</v>
      </c>
      <c r="F1290" s="11" t="s">
        <v>9515</v>
      </c>
      <c r="G1290" t="s">
        <v>9255</v>
      </c>
      <c r="H1290" t="s">
        <v>11229</v>
      </c>
    </row>
    <row r="1291" spans="1:8">
      <c r="A1291" t="s">
        <v>4657</v>
      </c>
      <c r="B1291" t="s">
        <v>4658</v>
      </c>
      <c r="C1291" t="s">
        <v>9513</v>
      </c>
      <c r="E1291" s="11" t="s">
        <v>9514</v>
      </c>
      <c r="F1291" s="11" t="s">
        <v>9516</v>
      </c>
      <c r="G1291" t="s">
        <v>11230</v>
      </c>
      <c r="H1291" t="s">
        <v>11228</v>
      </c>
    </row>
    <row r="1292" spans="1:8">
      <c r="A1292" t="s">
        <v>4657</v>
      </c>
      <c r="B1292" t="s">
        <v>4658</v>
      </c>
      <c r="C1292" t="s">
        <v>9513</v>
      </c>
      <c r="E1292" s="11" t="s">
        <v>9514</v>
      </c>
      <c r="F1292" s="11" t="s">
        <v>9517</v>
      </c>
      <c r="G1292" t="s">
        <v>9518</v>
      </c>
      <c r="H1292" t="s">
        <v>9519</v>
      </c>
    </row>
    <row r="1293" spans="1:8">
      <c r="A1293" t="s">
        <v>4657</v>
      </c>
      <c r="B1293" t="s">
        <v>4658</v>
      </c>
      <c r="C1293" t="s">
        <v>9513</v>
      </c>
      <c r="E1293" s="11" t="s">
        <v>9514</v>
      </c>
      <c r="F1293" s="11" t="s">
        <v>9256</v>
      </c>
      <c r="G1293" t="s">
        <v>9257</v>
      </c>
      <c r="H1293" t="s">
        <v>11231</v>
      </c>
    </row>
    <row r="1294" spans="1:8">
      <c r="A1294" t="s">
        <v>5861</v>
      </c>
      <c r="B1294" t="s">
        <v>5862</v>
      </c>
      <c r="C1294" t="s">
        <v>9246</v>
      </c>
      <c r="E1294" s="11" t="s">
        <v>9247</v>
      </c>
      <c r="F1294" s="11" t="s">
        <v>9248</v>
      </c>
      <c r="G1294" t="s">
        <v>9249</v>
      </c>
      <c r="H1294" t="s">
        <v>11389</v>
      </c>
    </row>
    <row r="1295" spans="1:8">
      <c r="A1295" t="s">
        <v>5861</v>
      </c>
      <c r="B1295" t="s">
        <v>5862</v>
      </c>
      <c r="C1295" t="s">
        <v>9246</v>
      </c>
      <c r="E1295" s="11" t="s">
        <v>9247</v>
      </c>
      <c r="F1295" s="11" t="s">
        <v>9250</v>
      </c>
      <c r="G1295" t="s">
        <v>11390</v>
      </c>
      <c r="H1295" t="s">
        <v>11389</v>
      </c>
    </row>
    <row r="1296" spans="1:8">
      <c r="A1296" t="s">
        <v>5861</v>
      </c>
      <c r="B1296" t="s">
        <v>5862</v>
      </c>
      <c r="C1296" t="s">
        <v>9246</v>
      </c>
      <c r="E1296" s="11" t="s">
        <v>9247</v>
      </c>
      <c r="F1296" s="11" t="s">
        <v>9251</v>
      </c>
      <c r="G1296" t="s">
        <v>9252</v>
      </c>
      <c r="H1296" t="s">
        <v>9253</v>
      </c>
    </row>
    <row r="1297" spans="1:8">
      <c r="A1297" t="s">
        <v>5861</v>
      </c>
      <c r="B1297" t="s">
        <v>5862</v>
      </c>
      <c r="C1297" t="s">
        <v>9246</v>
      </c>
      <c r="E1297" s="11" t="s">
        <v>9247</v>
      </c>
      <c r="F1297" s="11" t="s">
        <v>9254</v>
      </c>
      <c r="G1297" t="s">
        <v>9255</v>
      </c>
      <c r="H1297" t="s">
        <v>11228</v>
      </c>
    </row>
    <row r="1298" spans="1:8">
      <c r="A1298" t="s">
        <v>5861</v>
      </c>
      <c r="B1298" t="s">
        <v>5862</v>
      </c>
      <c r="C1298" t="s">
        <v>9246</v>
      </c>
      <c r="E1298" s="11" t="s">
        <v>9247</v>
      </c>
      <c r="F1298" s="11" t="s">
        <v>9256</v>
      </c>
      <c r="G1298" t="s">
        <v>9257</v>
      </c>
      <c r="H1298" t="s">
        <v>11231</v>
      </c>
    </row>
    <row r="1299" spans="1:8">
      <c r="A1299" t="s">
        <v>3955</v>
      </c>
      <c r="B1299" t="s">
        <v>3956</v>
      </c>
      <c r="C1299" t="s">
        <v>9743</v>
      </c>
      <c r="E1299" s="11" t="s">
        <v>9744</v>
      </c>
      <c r="F1299" s="11" t="s">
        <v>9745</v>
      </c>
      <c r="G1299" t="s">
        <v>9746</v>
      </c>
      <c r="H1299" t="s">
        <v>11092</v>
      </c>
    </row>
    <row r="1300" spans="1:8">
      <c r="A1300" t="s">
        <v>5774</v>
      </c>
      <c r="B1300" t="s">
        <v>5775</v>
      </c>
      <c r="C1300" t="s">
        <v>9287</v>
      </c>
      <c r="E1300" s="11" t="s">
        <v>9288</v>
      </c>
      <c r="F1300" s="11" t="s">
        <v>8780</v>
      </c>
      <c r="G1300" t="s">
        <v>10519</v>
      </c>
      <c r="H1300" t="s">
        <v>10520</v>
      </c>
    </row>
    <row r="1301" spans="1:8">
      <c r="A1301" t="s">
        <v>5774</v>
      </c>
      <c r="B1301" t="s">
        <v>5775</v>
      </c>
      <c r="C1301" t="s">
        <v>9287</v>
      </c>
      <c r="E1301" s="11" t="s">
        <v>9288</v>
      </c>
      <c r="F1301" s="11" t="s">
        <v>9289</v>
      </c>
      <c r="G1301" t="s">
        <v>11377</v>
      </c>
      <c r="H1301" t="s">
        <v>11378</v>
      </c>
    </row>
    <row r="1302" spans="1:8">
      <c r="A1302" t="s">
        <v>5774</v>
      </c>
      <c r="B1302" t="s">
        <v>5775</v>
      </c>
      <c r="C1302" t="s">
        <v>9287</v>
      </c>
      <c r="E1302" s="11" t="s">
        <v>9288</v>
      </c>
      <c r="F1302" s="11" t="s">
        <v>9290</v>
      </c>
      <c r="G1302" t="s">
        <v>11379</v>
      </c>
      <c r="H1302" t="s">
        <v>11380</v>
      </c>
    </row>
    <row r="1303" spans="1:8">
      <c r="A1303" t="s">
        <v>5784</v>
      </c>
      <c r="B1303" t="s">
        <v>5785</v>
      </c>
      <c r="C1303" t="s">
        <v>9287</v>
      </c>
      <c r="E1303" s="11" t="s">
        <v>9288</v>
      </c>
      <c r="F1303" s="11" t="s">
        <v>8780</v>
      </c>
      <c r="G1303" t="s">
        <v>10519</v>
      </c>
      <c r="H1303" t="s">
        <v>10520</v>
      </c>
    </row>
    <row r="1304" spans="1:8">
      <c r="A1304" t="s">
        <v>5784</v>
      </c>
      <c r="B1304" t="s">
        <v>5785</v>
      </c>
      <c r="C1304" t="s">
        <v>9287</v>
      </c>
      <c r="E1304" s="11" t="s">
        <v>9288</v>
      </c>
      <c r="F1304" s="11" t="s">
        <v>9289</v>
      </c>
      <c r="G1304" t="s">
        <v>11377</v>
      </c>
      <c r="H1304" t="s">
        <v>11378</v>
      </c>
    </row>
    <row r="1305" spans="1:8">
      <c r="A1305" t="s">
        <v>5784</v>
      </c>
      <c r="B1305" t="s">
        <v>5785</v>
      </c>
      <c r="C1305" t="s">
        <v>9287</v>
      </c>
      <c r="E1305" s="11" t="s">
        <v>9288</v>
      </c>
      <c r="F1305" s="11" t="s">
        <v>9290</v>
      </c>
      <c r="G1305" t="s">
        <v>11379</v>
      </c>
      <c r="H1305" t="s">
        <v>11380</v>
      </c>
    </row>
    <row r="1306" spans="1:8">
      <c r="A1306" t="s">
        <v>7158</v>
      </c>
      <c r="B1306" t="s">
        <v>7159</v>
      </c>
      <c r="C1306" t="s">
        <v>8763</v>
      </c>
      <c r="E1306" s="11" t="s">
        <v>8764</v>
      </c>
      <c r="F1306" s="11" t="s">
        <v>8765</v>
      </c>
      <c r="G1306" t="s">
        <v>8766</v>
      </c>
      <c r="H1306" t="s">
        <v>11690</v>
      </c>
    </row>
    <row r="1307" spans="1:8">
      <c r="A1307" t="s">
        <v>7158</v>
      </c>
      <c r="B1307" t="s">
        <v>7159</v>
      </c>
      <c r="C1307" t="s">
        <v>8763</v>
      </c>
      <c r="E1307" s="11" t="s">
        <v>8764</v>
      </c>
      <c r="F1307" s="11" t="s">
        <v>8767</v>
      </c>
      <c r="G1307" t="s">
        <v>8768</v>
      </c>
      <c r="H1307" t="s">
        <v>11691</v>
      </c>
    </row>
    <row r="1308" spans="1:8">
      <c r="A1308" t="s">
        <v>7158</v>
      </c>
      <c r="B1308" t="s">
        <v>7159</v>
      </c>
      <c r="C1308" t="s">
        <v>8763</v>
      </c>
      <c r="E1308" s="11" t="s">
        <v>8764</v>
      </c>
      <c r="F1308" s="11" t="s">
        <v>8769</v>
      </c>
      <c r="G1308" t="s">
        <v>8770</v>
      </c>
      <c r="H1308" t="s">
        <v>11692</v>
      </c>
    </row>
    <row r="1309" spans="1:8">
      <c r="A1309" t="s">
        <v>2280</v>
      </c>
      <c r="B1309" t="s">
        <v>2281</v>
      </c>
      <c r="C1309" t="s">
        <v>10103</v>
      </c>
      <c r="E1309" s="11" t="s">
        <v>10104</v>
      </c>
      <c r="F1309" s="11" t="s">
        <v>8780</v>
      </c>
      <c r="G1309" t="s">
        <v>10519</v>
      </c>
      <c r="H1309" t="s">
        <v>10520</v>
      </c>
    </row>
    <row r="1310" spans="1:8">
      <c r="A1310" t="s">
        <v>2280</v>
      </c>
      <c r="B1310" t="s">
        <v>2281</v>
      </c>
      <c r="C1310" t="s">
        <v>10103</v>
      </c>
      <c r="E1310" s="11" t="s">
        <v>10104</v>
      </c>
      <c r="F1310" s="11" t="s">
        <v>10105</v>
      </c>
      <c r="G1310" t="s">
        <v>10791</v>
      </c>
      <c r="H1310" t="s">
        <v>10792</v>
      </c>
    </row>
    <row r="1311" spans="1:8">
      <c r="A1311" t="s">
        <v>2280</v>
      </c>
      <c r="B1311" t="s">
        <v>2281</v>
      </c>
      <c r="C1311" t="s">
        <v>10103</v>
      </c>
      <c r="E1311" s="11" t="s">
        <v>10104</v>
      </c>
      <c r="F1311" s="11" t="s">
        <v>10106</v>
      </c>
      <c r="G1311" t="s">
        <v>10793</v>
      </c>
      <c r="H1311" t="s">
        <v>10794</v>
      </c>
    </row>
    <row r="1312" spans="1:8">
      <c r="A1312" t="s">
        <v>2280</v>
      </c>
      <c r="B1312" t="s">
        <v>2281</v>
      </c>
      <c r="C1312" t="s">
        <v>10103</v>
      </c>
      <c r="E1312" s="11" t="s">
        <v>10104</v>
      </c>
      <c r="F1312" s="11" t="s">
        <v>10107</v>
      </c>
      <c r="G1312" t="s">
        <v>10795</v>
      </c>
      <c r="H1312" t="s">
        <v>10796</v>
      </c>
    </row>
    <row r="1313" spans="1:8">
      <c r="A1313" t="s">
        <v>5428</v>
      </c>
      <c r="B1313" t="s">
        <v>5429</v>
      </c>
      <c r="C1313" t="s">
        <v>9420</v>
      </c>
      <c r="E1313" s="11" t="s">
        <v>9421</v>
      </c>
      <c r="F1313" s="11" t="s">
        <v>9422</v>
      </c>
      <c r="G1313" t="s">
        <v>11278</v>
      </c>
      <c r="H1313" t="s">
        <v>11279</v>
      </c>
    </row>
    <row r="1314" spans="1:8">
      <c r="A1314" t="s">
        <v>6364</v>
      </c>
      <c r="B1314" t="s">
        <v>6365</v>
      </c>
      <c r="C1314" t="s">
        <v>9082</v>
      </c>
      <c r="E1314" s="11" t="s">
        <v>9083</v>
      </c>
      <c r="F1314" s="11" t="s">
        <v>9084</v>
      </c>
      <c r="G1314" t="s">
        <v>11503</v>
      </c>
      <c r="H1314" t="s">
        <v>11504</v>
      </c>
    </row>
    <row r="1315" spans="1:8">
      <c r="A1315" t="s">
        <v>6364</v>
      </c>
      <c r="B1315" t="s">
        <v>6365</v>
      </c>
      <c r="C1315" t="s">
        <v>9082</v>
      </c>
      <c r="E1315" s="11" t="s">
        <v>9083</v>
      </c>
      <c r="F1315" s="11" t="s">
        <v>9085</v>
      </c>
      <c r="G1315" t="s">
        <v>11505</v>
      </c>
      <c r="H1315" t="s">
        <v>11506</v>
      </c>
    </row>
    <row r="1316" spans="1:8">
      <c r="A1316" t="s">
        <v>6364</v>
      </c>
      <c r="B1316" t="s">
        <v>6365</v>
      </c>
      <c r="C1316" t="s">
        <v>9082</v>
      </c>
      <c r="E1316" s="11" t="s">
        <v>9083</v>
      </c>
      <c r="F1316" s="11" t="s">
        <v>9086</v>
      </c>
      <c r="G1316" t="s">
        <v>11507</v>
      </c>
      <c r="H1316" t="s">
        <v>11508</v>
      </c>
    </row>
    <row r="1317" spans="1:8">
      <c r="A1317" t="s">
        <v>6364</v>
      </c>
      <c r="B1317" t="s">
        <v>6365</v>
      </c>
      <c r="C1317" t="s">
        <v>9082</v>
      </c>
      <c r="E1317" s="11" t="s">
        <v>9083</v>
      </c>
      <c r="F1317" s="11" t="s">
        <v>9087</v>
      </c>
      <c r="G1317" t="s">
        <v>11509</v>
      </c>
      <c r="H1317" t="s">
        <v>11510</v>
      </c>
    </row>
    <row r="1318" spans="1:8">
      <c r="A1318" t="s">
        <v>6364</v>
      </c>
      <c r="B1318" t="s">
        <v>6365</v>
      </c>
      <c r="C1318" t="s">
        <v>9082</v>
      </c>
      <c r="E1318" s="11" t="s">
        <v>9083</v>
      </c>
      <c r="F1318" s="11" t="s">
        <v>9088</v>
      </c>
      <c r="G1318" t="s">
        <v>11503</v>
      </c>
      <c r="H1318" t="s">
        <v>11511</v>
      </c>
    </row>
    <row r="1319" spans="1:8">
      <c r="A1319" t="s">
        <v>6364</v>
      </c>
      <c r="B1319" t="s">
        <v>6365</v>
      </c>
      <c r="C1319" t="s">
        <v>9082</v>
      </c>
      <c r="E1319" s="11" t="s">
        <v>9083</v>
      </c>
      <c r="F1319" s="11" t="s">
        <v>9089</v>
      </c>
      <c r="G1319" t="s">
        <v>11512</v>
      </c>
      <c r="H1319" t="s">
        <v>11513</v>
      </c>
    </row>
    <row r="1320" spans="1:8">
      <c r="A1320" t="s">
        <v>6364</v>
      </c>
      <c r="B1320" t="s">
        <v>6365</v>
      </c>
      <c r="C1320" t="s">
        <v>9082</v>
      </c>
      <c r="E1320" s="11" t="s">
        <v>9083</v>
      </c>
      <c r="F1320" s="11" t="s">
        <v>9090</v>
      </c>
      <c r="G1320" t="s">
        <v>11514</v>
      </c>
      <c r="H1320" t="s">
        <v>11515</v>
      </c>
    </row>
    <row r="1321" spans="1:8">
      <c r="A1321" t="s">
        <v>6364</v>
      </c>
      <c r="B1321" t="s">
        <v>6365</v>
      </c>
      <c r="C1321" t="s">
        <v>9082</v>
      </c>
      <c r="E1321" s="11" t="s">
        <v>9083</v>
      </c>
      <c r="F1321" s="11" t="s">
        <v>9091</v>
      </c>
      <c r="G1321" t="s">
        <v>11516</v>
      </c>
      <c r="H1321" t="s">
        <v>11517</v>
      </c>
    </row>
    <row r="1322" spans="1:8">
      <c r="A1322" t="s">
        <v>7308</v>
      </c>
      <c r="B1322" t="s">
        <v>7309</v>
      </c>
      <c r="C1322" t="s">
        <v>8710</v>
      </c>
      <c r="E1322" s="11" t="s">
        <v>8711</v>
      </c>
      <c r="F1322" s="11" t="s">
        <v>8712</v>
      </c>
      <c r="G1322" t="s">
        <v>8713</v>
      </c>
      <c r="H1322" t="s">
        <v>11721</v>
      </c>
    </row>
    <row r="1323" spans="1:8">
      <c r="A1323" t="s">
        <v>644</v>
      </c>
      <c r="B1323" t="s">
        <v>645</v>
      </c>
      <c r="C1323" t="s">
        <v>10399</v>
      </c>
      <c r="E1323" s="11" t="s">
        <v>10400</v>
      </c>
      <c r="F1323" s="11" t="s">
        <v>10401</v>
      </c>
      <c r="G1323" t="s">
        <v>10531</v>
      </c>
      <c r="H1323" t="s">
        <v>10532</v>
      </c>
    </row>
    <row r="1324" spans="1:8">
      <c r="A1324" t="s">
        <v>4330</v>
      </c>
      <c r="B1324" t="s">
        <v>4331</v>
      </c>
      <c r="C1324" t="s">
        <v>9664</v>
      </c>
      <c r="E1324" s="11" t="s">
        <v>9665</v>
      </c>
      <c r="F1324" s="11" t="s">
        <v>9666</v>
      </c>
      <c r="G1324" t="s">
        <v>11138</v>
      </c>
      <c r="H1324" t="s">
        <v>11139</v>
      </c>
    </row>
    <row r="1325" spans="1:8">
      <c r="A1325" t="s">
        <v>7694</v>
      </c>
      <c r="B1325" t="s">
        <v>7695</v>
      </c>
      <c r="C1325" t="s">
        <v>8614</v>
      </c>
      <c r="E1325" s="11"/>
    </row>
    <row r="1326" spans="1:8">
      <c r="A1326" t="s">
        <v>6792</v>
      </c>
      <c r="B1326" t="s">
        <v>6793</v>
      </c>
      <c r="C1326" t="s">
        <v>8930</v>
      </c>
      <c r="E1326" s="11" t="s">
        <v>8931</v>
      </c>
      <c r="F1326" s="11" t="s">
        <v>8932</v>
      </c>
      <c r="G1326" t="s">
        <v>8933</v>
      </c>
      <c r="H1326" t="s">
        <v>11630</v>
      </c>
    </row>
    <row r="1327" spans="1:8">
      <c r="A1327" t="s">
        <v>1722</v>
      </c>
      <c r="B1327" t="s">
        <v>1723</v>
      </c>
      <c r="C1327" s="12" t="s">
        <v>10215</v>
      </c>
      <c r="E1327" s="11" t="s">
        <v>10216</v>
      </c>
      <c r="F1327" s="11" t="s">
        <v>10217</v>
      </c>
      <c r="G1327" t="s">
        <v>10218</v>
      </c>
      <c r="H1327" t="s">
        <v>10219</v>
      </c>
    </row>
    <row r="1328" spans="1:8">
      <c r="A1328" t="s">
        <v>6893</v>
      </c>
      <c r="B1328" t="s">
        <v>6894</v>
      </c>
      <c r="C1328" t="s">
        <v>8858</v>
      </c>
      <c r="E1328" s="11" t="s">
        <v>8859</v>
      </c>
      <c r="F1328" s="11" t="s">
        <v>8860</v>
      </c>
      <c r="G1328" t="s">
        <v>8861</v>
      </c>
      <c r="H1328" t="s">
        <v>8862</v>
      </c>
    </row>
    <row r="1329" spans="1:8">
      <c r="A1329" t="s">
        <v>5344</v>
      </c>
      <c r="B1329" t="s">
        <v>5345</v>
      </c>
      <c r="C1329" t="s">
        <v>9434</v>
      </c>
      <c r="E1329" s="11" t="s">
        <v>9435</v>
      </c>
      <c r="F1329" s="11" t="s">
        <v>9436</v>
      </c>
      <c r="G1329" t="s">
        <v>9437</v>
      </c>
      <c r="H1329" t="s">
        <v>9438</v>
      </c>
    </row>
    <row r="1330" spans="1:8">
      <c r="A1330" t="s">
        <v>4514</v>
      </c>
      <c r="B1330" t="s">
        <v>4515</v>
      </c>
      <c r="C1330" t="s">
        <v>9595</v>
      </c>
      <c r="E1330" s="11" t="s">
        <v>9596</v>
      </c>
      <c r="F1330" s="11" t="s">
        <v>9597</v>
      </c>
      <c r="G1330" t="s">
        <v>8959</v>
      </c>
      <c r="H1330" t="s">
        <v>9598</v>
      </c>
    </row>
    <row r="1331" spans="1:8">
      <c r="A1331" t="s">
        <v>6413</v>
      </c>
      <c r="B1331" t="s">
        <v>6414</v>
      </c>
      <c r="C1331" t="s">
        <v>9078</v>
      </c>
      <c r="E1331" s="11" t="s">
        <v>9079</v>
      </c>
      <c r="F1331" s="11" t="s">
        <v>9080</v>
      </c>
      <c r="G1331" t="s">
        <v>8827</v>
      </c>
      <c r="H1331" t="s">
        <v>10071</v>
      </c>
    </row>
    <row r="1332" spans="1:8">
      <c r="A1332" t="s">
        <v>5279</v>
      </c>
      <c r="B1332" t="s">
        <v>5280</v>
      </c>
      <c r="C1332" t="s">
        <v>9452</v>
      </c>
      <c r="E1332" s="11" t="s">
        <v>9453</v>
      </c>
      <c r="F1332" s="11" t="s">
        <v>9454</v>
      </c>
      <c r="G1332" t="s">
        <v>9455</v>
      </c>
      <c r="H1332" t="s">
        <v>9456</v>
      </c>
    </row>
    <row r="1333" spans="1:8">
      <c r="A1333" t="s">
        <v>5279</v>
      </c>
      <c r="B1333" t="s">
        <v>5280</v>
      </c>
      <c r="C1333" t="s">
        <v>9452</v>
      </c>
      <c r="E1333" s="11" t="s">
        <v>9453</v>
      </c>
      <c r="F1333" s="11" t="s">
        <v>9457</v>
      </c>
      <c r="G1333" t="s">
        <v>9458</v>
      </c>
      <c r="H1333" t="s">
        <v>9459</v>
      </c>
    </row>
    <row r="1334" spans="1:8">
      <c r="A1334" t="s">
        <v>5279</v>
      </c>
      <c r="B1334" t="s">
        <v>5280</v>
      </c>
      <c r="C1334" t="s">
        <v>9452</v>
      </c>
      <c r="E1334" s="11" t="s">
        <v>9453</v>
      </c>
      <c r="F1334" s="11" t="s">
        <v>9460</v>
      </c>
      <c r="G1334" t="s">
        <v>9461</v>
      </c>
      <c r="H1334" t="s">
        <v>9462</v>
      </c>
    </row>
    <row r="1335" spans="1:8">
      <c r="A1335" t="s">
        <v>7285</v>
      </c>
      <c r="B1335" t="s">
        <v>7286</v>
      </c>
      <c r="C1335" t="s">
        <v>8715</v>
      </c>
      <c r="E1335" s="11" t="s">
        <v>8716</v>
      </c>
      <c r="F1335" s="11" t="s">
        <v>8717</v>
      </c>
      <c r="G1335" t="s">
        <v>8718</v>
      </c>
      <c r="H1335" t="s">
        <v>8719</v>
      </c>
    </row>
    <row r="1336" spans="1:8">
      <c r="A1336" t="s">
        <v>7285</v>
      </c>
      <c r="B1336" t="s">
        <v>7286</v>
      </c>
      <c r="C1336" t="s">
        <v>8715</v>
      </c>
      <c r="E1336" s="11" t="s">
        <v>8716</v>
      </c>
      <c r="F1336" s="11" t="s">
        <v>8720</v>
      </c>
      <c r="G1336" t="s">
        <v>8721</v>
      </c>
      <c r="H1336" t="s">
        <v>8722</v>
      </c>
    </row>
    <row r="1337" spans="1:8">
      <c r="A1337" t="s">
        <v>3470</v>
      </c>
      <c r="B1337" t="s">
        <v>3471</v>
      </c>
      <c r="C1337" t="s">
        <v>9873</v>
      </c>
      <c r="E1337" s="11" t="s">
        <v>9874</v>
      </c>
      <c r="F1337" s="11" t="s">
        <v>9875</v>
      </c>
      <c r="G1337" t="s">
        <v>9670</v>
      </c>
      <c r="H1337" t="s">
        <v>9876</v>
      </c>
    </row>
    <row r="1338" spans="1:8">
      <c r="A1338" t="s">
        <v>3470</v>
      </c>
      <c r="B1338" t="s">
        <v>3471</v>
      </c>
      <c r="C1338" t="s">
        <v>9873</v>
      </c>
      <c r="E1338" s="11" t="s">
        <v>9874</v>
      </c>
      <c r="F1338" s="11" t="s">
        <v>9877</v>
      </c>
      <c r="G1338" t="s">
        <v>9878</v>
      </c>
      <c r="H1338" t="s">
        <v>9879</v>
      </c>
    </row>
    <row r="1339" spans="1:8">
      <c r="A1339" t="s">
        <v>8211</v>
      </c>
      <c r="B1339" t="s">
        <v>8212</v>
      </c>
      <c r="C1339" t="s">
        <v>8527</v>
      </c>
      <c r="E1339" s="11" t="s">
        <v>8528</v>
      </c>
      <c r="F1339" s="11" t="s">
        <v>8529</v>
      </c>
      <c r="G1339" t="s">
        <v>8530</v>
      </c>
      <c r="H1339" t="s">
        <v>8531</v>
      </c>
    </row>
    <row r="1340" spans="1:8">
      <c r="A1340" t="s">
        <v>133</v>
      </c>
      <c r="B1340" t="s">
        <v>134</v>
      </c>
      <c r="C1340" t="s">
        <v>8476</v>
      </c>
      <c r="E1340" s="11" t="s">
        <v>8965</v>
      </c>
      <c r="F1340" s="11" t="s">
        <v>8477</v>
      </c>
      <c r="G1340" t="s">
        <v>8963</v>
      </c>
      <c r="H1340" t="s">
        <v>8964</v>
      </c>
    </row>
    <row r="1341" spans="1:8">
      <c r="A1341" t="s">
        <v>4668</v>
      </c>
      <c r="B1341" t="s">
        <v>4669</v>
      </c>
      <c r="C1341" t="s">
        <v>8476</v>
      </c>
      <c r="E1341" s="11" t="s">
        <v>8965</v>
      </c>
      <c r="F1341" s="11" t="s">
        <v>8477</v>
      </c>
      <c r="G1341" t="s">
        <v>8963</v>
      </c>
      <c r="H1341" t="s">
        <v>8964</v>
      </c>
    </row>
    <row r="1342" spans="1:8">
      <c r="A1342" t="s">
        <v>6659</v>
      </c>
      <c r="B1342" t="s">
        <v>6660</v>
      </c>
      <c r="C1342" t="s">
        <v>8476</v>
      </c>
      <c r="E1342" s="11" t="s">
        <v>8965</v>
      </c>
      <c r="F1342" s="11" t="s">
        <v>8477</v>
      </c>
      <c r="G1342" s="19" t="s">
        <v>8963</v>
      </c>
      <c r="H1342" t="s">
        <v>8964</v>
      </c>
    </row>
    <row r="1343" spans="1:8">
      <c r="A1343" t="s">
        <v>5816</v>
      </c>
      <c r="B1343" t="s">
        <v>5817</v>
      </c>
      <c r="C1343" t="s">
        <v>8929</v>
      </c>
      <c r="E1343" s="11"/>
    </row>
    <row r="1344" spans="1:8">
      <c r="A1344" t="s">
        <v>6794</v>
      </c>
      <c r="B1344" t="s">
        <v>6795</v>
      </c>
      <c r="C1344" t="s">
        <v>8929</v>
      </c>
      <c r="E1344" s="11"/>
    </row>
    <row r="1345" spans="1:8">
      <c r="A1345" t="s">
        <v>4470</v>
      </c>
      <c r="B1345" t="s">
        <v>4471</v>
      </c>
      <c r="C1345" t="s">
        <v>9622</v>
      </c>
      <c r="E1345" s="11" t="s">
        <v>9623</v>
      </c>
      <c r="F1345" s="11" t="s">
        <v>9624</v>
      </c>
      <c r="G1345" t="s">
        <v>9625</v>
      </c>
      <c r="H1345" t="s">
        <v>9626</v>
      </c>
    </row>
    <row r="1346" spans="1:8">
      <c r="A1346" t="s">
        <v>6831</v>
      </c>
      <c r="B1346" t="s">
        <v>6832</v>
      </c>
      <c r="C1346" t="s">
        <v>8920</v>
      </c>
      <c r="E1346" s="11" t="s">
        <v>8921</v>
      </c>
      <c r="F1346" s="11" t="s">
        <v>8922</v>
      </c>
      <c r="G1346" t="s">
        <v>8923</v>
      </c>
      <c r="H1346" t="s">
        <v>8924</v>
      </c>
    </row>
    <row r="1347" spans="1:8">
      <c r="A1347" t="s">
        <v>6831</v>
      </c>
      <c r="B1347" t="s">
        <v>6832</v>
      </c>
      <c r="C1347" t="s">
        <v>8920</v>
      </c>
      <c r="E1347" s="11" t="s">
        <v>8921</v>
      </c>
      <c r="F1347" s="11" t="s">
        <v>8925</v>
      </c>
      <c r="G1347" t="s">
        <v>8926</v>
      </c>
      <c r="H1347" t="s">
        <v>8927</v>
      </c>
    </row>
    <row r="1348" spans="1:8">
      <c r="A1348" t="s">
        <v>5780</v>
      </c>
      <c r="B1348" t="s">
        <v>5781</v>
      </c>
      <c r="C1348" t="s">
        <v>9291</v>
      </c>
      <c r="E1348" s="11" t="s">
        <v>9292</v>
      </c>
      <c r="F1348" s="11" t="s">
        <v>9293</v>
      </c>
      <c r="G1348" t="s">
        <v>9294</v>
      </c>
      <c r="H1348" t="s">
        <v>9295</v>
      </c>
    </row>
    <row r="1349" spans="1:8">
      <c r="A1349" t="s">
        <v>5780</v>
      </c>
      <c r="B1349" t="s">
        <v>5781</v>
      </c>
      <c r="C1349" t="s">
        <v>8510</v>
      </c>
      <c r="E1349" s="11" t="s">
        <v>8514</v>
      </c>
      <c r="F1349" s="11" t="s">
        <v>8515</v>
      </c>
      <c r="G1349" t="s">
        <v>8516</v>
      </c>
      <c r="H1349" t="s">
        <v>8513</v>
      </c>
    </row>
    <row r="1350" spans="1:8">
      <c r="A1350" t="s">
        <v>8244</v>
      </c>
      <c r="B1350" t="s">
        <v>8245</v>
      </c>
      <c r="C1350" t="s">
        <v>8510</v>
      </c>
      <c r="E1350" s="11" t="s">
        <v>8514</v>
      </c>
      <c r="F1350" s="11" t="s">
        <v>8515</v>
      </c>
      <c r="G1350" t="s">
        <v>8516</v>
      </c>
      <c r="H1350" t="s">
        <v>8513</v>
      </c>
    </row>
    <row r="1351" spans="1:8">
      <c r="A1351" t="s">
        <v>508</v>
      </c>
      <c r="B1351" t="s">
        <v>509</v>
      </c>
      <c r="C1351" t="s">
        <v>10422</v>
      </c>
      <c r="E1351" s="11" t="s">
        <v>10423</v>
      </c>
      <c r="F1351" s="11" t="s">
        <v>10424</v>
      </c>
      <c r="G1351" t="s">
        <v>10421</v>
      </c>
      <c r="H1351" t="s">
        <v>10425</v>
      </c>
    </row>
    <row r="1352" spans="1:8">
      <c r="A1352" t="s">
        <v>6675</v>
      </c>
      <c r="B1352" t="s">
        <v>6676</v>
      </c>
      <c r="C1352" t="s">
        <v>8956</v>
      </c>
      <c r="E1352" s="11" t="s">
        <v>8957</v>
      </c>
      <c r="F1352" s="11" t="s">
        <v>8958</v>
      </c>
      <c r="G1352" t="s">
        <v>8830</v>
      </c>
      <c r="H1352" t="s">
        <v>8959</v>
      </c>
    </row>
    <row r="1353" spans="1:8">
      <c r="A1353" t="s">
        <v>6675</v>
      </c>
      <c r="B1353" t="s">
        <v>6676</v>
      </c>
      <c r="C1353" t="s">
        <v>8956</v>
      </c>
      <c r="E1353" s="11" t="s">
        <v>8957</v>
      </c>
      <c r="F1353" s="11" t="s">
        <v>8960</v>
      </c>
      <c r="G1353" t="s">
        <v>8961</v>
      </c>
      <c r="H1353" t="s">
        <v>8962</v>
      </c>
    </row>
    <row r="1354" spans="1:8">
      <c r="A1354" t="s">
        <v>2149</v>
      </c>
      <c r="B1354" t="s">
        <v>2150</v>
      </c>
      <c r="C1354" t="s">
        <v>10118</v>
      </c>
      <c r="E1354" s="11" t="s">
        <v>10119</v>
      </c>
      <c r="F1354" s="11" t="s">
        <v>10120</v>
      </c>
      <c r="G1354" t="s">
        <v>10121</v>
      </c>
      <c r="H1354" t="s">
        <v>10070</v>
      </c>
    </row>
    <row r="1355" spans="1:8">
      <c r="A1355" t="s">
        <v>2149</v>
      </c>
      <c r="B1355" t="s">
        <v>2150</v>
      </c>
      <c r="C1355" t="s">
        <v>10118</v>
      </c>
      <c r="E1355" s="11" t="s">
        <v>10119</v>
      </c>
      <c r="F1355" s="11" t="s">
        <v>10122</v>
      </c>
      <c r="G1355" t="s">
        <v>10121</v>
      </c>
      <c r="H1355" t="s">
        <v>10068</v>
      </c>
    </row>
    <row r="1356" spans="1:8">
      <c r="A1356" t="s">
        <v>2464</v>
      </c>
      <c r="B1356" t="s">
        <v>2465</v>
      </c>
      <c r="C1356" t="s">
        <v>10065</v>
      </c>
      <c r="E1356" s="11" t="s">
        <v>10066</v>
      </c>
      <c r="F1356" s="11" t="s">
        <v>10067</v>
      </c>
      <c r="G1356" t="s">
        <v>8827</v>
      </c>
      <c r="H1356" t="s">
        <v>10068</v>
      </c>
    </row>
    <row r="1357" spans="1:8">
      <c r="A1357" t="s">
        <v>2464</v>
      </c>
      <c r="B1357" t="s">
        <v>2465</v>
      </c>
      <c r="C1357" t="s">
        <v>10065</v>
      </c>
      <c r="E1357" s="11" t="s">
        <v>10066</v>
      </c>
      <c r="F1357" s="11" t="s">
        <v>10069</v>
      </c>
      <c r="G1357" t="s">
        <v>8551</v>
      </c>
      <c r="H1357" t="s">
        <v>10070</v>
      </c>
    </row>
    <row r="1358" spans="1:8">
      <c r="A1358" t="s">
        <v>2464</v>
      </c>
      <c r="B1358" t="s">
        <v>2465</v>
      </c>
      <c r="C1358" t="s">
        <v>10065</v>
      </c>
      <c r="E1358" s="11" t="s">
        <v>10066</v>
      </c>
      <c r="F1358" s="11" t="s">
        <v>9080</v>
      </c>
      <c r="G1358" t="s">
        <v>8827</v>
      </c>
      <c r="H1358" t="s">
        <v>10071</v>
      </c>
    </row>
    <row r="1359" spans="1:8">
      <c r="A1359" t="s">
        <v>2464</v>
      </c>
      <c r="B1359" t="s">
        <v>2465</v>
      </c>
      <c r="C1359" t="s">
        <v>10065</v>
      </c>
      <c r="E1359" s="11" t="s">
        <v>10066</v>
      </c>
      <c r="F1359" s="11" t="s">
        <v>10072</v>
      </c>
      <c r="G1359" t="s">
        <v>10071</v>
      </c>
      <c r="H1359" t="s">
        <v>10068</v>
      </c>
    </row>
    <row r="1360" spans="1:8">
      <c r="A1360" t="s">
        <v>2464</v>
      </c>
      <c r="B1360" t="s">
        <v>2465</v>
      </c>
      <c r="C1360" t="s">
        <v>10065</v>
      </c>
      <c r="E1360" s="11" t="s">
        <v>10066</v>
      </c>
      <c r="F1360" s="11" t="s">
        <v>10073</v>
      </c>
      <c r="G1360" t="s">
        <v>8827</v>
      </c>
      <c r="H1360" t="s">
        <v>10070</v>
      </c>
    </row>
    <row r="1361" spans="1:8">
      <c r="A1361" t="s">
        <v>6354</v>
      </c>
      <c r="B1361" t="s">
        <v>6355</v>
      </c>
      <c r="C1361" t="s">
        <v>9092</v>
      </c>
      <c r="E1361" s="11" t="s">
        <v>9093</v>
      </c>
      <c r="F1361" s="11" t="s">
        <v>9094</v>
      </c>
      <c r="G1361" t="s">
        <v>9095</v>
      </c>
      <c r="H1361" t="s">
        <v>9096</v>
      </c>
    </row>
    <row r="1362" spans="1:8">
      <c r="A1362" t="s">
        <v>6621</v>
      </c>
      <c r="B1362" t="s">
        <v>6622</v>
      </c>
      <c r="C1362" t="s">
        <v>8996</v>
      </c>
      <c r="E1362" s="11" t="s">
        <v>8997</v>
      </c>
      <c r="F1362" s="11" t="s">
        <v>8998</v>
      </c>
      <c r="G1362" t="s">
        <v>9000</v>
      </c>
      <c r="H1362" t="s">
        <v>8999</v>
      </c>
    </row>
    <row r="1363" spans="1:8">
      <c r="A1363" t="s">
        <v>6621</v>
      </c>
      <c r="B1363" t="s">
        <v>6622</v>
      </c>
      <c r="C1363" t="s">
        <v>8996</v>
      </c>
      <c r="E1363" s="11" t="s">
        <v>8997</v>
      </c>
      <c r="F1363" s="11" t="s">
        <v>9001</v>
      </c>
      <c r="G1363" t="s">
        <v>9002</v>
      </c>
      <c r="H1363" t="s">
        <v>8999</v>
      </c>
    </row>
    <row r="1364" spans="1:8">
      <c r="A1364" t="s">
        <v>1990</v>
      </c>
      <c r="B1364" t="s">
        <v>1991</v>
      </c>
      <c r="C1364" t="s">
        <v>10182</v>
      </c>
      <c r="E1364" s="11"/>
    </row>
    <row r="1365" spans="1:8">
      <c r="A1365" t="s">
        <v>1709</v>
      </c>
      <c r="B1365" t="s">
        <v>1710</v>
      </c>
      <c r="C1365" s="12" t="s">
        <v>10220</v>
      </c>
      <c r="E1365" s="11" t="s">
        <v>10221</v>
      </c>
      <c r="F1365" s="11" t="s">
        <v>10222</v>
      </c>
      <c r="G1365" t="s">
        <v>10223</v>
      </c>
      <c r="H1365" t="s">
        <v>10224</v>
      </c>
    </row>
    <row r="1366" spans="1:8">
      <c r="A1366" t="s">
        <v>1187</v>
      </c>
      <c r="B1366" t="s">
        <v>1188</v>
      </c>
      <c r="C1366" t="s">
        <v>10309</v>
      </c>
      <c r="E1366" s="11" t="s">
        <v>10310</v>
      </c>
      <c r="F1366" s="11" t="s">
        <v>10311</v>
      </c>
      <c r="G1366" t="s">
        <v>10620</v>
      </c>
      <c r="H1366" t="s">
        <v>10621</v>
      </c>
    </row>
    <row r="1367" spans="1:8">
      <c r="A1367" t="s">
        <v>1187</v>
      </c>
      <c r="B1367" t="s">
        <v>1188</v>
      </c>
      <c r="C1367" t="s">
        <v>10309</v>
      </c>
      <c r="E1367" s="11" t="s">
        <v>10310</v>
      </c>
      <c r="F1367" s="11" t="s">
        <v>10312</v>
      </c>
      <c r="G1367" t="s">
        <v>9993</v>
      </c>
      <c r="H1367" t="s">
        <v>10313</v>
      </c>
    </row>
    <row r="1368" spans="1:8">
      <c r="A1368" t="s">
        <v>6984</v>
      </c>
      <c r="B1368" t="s">
        <v>6985</v>
      </c>
      <c r="C1368" t="s">
        <v>8822</v>
      </c>
      <c r="E1368" s="11" t="s">
        <v>8823</v>
      </c>
      <c r="F1368" s="11" t="s">
        <v>8824</v>
      </c>
      <c r="G1368" t="s">
        <v>8825</v>
      </c>
      <c r="H1368" t="s">
        <v>8551</v>
      </c>
    </row>
    <row r="1369" spans="1:8">
      <c r="A1369" t="s">
        <v>6984</v>
      </c>
      <c r="B1369" t="s">
        <v>6985</v>
      </c>
      <c r="C1369" t="s">
        <v>8822</v>
      </c>
      <c r="E1369" s="11" t="s">
        <v>8823</v>
      </c>
      <c r="F1369" s="11" t="s">
        <v>8826</v>
      </c>
      <c r="G1369" t="s">
        <v>8825</v>
      </c>
      <c r="H1369" t="s">
        <v>8827</v>
      </c>
    </row>
    <row r="1370" spans="1:8">
      <c r="A1370" t="s">
        <v>6984</v>
      </c>
      <c r="B1370" t="s">
        <v>6985</v>
      </c>
      <c r="C1370" t="s">
        <v>8822</v>
      </c>
      <c r="E1370" s="11" t="s">
        <v>8823</v>
      </c>
      <c r="F1370" s="11" t="s">
        <v>8828</v>
      </c>
      <c r="G1370" t="s">
        <v>8829</v>
      </c>
      <c r="H1370" t="s">
        <v>8830</v>
      </c>
    </row>
    <row r="1371" spans="1:8">
      <c r="A1371" t="s">
        <v>6984</v>
      </c>
      <c r="B1371" t="s">
        <v>6985</v>
      </c>
      <c r="C1371" t="s">
        <v>8822</v>
      </c>
      <c r="E1371" s="11" t="s">
        <v>8823</v>
      </c>
      <c r="F1371" s="11" t="s">
        <v>8831</v>
      </c>
      <c r="G1371" t="s">
        <v>8832</v>
      </c>
      <c r="H1371" t="s">
        <v>8833</v>
      </c>
    </row>
    <row r="1372" spans="1:8">
      <c r="A1372" t="s">
        <v>1277</v>
      </c>
      <c r="B1372" t="s">
        <v>1278</v>
      </c>
      <c r="C1372" t="s">
        <v>10268</v>
      </c>
      <c r="E1372" s="11" t="s">
        <v>10269</v>
      </c>
      <c r="F1372" s="11" t="s">
        <v>10270</v>
      </c>
      <c r="G1372" t="s">
        <v>10271</v>
      </c>
      <c r="H1372" t="s">
        <v>10272</v>
      </c>
    </row>
    <row r="1373" spans="1:8">
      <c r="A1373" t="s">
        <v>3664</v>
      </c>
      <c r="B1373" t="s">
        <v>3665</v>
      </c>
      <c r="C1373" t="s">
        <v>9808</v>
      </c>
      <c r="E1373" s="11" t="s">
        <v>9809</v>
      </c>
      <c r="F1373" s="11" t="s">
        <v>9810</v>
      </c>
      <c r="G1373" t="s">
        <v>9811</v>
      </c>
      <c r="H1373" t="s">
        <v>9812</v>
      </c>
    </row>
    <row r="1374" spans="1:8">
      <c r="A1374" t="s">
        <v>4026</v>
      </c>
      <c r="B1374" t="s">
        <v>4027</v>
      </c>
      <c r="C1374" t="s">
        <v>9732</v>
      </c>
      <c r="E1374" s="11"/>
    </row>
    <row r="1375" spans="1:8">
      <c r="A1375" t="s">
        <v>1659</v>
      </c>
      <c r="B1375" t="s">
        <v>1660</v>
      </c>
      <c r="C1375" t="s">
        <v>10225</v>
      </c>
      <c r="E1375" s="11" t="s">
        <v>10226</v>
      </c>
      <c r="F1375" s="11" t="s">
        <v>10227</v>
      </c>
      <c r="G1375" t="s">
        <v>10228</v>
      </c>
      <c r="H1375" t="s">
        <v>10229</v>
      </c>
    </row>
    <row r="1376" spans="1:8">
      <c r="A1376" t="s">
        <v>5836</v>
      </c>
      <c r="B1376" t="s">
        <v>5837</v>
      </c>
      <c r="C1376" t="s">
        <v>9264</v>
      </c>
      <c r="E1376" s="11" t="s">
        <v>9265</v>
      </c>
      <c r="F1376" s="11" t="s">
        <v>9266</v>
      </c>
      <c r="G1376" t="s">
        <v>9267</v>
      </c>
      <c r="H1376" t="s">
        <v>9268</v>
      </c>
    </row>
    <row r="1377" spans="1:8">
      <c r="A1377" t="s">
        <v>5836</v>
      </c>
      <c r="B1377" t="s">
        <v>5837</v>
      </c>
      <c r="C1377" t="s">
        <v>9264</v>
      </c>
      <c r="E1377" s="11" t="s">
        <v>9265</v>
      </c>
      <c r="F1377" s="11" t="s">
        <v>9269</v>
      </c>
      <c r="G1377" t="s">
        <v>9109</v>
      </c>
      <c r="H1377" t="s">
        <v>9270</v>
      </c>
    </row>
    <row r="1378" spans="1:8">
      <c r="A1378" t="s">
        <v>6347</v>
      </c>
      <c r="B1378" t="s">
        <v>6348</v>
      </c>
      <c r="C1378" t="s">
        <v>9097</v>
      </c>
      <c r="E1378" s="11" t="s">
        <v>9098</v>
      </c>
      <c r="F1378" s="11" t="s">
        <v>9099</v>
      </c>
      <c r="G1378" t="s">
        <v>9100</v>
      </c>
      <c r="H1378" t="s">
        <v>9101</v>
      </c>
    </row>
    <row r="1379" spans="1:8">
      <c r="A1379" t="s">
        <v>6347</v>
      </c>
      <c r="B1379" t="s">
        <v>6348</v>
      </c>
      <c r="C1379" t="s">
        <v>9097</v>
      </c>
      <c r="E1379" s="11" t="s">
        <v>9098</v>
      </c>
      <c r="F1379" s="11" t="s">
        <v>9102</v>
      </c>
      <c r="G1379" t="s">
        <v>9103</v>
      </c>
      <c r="H1379" t="s">
        <v>9104</v>
      </c>
    </row>
    <row r="1380" spans="1:8">
      <c r="A1380" t="s">
        <v>2064</v>
      </c>
      <c r="B1380" t="s">
        <v>2065</v>
      </c>
      <c r="C1380" t="s">
        <v>10133</v>
      </c>
      <c r="E1380" s="11" t="s">
        <v>10137</v>
      </c>
      <c r="F1380" s="11" t="s">
        <v>10138</v>
      </c>
      <c r="G1380" t="s">
        <v>10139</v>
      </c>
      <c r="H1380" t="s">
        <v>10136</v>
      </c>
    </row>
    <row r="1381" spans="1:8">
      <c r="A1381" t="s">
        <v>4309</v>
      </c>
      <c r="B1381" t="s">
        <v>4310</v>
      </c>
      <c r="C1381" t="s">
        <v>9667</v>
      </c>
      <c r="E1381" s="11" t="s">
        <v>9668</v>
      </c>
      <c r="F1381" s="11" t="s">
        <v>9669</v>
      </c>
      <c r="G1381" t="s">
        <v>9670</v>
      </c>
      <c r="H1381" t="s">
        <v>9671</v>
      </c>
    </row>
    <row r="1382" spans="1:8">
      <c r="A1382" t="s">
        <v>5454</v>
      </c>
      <c r="B1382" t="s">
        <v>5455</v>
      </c>
      <c r="C1382" t="s">
        <v>9398</v>
      </c>
      <c r="E1382" s="11" t="s">
        <v>9399</v>
      </c>
    </row>
    <row r="1383" spans="1:8">
      <c r="A1383" t="s">
        <v>2469</v>
      </c>
      <c r="B1383" t="s">
        <v>2470</v>
      </c>
      <c r="C1383" t="s">
        <v>10062</v>
      </c>
      <c r="E1383" s="11" t="s">
        <v>10063</v>
      </c>
      <c r="F1383" s="11" t="s">
        <v>10064</v>
      </c>
      <c r="G1383" t="s">
        <v>9811</v>
      </c>
      <c r="H1383" t="s">
        <v>8577</v>
      </c>
    </row>
    <row r="1384" spans="1:8">
      <c r="A1384" t="s">
        <v>3567</v>
      </c>
      <c r="B1384" t="s">
        <v>3568</v>
      </c>
      <c r="C1384" t="s">
        <v>9854</v>
      </c>
      <c r="E1384" s="11" t="s">
        <v>9855</v>
      </c>
      <c r="F1384" s="11" t="s">
        <v>9856</v>
      </c>
      <c r="G1384" t="s">
        <v>9857</v>
      </c>
      <c r="H1384" t="s">
        <v>9858</v>
      </c>
    </row>
    <row r="1385" spans="1:8">
      <c r="A1385" t="s">
        <v>7880</v>
      </c>
      <c r="B1385" t="s">
        <v>7881</v>
      </c>
      <c r="C1385" t="s">
        <v>8585</v>
      </c>
      <c r="E1385" s="11" t="s">
        <v>8586</v>
      </c>
      <c r="F1385" s="11" t="s">
        <v>8587</v>
      </c>
      <c r="G1385" t="s">
        <v>8588</v>
      </c>
      <c r="H1385" t="s">
        <v>8589</v>
      </c>
    </row>
    <row r="1386" spans="1:8">
      <c r="A1386" t="s">
        <v>7880</v>
      </c>
      <c r="B1386" t="s">
        <v>7881</v>
      </c>
      <c r="C1386" t="s">
        <v>8585</v>
      </c>
      <c r="E1386" s="11" t="s">
        <v>8586</v>
      </c>
      <c r="F1386" s="11" t="s">
        <v>11840</v>
      </c>
      <c r="G1386" t="s">
        <v>11841</v>
      </c>
      <c r="H1386" t="s">
        <v>11842</v>
      </c>
    </row>
    <row r="1387" spans="1:8">
      <c r="A1387" t="s">
        <v>5645</v>
      </c>
      <c r="B1387" t="s">
        <v>5646</v>
      </c>
      <c r="C1387" t="s">
        <v>9008</v>
      </c>
      <c r="E1387" s="11" t="s">
        <v>9009</v>
      </c>
      <c r="F1387" s="11" t="s">
        <v>9010</v>
      </c>
      <c r="G1387" t="s">
        <v>9011</v>
      </c>
      <c r="H1387" t="s">
        <v>9006</v>
      </c>
    </row>
    <row r="1388" spans="1:8">
      <c r="A1388" t="s">
        <v>6608</v>
      </c>
      <c r="B1388" t="s">
        <v>6609</v>
      </c>
      <c r="C1388" t="s">
        <v>9008</v>
      </c>
      <c r="E1388" s="11" t="s">
        <v>9009</v>
      </c>
      <c r="F1388" s="11" t="s">
        <v>9010</v>
      </c>
      <c r="G1388" t="s">
        <v>9011</v>
      </c>
      <c r="H1388" t="s">
        <v>9006</v>
      </c>
    </row>
    <row r="1389" spans="1:8">
      <c r="A1389" t="s">
        <v>8148</v>
      </c>
      <c r="B1389" t="s">
        <v>8149</v>
      </c>
      <c r="C1389" t="s">
        <v>8548</v>
      </c>
      <c r="E1389" s="11" t="s">
        <v>8549</v>
      </c>
      <c r="F1389" s="11" t="s">
        <v>8550</v>
      </c>
      <c r="G1389" t="s">
        <v>8551</v>
      </c>
      <c r="H1389" t="s">
        <v>8552</v>
      </c>
    </row>
    <row r="1390" spans="1:8">
      <c r="A1390" t="s">
        <v>4222</v>
      </c>
      <c r="B1390" t="s">
        <v>4223</v>
      </c>
      <c r="C1390" t="s">
        <v>9702</v>
      </c>
      <c r="E1390" s="11" t="s">
        <v>9703</v>
      </c>
    </row>
    <row r="1391" spans="1:8">
      <c r="A1391" t="s">
        <v>5097</v>
      </c>
      <c r="B1391" t="s">
        <v>5098</v>
      </c>
      <c r="C1391" t="s">
        <v>9489</v>
      </c>
      <c r="E1391" s="11"/>
    </row>
    <row r="1392" spans="1:8">
      <c r="A1392" t="s">
        <v>937</v>
      </c>
      <c r="B1392" t="s">
        <v>938</v>
      </c>
      <c r="C1392" t="s">
        <v>10371</v>
      </c>
      <c r="E1392" s="11" t="s">
        <v>10372</v>
      </c>
    </row>
    <row r="1393" spans="1:8">
      <c r="A1393" t="s">
        <v>33</v>
      </c>
      <c r="B1393" t="s">
        <v>34</v>
      </c>
      <c r="C1393" t="s">
        <v>8475</v>
      </c>
      <c r="E1393" s="11" t="s">
        <v>10463</v>
      </c>
    </row>
    <row r="1394" spans="1:8">
      <c r="A1394" t="s">
        <v>56</v>
      </c>
      <c r="B1394" t="s">
        <v>57</v>
      </c>
      <c r="C1394" t="s">
        <v>8475</v>
      </c>
      <c r="E1394" s="11" t="s">
        <v>10463</v>
      </c>
    </row>
    <row r="1395" spans="1:8">
      <c r="A1395" t="s">
        <v>8103</v>
      </c>
      <c r="B1395" t="s">
        <v>8104</v>
      </c>
      <c r="C1395" t="s">
        <v>8557</v>
      </c>
      <c r="E1395" s="11" t="s">
        <v>8558</v>
      </c>
    </row>
    <row r="1396" spans="1:8">
      <c r="A1396" t="s">
        <v>2238</v>
      </c>
      <c r="B1396" t="s">
        <v>2239</v>
      </c>
      <c r="C1396" t="s">
        <v>10032</v>
      </c>
      <c r="E1396" s="11" t="s">
        <v>10033</v>
      </c>
    </row>
    <row r="1397" spans="1:8">
      <c r="A1397" t="s">
        <v>2240</v>
      </c>
      <c r="B1397" t="s">
        <v>2241</v>
      </c>
      <c r="C1397" t="s">
        <v>10032</v>
      </c>
      <c r="E1397" s="11" t="s">
        <v>10033</v>
      </c>
    </row>
    <row r="1398" spans="1:8">
      <c r="A1398" t="s">
        <v>2249</v>
      </c>
      <c r="B1398" t="s">
        <v>2250</v>
      </c>
      <c r="C1398" t="s">
        <v>10032</v>
      </c>
      <c r="E1398" s="11" t="s">
        <v>10033</v>
      </c>
    </row>
    <row r="1399" spans="1:8">
      <c r="A1399" t="s">
        <v>2593</v>
      </c>
      <c r="B1399" t="s">
        <v>2594</v>
      </c>
      <c r="C1399" t="s">
        <v>10032</v>
      </c>
      <c r="E1399" s="11" t="s">
        <v>10033</v>
      </c>
    </row>
    <row r="1400" spans="1:8">
      <c r="A1400" t="s">
        <v>726</v>
      </c>
      <c r="B1400" t="s">
        <v>727</v>
      </c>
      <c r="C1400" t="s">
        <v>10389</v>
      </c>
      <c r="E1400" s="11"/>
    </row>
    <row r="1401" spans="1:8">
      <c r="A1401" t="s">
        <v>3968</v>
      </c>
      <c r="B1401" t="s">
        <v>3969</v>
      </c>
      <c r="C1401" t="s">
        <v>9740</v>
      </c>
      <c r="E1401" s="11" t="s">
        <v>9741</v>
      </c>
      <c r="F1401" s="11" t="s">
        <v>9742</v>
      </c>
      <c r="G1401" t="s">
        <v>11093</v>
      </c>
      <c r="H1401" t="s">
        <v>11094</v>
      </c>
    </row>
    <row r="1402" spans="1:8">
      <c r="A1402" t="s">
        <v>2590</v>
      </c>
      <c r="B1402" t="s">
        <v>2591</v>
      </c>
      <c r="C1402" t="s">
        <v>10034</v>
      </c>
      <c r="E1402" s="11" t="s">
        <v>10035</v>
      </c>
      <c r="F1402" s="11" t="s">
        <v>10036</v>
      </c>
      <c r="G1402" t="s">
        <v>10868</v>
      </c>
      <c r="H1402" t="s">
        <v>10869</v>
      </c>
    </row>
    <row r="1403" spans="1:8">
      <c r="A1403" t="s">
        <v>2590</v>
      </c>
      <c r="B1403" t="s">
        <v>2591</v>
      </c>
      <c r="C1403" t="s">
        <v>10034</v>
      </c>
      <c r="E1403" s="11" t="s">
        <v>10035</v>
      </c>
      <c r="F1403" s="11" t="s">
        <v>10037</v>
      </c>
      <c r="G1403" t="s">
        <v>10870</v>
      </c>
      <c r="H1403" t="s">
        <v>10871</v>
      </c>
    </row>
    <row r="1404" spans="1:8">
      <c r="A1404" t="s">
        <v>7894</v>
      </c>
      <c r="B1404" t="s">
        <v>7895</v>
      </c>
      <c r="C1404" t="s">
        <v>8578</v>
      </c>
      <c r="E1404" s="11" t="s">
        <v>8579</v>
      </c>
      <c r="F1404" s="11" t="s">
        <v>8580</v>
      </c>
      <c r="G1404" t="s">
        <v>11769</v>
      </c>
      <c r="H1404" t="s">
        <v>11770</v>
      </c>
    </row>
    <row r="1405" spans="1:8">
      <c r="A1405" t="s">
        <v>7894</v>
      </c>
      <c r="B1405" t="s">
        <v>7895</v>
      </c>
      <c r="C1405" t="s">
        <v>8578</v>
      </c>
      <c r="E1405" s="11" t="s">
        <v>8579</v>
      </c>
      <c r="F1405" s="11" t="s">
        <v>11837</v>
      </c>
      <c r="G1405" t="s">
        <v>11838</v>
      </c>
      <c r="H1405" t="s">
        <v>11839</v>
      </c>
    </row>
    <row r="1406" spans="1:8">
      <c r="A1406" t="s">
        <v>4637</v>
      </c>
      <c r="B1406" t="s">
        <v>4638</v>
      </c>
      <c r="C1406" t="s">
        <v>9520</v>
      </c>
      <c r="E1406" s="11" t="s">
        <v>9521</v>
      </c>
      <c r="F1406" s="11" t="s">
        <v>9522</v>
      </c>
      <c r="G1406" t="s">
        <v>11226</v>
      </c>
      <c r="H1406" t="s">
        <v>11227</v>
      </c>
    </row>
    <row r="1407" spans="1:8">
      <c r="A1407" t="s">
        <v>6275</v>
      </c>
      <c r="B1407" t="s">
        <v>6276</v>
      </c>
      <c r="C1407" t="s">
        <v>9113</v>
      </c>
      <c r="E1407" s="11" t="s">
        <v>9114</v>
      </c>
      <c r="F1407" s="11" t="s">
        <v>9115</v>
      </c>
      <c r="G1407" t="s">
        <v>11499</v>
      </c>
      <c r="H1407" t="s">
        <v>11500</v>
      </c>
    </row>
    <row r="1408" spans="1:8">
      <c r="A1408" t="s">
        <v>5498</v>
      </c>
      <c r="B1408" t="s">
        <v>5499</v>
      </c>
      <c r="C1408" t="s">
        <v>9395</v>
      </c>
      <c r="E1408" s="11" t="s">
        <v>9396</v>
      </c>
      <c r="F1408" s="11" t="s">
        <v>9397</v>
      </c>
      <c r="G1408" t="s">
        <v>11298</v>
      </c>
      <c r="H1408" t="s">
        <v>11299</v>
      </c>
    </row>
    <row r="1409" spans="1:8">
      <c r="A1409" t="s">
        <v>7262</v>
      </c>
      <c r="B1409" t="s">
        <v>7263</v>
      </c>
      <c r="C1409" t="s">
        <v>8733</v>
      </c>
      <c r="E1409" s="11" t="s">
        <v>8734</v>
      </c>
      <c r="F1409" s="11" t="s">
        <v>8735</v>
      </c>
      <c r="G1409" t="s">
        <v>11714</v>
      </c>
      <c r="H1409" t="s">
        <v>11715</v>
      </c>
    </row>
    <row r="1410" spans="1:8">
      <c r="A1410" t="s">
        <v>3668</v>
      </c>
      <c r="B1410" t="s">
        <v>3669</v>
      </c>
      <c r="C1410" t="s">
        <v>9805</v>
      </c>
      <c r="E1410" s="11" t="s">
        <v>9806</v>
      </c>
      <c r="F1410" s="11" t="s">
        <v>9807</v>
      </c>
      <c r="G1410" t="s">
        <v>11051</v>
      </c>
      <c r="H1410" t="s">
        <v>11052</v>
      </c>
    </row>
    <row r="1411" spans="1:8">
      <c r="A1411" t="s">
        <v>3353</v>
      </c>
      <c r="B1411" t="s">
        <v>3354</v>
      </c>
      <c r="C1411" t="s">
        <v>9907</v>
      </c>
      <c r="E1411" s="11" t="s">
        <v>9908</v>
      </c>
      <c r="F1411" s="11" t="s">
        <v>9909</v>
      </c>
      <c r="G1411" t="s">
        <v>10983</v>
      </c>
      <c r="H1411" t="s">
        <v>10984</v>
      </c>
    </row>
    <row r="1412" spans="1:8">
      <c r="A1412" t="s">
        <v>1965</v>
      </c>
      <c r="B1412" t="s">
        <v>1966</v>
      </c>
      <c r="C1412" t="s">
        <v>10183</v>
      </c>
      <c r="E1412" s="11" t="s">
        <v>10184</v>
      </c>
      <c r="F1412" s="11" t="s">
        <v>10185</v>
      </c>
      <c r="G1412" t="s">
        <v>10710</v>
      </c>
      <c r="H1412" t="s">
        <v>10711</v>
      </c>
    </row>
    <row r="1413" spans="1:8">
      <c r="A1413" t="s">
        <v>3917</v>
      </c>
      <c r="B1413" t="s">
        <v>3918</v>
      </c>
      <c r="C1413" t="s">
        <v>9765</v>
      </c>
      <c r="E1413" s="11" t="s">
        <v>9766</v>
      </c>
      <c r="F1413" s="11" t="s">
        <v>9767</v>
      </c>
      <c r="G1413" t="s">
        <v>11078</v>
      </c>
      <c r="H1413" t="s">
        <v>11079</v>
      </c>
    </row>
    <row r="1414" spans="1:8">
      <c r="A1414" t="s">
        <v>3921</v>
      </c>
      <c r="B1414" t="s">
        <v>3922</v>
      </c>
      <c r="C1414" t="s">
        <v>9765</v>
      </c>
      <c r="E1414" s="11" t="s">
        <v>9766</v>
      </c>
      <c r="F1414" s="11" t="s">
        <v>9767</v>
      </c>
      <c r="G1414" t="s">
        <v>11078</v>
      </c>
      <c r="H1414" t="s">
        <v>11079</v>
      </c>
    </row>
    <row r="1415" spans="1:8">
      <c r="A1415" t="s">
        <v>4664</v>
      </c>
      <c r="B1415" t="s">
        <v>4665</v>
      </c>
      <c r="C1415" t="s">
        <v>9509</v>
      </c>
      <c r="E1415" s="11" t="s">
        <v>9510</v>
      </c>
      <c r="F1415" s="11" t="s">
        <v>9511</v>
      </c>
      <c r="G1415" t="s">
        <v>11232</v>
      </c>
      <c r="H1415" t="s">
        <v>11233</v>
      </c>
    </row>
    <row r="1416" spans="1:8">
      <c r="A1416" t="s">
        <v>4732</v>
      </c>
      <c r="B1416" t="s">
        <v>4733</v>
      </c>
      <c r="C1416" t="s">
        <v>9499</v>
      </c>
      <c r="E1416" s="11" t="s">
        <v>9500</v>
      </c>
      <c r="F1416" s="11" t="s">
        <v>9501</v>
      </c>
      <c r="G1416" t="s">
        <v>11237</v>
      </c>
      <c r="H1416" t="s">
        <v>11238</v>
      </c>
    </row>
    <row r="1417" spans="1:8">
      <c r="A1417" t="s">
        <v>8202</v>
      </c>
      <c r="B1417" t="s">
        <v>8203</v>
      </c>
      <c r="C1417" t="s">
        <v>8532</v>
      </c>
      <c r="E1417" s="11" t="s">
        <v>8533</v>
      </c>
      <c r="F1417" s="11" t="s">
        <v>8534</v>
      </c>
      <c r="G1417" t="s">
        <v>11782</v>
      </c>
      <c r="H1417" t="s">
        <v>11783</v>
      </c>
    </row>
    <row r="1418" spans="1:8">
      <c r="A1418" t="s">
        <v>5917</v>
      </c>
      <c r="B1418" t="s">
        <v>5918</v>
      </c>
      <c r="C1418" t="s">
        <v>9231</v>
      </c>
      <c r="E1418" s="11" t="s">
        <v>9232</v>
      </c>
      <c r="F1418" s="11" t="s">
        <v>9233</v>
      </c>
      <c r="G1418" t="s">
        <v>11391</v>
      </c>
      <c r="H1418" t="s">
        <v>11392</v>
      </c>
    </row>
    <row r="1419" spans="1:8">
      <c r="A1419" t="s">
        <v>7377</v>
      </c>
      <c r="B1419" t="s">
        <v>7378</v>
      </c>
      <c r="C1419" t="s">
        <v>8691</v>
      </c>
      <c r="E1419" s="11" t="s">
        <v>8692</v>
      </c>
      <c r="F1419" s="11" t="s">
        <v>8693</v>
      </c>
      <c r="G1419" t="s">
        <v>11731</v>
      </c>
      <c r="H1419" t="s">
        <v>11732</v>
      </c>
    </row>
    <row r="1420" spans="1:8">
      <c r="A1420" t="s">
        <v>4627</v>
      </c>
      <c r="B1420" t="s">
        <v>4628</v>
      </c>
      <c r="C1420" t="s">
        <v>9523</v>
      </c>
      <c r="E1420" s="11" t="s">
        <v>9524</v>
      </c>
      <c r="F1420" s="11" t="s">
        <v>9525</v>
      </c>
      <c r="G1420" t="s">
        <v>11224</v>
      </c>
      <c r="H1420" t="s">
        <v>11225</v>
      </c>
    </row>
    <row r="1421" spans="1:8">
      <c r="A1421" t="s">
        <v>6551</v>
      </c>
      <c r="B1421" t="s">
        <v>6552</v>
      </c>
      <c r="C1421" t="s">
        <v>9030</v>
      </c>
      <c r="E1421" s="11" t="s">
        <v>9031</v>
      </c>
      <c r="F1421" s="11" t="s">
        <v>9032</v>
      </c>
      <c r="G1421" t="s">
        <v>11571</v>
      </c>
      <c r="H1421" t="s">
        <v>11572</v>
      </c>
    </row>
    <row r="1422" spans="1:8">
      <c r="A1422" t="s">
        <v>867</v>
      </c>
      <c r="B1422" t="s">
        <v>868</v>
      </c>
      <c r="C1422" t="s">
        <v>9110</v>
      </c>
      <c r="E1422" s="11"/>
    </row>
    <row r="1423" spans="1:8">
      <c r="A1423" t="s">
        <v>6327</v>
      </c>
      <c r="B1423" t="s">
        <v>6328</v>
      </c>
      <c r="C1423" t="s">
        <v>9110</v>
      </c>
      <c r="E1423" s="11"/>
    </row>
    <row r="1424" spans="1:8">
      <c r="A1424" t="s">
        <v>1313</v>
      </c>
      <c r="B1424" t="s">
        <v>1314</v>
      </c>
      <c r="C1424" t="s">
        <v>10262</v>
      </c>
      <c r="E1424" s="11" t="s">
        <v>10263</v>
      </c>
      <c r="F1424" s="11" t="s">
        <v>10264</v>
      </c>
      <c r="G1424" t="s">
        <v>10649</v>
      </c>
      <c r="H1424" t="s">
        <v>10650</v>
      </c>
    </row>
    <row r="1425" spans="1:8">
      <c r="A1425" t="s">
        <v>7049</v>
      </c>
      <c r="B1425" t="s">
        <v>7050</v>
      </c>
      <c r="C1425" t="s">
        <v>8802</v>
      </c>
      <c r="E1425" s="11" t="s">
        <v>8803</v>
      </c>
      <c r="F1425" s="11" t="s">
        <v>8804</v>
      </c>
      <c r="G1425" t="s">
        <v>11675</v>
      </c>
      <c r="H1425" t="s">
        <v>11676</v>
      </c>
    </row>
    <row r="1426" spans="1:8">
      <c r="A1426" t="s">
        <v>7049</v>
      </c>
      <c r="B1426" t="s">
        <v>7050</v>
      </c>
      <c r="C1426" t="s">
        <v>8802</v>
      </c>
      <c r="E1426" s="11" t="s">
        <v>8803</v>
      </c>
      <c r="F1426" s="11" t="s">
        <v>8805</v>
      </c>
      <c r="G1426" t="s">
        <v>11677</v>
      </c>
      <c r="H1426" t="s">
        <v>11678</v>
      </c>
    </row>
    <row r="1427" spans="1:8">
      <c r="A1427" t="s">
        <v>7053</v>
      </c>
      <c r="B1427" t="s">
        <v>7054</v>
      </c>
      <c r="C1427" t="s">
        <v>8802</v>
      </c>
      <c r="E1427" s="11" t="s">
        <v>8803</v>
      </c>
      <c r="F1427" s="11" t="s">
        <v>8804</v>
      </c>
      <c r="G1427" t="s">
        <v>11675</v>
      </c>
      <c r="H1427" t="s">
        <v>11676</v>
      </c>
    </row>
    <row r="1428" spans="1:8">
      <c r="A1428" t="s">
        <v>7053</v>
      </c>
      <c r="B1428" t="s">
        <v>7054</v>
      </c>
      <c r="C1428" t="s">
        <v>8802</v>
      </c>
      <c r="E1428" s="11" t="s">
        <v>8803</v>
      </c>
      <c r="F1428" s="11" t="s">
        <v>8805</v>
      </c>
      <c r="G1428" t="s">
        <v>11677</v>
      </c>
      <c r="H1428" t="s">
        <v>11678</v>
      </c>
    </row>
    <row r="1429" spans="1:8">
      <c r="A1429" t="s">
        <v>3062</v>
      </c>
      <c r="B1429" t="s">
        <v>3063</v>
      </c>
      <c r="C1429" t="s">
        <v>9951</v>
      </c>
      <c r="E1429" s="11"/>
    </row>
    <row r="1430" spans="1:8">
      <c r="A1430" t="s">
        <v>4272</v>
      </c>
      <c r="B1430" t="s">
        <v>4273</v>
      </c>
      <c r="C1430" t="s">
        <v>9679</v>
      </c>
      <c r="E1430" s="11" t="s">
        <v>9680</v>
      </c>
      <c r="F1430" s="11" t="s">
        <v>9681</v>
      </c>
      <c r="G1430" t="s">
        <v>11132</v>
      </c>
      <c r="H1430" t="s">
        <v>11133</v>
      </c>
    </row>
    <row r="1431" spans="1:8">
      <c r="A1431" t="s">
        <v>4211</v>
      </c>
      <c r="B1431" t="s">
        <v>4212</v>
      </c>
      <c r="C1431" t="s">
        <v>9708</v>
      </c>
      <c r="E1431" s="11" t="s">
        <v>9709</v>
      </c>
      <c r="F1431" s="11" t="s">
        <v>9710</v>
      </c>
      <c r="G1431" t="s">
        <v>11117</v>
      </c>
      <c r="H1431" t="s">
        <v>11118</v>
      </c>
    </row>
    <row r="1432" spans="1:8">
      <c r="A1432" t="s">
        <v>6114</v>
      </c>
      <c r="B1432" t="s">
        <v>6115</v>
      </c>
      <c r="C1432" t="s">
        <v>9143</v>
      </c>
      <c r="E1432" s="11" t="s">
        <v>9144</v>
      </c>
      <c r="F1432" s="11" t="s">
        <v>9145</v>
      </c>
      <c r="G1432" t="s">
        <v>11479</v>
      </c>
      <c r="H1432" t="s">
        <v>11480</v>
      </c>
    </row>
    <row r="1433" spans="1:8">
      <c r="A1433" t="s">
        <v>6962</v>
      </c>
      <c r="B1433" t="s">
        <v>6963</v>
      </c>
      <c r="C1433" t="s">
        <v>8834</v>
      </c>
      <c r="E1433" s="11" t="s">
        <v>8835</v>
      </c>
      <c r="F1433" s="11" t="s">
        <v>8836</v>
      </c>
      <c r="G1433" t="s">
        <v>11663</v>
      </c>
      <c r="H1433" t="s">
        <v>11664</v>
      </c>
    </row>
    <row r="1434" spans="1:8">
      <c r="A1434" t="s">
        <v>3736</v>
      </c>
      <c r="B1434" t="s">
        <v>3737</v>
      </c>
      <c r="C1434" t="s">
        <v>9790</v>
      </c>
      <c r="E1434" s="11"/>
    </row>
    <row r="1435" spans="1:8">
      <c r="A1435" t="s">
        <v>376</v>
      </c>
      <c r="B1435" t="s">
        <v>377</v>
      </c>
      <c r="C1435" t="s">
        <v>8688</v>
      </c>
      <c r="E1435" s="11" t="s">
        <v>8689</v>
      </c>
      <c r="F1435" s="11" t="s">
        <v>8690</v>
      </c>
      <c r="G1435" t="s">
        <v>10504</v>
      </c>
      <c r="H1435" t="s">
        <v>10505</v>
      </c>
    </row>
    <row r="1436" spans="1:8">
      <c r="A1436" t="s">
        <v>7380</v>
      </c>
      <c r="B1436" t="s">
        <v>7381</v>
      </c>
      <c r="C1436" t="s">
        <v>8688</v>
      </c>
      <c r="E1436" s="11" t="s">
        <v>8689</v>
      </c>
      <c r="F1436" s="11" t="s">
        <v>8690</v>
      </c>
      <c r="G1436" t="s">
        <v>10504</v>
      </c>
      <c r="H1436" t="s">
        <v>10505</v>
      </c>
    </row>
    <row r="1437" spans="1:8">
      <c r="A1437" t="s">
        <v>5965</v>
      </c>
      <c r="B1437" t="s">
        <v>5966</v>
      </c>
      <c r="C1437" t="s">
        <v>9210</v>
      </c>
      <c r="E1437" s="11" t="s">
        <v>9211</v>
      </c>
      <c r="F1437" s="11" t="s">
        <v>9212</v>
      </c>
      <c r="G1437" t="s">
        <v>11411</v>
      </c>
      <c r="H1437" t="s">
        <v>11412</v>
      </c>
    </row>
    <row r="1438" spans="1:8">
      <c r="A1438" t="s">
        <v>5965</v>
      </c>
      <c r="B1438" t="s">
        <v>5966</v>
      </c>
      <c r="C1438" t="s">
        <v>9210</v>
      </c>
      <c r="E1438" s="11" t="s">
        <v>9211</v>
      </c>
      <c r="F1438" s="11" t="s">
        <v>9213</v>
      </c>
      <c r="G1438" t="s">
        <v>11413</v>
      </c>
      <c r="H1438" t="s">
        <v>11414</v>
      </c>
    </row>
    <row r="1439" spans="1:8">
      <c r="A1439" t="s">
        <v>6548</v>
      </c>
      <c r="B1439" t="s">
        <v>6549</v>
      </c>
      <c r="C1439" t="s">
        <v>9033</v>
      </c>
      <c r="E1439" s="11" t="s">
        <v>9035</v>
      </c>
      <c r="F1439" s="11" t="s">
        <v>9036</v>
      </c>
      <c r="G1439" t="s">
        <v>11561</v>
      </c>
      <c r="H1439" t="s">
        <v>11562</v>
      </c>
    </row>
    <row r="1440" spans="1:8">
      <c r="A1440" t="s">
        <v>6548</v>
      </c>
      <c r="B1440" t="s">
        <v>6549</v>
      </c>
      <c r="C1440" t="s">
        <v>9033</v>
      </c>
      <c r="E1440" s="11" t="s">
        <v>9035</v>
      </c>
      <c r="F1440" s="11" t="s">
        <v>9037</v>
      </c>
      <c r="G1440" t="s">
        <v>11563</v>
      </c>
      <c r="H1440" t="s">
        <v>11564</v>
      </c>
    </row>
    <row r="1441" spans="1:8">
      <c r="A1441" t="s">
        <v>760</v>
      </c>
      <c r="B1441" t="s">
        <v>761</v>
      </c>
      <c r="C1441" t="s">
        <v>9207</v>
      </c>
      <c r="E1441" s="11" t="s">
        <v>9208</v>
      </c>
      <c r="F1441" s="11" t="s">
        <v>9209</v>
      </c>
      <c r="G1441" t="s">
        <v>10545</v>
      </c>
      <c r="H1441" t="s">
        <v>10546</v>
      </c>
    </row>
    <row r="1442" spans="1:8">
      <c r="A1442" t="s">
        <v>5968</v>
      </c>
      <c r="B1442" t="s">
        <v>5969</v>
      </c>
      <c r="C1442" t="s">
        <v>9207</v>
      </c>
      <c r="E1442" s="11" t="s">
        <v>9208</v>
      </c>
      <c r="F1442" s="11" t="s">
        <v>9209</v>
      </c>
      <c r="G1442" t="s">
        <v>10545</v>
      </c>
      <c r="H1442" t="s">
        <v>10546</v>
      </c>
    </row>
    <row r="1443" spans="1:8">
      <c r="A1443" t="s">
        <v>6548</v>
      </c>
      <c r="B1443" t="s">
        <v>6549</v>
      </c>
      <c r="C1443" t="s">
        <v>9034</v>
      </c>
      <c r="E1443" s="11" t="s">
        <v>9038</v>
      </c>
      <c r="F1443" s="11" t="s">
        <v>9039</v>
      </c>
      <c r="G1443" t="s">
        <v>11565</v>
      </c>
      <c r="H1443" t="s">
        <v>11566</v>
      </c>
    </row>
    <row r="1444" spans="1:8">
      <c r="A1444" t="s">
        <v>6548</v>
      </c>
      <c r="B1444" t="s">
        <v>6549</v>
      </c>
      <c r="C1444" t="s">
        <v>9034</v>
      </c>
      <c r="E1444" s="11" t="s">
        <v>9038</v>
      </c>
      <c r="F1444" s="11" t="s">
        <v>9040</v>
      </c>
      <c r="G1444" t="s">
        <v>11567</v>
      </c>
      <c r="H1444" t="s">
        <v>11568</v>
      </c>
    </row>
    <row r="1445" spans="1:8">
      <c r="A1445" t="s">
        <v>6548</v>
      </c>
      <c r="B1445" t="s">
        <v>6549</v>
      </c>
      <c r="C1445" t="s">
        <v>9034</v>
      </c>
      <c r="E1445" s="11" t="s">
        <v>9038</v>
      </c>
      <c r="F1445" s="11" t="s">
        <v>9037</v>
      </c>
      <c r="G1445" t="s">
        <v>11563</v>
      </c>
      <c r="H1445" t="s">
        <v>11564</v>
      </c>
    </row>
    <row r="1446" spans="1:8">
      <c r="A1446" t="s">
        <v>6548</v>
      </c>
      <c r="B1446" t="s">
        <v>6549</v>
      </c>
      <c r="C1446" t="s">
        <v>9034</v>
      </c>
      <c r="E1446" s="11" t="s">
        <v>9038</v>
      </c>
      <c r="F1446" s="11" t="s">
        <v>9036</v>
      </c>
      <c r="G1446" t="s">
        <v>11561</v>
      </c>
      <c r="H1446" t="s">
        <v>11562</v>
      </c>
    </row>
    <row r="1447" spans="1:8">
      <c r="A1447" t="s">
        <v>6548</v>
      </c>
      <c r="B1447" t="s">
        <v>6549</v>
      </c>
      <c r="C1447" t="s">
        <v>9034</v>
      </c>
      <c r="E1447" s="11" t="s">
        <v>9038</v>
      </c>
      <c r="F1447" s="11" t="s">
        <v>9041</v>
      </c>
      <c r="G1447" t="s">
        <v>11569</v>
      </c>
      <c r="H1447" t="s">
        <v>11570</v>
      </c>
    </row>
    <row r="1448" spans="1:8">
      <c r="A1448" t="s">
        <v>7508</v>
      </c>
      <c r="B1448" t="s">
        <v>7509</v>
      </c>
      <c r="C1448" t="s">
        <v>8651</v>
      </c>
      <c r="E1448" s="11" t="s">
        <v>8652</v>
      </c>
      <c r="F1448" s="11" t="s">
        <v>8653</v>
      </c>
      <c r="G1448" t="s">
        <v>11743</v>
      </c>
      <c r="H1448" t="s">
        <v>11744</v>
      </c>
    </row>
    <row r="1449" spans="1:8">
      <c r="A1449" t="s">
        <v>7508</v>
      </c>
      <c r="B1449" t="s">
        <v>7509</v>
      </c>
      <c r="C1449" t="s">
        <v>8651</v>
      </c>
      <c r="E1449" s="11" t="s">
        <v>8652</v>
      </c>
      <c r="F1449" s="11" t="s">
        <v>11919</v>
      </c>
      <c r="G1449" t="s">
        <v>16083</v>
      </c>
      <c r="H1449" t="s">
        <v>11920</v>
      </c>
    </row>
    <row r="1450" spans="1:8">
      <c r="A1450" t="s">
        <v>4536</v>
      </c>
      <c r="B1450" t="s">
        <v>4537</v>
      </c>
      <c r="C1450" t="s">
        <v>9581</v>
      </c>
      <c r="E1450" s="11" t="s">
        <v>9585</v>
      </c>
      <c r="F1450" s="11" t="s">
        <v>9586</v>
      </c>
      <c r="G1450" t="s">
        <v>11194</v>
      </c>
      <c r="H1450" t="s">
        <v>11195</v>
      </c>
    </row>
    <row r="1451" spans="1:8">
      <c r="A1451" t="s">
        <v>7155</v>
      </c>
      <c r="B1451" t="s">
        <v>7156</v>
      </c>
      <c r="C1451" t="s">
        <v>8771</v>
      </c>
      <c r="E1451" s="11" t="s">
        <v>8772</v>
      </c>
      <c r="F1451" s="11" t="s">
        <v>8773</v>
      </c>
      <c r="G1451" t="s">
        <v>11688</v>
      </c>
      <c r="H1451" t="s">
        <v>11689</v>
      </c>
    </row>
    <row r="1452" spans="1:8">
      <c r="A1452" t="s">
        <v>5946</v>
      </c>
      <c r="B1452" t="s">
        <v>5947</v>
      </c>
      <c r="C1452" t="s">
        <v>9228</v>
      </c>
      <c r="E1452" s="11" t="s">
        <v>9229</v>
      </c>
      <c r="F1452" s="11" t="s">
        <v>9230</v>
      </c>
      <c r="G1452" t="s">
        <v>11393</v>
      </c>
      <c r="H1452" t="s">
        <v>11394</v>
      </c>
    </row>
    <row r="1453" spans="1:8">
      <c r="A1453" t="s">
        <v>5957</v>
      </c>
      <c r="B1453" t="s">
        <v>5958</v>
      </c>
      <c r="C1453" t="s">
        <v>9218</v>
      </c>
      <c r="E1453" s="11" t="s">
        <v>9219</v>
      </c>
      <c r="F1453" s="11" t="s">
        <v>9220</v>
      </c>
      <c r="G1453" t="s">
        <v>11405</v>
      </c>
      <c r="H1453" t="s">
        <v>11406</v>
      </c>
    </row>
    <row r="1454" spans="1:8">
      <c r="A1454" t="s">
        <v>7113</v>
      </c>
      <c r="B1454" t="s">
        <v>7114</v>
      </c>
      <c r="C1454" t="s">
        <v>8787</v>
      </c>
      <c r="E1454" s="11" t="s">
        <v>8788</v>
      </c>
      <c r="F1454" s="11" t="s">
        <v>8789</v>
      </c>
      <c r="G1454" t="s">
        <v>11682</v>
      </c>
      <c r="H1454" t="s">
        <v>11683</v>
      </c>
    </row>
    <row r="1455" spans="1:8">
      <c r="A1455" t="s">
        <v>2553</v>
      </c>
      <c r="B1455" t="s">
        <v>2554</v>
      </c>
      <c r="C1455" t="s">
        <v>10048</v>
      </c>
      <c r="E1455" s="11" t="s">
        <v>10049</v>
      </c>
      <c r="F1455" s="11" t="s">
        <v>10050</v>
      </c>
      <c r="G1455" t="s">
        <v>10860</v>
      </c>
      <c r="H1455" t="s">
        <v>10861</v>
      </c>
    </row>
    <row r="1456" spans="1:8">
      <c r="A1456" t="s">
        <v>7178</v>
      </c>
      <c r="B1456" t="s">
        <v>7179</v>
      </c>
      <c r="C1456" t="s">
        <v>8751</v>
      </c>
      <c r="E1456" s="11" t="s">
        <v>8752</v>
      </c>
      <c r="F1456" s="11" t="s">
        <v>8753</v>
      </c>
      <c r="G1456" t="s">
        <v>11697</v>
      </c>
      <c r="H1456" t="s">
        <v>11698</v>
      </c>
    </row>
    <row r="1457" spans="1:8">
      <c r="A1457" t="s">
        <v>7178</v>
      </c>
      <c r="B1457" t="s">
        <v>7179</v>
      </c>
      <c r="C1457" t="s">
        <v>8751</v>
      </c>
      <c r="E1457" s="11" t="s">
        <v>8752</v>
      </c>
      <c r="F1457" s="11" t="s">
        <v>8754</v>
      </c>
      <c r="G1457" t="s">
        <v>11699</v>
      </c>
      <c r="H1457" t="s">
        <v>8755</v>
      </c>
    </row>
    <row r="1458" spans="1:8">
      <c r="A1458" t="s">
        <v>7178</v>
      </c>
      <c r="B1458" t="s">
        <v>7179</v>
      </c>
      <c r="C1458" t="s">
        <v>8751</v>
      </c>
      <c r="E1458" s="11" t="s">
        <v>8752</v>
      </c>
      <c r="F1458" s="11" t="s">
        <v>8756</v>
      </c>
      <c r="G1458" t="s">
        <v>11700</v>
      </c>
      <c r="H1458" t="s">
        <v>11701</v>
      </c>
    </row>
    <row r="1459" spans="1:8">
      <c r="A1459" t="s">
        <v>6915</v>
      </c>
      <c r="B1459" t="s">
        <v>6916</v>
      </c>
      <c r="C1459" t="s">
        <v>16073</v>
      </c>
      <c r="D1459" s="42"/>
      <c r="E1459" s="11" t="s">
        <v>17937</v>
      </c>
      <c r="F1459" s="11" t="s">
        <v>17938</v>
      </c>
      <c r="G1459" t="s">
        <v>17939</v>
      </c>
      <c r="H1459" t="s">
        <v>17940</v>
      </c>
    </row>
    <row r="1460" spans="1:8">
      <c r="A1460" t="s">
        <v>7164</v>
      </c>
      <c r="B1460" t="s">
        <v>7165</v>
      </c>
      <c r="C1460" t="s">
        <v>8760</v>
      </c>
      <c r="E1460" s="11" t="s">
        <v>8761</v>
      </c>
      <c r="F1460" s="11" t="s">
        <v>8762</v>
      </c>
      <c r="G1460" t="s">
        <v>11693</v>
      </c>
      <c r="H1460" t="s">
        <v>11694</v>
      </c>
    </row>
    <row r="1461" spans="1:8">
      <c r="A1461" t="s">
        <v>2050</v>
      </c>
      <c r="B1461" t="s">
        <v>2051</v>
      </c>
      <c r="C1461" t="s">
        <v>10143</v>
      </c>
      <c r="E1461" s="11" t="s">
        <v>10144</v>
      </c>
      <c r="F1461" s="11" t="s">
        <v>10145</v>
      </c>
      <c r="G1461" t="s">
        <v>10739</v>
      </c>
      <c r="H1461" t="s">
        <v>10740</v>
      </c>
    </row>
    <row r="1462" spans="1:8">
      <c r="A1462" t="s">
        <v>2050</v>
      </c>
      <c r="B1462" t="s">
        <v>2051</v>
      </c>
      <c r="C1462" t="s">
        <v>10143</v>
      </c>
      <c r="E1462" s="11" t="s">
        <v>10144</v>
      </c>
      <c r="F1462" s="11" t="s">
        <v>10146</v>
      </c>
      <c r="G1462" t="s">
        <v>10741</v>
      </c>
      <c r="H1462" t="s">
        <v>10742</v>
      </c>
    </row>
    <row r="1463" spans="1:8">
      <c r="A1463" t="s">
        <v>2050</v>
      </c>
      <c r="B1463" t="s">
        <v>2051</v>
      </c>
      <c r="C1463" t="s">
        <v>10143</v>
      </c>
      <c r="E1463" s="11" t="s">
        <v>10144</v>
      </c>
      <c r="F1463" s="11" t="s">
        <v>10147</v>
      </c>
      <c r="G1463" t="s">
        <v>10743</v>
      </c>
      <c r="H1463" t="s">
        <v>10744</v>
      </c>
    </row>
    <row r="1464" spans="1:8">
      <c r="A1464" t="s">
        <v>2055</v>
      </c>
      <c r="B1464" t="s">
        <v>2056</v>
      </c>
      <c r="C1464" t="s">
        <v>10140</v>
      </c>
      <c r="E1464" s="11" t="s">
        <v>10141</v>
      </c>
      <c r="F1464" s="11" t="s">
        <v>10142</v>
      </c>
      <c r="G1464" t="s">
        <v>10745</v>
      </c>
      <c r="H1464" t="s">
        <v>10746</v>
      </c>
    </row>
    <row r="1465" spans="1:8">
      <c r="A1465" t="s">
        <v>7414</v>
      </c>
      <c r="B1465" t="s">
        <v>7415</v>
      </c>
      <c r="C1465" t="s">
        <v>8669</v>
      </c>
      <c r="E1465" s="11" t="s">
        <v>8670</v>
      </c>
      <c r="F1465" s="11" t="s">
        <v>8671</v>
      </c>
      <c r="G1465" t="s">
        <v>11738</v>
      </c>
      <c r="H1465" t="s">
        <v>11739</v>
      </c>
    </row>
    <row r="1466" spans="1:8">
      <c r="A1466" t="s">
        <v>4001</v>
      </c>
      <c r="B1466" t="s">
        <v>4002</v>
      </c>
      <c r="C1466" t="s">
        <v>9733</v>
      </c>
      <c r="E1466" s="11" t="s">
        <v>9734</v>
      </c>
      <c r="F1466" s="11" t="s">
        <v>8780</v>
      </c>
      <c r="G1466" t="s">
        <v>10519</v>
      </c>
      <c r="H1466" t="s">
        <v>10520</v>
      </c>
    </row>
    <row r="1467" spans="1:8">
      <c r="A1467" t="s">
        <v>4001</v>
      </c>
      <c r="B1467" t="s">
        <v>4002</v>
      </c>
      <c r="C1467" t="s">
        <v>9733</v>
      </c>
      <c r="E1467" s="11" t="s">
        <v>9734</v>
      </c>
      <c r="F1467" s="11" t="s">
        <v>9735</v>
      </c>
      <c r="G1467" t="s">
        <v>11097</v>
      </c>
      <c r="H1467" t="s">
        <v>11098</v>
      </c>
    </row>
    <row r="1468" spans="1:8">
      <c r="A1468" t="s">
        <v>4001</v>
      </c>
      <c r="B1468" t="s">
        <v>4002</v>
      </c>
      <c r="C1468" t="s">
        <v>9733</v>
      </c>
      <c r="E1468" s="11" t="s">
        <v>9734</v>
      </c>
      <c r="F1468" s="11" t="s">
        <v>9736</v>
      </c>
      <c r="G1468" t="s">
        <v>11099</v>
      </c>
      <c r="H1468" t="s">
        <v>11100</v>
      </c>
    </row>
    <row r="1469" spans="1:8">
      <c r="A1469" t="s">
        <v>7582</v>
      </c>
      <c r="B1469" t="s">
        <v>7583</v>
      </c>
      <c r="C1469" t="s">
        <v>8628</v>
      </c>
      <c r="E1469" s="11" t="s">
        <v>8629</v>
      </c>
      <c r="F1469" s="11" t="s">
        <v>8630</v>
      </c>
      <c r="G1469" t="s">
        <v>11749</v>
      </c>
      <c r="H1469" t="s">
        <v>11750</v>
      </c>
    </row>
    <row r="1470" spans="1:8">
      <c r="A1470" t="s">
        <v>3951</v>
      </c>
      <c r="B1470" t="s">
        <v>3952</v>
      </c>
      <c r="C1470" t="s">
        <v>9747</v>
      </c>
      <c r="E1470" s="11" t="s">
        <v>9748</v>
      </c>
      <c r="F1470" s="11" t="s">
        <v>9749</v>
      </c>
      <c r="G1470" t="s">
        <v>11090</v>
      </c>
      <c r="H1470" t="s">
        <v>11091</v>
      </c>
    </row>
    <row r="1471" spans="1:8">
      <c r="A1471" t="s">
        <v>1784</v>
      </c>
      <c r="B1471" t="s">
        <v>1785</v>
      </c>
      <c r="C1471" t="s">
        <v>10200</v>
      </c>
      <c r="E1471" s="11" t="s">
        <v>10201</v>
      </c>
      <c r="F1471" s="11" t="s">
        <v>8780</v>
      </c>
      <c r="G1471" t="s">
        <v>10519</v>
      </c>
      <c r="H1471" t="s">
        <v>10520</v>
      </c>
    </row>
    <row r="1472" spans="1:8">
      <c r="A1472" t="s">
        <v>1784</v>
      </c>
      <c r="B1472" t="s">
        <v>1785</v>
      </c>
      <c r="C1472" t="s">
        <v>10200</v>
      </c>
      <c r="E1472" s="11" t="s">
        <v>10201</v>
      </c>
      <c r="F1472" s="11" t="s">
        <v>10202</v>
      </c>
      <c r="G1472" t="s">
        <v>10685</v>
      </c>
      <c r="H1472" t="s">
        <v>10686</v>
      </c>
    </row>
    <row r="1473" spans="1:8">
      <c r="A1473" t="s">
        <v>1784</v>
      </c>
      <c r="B1473" t="s">
        <v>1785</v>
      </c>
      <c r="C1473" t="s">
        <v>10200</v>
      </c>
      <c r="E1473" s="11" t="s">
        <v>10201</v>
      </c>
      <c r="F1473" s="11" t="s">
        <v>10203</v>
      </c>
      <c r="G1473" t="s">
        <v>10687</v>
      </c>
      <c r="H1473" t="s">
        <v>10688</v>
      </c>
    </row>
    <row r="1474" spans="1:8">
      <c r="A1474" t="s">
        <v>1784</v>
      </c>
      <c r="B1474" t="s">
        <v>1785</v>
      </c>
      <c r="C1474" t="s">
        <v>10200</v>
      </c>
      <c r="E1474" s="11" t="s">
        <v>10201</v>
      </c>
      <c r="F1474" s="11" t="s">
        <v>10204</v>
      </c>
      <c r="G1474" t="s">
        <v>10689</v>
      </c>
      <c r="H1474" t="s">
        <v>10690</v>
      </c>
    </row>
    <row r="1475" spans="1:8">
      <c r="A1475" t="s">
        <v>7129</v>
      </c>
      <c r="B1475" t="s">
        <v>7130</v>
      </c>
      <c r="C1475" t="s">
        <v>8775</v>
      </c>
      <c r="E1475" s="11" t="s">
        <v>8776</v>
      </c>
      <c r="F1475" s="11" t="s">
        <v>8777</v>
      </c>
      <c r="G1475" t="s">
        <v>11686</v>
      </c>
      <c r="H1475" t="s">
        <v>11687</v>
      </c>
    </row>
    <row r="1476" spans="1:8">
      <c r="A1476" t="s">
        <v>7133</v>
      </c>
      <c r="B1476" t="s">
        <v>7134</v>
      </c>
      <c r="C1476" t="s">
        <v>8775</v>
      </c>
      <c r="E1476" s="11" t="s">
        <v>8776</v>
      </c>
      <c r="F1476" s="11" t="s">
        <v>8777</v>
      </c>
      <c r="G1476" t="s">
        <v>11686</v>
      </c>
      <c r="H1476" t="s">
        <v>11687</v>
      </c>
    </row>
    <row r="1477" spans="1:8">
      <c r="A1477" t="s">
        <v>7137</v>
      </c>
      <c r="B1477" t="s">
        <v>7138</v>
      </c>
      <c r="C1477" t="s">
        <v>8775</v>
      </c>
      <c r="E1477" s="11" t="s">
        <v>8776</v>
      </c>
      <c r="F1477" s="11" t="s">
        <v>8777</v>
      </c>
      <c r="G1477" t="s">
        <v>11686</v>
      </c>
      <c r="H1477" t="s">
        <v>11687</v>
      </c>
    </row>
    <row r="1478" spans="1:8">
      <c r="A1478" t="s">
        <v>6064</v>
      </c>
      <c r="B1478" t="s">
        <v>6065</v>
      </c>
      <c r="C1478" t="s">
        <v>9179</v>
      </c>
      <c r="E1478" s="11" t="s">
        <v>9180</v>
      </c>
      <c r="F1478" s="11" t="s">
        <v>8780</v>
      </c>
      <c r="G1478" t="s">
        <v>10519</v>
      </c>
      <c r="H1478" t="s">
        <v>10520</v>
      </c>
    </row>
    <row r="1479" spans="1:8">
      <c r="A1479" t="s">
        <v>6064</v>
      </c>
      <c r="B1479" t="s">
        <v>6065</v>
      </c>
      <c r="C1479" t="s">
        <v>9179</v>
      </c>
      <c r="E1479" s="11" t="s">
        <v>9180</v>
      </c>
      <c r="F1479" s="11" t="s">
        <v>9181</v>
      </c>
      <c r="G1479" t="s">
        <v>11437</v>
      </c>
      <c r="H1479" t="s">
        <v>11438</v>
      </c>
    </row>
    <row r="1480" spans="1:8">
      <c r="A1480" t="s">
        <v>6064</v>
      </c>
      <c r="B1480" t="s">
        <v>6065</v>
      </c>
      <c r="C1480" t="s">
        <v>9179</v>
      </c>
      <c r="E1480" s="11" t="s">
        <v>9180</v>
      </c>
      <c r="F1480" s="11" t="s">
        <v>9182</v>
      </c>
      <c r="G1480" t="s">
        <v>11439</v>
      </c>
      <c r="H1480" t="s">
        <v>11440</v>
      </c>
    </row>
    <row r="1481" spans="1:8">
      <c r="A1481" t="s">
        <v>4556</v>
      </c>
      <c r="B1481" t="s">
        <v>4557</v>
      </c>
      <c r="C1481" t="s">
        <v>9555</v>
      </c>
      <c r="E1481" s="11" t="s">
        <v>9556</v>
      </c>
      <c r="F1481" s="11" t="s">
        <v>8780</v>
      </c>
      <c r="G1481" t="s">
        <v>10519</v>
      </c>
      <c r="H1481" t="s">
        <v>10520</v>
      </c>
    </row>
    <row r="1482" spans="1:8">
      <c r="A1482" t="s">
        <v>4556</v>
      </c>
      <c r="B1482" t="s">
        <v>4557</v>
      </c>
      <c r="C1482" t="s">
        <v>9555</v>
      </c>
      <c r="E1482" s="11" t="s">
        <v>9556</v>
      </c>
      <c r="F1482" s="11" t="s">
        <v>9557</v>
      </c>
      <c r="G1482" t="s">
        <v>11203</v>
      </c>
      <c r="H1482" t="s">
        <v>11204</v>
      </c>
    </row>
    <row r="1483" spans="1:8">
      <c r="A1483" t="s">
        <v>4556</v>
      </c>
      <c r="B1483" t="s">
        <v>4557</v>
      </c>
      <c r="C1483" t="s">
        <v>9555</v>
      </c>
      <c r="E1483" s="11" t="s">
        <v>9556</v>
      </c>
      <c r="F1483" s="11" t="s">
        <v>9558</v>
      </c>
      <c r="G1483" t="s">
        <v>11205</v>
      </c>
      <c r="H1483" t="s">
        <v>11206</v>
      </c>
    </row>
    <row r="1484" spans="1:8">
      <c r="A1484" t="s">
        <v>4556</v>
      </c>
      <c r="B1484" t="s">
        <v>4557</v>
      </c>
      <c r="C1484" t="s">
        <v>9555</v>
      </c>
      <c r="E1484" s="11" t="s">
        <v>9556</v>
      </c>
      <c r="F1484" s="11" t="s">
        <v>9559</v>
      </c>
      <c r="G1484" t="s">
        <v>11207</v>
      </c>
      <c r="H1484" t="s">
        <v>11208</v>
      </c>
    </row>
    <row r="1485" spans="1:8">
      <c r="A1485" t="s">
        <v>4556</v>
      </c>
      <c r="B1485" t="s">
        <v>4557</v>
      </c>
      <c r="C1485" t="s">
        <v>9555</v>
      </c>
      <c r="E1485" s="11" t="s">
        <v>9556</v>
      </c>
      <c r="F1485" s="11" t="s">
        <v>9560</v>
      </c>
      <c r="G1485" t="s">
        <v>11209</v>
      </c>
      <c r="H1485" t="s">
        <v>11210</v>
      </c>
    </row>
    <row r="1486" spans="1:8">
      <c r="A1486" t="s">
        <v>4556</v>
      </c>
      <c r="B1486" t="s">
        <v>4557</v>
      </c>
      <c r="C1486" t="s">
        <v>9555</v>
      </c>
      <c r="E1486" s="11" t="s">
        <v>9556</v>
      </c>
      <c r="F1486" s="11" t="s">
        <v>9561</v>
      </c>
      <c r="G1486" t="s">
        <v>11211</v>
      </c>
      <c r="H1486" t="s">
        <v>11212</v>
      </c>
    </row>
    <row r="1487" spans="1:8">
      <c r="A1487" t="s">
        <v>4560</v>
      </c>
      <c r="B1487" t="s">
        <v>4561</v>
      </c>
      <c r="C1487" t="s">
        <v>9555</v>
      </c>
      <c r="E1487" s="11" t="s">
        <v>9556</v>
      </c>
      <c r="F1487" s="11" t="s">
        <v>8780</v>
      </c>
      <c r="G1487" t="s">
        <v>10519</v>
      </c>
      <c r="H1487" t="s">
        <v>10520</v>
      </c>
    </row>
    <row r="1488" spans="1:8">
      <c r="A1488" t="s">
        <v>4560</v>
      </c>
      <c r="B1488" t="s">
        <v>4561</v>
      </c>
      <c r="C1488" t="s">
        <v>9555</v>
      </c>
      <c r="E1488" s="11" t="s">
        <v>9556</v>
      </c>
      <c r="F1488" s="11" t="s">
        <v>9557</v>
      </c>
      <c r="G1488" t="s">
        <v>11203</v>
      </c>
      <c r="H1488" t="s">
        <v>11204</v>
      </c>
    </row>
    <row r="1489" spans="1:8">
      <c r="A1489" t="s">
        <v>4560</v>
      </c>
      <c r="B1489" t="s">
        <v>4561</v>
      </c>
      <c r="C1489" t="s">
        <v>9555</v>
      </c>
      <c r="E1489" s="11" t="s">
        <v>9556</v>
      </c>
      <c r="F1489" s="11" t="s">
        <v>9558</v>
      </c>
      <c r="G1489" t="s">
        <v>11205</v>
      </c>
      <c r="H1489" t="s">
        <v>11206</v>
      </c>
    </row>
    <row r="1490" spans="1:8">
      <c r="A1490" t="s">
        <v>4560</v>
      </c>
      <c r="B1490" t="s">
        <v>4561</v>
      </c>
      <c r="C1490" t="s">
        <v>9555</v>
      </c>
      <c r="E1490" s="11" t="s">
        <v>9556</v>
      </c>
      <c r="F1490" s="11" t="s">
        <v>9559</v>
      </c>
      <c r="G1490" t="s">
        <v>11207</v>
      </c>
      <c r="H1490" t="s">
        <v>11208</v>
      </c>
    </row>
    <row r="1491" spans="1:8">
      <c r="A1491" t="s">
        <v>4560</v>
      </c>
      <c r="B1491" t="s">
        <v>4561</v>
      </c>
      <c r="C1491" t="s">
        <v>9555</v>
      </c>
      <c r="E1491" s="11" t="s">
        <v>9556</v>
      </c>
      <c r="F1491" s="11" t="s">
        <v>9560</v>
      </c>
      <c r="G1491" t="s">
        <v>11209</v>
      </c>
      <c r="H1491" t="s">
        <v>11210</v>
      </c>
    </row>
    <row r="1492" spans="1:8">
      <c r="A1492" t="s">
        <v>4560</v>
      </c>
      <c r="B1492" t="s">
        <v>4561</v>
      </c>
      <c r="C1492" t="s">
        <v>9555</v>
      </c>
      <c r="E1492" s="11" t="s">
        <v>9556</v>
      </c>
      <c r="F1492" s="11" t="s">
        <v>9561</v>
      </c>
      <c r="G1492" t="s">
        <v>11211</v>
      </c>
      <c r="H1492" t="s">
        <v>11212</v>
      </c>
    </row>
    <row r="1493" spans="1:8">
      <c r="A1493" t="s">
        <v>2025</v>
      </c>
      <c r="B1493" t="s">
        <v>2026</v>
      </c>
      <c r="C1493" t="s">
        <v>10161</v>
      </c>
      <c r="E1493" s="11"/>
    </row>
    <row r="1494" spans="1:8">
      <c r="A1494" t="s">
        <v>1998</v>
      </c>
      <c r="B1494" t="s">
        <v>1999</v>
      </c>
      <c r="C1494" t="s">
        <v>10179</v>
      </c>
      <c r="E1494" s="11" t="s">
        <v>10180</v>
      </c>
      <c r="F1494" s="11" t="s">
        <v>10181</v>
      </c>
      <c r="G1494" t="s">
        <v>10714</v>
      </c>
      <c r="H1494" t="s">
        <v>10715</v>
      </c>
    </row>
    <row r="1495" spans="1:8">
      <c r="A1495" t="s">
        <v>3536</v>
      </c>
      <c r="B1495" t="s">
        <v>3537</v>
      </c>
      <c r="C1495" t="s">
        <v>9860</v>
      </c>
      <c r="E1495" s="11" t="s">
        <v>9861</v>
      </c>
      <c r="F1495" s="11" t="s">
        <v>9862</v>
      </c>
      <c r="G1495" t="s">
        <v>11019</v>
      </c>
      <c r="H1495" t="s">
        <v>11020</v>
      </c>
    </row>
    <row r="1496" spans="1:8">
      <c r="A1496" t="s">
        <v>8162</v>
      </c>
      <c r="B1496" t="s">
        <v>8163</v>
      </c>
      <c r="C1496" t="s">
        <v>8544</v>
      </c>
      <c r="E1496" s="11" t="s">
        <v>8545</v>
      </c>
    </row>
    <row r="1497" spans="1:8">
      <c r="A1497" t="s">
        <v>1246</v>
      </c>
      <c r="B1497" t="s">
        <v>1247</v>
      </c>
      <c r="C1497" t="s">
        <v>9081</v>
      </c>
      <c r="E1497" s="11"/>
    </row>
    <row r="1498" spans="1:8">
      <c r="A1498" t="s">
        <v>2752</v>
      </c>
      <c r="B1498" t="s">
        <v>2753</v>
      </c>
      <c r="C1498" t="s">
        <v>9081</v>
      </c>
      <c r="E1498" s="11"/>
    </row>
    <row r="1499" spans="1:8">
      <c r="A1499" t="s">
        <v>2777</v>
      </c>
      <c r="B1499" t="s">
        <v>2778</v>
      </c>
      <c r="C1499" t="s">
        <v>9081</v>
      </c>
      <c r="E1499" s="11"/>
    </row>
    <row r="1500" spans="1:8">
      <c r="A1500" t="s">
        <v>2779</v>
      </c>
      <c r="B1500" t="s">
        <v>2780</v>
      </c>
      <c r="C1500" t="s">
        <v>9081</v>
      </c>
      <c r="E1500" s="11"/>
    </row>
    <row r="1501" spans="1:8">
      <c r="A1501" t="s">
        <v>3228</v>
      </c>
      <c r="B1501" t="s">
        <v>3229</v>
      </c>
      <c r="C1501" t="s">
        <v>9081</v>
      </c>
      <c r="E1501" s="11"/>
    </row>
    <row r="1502" spans="1:8">
      <c r="A1502" t="s">
        <v>4046</v>
      </c>
      <c r="B1502" t="s">
        <v>4047</v>
      </c>
      <c r="C1502" t="s">
        <v>9081</v>
      </c>
      <c r="E1502" s="11"/>
    </row>
    <row r="1503" spans="1:8">
      <c r="A1503" t="s">
        <v>4295</v>
      </c>
      <c r="B1503" t="s">
        <v>4296</v>
      </c>
      <c r="C1503" t="s">
        <v>9081</v>
      </c>
      <c r="E1503" s="11"/>
    </row>
    <row r="1504" spans="1:8">
      <c r="A1504" t="s">
        <v>5728</v>
      </c>
      <c r="B1504" t="s">
        <v>5729</v>
      </c>
      <c r="C1504" t="s">
        <v>9081</v>
      </c>
      <c r="E1504" s="11"/>
    </row>
    <row r="1505" spans="1:8">
      <c r="A1505" t="s">
        <v>6333</v>
      </c>
      <c r="B1505" t="s">
        <v>6334</v>
      </c>
      <c r="C1505" t="s">
        <v>9081</v>
      </c>
      <c r="E1505" s="11"/>
    </row>
    <row r="1506" spans="1:8">
      <c r="A1506" t="s">
        <v>3278</v>
      </c>
      <c r="B1506" t="s">
        <v>3279</v>
      </c>
      <c r="C1506" t="s">
        <v>9915</v>
      </c>
      <c r="E1506" s="11"/>
    </row>
    <row r="1507" spans="1:8">
      <c r="A1507" t="s">
        <v>6045</v>
      </c>
      <c r="B1507" t="s">
        <v>6046</v>
      </c>
      <c r="C1507" t="s">
        <v>9183</v>
      </c>
      <c r="E1507" s="11" t="s">
        <v>9184</v>
      </c>
      <c r="F1507" s="11" t="s">
        <v>9185</v>
      </c>
      <c r="G1507" t="s">
        <v>11433</v>
      </c>
      <c r="H1507" t="s">
        <v>11434</v>
      </c>
    </row>
    <row r="1508" spans="1:8">
      <c r="A1508" t="s">
        <v>6045</v>
      </c>
      <c r="B1508" t="s">
        <v>6046</v>
      </c>
      <c r="C1508" t="s">
        <v>9183</v>
      </c>
      <c r="E1508" s="11" t="s">
        <v>9184</v>
      </c>
      <c r="F1508" s="11" t="s">
        <v>9186</v>
      </c>
      <c r="G1508" t="s">
        <v>11435</v>
      </c>
      <c r="H1508" t="s">
        <v>11436</v>
      </c>
    </row>
    <row r="1509" spans="1:8">
      <c r="A1509" t="s">
        <v>3434</v>
      </c>
      <c r="B1509" t="s">
        <v>3435</v>
      </c>
      <c r="C1509" t="s">
        <v>9319</v>
      </c>
      <c r="E1509" s="11" t="s">
        <v>9320</v>
      </c>
      <c r="F1509" s="11" t="s">
        <v>9321</v>
      </c>
      <c r="G1509" t="s">
        <v>10720</v>
      </c>
      <c r="H1509" t="s">
        <v>11012</v>
      </c>
    </row>
    <row r="1510" spans="1:8">
      <c r="A1510" t="s">
        <v>3440</v>
      </c>
      <c r="B1510" t="s">
        <v>3441</v>
      </c>
      <c r="C1510" t="s">
        <v>9319</v>
      </c>
      <c r="E1510" s="11" t="s">
        <v>9320</v>
      </c>
      <c r="F1510" s="11" t="s">
        <v>9321</v>
      </c>
      <c r="G1510" t="s">
        <v>10720</v>
      </c>
      <c r="H1510" t="s">
        <v>11012</v>
      </c>
    </row>
    <row r="1511" spans="1:8">
      <c r="A1511" t="s">
        <v>3443</v>
      </c>
      <c r="B1511" t="s">
        <v>3444</v>
      </c>
      <c r="C1511" t="s">
        <v>9319</v>
      </c>
      <c r="E1511" s="11" t="s">
        <v>9320</v>
      </c>
      <c r="F1511" s="11" t="s">
        <v>9321</v>
      </c>
      <c r="G1511" t="s">
        <v>10720</v>
      </c>
      <c r="H1511" t="s">
        <v>11012</v>
      </c>
    </row>
    <row r="1512" spans="1:8">
      <c r="A1512" t="s">
        <v>3447</v>
      </c>
      <c r="B1512" t="s">
        <v>3448</v>
      </c>
      <c r="C1512" t="s">
        <v>9319</v>
      </c>
      <c r="E1512" s="11" t="s">
        <v>9320</v>
      </c>
      <c r="F1512" s="11" t="s">
        <v>9321</v>
      </c>
      <c r="G1512" t="s">
        <v>10720</v>
      </c>
      <c r="H1512" t="s">
        <v>11012</v>
      </c>
    </row>
    <row r="1513" spans="1:8">
      <c r="A1513" t="s">
        <v>3450</v>
      </c>
      <c r="B1513" t="s">
        <v>3451</v>
      </c>
      <c r="C1513" t="s">
        <v>9319</v>
      </c>
      <c r="E1513" s="11" t="s">
        <v>9320</v>
      </c>
      <c r="F1513" s="11" t="s">
        <v>9321</v>
      </c>
      <c r="G1513" t="s">
        <v>10720</v>
      </c>
      <c r="H1513" t="s">
        <v>11012</v>
      </c>
    </row>
    <row r="1514" spans="1:8">
      <c r="A1514" t="s">
        <v>3454</v>
      </c>
      <c r="B1514" t="s">
        <v>3455</v>
      </c>
      <c r="C1514" t="s">
        <v>9319</v>
      </c>
      <c r="E1514" s="11" t="s">
        <v>9320</v>
      </c>
      <c r="F1514" s="11" t="s">
        <v>9321</v>
      </c>
      <c r="G1514" t="s">
        <v>10720</v>
      </c>
      <c r="H1514" t="s">
        <v>11012</v>
      </c>
    </row>
    <row r="1515" spans="1:8">
      <c r="A1515" t="s">
        <v>3457</v>
      </c>
      <c r="B1515" t="s">
        <v>3458</v>
      </c>
      <c r="C1515" t="s">
        <v>9319</v>
      </c>
      <c r="E1515" s="11" t="s">
        <v>9320</v>
      </c>
      <c r="F1515" s="11" t="s">
        <v>9321</v>
      </c>
      <c r="G1515" t="s">
        <v>10720</v>
      </c>
      <c r="H1515" t="s">
        <v>11012</v>
      </c>
    </row>
    <row r="1516" spans="1:8">
      <c r="A1516" t="s">
        <v>5723</v>
      </c>
      <c r="B1516" t="s">
        <v>5724</v>
      </c>
      <c r="C1516" t="s">
        <v>9319</v>
      </c>
      <c r="E1516" s="11" t="s">
        <v>9320</v>
      </c>
      <c r="F1516" s="11" t="s">
        <v>9321</v>
      </c>
      <c r="G1516" t="s">
        <v>10720</v>
      </c>
      <c r="H1516" t="s">
        <v>11012</v>
      </c>
    </row>
    <row r="1517" spans="1:8">
      <c r="A1517" t="s">
        <v>7076</v>
      </c>
      <c r="B1517" t="s">
        <v>7077</v>
      </c>
      <c r="C1517" t="s">
        <v>8799</v>
      </c>
      <c r="E1517" s="11" t="s">
        <v>8800</v>
      </c>
    </row>
    <row r="1518" spans="1:8">
      <c r="A1518" t="s">
        <v>4112</v>
      </c>
      <c r="B1518" t="s">
        <v>4113</v>
      </c>
      <c r="C1518" t="s">
        <v>9723</v>
      </c>
      <c r="E1518" s="11" t="s">
        <v>9724</v>
      </c>
    </row>
    <row r="1519" spans="1:8">
      <c r="A1519" t="s">
        <v>4114</v>
      </c>
      <c r="B1519" t="s">
        <v>4115</v>
      </c>
      <c r="C1519" t="s">
        <v>9723</v>
      </c>
      <c r="E1519" s="11" t="s">
        <v>9724</v>
      </c>
    </row>
    <row r="1520" spans="1:8">
      <c r="A1520" t="s">
        <v>4118</v>
      </c>
      <c r="B1520" t="s">
        <v>4119</v>
      </c>
      <c r="C1520" t="s">
        <v>9723</v>
      </c>
      <c r="E1520" s="11" t="s">
        <v>9724</v>
      </c>
    </row>
    <row r="1521" spans="1:6">
      <c r="A1521" t="s">
        <v>3274</v>
      </c>
      <c r="B1521" t="s">
        <v>3275</v>
      </c>
      <c r="C1521" t="s">
        <v>8951</v>
      </c>
      <c r="E1521" s="11"/>
    </row>
    <row r="1522" spans="1:6">
      <c r="A1522" t="s">
        <v>6399</v>
      </c>
      <c r="B1522" t="s">
        <v>6400</v>
      </c>
      <c r="C1522" t="s">
        <v>8951</v>
      </c>
      <c r="E1522" s="11"/>
    </row>
    <row r="1523" spans="1:6">
      <c r="A1523" t="s">
        <v>6703</v>
      </c>
      <c r="B1523" t="s">
        <v>6704</v>
      </c>
      <c r="C1523" t="s">
        <v>8951</v>
      </c>
      <c r="E1523" s="11"/>
    </row>
    <row r="1524" spans="1:6">
      <c r="A1524" t="s">
        <v>1857</v>
      </c>
      <c r="B1524" t="s">
        <v>1858</v>
      </c>
      <c r="C1524" t="s">
        <v>10198</v>
      </c>
      <c r="E1524" s="11" t="s">
        <v>10199</v>
      </c>
    </row>
    <row r="1525" spans="1:6">
      <c r="A1525" t="s">
        <v>1860</v>
      </c>
      <c r="B1525" t="s">
        <v>1861</v>
      </c>
      <c r="C1525" t="s">
        <v>10198</v>
      </c>
      <c r="E1525" s="11" t="s">
        <v>10199</v>
      </c>
    </row>
    <row r="1526" spans="1:6">
      <c r="A1526" t="s">
        <v>2350</v>
      </c>
      <c r="B1526" t="s">
        <v>2351</v>
      </c>
      <c r="C1526" t="s">
        <v>8642</v>
      </c>
      <c r="E1526" s="11"/>
    </row>
    <row r="1527" spans="1:6">
      <c r="A1527" t="s">
        <v>3558</v>
      </c>
      <c r="B1527" t="s">
        <v>3559</v>
      </c>
      <c r="C1527" t="s">
        <v>8642</v>
      </c>
      <c r="E1527" s="11"/>
    </row>
    <row r="1528" spans="1:6">
      <c r="A1528" t="s">
        <v>5543</v>
      </c>
      <c r="B1528" t="s">
        <v>5544</v>
      </c>
      <c r="C1528" t="s">
        <v>8642</v>
      </c>
      <c r="E1528" s="11"/>
    </row>
    <row r="1529" spans="1:6">
      <c r="A1529" t="s">
        <v>5672</v>
      </c>
      <c r="B1529" t="s">
        <v>5673</v>
      </c>
      <c r="C1529" t="s">
        <v>8642</v>
      </c>
      <c r="E1529" s="11"/>
    </row>
    <row r="1530" spans="1:6">
      <c r="A1530" t="s">
        <v>7296</v>
      </c>
      <c r="B1530" t="s">
        <v>7297</v>
      </c>
      <c r="C1530" t="s">
        <v>8642</v>
      </c>
      <c r="E1530" s="11"/>
    </row>
    <row r="1531" spans="1:6">
      <c r="A1531" t="s">
        <v>7538</v>
      </c>
      <c r="B1531" t="s">
        <v>7539</v>
      </c>
      <c r="C1531" t="s">
        <v>8642</v>
      </c>
      <c r="E1531" s="11"/>
    </row>
    <row r="1532" spans="1:6">
      <c r="A1532" t="s">
        <v>1854</v>
      </c>
      <c r="B1532" t="s">
        <v>1855</v>
      </c>
      <c r="C1532" t="s">
        <v>8553</v>
      </c>
      <c r="E1532" s="11"/>
      <c r="F1532" s="11"/>
    </row>
    <row r="1533" spans="1:6">
      <c r="A1533" t="s">
        <v>2477</v>
      </c>
      <c r="B1533" t="s">
        <v>2478</v>
      </c>
      <c r="C1533" t="s">
        <v>8553</v>
      </c>
      <c r="E1533" s="11"/>
    </row>
    <row r="1534" spans="1:6">
      <c r="A1534" t="s">
        <v>3482</v>
      </c>
      <c r="B1534" t="s">
        <v>3483</v>
      </c>
      <c r="C1534" t="s">
        <v>8553</v>
      </c>
      <c r="E1534" s="11"/>
    </row>
    <row r="1535" spans="1:6">
      <c r="A1535" t="s">
        <v>7010</v>
      </c>
      <c r="B1535" t="s">
        <v>7011</v>
      </c>
      <c r="C1535" t="s">
        <v>8553</v>
      </c>
      <c r="E1535" s="11"/>
    </row>
    <row r="1536" spans="1:6">
      <c r="A1536" t="s">
        <v>8142</v>
      </c>
      <c r="B1536" t="s">
        <v>8143</v>
      </c>
      <c r="C1536" t="s">
        <v>8553</v>
      </c>
      <c r="E1536" s="11"/>
      <c r="F1536" s="11"/>
    </row>
    <row r="1537" spans="1:6">
      <c r="A1537" t="s">
        <v>18</v>
      </c>
      <c r="B1537" t="s">
        <v>19</v>
      </c>
      <c r="E1537" s="11"/>
    </row>
    <row r="1538" spans="1:6">
      <c r="A1538" t="s">
        <v>26</v>
      </c>
      <c r="B1538" t="s">
        <v>27</v>
      </c>
      <c r="E1538" s="11"/>
    </row>
    <row r="1539" spans="1:6">
      <c r="A1539" t="s">
        <v>29</v>
      </c>
      <c r="B1539" t="s">
        <v>30</v>
      </c>
      <c r="E1539" s="11"/>
    </row>
    <row r="1540" spans="1:6">
      <c r="A1540" t="s">
        <v>36</v>
      </c>
      <c r="B1540" t="s">
        <v>37</v>
      </c>
      <c r="E1540" s="11"/>
      <c r="F1540" s="11"/>
    </row>
    <row r="1541" spans="1:6">
      <c r="A1541" t="s">
        <v>40</v>
      </c>
      <c r="B1541" t="s">
        <v>41</v>
      </c>
      <c r="E1541" s="11"/>
    </row>
    <row r="1542" spans="1:6">
      <c r="A1542" t="s">
        <v>43</v>
      </c>
      <c r="B1542" t="s">
        <v>44</v>
      </c>
      <c r="E1542" s="11"/>
      <c r="F1542" s="11"/>
    </row>
    <row r="1543" spans="1:6">
      <c r="A1543" t="s">
        <v>47</v>
      </c>
      <c r="B1543" t="s">
        <v>48</v>
      </c>
      <c r="E1543" s="11"/>
      <c r="F1543" s="11"/>
    </row>
    <row r="1544" spans="1:6">
      <c r="A1544" t="s">
        <v>50</v>
      </c>
      <c r="B1544" t="s">
        <v>51</v>
      </c>
      <c r="E1544" s="11"/>
    </row>
    <row r="1545" spans="1:6">
      <c r="A1545" t="s">
        <v>52</v>
      </c>
      <c r="B1545" t="s">
        <v>53</v>
      </c>
      <c r="E1545" s="11"/>
    </row>
    <row r="1546" spans="1:6">
      <c r="A1546" t="s">
        <v>59</v>
      </c>
      <c r="B1546" t="s">
        <v>60</v>
      </c>
      <c r="E1546" s="11"/>
    </row>
    <row r="1547" spans="1:6">
      <c r="A1547" t="s">
        <v>59</v>
      </c>
      <c r="B1547" t="s">
        <v>63</v>
      </c>
      <c r="E1547" s="11"/>
    </row>
    <row r="1548" spans="1:6">
      <c r="A1548" t="s">
        <v>59</v>
      </c>
      <c r="B1548" t="s">
        <v>65</v>
      </c>
      <c r="E1548" s="11"/>
    </row>
    <row r="1549" spans="1:6">
      <c r="A1549" t="s">
        <v>67</v>
      </c>
      <c r="B1549" t="s">
        <v>68</v>
      </c>
      <c r="E1549" s="11"/>
      <c r="F1549" s="11"/>
    </row>
    <row r="1550" spans="1:6">
      <c r="A1550" t="s">
        <v>70</v>
      </c>
      <c r="B1550" t="s">
        <v>71</v>
      </c>
      <c r="E1550" s="11"/>
      <c r="F1550" s="11"/>
    </row>
    <row r="1551" spans="1:6">
      <c r="A1551" t="s">
        <v>73</v>
      </c>
      <c r="B1551" t="s">
        <v>74</v>
      </c>
      <c r="E1551" s="11"/>
    </row>
    <row r="1552" spans="1:6">
      <c r="A1552" t="s">
        <v>76</v>
      </c>
      <c r="B1552" t="s">
        <v>77</v>
      </c>
      <c r="E1552" s="11"/>
      <c r="F1552" s="11"/>
    </row>
    <row r="1553" spans="1:6">
      <c r="A1553" t="s">
        <v>79</v>
      </c>
      <c r="B1553" t="s">
        <v>80</v>
      </c>
      <c r="E1553" s="11"/>
      <c r="F1553" s="11"/>
    </row>
    <row r="1554" spans="1:6">
      <c r="A1554" t="s">
        <v>82</v>
      </c>
      <c r="B1554" t="s">
        <v>83</v>
      </c>
      <c r="E1554" s="11"/>
      <c r="F1554" s="11"/>
    </row>
    <row r="1555" spans="1:6">
      <c r="A1555" t="s">
        <v>85</v>
      </c>
      <c r="B1555" t="s">
        <v>86</v>
      </c>
      <c r="E1555" s="11"/>
      <c r="F1555" s="11"/>
    </row>
    <row r="1556" spans="1:6">
      <c r="A1556" t="s">
        <v>87</v>
      </c>
      <c r="B1556" t="s">
        <v>88</v>
      </c>
      <c r="E1556" s="11"/>
      <c r="F1556" s="11"/>
    </row>
    <row r="1557" spans="1:6">
      <c r="A1557" t="s">
        <v>90</v>
      </c>
      <c r="B1557" t="s">
        <v>91</v>
      </c>
      <c r="E1557" s="11"/>
      <c r="F1557" s="11"/>
    </row>
    <row r="1558" spans="1:6">
      <c r="A1558" t="s">
        <v>93</v>
      </c>
      <c r="B1558" t="s">
        <v>94</v>
      </c>
      <c r="E1558" s="11"/>
      <c r="F1558" s="11"/>
    </row>
    <row r="1559" spans="1:6">
      <c r="A1559" t="s">
        <v>93</v>
      </c>
      <c r="B1559" t="s">
        <v>95</v>
      </c>
      <c r="E1559" s="11"/>
      <c r="F1559" s="11"/>
    </row>
    <row r="1560" spans="1:6">
      <c r="A1560" t="s">
        <v>96</v>
      </c>
      <c r="B1560" t="s">
        <v>97</v>
      </c>
      <c r="E1560" s="11"/>
      <c r="F1560" s="11"/>
    </row>
    <row r="1561" spans="1:6">
      <c r="A1561" t="s">
        <v>96</v>
      </c>
      <c r="B1561" t="s">
        <v>98</v>
      </c>
      <c r="E1561" s="11"/>
      <c r="F1561" s="11"/>
    </row>
    <row r="1562" spans="1:6">
      <c r="A1562" t="s">
        <v>96</v>
      </c>
      <c r="B1562" t="s">
        <v>99</v>
      </c>
      <c r="E1562" s="11"/>
      <c r="F1562" s="11"/>
    </row>
    <row r="1563" spans="1:6">
      <c r="A1563" t="s">
        <v>101</v>
      </c>
      <c r="B1563" t="s">
        <v>102</v>
      </c>
      <c r="E1563" s="11"/>
      <c r="F1563" s="11"/>
    </row>
    <row r="1564" spans="1:6">
      <c r="A1564" t="s">
        <v>104</v>
      </c>
      <c r="B1564" t="s">
        <v>105</v>
      </c>
      <c r="E1564" s="11"/>
      <c r="F1564" s="11"/>
    </row>
    <row r="1565" spans="1:6">
      <c r="A1565" t="s">
        <v>108</v>
      </c>
      <c r="B1565" t="s">
        <v>109</v>
      </c>
      <c r="E1565" s="11"/>
      <c r="F1565" s="11"/>
    </row>
    <row r="1566" spans="1:6">
      <c r="A1566" t="s">
        <v>111</v>
      </c>
      <c r="B1566" t="s">
        <v>112</v>
      </c>
      <c r="E1566" s="11"/>
      <c r="F1566" s="11"/>
    </row>
    <row r="1567" spans="1:6">
      <c r="A1567" t="s">
        <v>115</v>
      </c>
      <c r="B1567" t="s">
        <v>116</v>
      </c>
      <c r="E1567" s="11"/>
      <c r="F1567" s="11"/>
    </row>
    <row r="1568" spans="1:6">
      <c r="A1568" t="s">
        <v>119</v>
      </c>
      <c r="B1568" t="s">
        <v>120</v>
      </c>
      <c r="E1568" s="11"/>
      <c r="F1568" s="11"/>
    </row>
    <row r="1569" spans="1:6">
      <c r="A1569" t="s">
        <v>122</v>
      </c>
      <c r="B1569" t="s">
        <v>123</v>
      </c>
      <c r="E1569" s="11"/>
      <c r="F1569" s="11"/>
    </row>
    <row r="1570" spans="1:6">
      <c r="A1570" t="s">
        <v>125</v>
      </c>
      <c r="B1570" t="s">
        <v>126</v>
      </c>
      <c r="E1570" s="11"/>
    </row>
    <row r="1571" spans="1:6">
      <c r="A1571" t="s">
        <v>128</v>
      </c>
      <c r="B1571" t="s">
        <v>129</v>
      </c>
      <c r="E1571" s="11"/>
    </row>
    <row r="1572" spans="1:6">
      <c r="A1572" t="s">
        <v>130</v>
      </c>
      <c r="B1572" t="s">
        <v>131</v>
      </c>
      <c r="E1572" s="11"/>
    </row>
    <row r="1573" spans="1:6">
      <c r="A1573" t="s">
        <v>139</v>
      </c>
      <c r="B1573" t="s">
        <v>140</v>
      </c>
      <c r="E1573" s="11"/>
    </row>
    <row r="1574" spans="1:6">
      <c r="A1574" t="s">
        <v>139</v>
      </c>
      <c r="B1574" t="s">
        <v>143</v>
      </c>
      <c r="E1574" s="11"/>
    </row>
    <row r="1575" spans="1:6">
      <c r="A1575" t="s">
        <v>145</v>
      </c>
      <c r="B1575" t="s">
        <v>146</v>
      </c>
      <c r="E1575" s="11"/>
    </row>
    <row r="1576" spans="1:6">
      <c r="A1576" t="s">
        <v>148</v>
      </c>
      <c r="B1576" t="s">
        <v>149</v>
      </c>
      <c r="E1576" s="11"/>
    </row>
    <row r="1577" spans="1:6">
      <c r="A1577" t="s">
        <v>151</v>
      </c>
      <c r="B1577" t="s">
        <v>152</v>
      </c>
      <c r="E1577" s="11"/>
    </row>
    <row r="1578" spans="1:6">
      <c r="A1578" t="s">
        <v>155</v>
      </c>
      <c r="B1578" t="s">
        <v>156</v>
      </c>
      <c r="E1578" s="11"/>
    </row>
    <row r="1579" spans="1:6">
      <c r="A1579" t="s">
        <v>159</v>
      </c>
      <c r="B1579" t="s">
        <v>160</v>
      </c>
      <c r="E1579" s="11"/>
      <c r="F1579" s="11"/>
    </row>
    <row r="1580" spans="1:6">
      <c r="A1580" t="s">
        <v>165</v>
      </c>
      <c r="B1580" t="s">
        <v>166</v>
      </c>
      <c r="E1580" s="11"/>
    </row>
    <row r="1581" spans="1:6">
      <c r="A1581" t="s">
        <v>174</v>
      </c>
      <c r="B1581" t="s">
        <v>175</v>
      </c>
      <c r="E1581" s="11"/>
    </row>
    <row r="1582" spans="1:6">
      <c r="A1582" t="s">
        <v>177</v>
      </c>
      <c r="B1582" t="s">
        <v>178</v>
      </c>
      <c r="E1582" s="11"/>
    </row>
    <row r="1583" spans="1:6">
      <c r="A1583" t="s">
        <v>177</v>
      </c>
      <c r="B1583" t="s">
        <v>180</v>
      </c>
      <c r="E1583" s="11"/>
    </row>
    <row r="1584" spans="1:6">
      <c r="A1584" t="s">
        <v>181</v>
      </c>
      <c r="B1584" t="s">
        <v>182</v>
      </c>
      <c r="D1584" t="s">
        <v>8482</v>
      </c>
      <c r="E1584" s="11"/>
    </row>
    <row r="1585" spans="1:5">
      <c r="A1585" t="s">
        <v>183</v>
      </c>
      <c r="B1585" t="s">
        <v>184</v>
      </c>
      <c r="E1585" s="11"/>
    </row>
    <row r="1586" spans="1:5">
      <c r="A1586" t="s">
        <v>195</v>
      </c>
      <c r="B1586" t="s">
        <v>196</v>
      </c>
      <c r="E1586" s="11"/>
    </row>
    <row r="1587" spans="1:5">
      <c r="A1587" t="s">
        <v>198</v>
      </c>
      <c r="B1587" t="s">
        <v>199</v>
      </c>
      <c r="E1587" s="11"/>
    </row>
    <row r="1588" spans="1:5">
      <c r="A1588" t="s">
        <v>200</v>
      </c>
      <c r="B1588" t="s">
        <v>201</v>
      </c>
      <c r="E1588" s="11"/>
    </row>
    <row r="1589" spans="1:5">
      <c r="A1589" t="s">
        <v>203</v>
      </c>
      <c r="B1589" t="s">
        <v>204</v>
      </c>
      <c r="E1589" s="11"/>
    </row>
    <row r="1590" spans="1:5">
      <c r="A1590" t="s">
        <v>205</v>
      </c>
      <c r="B1590" t="s">
        <v>206</v>
      </c>
      <c r="E1590" s="11"/>
    </row>
    <row r="1591" spans="1:5">
      <c r="A1591" t="s">
        <v>208</v>
      </c>
      <c r="B1591" t="s">
        <v>209</v>
      </c>
      <c r="E1591" s="11"/>
    </row>
    <row r="1592" spans="1:5">
      <c r="A1592" t="s">
        <v>211</v>
      </c>
      <c r="B1592" t="s">
        <v>212</v>
      </c>
      <c r="E1592" s="11"/>
    </row>
    <row r="1593" spans="1:5">
      <c r="A1593" t="s">
        <v>214</v>
      </c>
      <c r="B1593" t="s">
        <v>215</v>
      </c>
      <c r="E1593" s="11"/>
    </row>
    <row r="1594" spans="1:5">
      <c r="A1594" t="s">
        <v>217</v>
      </c>
      <c r="B1594" t="s">
        <v>218</v>
      </c>
      <c r="E1594" s="11"/>
    </row>
    <row r="1595" spans="1:5">
      <c r="A1595" t="s">
        <v>220</v>
      </c>
      <c r="B1595" t="s">
        <v>221</v>
      </c>
      <c r="E1595" s="11"/>
    </row>
    <row r="1596" spans="1:5">
      <c r="A1596" t="s">
        <v>223</v>
      </c>
      <c r="B1596" t="s">
        <v>224</v>
      </c>
      <c r="E1596" s="11"/>
    </row>
    <row r="1597" spans="1:5">
      <c r="A1597" t="s">
        <v>227</v>
      </c>
      <c r="B1597" t="s">
        <v>228</v>
      </c>
      <c r="E1597" s="11"/>
    </row>
    <row r="1598" spans="1:5">
      <c r="A1598" t="s">
        <v>230</v>
      </c>
      <c r="B1598" t="s">
        <v>231</v>
      </c>
      <c r="E1598" s="11"/>
    </row>
    <row r="1599" spans="1:5">
      <c r="A1599" t="s">
        <v>232</v>
      </c>
      <c r="B1599" t="s">
        <v>233</v>
      </c>
      <c r="E1599" s="11"/>
    </row>
    <row r="1600" spans="1:5">
      <c r="A1600" t="s">
        <v>235</v>
      </c>
      <c r="B1600" t="s">
        <v>236</v>
      </c>
      <c r="E1600" s="11"/>
    </row>
    <row r="1601" spans="1:5">
      <c r="A1601" t="s">
        <v>241</v>
      </c>
      <c r="B1601" t="s">
        <v>242</v>
      </c>
      <c r="E1601" s="11"/>
    </row>
    <row r="1602" spans="1:5">
      <c r="A1602" t="s">
        <v>244</v>
      </c>
      <c r="B1602" t="s">
        <v>245</v>
      </c>
      <c r="E1602" s="11"/>
    </row>
    <row r="1603" spans="1:5">
      <c r="A1603" t="s">
        <v>246</v>
      </c>
      <c r="B1603" t="s">
        <v>247</v>
      </c>
      <c r="E1603" s="11"/>
    </row>
    <row r="1604" spans="1:5">
      <c r="A1604" t="s">
        <v>252</v>
      </c>
      <c r="B1604" t="s">
        <v>253</v>
      </c>
      <c r="E1604" s="11"/>
    </row>
    <row r="1605" spans="1:5">
      <c r="A1605" t="s">
        <v>255</v>
      </c>
      <c r="B1605" t="s">
        <v>256</v>
      </c>
      <c r="E1605" s="11"/>
    </row>
    <row r="1606" spans="1:5">
      <c r="A1606" t="s">
        <v>255</v>
      </c>
      <c r="B1606" t="s">
        <v>259</v>
      </c>
      <c r="E1606" s="11"/>
    </row>
    <row r="1607" spans="1:5">
      <c r="A1607" t="s">
        <v>255</v>
      </c>
      <c r="B1607" t="s">
        <v>261</v>
      </c>
      <c r="E1607" s="11"/>
    </row>
    <row r="1608" spans="1:5">
      <c r="A1608" t="s">
        <v>255</v>
      </c>
      <c r="B1608" t="s">
        <v>264</v>
      </c>
      <c r="E1608" s="11"/>
    </row>
    <row r="1609" spans="1:5">
      <c r="A1609" t="s">
        <v>266</v>
      </c>
      <c r="B1609" t="s">
        <v>267</v>
      </c>
      <c r="E1609" s="11"/>
    </row>
    <row r="1610" spans="1:5">
      <c r="A1610" t="s">
        <v>269</v>
      </c>
      <c r="B1610" t="s">
        <v>270</v>
      </c>
      <c r="C1610" s="12"/>
      <c r="D1610" s="42"/>
      <c r="E1610" s="11"/>
    </row>
    <row r="1611" spans="1:5">
      <c r="A1611" t="s">
        <v>271</v>
      </c>
      <c r="B1611" t="s">
        <v>272</v>
      </c>
      <c r="E1611" s="11"/>
    </row>
    <row r="1612" spans="1:5">
      <c r="A1612" t="s">
        <v>273</v>
      </c>
      <c r="B1612" t="s">
        <v>274</v>
      </c>
      <c r="E1612" s="11"/>
    </row>
    <row r="1613" spans="1:5">
      <c r="A1613" t="s">
        <v>283</v>
      </c>
      <c r="B1613" t="s">
        <v>284</v>
      </c>
      <c r="E1613" s="11"/>
    </row>
    <row r="1614" spans="1:5">
      <c r="A1614" t="s">
        <v>286</v>
      </c>
      <c r="B1614" t="s">
        <v>287</v>
      </c>
      <c r="E1614" s="11"/>
    </row>
    <row r="1615" spans="1:5">
      <c r="A1615" t="s">
        <v>300</v>
      </c>
      <c r="B1615" t="s">
        <v>301</v>
      </c>
      <c r="E1615" s="11"/>
    </row>
    <row r="1616" spans="1:5">
      <c r="A1616" t="s">
        <v>303</v>
      </c>
      <c r="B1616" t="s">
        <v>304</v>
      </c>
      <c r="E1616" s="11"/>
    </row>
    <row r="1617" spans="1:6">
      <c r="A1617" t="s">
        <v>307</v>
      </c>
      <c r="B1617" t="s">
        <v>308</v>
      </c>
      <c r="E1617" s="11"/>
      <c r="F1617" s="11"/>
    </row>
    <row r="1618" spans="1:6">
      <c r="A1618" t="s">
        <v>310</v>
      </c>
      <c r="B1618" t="s">
        <v>311</v>
      </c>
      <c r="E1618" s="11"/>
    </row>
    <row r="1619" spans="1:6">
      <c r="A1619" t="s">
        <v>312</v>
      </c>
      <c r="B1619" t="s">
        <v>313</v>
      </c>
      <c r="E1619" s="11"/>
    </row>
    <row r="1620" spans="1:6">
      <c r="A1620" t="s">
        <v>314</v>
      </c>
      <c r="B1620" t="s">
        <v>315</v>
      </c>
      <c r="E1620" s="11"/>
    </row>
    <row r="1621" spans="1:6">
      <c r="A1621" t="s">
        <v>316</v>
      </c>
      <c r="B1621" t="s">
        <v>317</v>
      </c>
      <c r="E1621" s="11"/>
    </row>
    <row r="1622" spans="1:6">
      <c r="A1622" t="s">
        <v>319</v>
      </c>
      <c r="B1622" t="s">
        <v>320</v>
      </c>
      <c r="E1622" s="11"/>
    </row>
    <row r="1623" spans="1:6">
      <c r="A1623" t="s">
        <v>325</v>
      </c>
      <c r="B1623" t="s">
        <v>326</v>
      </c>
      <c r="E1623" s="11"/>
    </row>
    <row r="1624" spans="1:6">
      <c r="A1624" t="s">
        <v>328</v>
      </c>
      <c r="B1624" t="s">
        <v>329</v>
      </c>
      <c r="E1624" s="11"/>
    </row>
    <row r="1625" spans="1:6">
      <c r="A1625" t="s">
        <v>331</v>
      </c>
      <c r="B1625" t="s">
        <v>332</v>
      </c>
      <c r="E1625" s="11"/>
      <c r="F1625" s="11"/>
    </row>
    <row r="1626" spans="1:6">
      <c r="A1626" t="s">
        <v>334</v>
      </c>
      <c r="B1626" t="s">
        <v>335</v>
      </c>
      <c r="E1626" s="11"/>
    </row>
    <row r="1627" spans="1:6">
      <c r="A1627" t="s">
        <v>337</v>
      </c>
      <c r="B1627" t="s">
        <v>338</v>
      </c>
      <c r="E1627" s="11"/>
    </row>
    <row r="1628" spans="1:6">
      <c r="A1628" t="s">
        <v>340</v>
      </c>
      <c r="B1628" t="s">
        <v>341</v>
      </c>
      <c r="E1628" s="11"/>
    </row>
    <row r="1629" spans="1:6">
      <c r="A1629" t="s">
        <v>343</v>
      </c>
      <c r="B1629" t="s">
        <v>344</v>
      </c>
      <c r="E1629" s="11"/>
    </row>
    <row r="1630" spans="1:6">
      <c r="A1630" t="s">
        <v>346</v>
      </c>
      <c r="B1630" t="s">
        <v>347</v>
      </c>
      <c r="E1630" s="11"/>
    </row>
    <row r="1631" spans="1:6">
      <c r="A1631" t="s">
        <v>349</v>
      </c>
      <c r="B1631" t="s">
        <v>350</v>
      </c>
      <c r="E1631" s="11"/>
    </row>
    <row r="1632" spans="1:6">
      <c r="A1632" t="s">
        <v>351</v>
      </c>
      <c r="B1632" t="s">
        <v>352</v>
      </c>
      <c r="E1632" s="11"/>
    </row>
    <row r="1633" spans="1:6">
      <c r="A1633" t="s">
        <v>354</v>
      </c>
      <c r="B1633" t="s">
        <v>355</v>
      </c>
      <c r="E1633" s="11"/>
    </row>
    <row r="1634" spans="1:6">
      <c r="A1634" t="s">
        <v>357</v>
      </c>
      <c r="B1634" t="s">
        <v>358</v>
      </c>
      <c r="E1634" s="11"/>
      <c r="F1634" s="11"/>
    </row>
    <row r="1635" spans="1:6">
      <c r="A1635" t="s">
        <v>366</v>
      </c>
      <c r="B1635" t="s">
        <v>367</v>
      </c>
      <c r="E1635" s="11"/>
    </row>
    <row r="1636" spans="1:6">
      <c r="A1636" t="s">
        <v>368</v>
      </c>
      <c r="B1636" t="s">
        <v>369</v>
      </c>
      <c r="E1636" s="11"/>
    </row>
    <row r="1637" spans="1:6">
      <c r="A1637" t="s">
        <v>383</v>
      </c>
      <c r="B1637" t="s">
        <v>384</v>
      </c>
      <c r="E1637" s="11"/>
    </row>
    <row r="1638" spans="1:6">
      <c r="A1638" t="s">
        <v>389</v>
      </c>
      <c r="B1638" t="s">
        <v>390</v>
      </c>
      <c r="E1638" s="11"/>
      <c r="F1638" s="11"/>
    </row>
    <row r="1639" spans="1:6">
      <c r="A1639" t="s">
        <v>401</v>
      </c>
      <c r="B1639" t="s">
        <v>402</v>
      </c>
      <c r="E1639" s="11"/>
    </row>
    <row r="1640" spans="1:6">
      <c r="A1640" t="s">
        <v>403</v>
      </c>
      <c r="B1640" t="s">
        <v>404</v>
      </c>
      <c r="E1640" s="11"/>
      <c r="F1640" s="11"/>
    </row>
    <row r="1641" spans="1:6">
      <c r="A1641" t="s">
        <v>405</v>
      </c>
      <c r="B1641" t="s">
        <v>406</v>
      </c>
      <c r="E1641" s="11"/>
    </row>
    <row r="1642" spans="1:6">
      <c r="A1642" t="s">
        <v>407</v>
      </c>
      <c r="B1642" t="s">
        <v>408</v>
      </c>
      <c r="E1642" s="11"/>
    </row>
    <row r="1643" spans="1:6">
      <c r="A1643" t="s">
        <v>410</v>
      </c>
      <c r="B1643" t="s">
        <v>411</v>
      </c>
      <c r="E1643" s="11"/>
    </row>
    <row r="1644" spans="1:6">
      <c r="A1644" t="s">
        <v>412</v>
      </c>
      <c r="B1644" t="s">
        <v>413</v>
      </c>
      <c r="E1644" s="11"/>
    </row>
    <row r="1645" spans="1:6">
      <c r="A1645" t="s">
        <v>421</v>
      </c>
      <c r="B1645" t="s">
        <v>422</v>
      </c>
      <c r="E1645" s="11"/>
    </row>
    <row r="1646" spans="1:6">
      <c r="A1646" t="s">
        <v>423</v>
      </c>
      <c r="B1646" t="s">
        <v>424</v>
      </c>
      <c r="E1646" s="11"/>
    </row>
    <row r="1647" spans="1:6">
      <c r="A1647" t="s">
        <v>426</v>
      </c>
      <c r="B1647" t="s">
        <v>427</v>
      </c>
      <c r="E1647" s="11"/>
    </row>
    <row r="1648" spans="1:6">
      <c r="A1648" t="s">
        <v>429</v>
      </c>
      <c r="B1648" t="s">
        <v>430</v>
      </c>
      <c r="E1648" s="11"/>
    </row>
    <row r="1649" spans="1:6">
      <c r="A1649" t="s">
        <v>432</v>
      </c>
      <c r="B1649" t="s">
        <v>433</v>
      </c>
      <c r="E1649" s="11"/>
    </row>
    <row r="1650" spans="1:6">
      <c r="A1650" t="s">
        <v>439</v>
      </c>
      <c r="B1650" t="s">
        <v>440</v>
      </c>
      <c r="E1650" s="11"/>
    </row>
    <row r="1651" spans="1:6">
      <c r="A1651" t="s">
        <v>442</v>
      </c>
      <c r="B1651" t="s">
        <v>443</v>
      </c>
      <c r="E1651" s="11"/>
    </row>
    <row r="1652" spans="1:6">
      <c r="A1652" t="s">
        <v>444</v>
      </c>
      <c r="B1652" t="s">
        <v>445</v>
      </c>
      <c r="E1652" s="11"/>
    </row>
    <row r="1653" spans="1:6">
      <c r="A1653" t="s">
        <v>447</v>
      </c>
      <c r="B1653" t="s">
        <v>448</v>
      </c>
      <c r="E1653" s="11"/>
    </row>
    <row r="1654" spans="1:6">
      <c r="A1654" t="s">
        <v>449</v>
      </c>
      <c r="B1654" t="s">
        <v>450</v>
      </c>
      <c r="E1654" s="11"/>
    </row>
    <row r="1655" spans="1:6">
      <c r="A1655" t="s">
        <v>464</v>
      </c>
      <c r="B1655" t="s">
        <v>465</v>
      </c>
      <c r="E1655" s="11"/>
    </row>
    <row r="1656" spans="1:6">
      <c r="A1656" t="s">
        <v>467</v>
      </c>
      <c r="B1656" t="s">
        <v>468</v>
      </c>
      <c r="E1656" s="11"/>
    </row>
    <row r="1657" spans="1:6">
      <c r="A1657" t="s">
        <v>469</v>
      </c>
      <c r="B1657" t="s">
        <v>470</v>
      </c>
      <c r="E1657" s="11"/>
    </row>
    <row r="1658" spans="1:6">
      <c r="A1658" t="s">
        <v>474</v>
      </c>
      <c r="B1658" t="s">
        <v>475</v>
      </c>
      <c r="E1658" s="11"/>
    </row>
    <row r="1659" spans="1:6">
      <c r="A1659" t="s">
        <v>479</v>
      </c>
      <c r="B1659" t="s">
        <v>480</v>
      </c>
      <c r="E1659" s="11"/>
    </row>
    <row r="1660" spans="1:6">
      <c r="A1660" t="s">
        <v>482</v>
      </c>
      <c r="B1660" t="s">
        <v>483</v>
      </c>
      <c r="E1660" s="11"/>
    </row>
    <row r="1661" spans="1:6">
      <c r="A1661" t="s">
        <v>487</v>
      </c>
      <c r="B1661" t="s">
        <v>488</v>
      </c>
      <c r="E1661" s="11"/>
    </row>
    <row r="1662" spans="1:6">
      <c r="A1662" t="s">
        <v>490</v>
      </c>
      <c r="B1662" t="s">
        <v>491</v>
      </c>
      <c r="E1662" s="11"/>
    </row>
    <row r="1663" spans="1:6">
      <c r="A1663" t="s">
        <v>494</v>
      </c>
      <c r="B1663" t="s">
        <v>495</v>
      </c>
      <c r="E1663" s="11"/>
    </row>
    <row r="1664" spans="1:6">
      <c r="A1664" t="s">
        <v>501</v>
      </c>
      <c r="B1664" t="s">
        <v>502</v>
      </c>
      <c r="E1664" s="11"/>
      <c r="F1664" s="11"/>
    </row>
    <row r="1665" spans="1:6">
      <c r="A1665" t="s">
        <v>515</v>
      </c>
      <c r="B1665" t="s">
        <v>516</v>
      </c>
      <c r="E1665" s="11"/>
    </row>
    <row r="1666" spans="1:6">
      <c r="A1666" t="s">
        <v>518</v>
      </c>
      <c r="B1666" t="s">
        <v>519</v>
      </c>
      <c r="E1666" s="11"/>
      <c r="F1666" s="11"/>
    </row>
    <row r="1667" spans="1:6">
      <c r="A1667" t="s">
        <v>520</v>
      </c>
      <c r="B1667" t="s">
        <v>521</v>
      </c>
      <c r="E1667" s="11"/>
    </row>
    <row r="1668" spans="1:6">
      <c r="A1668" t="s">
        <v>522</v>
      </c>
      <c r="B1668" t="s">
        <v>523</v>
      </c>
      <c r="E1668" s="11"/>
    </row>
    <row r="1669" spans="1:6">
      <c r="A1669" t="s">
        <v>525</v>
      </c>
      <c r="B1669" t="s">
        <v>526</v>
      </c>
      <c r="E1669" s="11"/>
    </row>
    <row r="1670" spans="1:6">
      <c r="A1670" t="s">
        <v>528</v>
      </c>
      <c r="B1670" t="s">
        <v>529</v>
      </c>
      <c r="E1670" s="11"/>
    </row>
    <row r="1671" spans="1:6">
      <c r="A1671" t="s">
        <v>530</v>
      </c>
      <c r="B1671" t="s">
        <v>531</v>
      </c>
      <c r="E1671" s="11"/>
    </row>
    <row r="1672" spans="1:6">
      <c r="A1672" t="s">
        <v>533</v>
      </c>
      <c r="B1672" t="s">
        <v>534</v>
      </c>
      <c r="E1672" s="11"/>
    </row>
    <row r="1673" spans="1:6">
      <c r="A1673" t="s">
        <v>535</v>
      </c>
      <c r="B1673" t="s">
        <v>536</v>
      </c>
      <c r="E1673" s="11"/>
    </row>
    <row r="1674" spans="1:6">
      <c r="A1674" t="s">
        <v>537</v>
      </c>
      <c r="B1674" t="s">
        <v>538</v>
      </c>
      <c r="E1674" s="11"/>
    </row>
    <row r="1675" spans="1:6">
      <c r="A1675" t="s">
        <v>539</v>
      </c>
      <c r="B1675" t="s">
        <v>540</v>
      </c>
      <c r="E1675" s="11"/>
    </row>
    <row r="1676" spans="1:6">
      <c r="A1676" t="s">
        <v>542</v>
      </c>
      <c r="B1676" t="s">
        <v>543</v>
      </c>
      <c r="E1676" s="11"/>
    </row>
    <row r="1677" spans="1:6">
      <c r="A1677" t="s">
        <v>544</v>
      </c>
      <c r="B1677" t="s">
        <v>545</v>
      </c>
      <c r="E1677" s="11"/>
    </row>
    <row r="1678" spans="1:6">
      <c r="A1678" t="s">
        <v>552</v>
      </c>
      <c r="B1678" t="s">
        <v>553</v>
      </c>
      <c r="E1678" s="11"/>
    </row>
    <row r="1679" spans="1:6">
      <c r="A1679" t="s">
        <v>554</v>
      </c>
      <c r="B1679" t="s">
        <v>555</v>
      </c>
      <c r="E1679" s="11"/>
    </row>
    <row r="1680" spans="1:6">
      <c r="A1680" t="s">
        <v>557</v>
      </c>
      <c r="B1680" t="s">
        <v>558</v>
      </c>
      <c r="E1680" s="11"/>
    </row>
    <row r="1681" spans="1:5">
      <c r="A1681" t="s">
        <v>560</v>
      </c>
      <c r="B1681" t="s">
        <v>561</v>
      </c>
      <c r="E1681" s="11"/>
    </row>
    <row r="1682" spans="1:5">
      <c r="A1682" t="s">
        <v>563</v>
      </c>
      <c r="B1682" t="s">
        <v>564</v>
      </c>
      <c r="E1682" s="11"/>
    </row>
    <row r="1683" spans="1:5">
      <c r="A1683" t="s">
        <v>570</v>
      </c>
      <c r="B1683" t="s">
        <v>571</v>
      </c>
      <c r="E1683" s="11"/>
    </row>
    <row r="1684" spans="1:5">
      <c r="A1684" t="s">
        <v>573</v>
      </c>
      <c r="B1684" t="s">
        <v>574</v>
      </c>
      <c r="E1684" s="11"/>
    </row>
    <row r="1685" spans="1:5">
      <c r="A1685" t="s">
        <v>576</v>
      </c>
      <c r="B1685" t="s">
        <v>577</v>
      </c>
      <c r="E1685" s="11"/>
    </row>
    <row r="1686" spans="1:5">
      <c r="A1686" t="s">
        <v>579</v>
      </c>
      <c r="B1686" t="s">
        <v>580</v>
      </c>
      <c r="E1686" s="11"/>
    </row>
    <row r="1687" spans="1:5">
      <c r="A1687" t="s">
        <v>587</v>
      </c>
      <c r="B1687" t="s">
        <v>588</v>
      </c>
      <c r="E1687" s="11"/>
    </row>
    <row r="1688" spans="1:5">
      <c r="A1688" t="s">
        <v>589</v>
      </c>
      <c r="B1688" t="s">
        <v>590</v>
      </c>
      <c r="E1688" s="11"/>
    </row>
    <row r="1689" spans="1:5">
      <c r="A1689" t="s">
        <v>591</v>
      </c>
      <c r="B1689" t="s">
        <v>592</v>
      </c>
      <c r="E1689" s="11"/>
    </row>
    <row r="1690" spans="1:5">
      <c r="A1690" t="s">
        <v>593</v>
      </c>
      <c r="B1690" t="s">
        <v>594</v>
      </c>
      <c r="E1690" s="11"/>
    </row>
    <row r="1691" spans="1:5">
      <c r="A1691" t="s">
        <v>596</v>
      </c>
      <c r="B1691" t="s">
        <v>597</v>
      </c>
      <c r="E1691" s="11"/>
    </row>
    <row r="1692" spans="1:5">
      <c r="A1692" t="s">
        <v>598</v>
      </c>
      <c r="B1692" t="s">
        <v>599</v>
      </c>
      <c r="E1692" s="11"/>
    </row>
    <row r="1693" spans="1:5">
      <c r="A1693" t="s">
        <v>601</v>
      </c>
      <c r="B1693" t="s">
        <v>602</v>
      </c>
      <c r="E1693" s="11"/>
    </row>
    <row r="1694" spans="1:5">
      <c r="A1694" t="s">
        <v>606</v>
      </c>
      <c r="B1694" t="s">
        <v>607</v>
      </c>
      <c r="E1694" s="11"/>
    </row>
    <row r="1695" spans="1:5">
      <c r="A1695" t="s">
        <v>609</v>
      </c>
      <c r="B1695" t="s">
        <v>610</v>
      </c>
      <c r="E1695" s="11"/>
    </row>
    <row r="1696" spans="1:5">
      <c r="A1696" t="s">
        <v>612</v>
      </c>
      <c r="B1696" t="s">
        <v>613</v>
      </c>
      <c r="E1696" s="11"/>
    </row>
    <row r="1697" spans="1:5">
      <c r="A1697" t="s">
        <v>615</v>
      </c>
      <c r="B1697" t="s">
        <v>616</v>
      </c>
      <c r="E1697" s="11"/>
    </row>
    <row r="1698" spans="1:5">
      <c r="A1698" t="s">
        <v>620</v>
      </c>
      <c r="B1698" t="s">
        <v>621</v>
      </c>
      <c r="E1698" s="11"/>
    </row>
    <row r="1699" spans="1:5">
      <c r="A1699" t="s">
        <v>620</v>
      </c>
      <c r="B1699" t="s">
        <v>623</v>
      </c>
      <c r="E1699" s="11"/>
    </row>
    <row r="1700" spans="1:5">
      <c r="A1700" t="s">
        <v>625</v>
      </c>
      <c r="B1700" t="s">
        <v>626</v>
      </c>
      <c r="E1700" s="11"/>
    </row>
    <row r="1701" spans="1:5">
      <c r="A1701" t="s">
        <v>628</v>
      </c>
      <c r="B1701" t="s">
        <v>629</v>
      </c>
      <c r="E1701" s="11"/>
    </row>
    <row r="1702" spans="1:5">
      <c r="A1702" t="s">
        <v>631</v>
      </c>
      <c r="B1702" t="s">
        <v>632</v>
      </c>
      <c r="E1702" s="11"/>
    </row>
    <row r="1703" spans="1:5">
      <c r="A1703" t="s">
        <v>634</v>
      </c>
      <c r="B1703" t="s">
        <v>635</v>
      </c>
      <c r="E1703" s="11"/>
    </row>
    <row r="1704" spans="1:5">
      <c r="A1704" t="s">
        <v>640</v>
      </c>
      <c r="B1704" t="s">
        <v>641</v>
      </c>
      <c r="E1704" s="11"/>
    </row>
    <row r="1705" spans="1:5">
      <c r="A1705" t="s">
        <v>650</v>
      </c>
      <c r="B1705" t="s">
        <v>651</v>
      </c>
      <c r="E1705" s="11"/>
    </row>
    <row r="1706" spans="1:5">
      <c r="A1706" t="s">
        <v>654</v>
      </c>
      <c r="B1706" t="s">
        <v>655</v>
      </c>
      <c r="E1706" s="11"/>
    </row>
    <row r="1707" spans="1:5">
      <c r="A1707" t="s">
        <v>657</v>
      </c>
      <c r="B1707" t="s">
        <v>658</v>
      </c>
      <c r="E1707" s="11"/>
    </row>
    <row r="1708" spans="1:5">
      <c r="A1708" t="s">
        <v>659</v>
      </c>
      <c r="B1708" t="s">
        <v>660</v>
      </c>
      <c r="E1708" s="11"/>
    </row>
    <row r="1709" spans="1:5">
      <c r="A1709" t="s">
        <v>662</v>
      </c>
      <c r="B1709" t="s">
        <v>663</v>
      </c>
      <c r="E1709" s="11"/>
    </row>
    <row r="1710" spans="1:5">
      <c r="A1710" t="s">
        <v>666</v>
      </c>
      <c r="B1710" t="s">
        <v>668</v>
      </c>
      <c r="E1710" s="11"/>
    </row>
    <row r="1711" spans="1:5">
      <c r="A1711" t="s">
        <v>666</v>
      </c>
      <c r="B1711" t="s">
        <v>670</v>
      </c>
      <c r="E1711" s="11"/>
    </row>
    <row r="1712" spans="1:5">
      <c r="A1712" t="s">
        <v>672</v>
      </c>
      <c r="B1712" t="s">
        <v>673</v>
      </c>
      <c r="E1712" s="11"/>
    </row>
    <row r="1713" spans="1:6">
      <c r="A1713" t="s">
        <v>674</v>
      </c>
      <c r="B1713" t="s">
        <v>675</v>
      </c>
      <c r="E1713" s="11"/>
    </row>
    <row r="1714" spans="1:6">
      <c r="A1714" t="s">
        <v>676</v>
      </c>
      <c r="B1714" t="s">
        <v>677</v>
      </c>
      <c r="E1714" s="11"/>
    </row>
    <row r="1715" spans="1:6">
      <c r="A1715" t="s">
        <v>679</v>
      </c>
      <c r="B1715" t="s">
        <v>680</v>
      </c>
      <c r="E1715" s="11"/>
      <c r="F1715" s="11"/>
    </row>
    <row r="1716" spans="1:6">
      <c r="A1716" t="s">
        <v>682</v>
      </c>
      <c r="B1716" t="s">
        <v>683</v>
      </c>
      <c r="E1716" s="11"/>
    </row>
    <row r="1717" spans="1:6">
      <c r="A1717" t="s">
        <v>686</v>
      </c>
      <c r="B1717" t="s">
        <v>687</v>
      </c>
      <c r="E1717" s="11"/>
    </row>
    <row r="1718" spans="1:6">
      <c r="A1718" t="s">
        <v>689</v>
      </c>
      <c r="B1718" t="s">
        <v>690</v>
      </c>
      <c r="E1718" s="11"/>
    </row>
    <row r="1719" spans="1:6">
      <c r="A1719" t="s">
        <v>689</v>
      </c>
      <c r="B1719" t="s">
        <v>691</v>
      </c>
      <c r="E1719" s="11"/>
    </row>
    <row r="1720" spans="1:6">
      <c r="A1720" t="s">
        <v>696</v>
      </c>
      <c r="B1720" t="s">
        <v>697</v>
      </c>
      <c r="E1720" s="11"/>
    </row>
    <row r="1721" spans="1:6">
      <c r="A1721" t="s">
        <v>703</v>
      </c>
      <c r="B1721" t="s">
        <v>704</v>
      </c>
      <c r="E1721" s="11"/>
      <c r="F1721" s="11"/>
    </row>
    <row r="1722" spans="1:6">
      <c r="A1722" t="s">
        <v>703</v>
      </c>
      <c r="B1722" t="s">
        <v>705</v>
      </c>
      <c r="E1722" s="11"/>
    </row>
    <row r="1723" spans="1:6">
      <c r="A1723" t="s">
        <v>706</v>
      </c>
      <c r="B1723" t="s">
        <v>707</v>
      </c>
      <c r="E1723" s="11"/>
    </row>
    <row r="1724" spans="1:6">
      <c r="A1724" t="s">
        <v>709</v>
      </c>
      <c r="B1724" t="s">
        <v>710</v>
      </c>
      <c r="E1724" s="11"/>
    </row>
    <row r="1725" spans="1:6">
      <c r="A1725" t="s">
        <v>716</v>
      </c>
      <c r="B1725" t="s">
        <v>717</v>
      </c>
      <c r="E1725" s="11"/>
    </row>
    <row r="1726" spans="1:6">
      <c r="A1726" t="s">
        <v>719</v>
      </c>
      <c r="B1726" t="s">
        <v>720</v>
      </c>
      <c r="E1726" s="11"/>
    </row>
    <row r="1727" spans="1:6">
      <c r="A1727" t="s">
        <v>722</v>
      </c>
      <c r="B1727" t="s">
        <v>723</v>
      </c>
      <c r="E1727" s="11"/>
    </row>
    <row r="1728" spans="1:6">
      <c r="A1728" t="s">
        <v>732</v>
      </c>
      <c r="B1728" t="s">
        <v>733</v>
      </c>
      <c r="E1728" s="11"/>
    </row>
    <row r="1729" spans="1:5">
      <c r="A1729" t="s">
        <v>734</v>
      </c>
      <c r="B1729" t="s">
        <v>735</v>
      </c>
      <c r="E1729" s="11"/>
    </row>
    <row r="1730" spans="1:5">
      <c r="A1730" t="s">
        <v>734</v>
      </c>
      <c r="B1730" t="s">
        <v>736</v>
      </c>
      <c r="E1730" s="11"/>
    </row>
    <row r="1731" spans="1:5">
      <c r="A1731" t="s">
        <v>734</v>
      </c>
      <c r="B1731" t="s">
        <v>740</v>
      </c>
      <c r="E1731" s="11"/>
    </row>
    <row r="1732" spans="1:5">
      <c r="A1732" t="s">
        <v>742</v>
      </c>
      <c r="B1732" t="s">
        <v>743</v>
      </c>
      <c r="E1732" s="11"/>
    </row>
    <row r="1733" spans="1:5">
      <c r="A1733" t="s">
        <v>745</v>
      </c>
      <c r="B1733" t="s">
        <v>746</v>
      </c>
      <c r="E1733" s="11"/>
    </row>
    <row r="1734" spans="1:5">
      <c r="A1734" t="s">
        <v>751</v>
      </c>
      <c r="B1734" t="s">
        <v>752</v>
      </c>
      <c r="E1734" s="11"/>
    </row>
    <row r="1735" spans="1:5">
      <c r="A1735" t="s">
        <v>754</v>
      </c>
      <c r="B1735" t="s">
        <v>755</v>
      </c>
      <c r="E1735" s="11"/>
    </row>
    <row r="1736" spans="1:5">
      <c r="A1736" t="s">
        <v>757</v>
      </c>
      <c r="B1736" t="s">
        <v>758</v>
      </c>
      <c r="E1736" s="11"/>
    </row>
    <row r="1737" spans="1:5">
      <c r="A1737" t="s">
        <v>763</v>
      </c>
      <c r="B1737" t="s">
        <v>764</v>
      </c>
      <c r="E1737" s="11"/>
    </row>
    <row r="1738" spans="1:5">
      <c r="A1738" t="s">
        <v>770</v>
      </c>
      <c r="B1738" t="s">
        <v>771</v>
      </c>
      <c r="E1738" s="11"/>
    </row>
    <row r="1739" spans="1:5">
      <c r="A1739" t="s">
        <v>778</v>
      </c>
      <c r="B1739" t="s">
        <v>779</v>
      </c>
      <c r="E1739" s="11"/>
    </row>
    <row r="1740" spans="1:5">
      <c r="A1740" t="s">
        <v>781</v>
      </c>
      <c r="B1740" t="s">
        <v>782</v>
      </c>
      <c r="E1740" s="11"/>
    </row>
    <row r="1741" spans="1:5">
      <c r="A1741" t="s">
        <v>786</v>
      </c>
      <c r="B1741" t="s">
        <v>787</v>
      </c>
      <c r="E1741" s="11"/>
    </row>
    <row r="1742" spans="1:5">
      <c r="A1742" t="s">
        <v>789</v>
      </c>
      <c r="B1742" t="s">
        <v>790</v>
      </c>
      <c r="E1742" s="11"/>
    </row>
    <row r="1743" spans="1:5">
      <c r="A1743" t="s">
        <v>793</v>
      </c>
      <c r="B1743" t="s">
        <v>794</v>
      </c>
      <c r="E1743" s="11"/>
    </row>
    <row r="1744" spans="1:5">
      <c r="A1744" t="s">
        <v>797</v>
      </c>
      <c r="B1744" t="s">
        <v>798</v>
      </c>
      <c r="E1744" s="11"/>
    </row>
    <row r="1745" spans="1:5">
      <c r="A1745" t="s">
        <v>799</v>
      </c>
      <c r="B1745" t="s">
        <v>800</v>
      </c>
      <c r="E1745" s="11"/>
    </row>
    <row r="1746" spans="1:5">
      <c r="A1746" t="s">
        <v>802</v>
      </c>
      <c r="B1746" t="s">
        <v>803</v>
      </c>
      <c r="E1746" s="11"/>
    </row>
    <row r="1747" spans="1:5">
      <c r="A1747" t="s">
        <v>806</v>
      </c>
      <c r="B1747" t="s">
        <v>807</v>
      </c>
      <c r="E1747" s="11"/>
    </row>
    <row r="1748" spans="1:5">
      <c r="A1748" t="s">
        <v>812</v>
      </c>
      <c r="B1748" t="s">
        <v>813</v>
      </c>
      <c r="E1748" s="11"/>
    </row>
    <row r="1749" spans="1:5">
      <c r="A1749" t="s">
        <v>815</v>
      </c>
      <c r="B1749" t="s">
        <v>816</v>
      </c>
      <c r="E1749" s="11"/>
    </row>
    <row r="1750" spans="1:5">
      <c r="A1750" t="s">
        <v>818</v>
      </c>
      <c r="B1750" t="s">
        <v>819</v>
      </c>
      <c r="E1750" s="11"/>
    </row>
    <row r="1751" spans="1:5">
      <c r="A1751" t="s">
        <v>821</v>
      </c>
      <c r="B1751" t="s">
        <v>822</v>
      </c>
      <c r="E1751" s="11"/>
    </row>
    <row r="1752" spans="1:5">
      <c r="A1752" t="s">
        <v>824</v>
      </c>
      <c r="B1752" t="s">
        <v>825</v>
      </c>
      <c r="E1752" s="11"/>
    </row>
    <row r="1753" spans="1:5">
      <c r="A1753" t="s">
        <v>827</v>
      </c>
      <c r="B1753" t="s">
        <v>828</v>
      </c>
      <c r="E1753" s="11"/>
    </row>
    <row r="1754" spans="1:5">
      <c r="A1754" t="s">
        <v>830</v>
      </c>
      <c r="B1754" t="s">
        <v>831</v>
      </c>
      <c r="E1754" s="11"/>
    </row>
    <row r="1755" spans="1:5">
      <c r="A1755" t="s">
        <v>833</v>
      </c>
      <c r="B1755" t="s">
        <v>834</v>
      </c>
      <c r="E1755" s="11"/>
    </row>
    <row r="1756" spans="1:5">
      <c r="A1756" t="s">
        <v>836</v>
      </c>
      <c r="B1756" t="s">
        <v>837</v>
      </c>
      <c r="E1756" s="11"/>
    </row>
    <row r="1757" spans="1:5">
      <c r="A1757" t="s">
        <v>840</v>
      </c>
      <c r="B1757" t="s">
        <v>841</v>
      </c>
      <c r="E1757" s="11"/>
    </row>
    <row r="1758" spans="1:5">
      <c r="A1758" t="s">
        <v>843</v>
      </c>
      <c r="B1758" t="s">
        <v>844</v>
      </c>
      <c r="E1758" s="11"/>
    </row>
    <row r="1759" spans="1:5">
      <c r="A1759" t="s">
        <v>843</v>
      </c>
      <c r="B1759" t="s">
        <v>846</v>
      </c>
      <c r="E1759" s="11"/>
    </row>
    <row r="1760" spans="1:5">
      <c r="A1760" t="s">
        <v>850</v>
      </c>
      <c r="B1760" t="s">
        <v>851</v>
      </c>
      <c r="E1760" s="11"/>
    </row>
    <row r="1761" spans="1:5">
      <c r="A1761" t="s">
        <v>853</v>
      </c>
      <c r="B1761" t="s">
        <v>854</v>
      </c>
      <c r="E1761" s="11"/>
    </row>
    <row r="1762" spans="1:5">
      <c r="A1762" t="s">
        <v>857</v>
      </c>
      <c r="B1762" t="s">
        <v>858</v>
      </c>
      <c r="E1762" s="11"/>
    </row>
    <row r="1763" spans="1:5">
      <c r="A1763" t="s">
        <v>860</v>
      </c>
      <c r="B1763" t="s">
        <v>861</v>
      </c>
      <c r="E1763" s="11"/>
    </row>
    <row r="1764" spans="1:5">
      <c r="A1764" t="s">
        <v>862</v>
      </c>
      <c r="B1764" t="s">
        <v>863</v>
      </c>
      <c r="E1764" s="11"/>
    </row>
    <row r="1765" spans="1:5">
      <c r="A1765" t="s">
        <v>864</v>
      </c>
      <c r="B1765" t="s">
        <v>865</v>
      </c>
      <c r="E1765" s="11"/>
    </row>
    <row r="1766" spans="1:5">
      <c r="A1766" t="s">
        <v>869</v>
      </c>
      <c r="B1766" t="s">
        <v>870</v>
      </c>
      <c r="E1766" s="11"/>
    </row>
    <row r="1767" spans="1:5">
      <c r="A1767" t="s">
        <v>875</v>
      </c>
      <c r="B1767" t="s">
        <v>876</v>
      </c>
      <c r="E1767" s="11"/>
    </row>
    <row r="1768" spans="1:5">
      <c r="A1768" t="s">
        <v>878</v>
      </c>
      <c r="B1768" t="s">
        <v>879</v>
      </c>
      <c r="E1768" s="11"/>
    </row>
    <row r="1769" spans="1:5">
      <c r="A1769" t="s">
        <v>881</v>
      </c>
      <c r="B1769" t="s">
        <v>882</v>
      </c>
      <c r="E1769" s="11"/>
    </row>
    <row r="1770" spans="1:5">
      <c r="A1770" t="s">
        <v>887</v>
      </c>
      <c r="B1770" t="s">
        <v>888</v>
      </c>
      <c r="E1770" s="11"/>
    </row>
    <row r="1771" spans="1:5">
      <c r="A1771" t="s">
        <v>889</v>
      </c>
      <c r="B1771" t="s">
        <v>890</v>
      </c>
      <c r="E1771" s="11"/>
    </row>
    <row r="1772" spans="1:5">
      <c r="A1772" t="s">
        <v>896</v>
      </c>
      <c r="B1772" t="s">
        <v>897</v>
      </c>
      <c r="E1772" s="11"/>
    </row>
    <row r="1773" spans="1:5">
      <c r="A1773" t="s">
        <v>904</v>
      </c>
      <c r="B1773" t="s">
        <v>905</v>
      </c>
      <c r="E1773" s="11"/>
    </row>
    <row r="1774" spans="1:5">
      <c r="A1774" t="s">
        <v>906</v>
      </c>
      <c r="B1774" t="s">
        <v>907</v>
      </c>
      <c r="E1774" s="11"/>
    </row>
    <row r="1775" spans="1:5">
      <c r="A1775" t="s">
        <v>912</v>
      </c>
      <c r="B1775" t="s">
        <v>913</v>
      </c>
      <c r="E1775" s="11"/>
    </row>
    <row r="1776" spans="1:5">
      <c r="A1776" t="s">
        <v>915</v>
      </c>
      <c r="B1776" t="s">
        <v>916</v>
      </c>
      <c r="E1776" s="11"/>
    </row>
    <row r="1777" spans="1:5">
      <c r="A1777" t="s">
        <v>918</v>
      </c>
      <c r="B1777" t="s">
        <v>919</v>
      </c>
      <c r="E1777" s="11"/>
    </row>
    <row r="1778" spans="1:5">
      <c r="A1778" t="s">
        <v>920</v>
      </c>
      <c r="B1778" t="s">
        <v>921</v>
      </c>
      <c r="E1778" s="11"/>
    </row>
    <row r="1779" spans="1:5">
      <c r="A1779" t="s">
        <v>923</v>
      </c>
      <c r="B1779" t="s">
        <v>924</v>
      </c>
      <c r="E1779" s="11"/>
    </row>
    <row r="1780" spans="1:5">
      <c r="A1780" t="s">
        <v>925</v>
      </c>
      <c r="B1780" t="s">
        <v>926</v>
      </c>
      <c r="E1780" s="11"/>
    </row>
    <row r="1781" spans="1:5">
      <c r="A1781" t="s">
        <v>928</v>
      </c>
      <c r="B1781" t="s">
        <v>929</v>
      </c>
      <c r="E1781" s="11"/>
    </row>
    <row r="1782" spans="1:5">
      <c r="A1782" t="s">
        <v>931</v>
      </c>
      <c r="B1782" t="s">
        <v>932</v>
      </c>
      <c r="E1782" s="11"/>
    </row>
    <row r="1783" spans="1:5">
      <c r="A1783" t="s">
        <v>933</v>
      </c>
      <c r="B1783" t="s">
        <v>934</v>
      </c>
      <c r="E1783" s="11"/>
    </row>
    <row r="1784" spans="1:5">
      <c r="A1784" t="s">
        <v>943</v>
      </c>
      <c r="B1784" t="s">
        <v>944</v>
      </c>
      <c r="E1784" s="11"/>
    </row>
    <row r="1785" spans="1:5">
      <c r="A1785" t="s">
        <v>946</v>
      </c>
      <c r="B1785" t="s">
        <v>949</v>
      </c>
      <c r="E1785" s="11"/>
    </row>
    <row r="1786" spans="1:5">
      <c r="A1786" t="s">
        <v>951</v>
      </c>
      <c r="B1786" t="s">
        <v>952</v>
      </c>
      <c r="E1786" s="11"/>
    </row>
    <row r="1787" spans="1:5">
      <c r="A1787" t="s">
        <v>953</v>
      </c>
      <c r="B1787" t="s">
        <v>954</v>
      </c>
      <c r="E1787" s="11"/>
    </row>
    <row r="1788" spans="1:5">
      <c r="A1788" t="s">
        <v>956</v>
      </c>
      <c r="B1788" t="s">
        <v>957</v>
      </c>
      <c r="E1788" s="11"/>
    </row>
    <row r="1789" spans="1:5">
      <c r="A1789" t="s">
        <v>959</v>
      </c>
      <c r="B1789" t="s">
        <v>960</v>
      </c>
      <c r="E1789" s="11"/>
    </row>
    <row r="1790" spans="1:5">
      <c r="A1790" t="s">
        <v>959</v>
      </c>
      <c r="B1790" t="s">
        <v>961</v>
      </c>
      <c r="E1790" s="11"/>
    </row>
    <row r="1791" spans="1:5">
      <c r="A1791" t="s">
        <v>965</v>
      </c>
      <c r="B1791" t="s">
        <v>966</v>
      </c>
      <c r="E1791" s="11"/>
    </row>
    <row r="1792" spans="1:5">
      <c r="A1792" t="s">
        <v>969</v>
      </c>
      <c r="B1792" t="s">
        <v>970</v>
      </c>
      <c r="E1792" s="11"/>
    </row>
    <row r="1793" spans="1:5">
      <c r="A1793" t="s">
        <v>975</v>
      </c>
      <c r="B1793" t="s">
        <v>976</v>
      </c>
      <c r="E1793" s="11"/>
    </row>
    <row r="1794" spans="1:5">
      <c r="A1794" t="s">
        <v>981</v>
      </c>
      <c r="B1794" t="s">
        <v>982</v>
      </c>
      <c r="E1794" s="11"/>
    </row>
    <row r="1795" spans="1:5">
      <c r="A1795" t="s">
        <v>988</v>
      </c>
      <c r="B1795" t="s">
        <v>989</v>
      </c>
      <c r="E1795" s="11"/>
    </row>
    <row r="1796" spans="1:5">
      <c r="A1796" t="s">
        <v>992</v>
      </c>
      <c r="B1796" t="s">
        <v>993</v>
      </c>
      <c r="E1796" s="11"/>
    </row>
    <row r="1797" spans="1:5">
      <c r="A1797" t="s">
        <v>999</v>
      </c>
      <c r="B1797" t="s">
        <v>1000</v>
      </c>
      <c r="E1797" s="11"/>
    </row>
    <row r="1798" spans="1:5">
      <c r="A1798" t="s">
        <v>1009</v>
      </c>
      <c r="B1798" t="s">
        <v>1010</v>
      </c>
      <c r="E1798" s="11"/>
    </row>
    <row r="1799" spans="1:5">
      <c r="A1799" t="s">
        <v>1011</v>
      </c>
      <c r="B1799" t="s">
        <v>1012</v>
      </c>
      <c r="E1799" s="11"/>
    </row>
    <row r="1800" spans="1:5">
      <c r="A1800" t="s">
        <v>1013</v>
      </c>
      <c r="B1800" t="s">
        <v>1014</v>
      </c>
      <c r="E1800" s="11"/>
    </row>
    <row r="1801" spans="1:5">
      <c r="A1801" t="s">
        <v>1022</v>
      </c>
      <c r="B1801" t="s">
        <v>1023</v>
      </c>
      <c r="E1801" s="11"/>
    </row>
    <row r="1802" spans="1:5">
      <c r="A1802" t="s">
        <v>1025</v>
      </c>
      <c r="B1802" t="s">
        <v>1026</v>
      </c>
      <c r="E1802" s="11"/>
    </row>
    <row r="1803" spans="1:5">
      <c r="A1803" t="s">
        <v>1032</v>
      </c>
      <c r="B1803" t="s">
        <v>1033</v>
      </c>
      <c r="E1803" s="11"/>
    </row>
    <row r="1804" spans="1:5">
      <c r="A1804" t="s">
        <v>1035</v>
      </c>
      <c r="B1804" t="s">
        <v>1036</v>
      </c>
      <c r="E1804" s="11"/>
    </row>
    <row r="1805" spans="1:5">
      <c r="A1805" t="s">
        <v>1038</v>
      </c>
      <c r="B1805" t="s">
        <v>1039</v>
      </c>
      <c r="E1805" s="11"/>
    </row>
    <row r="1806" spans="1:5">
      <c r="A1806" t="s">
        <v>1050</v>
      </c>
      <c r="B1806" t="s">
        <v>1051</v>
      </c>
      <c r="E1806" s="11"/>
    </row>
    <row r="1807" spans="1:5">
      <c r="A1807" t="s">
        <v>1062</v>
      </c>
      <c r="B1807" t="s">
        <v>1063</v>
      </c>
      <c r="E1807" s="11"/>
    </row>
    <row r="1808" spans="1:5">
      <c r="A1808" t="s">
        <v>1064</v>
      </c>
      <c r="B1808" t="s">
        <v>1065</v>
      </c>
      <c r="E1808" s="11"/>
    </row>
    <row r="1809" spans="1:5">
      <c r="A1809" t="s">
        <v>1066</v>
      </c>
      <c r="B1809" t="s">
        <v>1067</v>
      </c>
      <c r="E1809" s="11"/>
    </row>
    <row r="1810" spans="1:5">
      <c r="A1810" t="s">
        <v>1069</v>
      </c>
      <c r="B1810" t="s">
        <v>1070</v>
      </c>
      <c r="E1810" s="11"/>
    </row>
    <row r="1811" spans="1:5">
      <c r="A1811" t="s">
        <v>1072</v>
      </c>
      <c r="B1811" t="s">
        <v>1074</v>
      </c>
      <c r="E1811" s="11"/>
    </row>
    <row r="1812" spans="1:5">
      <c r="A1812" t="s">
        <v>1076</v>
      </c>
      <c r="B1812" t="s">
        <v>1077</v>
      </c>
      <c r="E1812" s="11"/>
    </row>
    <row r="1813" spans="1:5">
      <c r="A1813" t="s">
        <v>1079</v>
      </c>
      <c r="B1813" t="s">
        <v>1080</v>
      </c>
      <c r="E1813" s="11"/>
    </row>
    <row r="1814" spans="1:5">
      <c r="A1814" t="s">
        <v>1095</v>
      </c>
      <c r="B1814" t="s">
        <v>1096</v>
      </c>
      <c r="E1814" s="11"/>
    </row>
    <row r="1815" spans="1:5">
      <c r="A1815" t="s">
        <v>1099</v>
      </c>
      <c r="B1815" t="s">
        <v>1100</v>
      </c>
      <c r="E1815" s="11"/>
    </row>
    <row r="1816" spans="1:5">
      <c r="A1816" t="s">
        <v>1102</v>
      </c>
      <c r="B1816" t="s">
        <v>1103</v>
      </c>
      <c r="E1816" s="11"/>
    </row>
    <row r="1817" spans="1:5">
      <c r="A1817" t="s">
        <v>1105</v>
      </c>
      <c r="B1817" t="s">
        <v>1106</v>
      </c>
      <c r="E1817" s="11"/>
    </row>
    <row r="1818" spans="1:5">
      <c r="A1818" t="s">
        <v>1108</v>
      </c>
      <c r="B1818" t="s">
        <v>1109</v>
      </c>
      <c r="E1818" s="11"/>
    </row>
    <row r="1819" spans="1:5">
      <c r="A1819" t="s">
        <v>1110</v>
      </c>
      <c r="B1819" t="s">
        <v>1111</v>
      </c>
      <c r="E1819" s="11"/>
    </row>
    <row r="1820" spans="1:5">
      <c r="A1820" t="s">
        <v>1112</v>
      </c>
      <c r="B1820" t="s">
        <v>1113</v>
      </c>
      <c r="E1820" s="11"/>
    </row>
    <row r="1821" spans="1:5">
      <c r="A1821" t="s">
        <v>1115</v>
      </c>
      <c r="B1821" t="s">
        <v>1116</v>
      </c>
      <c r="E1821" s="11"/>
    </row>
    <row r="1822" spans="1:5">
      <c r="A1822" t="s">
        <v>1118</v>
      </c>
      <c r="B1822" t="s">
        <v>1119</v>
      </c>
      <c r="E1822" s="11"/>
    </row>
    <row r="1823" spans="1:5">
      <c r="A1823" t="s">
        <v>1121</v>
      </c>
      <c r="B1823" t="s">
        <v>1122</v>
      </c>
      <c r="E1823" s="11"/>
    </row>
    <row r="1824" spans="1:5">
      <c r="A1824" t="s">
        <v>1124</v>
      </c>
      <c r="B1824" t="s">
        <v>1125</v>
      </c>
      <c r="E1824" s="11"/>
    </row>
    <row r="1825" spans="1:5">
      <c r="A1825" t="s">
        <v>1127</v>
      </c>
      <c r="B1825" t="s">
        <v>1128</v>
      </c>
      <c r="E1825" s="11"/>
    </row>
    <row r="1826" spans="1:5">
      <c r="A1826" t="s">
        <v>1130</v>
      </c>
      <c r="B1826" t="s">
        <v>1131</v>
      </c>
      <c r="E1826" s="11"/>
    </row>
    <row r="1827" spans="1:5">
      <c r="A1827" t="s">
        <v>1132</v>
      </c>
      <c r="B1827" t="s">
        <v>1133</v>
      </c>
      <c r="E1827" s="11"/>
    </row>
    <row r="1828" spans="1:5">
      <c r="A1828" t="s">
        <v>1142</v>
      </c>
      <c r="B1828" t="s">
        <v>1143</v>
      </c>
      <c r="E1828" s="11"/>
    </row>
    <row r="1829" spans="1:5">
      <c r="A1829" t="s">
        <v>1144</v>
      </c>
      <c r="B1829" t="s">
        <v>1145</v>
      </c>
      <c r="E1829" s="11"/>
    </row>
    <row r="1830" spans="1:5">
      <c r="A1830" t="s">
        <v>1147</v>
      </c>
      <c r="B1830" t="s">
        <v>1148</v>
      </c>
      <c r="E1830" s="11"/>
    </row>
    <row r="1831" spans="1:5">
      <c r="A1831" t="s">
        <v>1149</v>
      </c>
      <c r="B1831" t="s">
        <v>1150</v>
      </c>
      <c r="E1831" s="11"/>
    </row>
    <row r="1832" spans="1:5">
      <c r="A1832" t="s">
        <v>1152</v>
      </c>
      <c r="B1832" t="s">
        <v>1153</v>
      </c>
      <c r="E1832" s="11"/>
    </row>
    <row r="1833" spans="1:5">
      <c r="A1833" t="s">
        <v>1155</v>
      </c>
      <c r="B1833" t="s">
        <v>1156</v>
      </c>
      <c r="E1833" s="11"/>
    </row>
    <row r="1834" spans="1:5">
      <c r="A1834" t="s">
        <v>1157</v>
      </c>
      <c r="B1834" t="s">
        <v>1158</v>
      </c>
      <c r="E1834" s="11"/>
    </row>
    <row r="1835" spans="1:5">
      <c r="A1835" t="s">
        <v>1160</v>
      </c>
      <c r="B1835" t="s">
        <v>1161</v>
      </c>
      <c r="E1835" s="11"/>
    </row>
    <row r="1836" spans="1:5">
      <c r="A1836" t="s">
        <v>1162</v>
      </c>
      <c r="B1836" t="s">
        <v>1163</v>
      </c>
      <c r="E1836" s="11"/>
    </row>
    <row r="1837" spans="1:5">
      <c r="A1837" t="s">
        <v>1164</v>
      </c>
      <c r="B1837" t="s">
        <v>1165</v>
      </c>
      <c r="E1837" s="11"/>
    </row>
    <row r="1838" spans="1:5">
      <c r="A1838" t="s">
        <v>1167</v>
      </c>
      <c r="B1838" t="s">
        <v>1168</v>
      </c>
      <c r="E1838" s="11"/>
    </row>
    <row r="1839" spans="1:5">
      <c r="A1839" t="s">
        <v>1173</v>
      </c>
      <c r="B1839" t="s">
        <v>1174</v>
      </c>
      <c r="E1839" s="11"/>
    </row>
    <row r="1840" spans="1:5">
      <c r="A1840" t="s">
        <v>1177</v>
      </c>
      <c r="B1840" t="s">
        <v>1178</v>
      </c>
      <c r="E1840" s="11"/>
    </row>
    <row r="1841" spans="1:6">
      <c r="A1841" t="s">
        <v>1180</v>
      </c>
      <c r="B1841" t="s">
        <v>1181</v>
      </c>
      <c r="E1841" s="11"/>
    </row>
    <row r="1842" spans="1:6">
      <c r="A1842" t="s">
        <v>1191</v>
      </c>
      <c r="B1842" t="s">
        <v>1192</v>
      </c>
      <c r="E1842" s="11"/>
    </row>
    <row r="1843" spans="1:6">
      <c r="A1843" t="s">
        <v>1193</v>
      </c>
      <c r="B1843" t="s">
        <v>1194</v>
      </c>
      <c r="E1843" s="11"/>
    </row>
    <row r="1844" spans="1:6">
      <c r="A1844" t="s">
        <v>1195</v>
      </c>
      <c r="B1844" t="s">
        <v>1196</v>
      </c>
      <c r="E1844" s="11"/>
      <c r="F1844" s="11"/>
    </row>
    <row r="1845" spans="1:6">
      <c r="A1845" t="s">
        <v>1197</v>
      </c>
      <c r="B1845" t="s">
        <v>1198</v>
      </c>
      <c r="E1845" s="11"/>
    </row>
    <row r="1846" spans="1:6">
      <c r="A1846" t="s">
        <v>1202</v>
      </c>
      <c r="B1846" t="s">
        <v>1203</v>
      </c>
      <c r="E1846" s="11"/>
    </row>
    <row r="1847" spans="1:6">
      <c r="A1847" t="s">
        <v>1208</v>
      </c>
      <c r="B1847" t="s">
        <v>1209</v>
      </c>
      <c r="E1847" s="11"/>
    </row>
    <row r="1848" spans="1:6">
      <c r="A1848" t="s">
        <v>1211</v>
      </c>
      <c r="B1848" t="s">
        <v>1212</v>
      </c>
      <c r="E1848" s="11"/>
    </row>
    <row r="1849" spans="1:6">
      <c r="A1849" t="s">
        <v>1217</v>
      </c>
      <c r="B1849" t="s">
        <v>1218</v>
      </c>
      <c r="E1849" s="11"/>
    </row>
    <row r="1850" spans="1:6">
      <c r="A1850" t="s">
        <v>1226</v>
      </c>
      <c r="B1850" t="s">
        <v>1227</v>
      </c>
      <c r="E1850" s="11"/>
    </row>
    <row r="1851" spans="1:6">
      <c r="A1851" t="s">
        <v>1228</v>
      </c>
      <c r="B1851" t="s">
        <v>1229</v>
      </c>
      <c r="E1851" s="11"/>
    </row>
    <row r="1852" spans="1:6">
      <c r="A1852" t="s">
        <v>1230</v>
      </c>
      <c r="B1852" t="s">
        <v>1231</v>
      </c>
      <c r="E1852" s="11"/>
    </row>
    <row r="1853" spans="1:6">
      <c r="A1853" t="s">
        <v>1241</v>
      </c>
      <c r="B1853" t="s">
        <v>1242</v>
      </c>
      <c r="E1853" s="11"/>
    </row>
    <row r="1854" spans="1:6">
      <c r="A1854" t="s">
        <v>1244</v>
      </c>
      <c r="B1854" t="s">
        <v>1245</v>
      </c>
      <c r="E1854" s="11"/>
    </row>
    <row r="1855" spans="1:6">
      <c r="A1855" t="s">
        <v>1248</v>
      </c>
      <c r="B1855" t="s">
        <v>1249</v>
      </c>
      <c r="E1855" s="11"/>
    </row>
    <row r="1856" spans="1:6">
      <c r="A1856" t="s">
        <v>1250</v>
      </c>
      <c r="B1856" t="s">
        <v>1251</v>
      </c>
      <c r="E1856" s="11"/>
    </row>
    <row r="1857" spans="1:5">
      <c r="A1857" t="s">
        <v>1256</v>
      </c>
      <c r="B1857" t="s">
        <v>1257</v>
      </c>
      <c r="E1857" s="11"/>
    </row>
    <row r="1858" spans="1:5">
      <c r="A1858" t="s">
        <v>1262</v>
      </c>
      <c r="B1858" t="s">
        <v>1263</v>
      </c>
      <c r="E1858" s="11"/>
    </row>
    <row r="1859" spans="1:5">
      <c r="A1859" t="s">
        <v>1264</v>
      </c>
      <c r="B1859" t="s">
        <v>1265</v>
      </c>
      <c r="E1859" s="11"/>
    </row>
    <row r="1860" spans="1:5">
      <c r="A1860" t="s">
        <v>1266</v>
      </c>
      <c r="B1860" t="s">
        <v>1267</v>
      </c>
      <c r="E1860" s="11"/>
    </row>
    <row r="1861" spans="1:5">
      <c r="A1861" t="s">
        <v>1280</v>
      </c>
      <c r="B1861" t="s">
        <v>1281</v>
      </c>
      <c r="E1861" s="11"/>
    </row>
    <row r="1862" spans="1:5">
      <c r="A1862" t="s">
        <v>1283</v>
      </c>
      <c r="B1862" t="s">
        <v>1284</v>
      </c>
      <c r="E1862" s="11"/>
    </row>
    <row r="1863" spans="1:5">
      <c r="A1863" t="s">
        <v>1285</v>
      </c>
      <c r="B1863" t="s">
        <v>1286</v>
      </c>
      <c r="E1863" s="11"/>
    </row>
    <row r="1864" spans="1:5">
      <c r="A1864" t="s">
        <v>1288</v>
      </c>
      <c r="B1864" t="s">
        <v>1289</v>
      </c>
      <c r="E1864" s="11"/>
    </row>
    <row r="1865" spans="1:5">
      <c r="A1865" t="s">
        <v>1292</v>
      </c>
      <c r="B1865" t="s">
        <v>1293</v>
      </c>
      <c r="E1865" s="11"/>
    </row>
    <row r="1866" spans="1:5">
      <c r="A1866" t="s">
        <v>1297</v>
      </c>
      <c r="B1866" t="s">
        <v>1298</v>
      </c>
      <c r="E1866" s="11"/>
    </row>
    <row r="1867" spans="1:5">
      <c r="A1867" t="s">
        <v>1299</v>
      </c>
      <c r="B1867" t="s">
        <v>1300</v>
      </c>
      <c r="E1867" s="11"/>
    </row>
    <row r="1868" spans="1:5">
      <c r="A1868" t="s">
        <v>1301</v>
      </c>
      <c r="B1868" t="s">
        <v>1302</v>
      </c>
      <c r="E1868" s="11"/>
    </row>
    <row r="1869" spans="1:5">
      <c r="A1869" t="s">
        <v>1304</v>
      </c>
      <c r="B1869" t="s">
        <v>1305</v>
      </c>
      <c r="E1869" s="11"/>
    </row>
    <row r="1870" spans="1:5">
      <c r="A1870" t="s">
        <v>1309</v>
      </c>
      <c r="B1870" t="s">
        <v>1310</v>
      </c>
      <c r="E1870" s="11"/>
    </row>
    <row r="1871" spans="1:5">
      <c r="A1871" t="s">
        <v>1316</v>
      </c>
      <c r="B1871" t="s">
        <v>1317</v>
      </c>
      <c r="E1871" s="11"/>
    </row>
    <row r="1872" spans="1:5">
      <c r="A1872" t="s">
        <v>1319</v>
      </c>
      <c r="B1872" t="s">
        <v>1320</v>
      </c>
      <c r="E1872" s="11"/>
    </row>
    <row r="1873" spans="1:6">
      <c r="A1873" t="s">
        <v>1322</v>
      </c>
      <c r="B1873" t="s">
        <v>1323</v>
      </c>
      <c r="E1873" s="11"/>
    </row>
    <row r="1874" spans="1:6">
      <c r="A1874" t="s">
        <v>1325</v>
      </c>
      <c r="B1874" t="s">
        <v>1326</v>
      </c>
      <c r="E1874" s="11"/>
    </row>
    <row r="1875" spans="1:6">
      <c r="A1875" t="s">
        <v>1328</v>
      </c>
      <c r="B1875" t="s">
        <v>1329</v>
      </c>
      <c r="E1875" s="11"/>
    </row>
    <row r="1876" spans="1:6">
      <c r="A1876" t="s">
        <v>1330</v>
      </c>
      <c r="B1876" t="s">
        <v>1331</v>
      </c>
      <c r="E1876" s="11"/>
    </row>
    <row r="1877" spans="1:6">
      <c r="A1877" t="s">
        <v>1333</v>
      </c>
      <c r="B1877" t="s">
        <v>1334</v>
      </c>
      <c r="E1877" s="11"/>
    </row>
    <row r="1878" spans="1:6">
      <c r="A1878" t="s">
        <v>1335</v>
      </c>
      <c r="B1878" t="s">
        <v>1336</v>
      </c>
      <c r="E1878" s="11"/>
    </row>
    <row r="1879" spans="1:6">
      <c r="A1879" t="s">
        <v>1337</v>
      </c>
      <c r="B1879" t="s">
        <v>1338</v>
      </c>
      <c r="E1879" s="11"/>
    </row>
    <row r="1880" spans="1:6">
      <c r="A1880" t="s">
        <v>1340</v>
      </c>
      <c r="B1880" t="s">
        <v>1341</v>
      </c>
      <c r="E1880" s="11"/>
    </row>
    <row r="1881" spans="1:6">
      <c r="A1881" t="s">
        <v>1342</v>
      </c>
      <c r="B1881" t="s">
        <v>1343</v>
      </c>
      <c r="E1881" s="11"/>
    </row>
    <row r="1882" spans="1:6">
      <c r="A1882" t="s">
        <v>1351</v>
      </c>
      <c r="B1882" t="s">
        <v>1352</v>
      </c>
      <c r="E1882" s="11"/>
      <c r="F1882" s="11"/>
    </row>
    <row r="1883" spans="1:6">
      <c r="A1883" t="s">
        <v>1361</v>
      </c>
      <c r="B1883" t="s">
        <v>1362</v>
      </c>
      <c r="E1883" s="11"/>
    </row>
    <row r="1884" spans="1:6">
      <c r="A1884" t="s">
        <v>1367</v>
      </c>
      <c r="B1884" t="s">
        <v>1368</v>
      </c>
      <c r="E1884" s="11"/>
    </row>
    <row r="1885" spans="1:6">
      <c r="A1885" t="s">
        <v>1376</v>
      </c>
      <c r="B1885" t="s">
        <v>1379</v>
      </c>
      <c r="E1885" s="11"/>
    </row>
    <row r="1886" spans="1:6">
      <c r="A1886" t="s">
        <v>1376</v>
      </c>
      <c r="B1886" t="s">
        <v>1380</v>
      </c>
      <c r="E1886" s="11"/>
    </row>
    <row r="1887" spans="1:6">
      <c r="A1887" t="s">
        <v>1376</v>
      </c>
      <c r="B1887" t="s">
        <v>1381</v>
      </c>
      <c r="E1887" s="11"/>
    </row>
    <row r="1888" spans="1:6">
      <c r="A1888" t="s">
        <v>1376</v>
      </c>
      <c r="B1888" t="s">
        <v>1383</v>
      </c>
      <c r="E1888" s="11"/>
    </row>
    <row r="1889" spans="1:5">
      <c r="A1889" t="s">
        <v>1376</v>
      </c>
      <c r="B1889" t="s">
        <v>1385</v>
      </c>
      <c r="E1889" s="11"/>
    </row>
    <row r="1890" spans="1:5">
      <c r="A1890" t="s">
        <v>1388</v>
      </c>
      <c r="B1890" t="s">
        <v>1389</v>
      </c>
      <c r="E1890" s="11"/>
    </row>
    <row r="1891" spans="1:5">
      <c r="A1891" t="s">
        <v>1392</v>
      </c>
      <c r="B1891" t="s">
        <v>1393</v>
      </c>
      <c r="E1891" s="11"/>
    </row>
    <row r="1892" spans="1:5">
      <c r="A1892" t="s">
        <v>1396</v>
      </c>
      <c r="B1892" t="s">
        <v>1397</v>
      </c>
      <c r="E1892" s="11"/>
    </row>
    <row r="1893" spans="1:5">
      <c r="A1893" t="s">
        <v>1400</v>
      </c>
      <c r="B1893" t="s">
        <v>1401</v>
      </c>
      <c r="E1893" s="11"/>
    </row>
    <row r="1894" spans="1:5">
      <c r="A1894" t="s">
        <v>1403</v>
      </c>
      <c r="B1894" t="s">
        <v>1404</v>
      </c>
      <c r="E1894" s="11"/>
    </row>
    <row r="1895" spans="1:5">
      <c r="A1895" t="s">
        <v>1412</v>
      </c>
      <c r="B1895" t="s">
        <v>1413</v>
      </c>
      <c r="E1895" s="11"/>
    </row>
    <row r="1896" spans="1:5">
      <c r="A1896" t="s">
        <v>1414</v>
      </c>
      <c r="B1896" t="s">
        <v>1415</v>
      </c>
      <c r="E1896" s="11"/>
    </row>
    <row r="1897" spans="1:5">
      <c r="A1897" t="s">
        <v>1420</v>
      </c>
      <c r="B1897" t="s">
        <v>1421</v>
      </c>
      <c r="E1897" s="11"/>
    </row>
    <row r="1898" spans="1:5">
      <c r="A1898" t="s">
        <v>1424</v>
      </c>
      <c r="B1898" t="s">
        <v>1425</v>
      </c>
      <c r="E1898" s="11"/>
    </row>
    <row r="1899" spans="1:5">
      <c r="A1899" t="s">
        <v>1428</v>
      </c>
      <c r="B1899" t="s">
        <v>1429</v>
      </c>
      <c r="E1899" s="11"/>
    </row>
    <row r="1900" spans="1:5">
      <c r="A1900" t="s">
        <v>1431</v>
      </c>
      <c r="B1900" t="s">
        <v>1432</v>
      </c>
      <c r="E1900" s="11"/>
    </row>
    <row r="1901" spans="1:5">
      <c r="A1901" t="s">
        <v>1439</v>
      </c>
      <c r="B1901" t="s">
        <v>1440</v>
      </c>
      <c r="E1901" s="11"/>
    </row>
    <row r="1902" spans="1:5">
      <c r="A1902" t="s">
        <v>1441</v>
      </c>
      <c r="B1902" t="s">
        <v>1442</v>
      </c>
      <c r="E1902" s="11"/>
    </row>
    <row r="1903" spans="1:5">
      <c r="A1903" t="s">
        <v>1444</v>
      </c>
      <c r="B1903" t="s">
        <v>1445</v>
      </c>
      <c r="E1903" s="11"/>
    </row>
    <row r="1904" spans="1:5">
      <c r="A1904" t="s">
        <v>1448</v>
      </c>
      <c r="B1904" t="s">
        <v>1449</v>
      </c>
      <c r="E1904" s="11"/>
    </row>
    <row r="1905" spans="1:5">
      <c r="A1905" t="s">
        <v>1452</v>
      </c>
      <c r="B1905" t="s">
        <v>1453</v>
      </c>
      <c r="E1905" s="11"/>
    </row>
    <row r="1906" spans="1:5">
      <c r="A1906" t="s">
        <v>1456</v>
      </c>
      <c r="B1906" t="s">
        <v>1457</v>
      </c>
      <c r="E1906" s="11"/>
    </row>
    <row r="1907" spans="1:5">
      <c r="A1907" t="s">
        <v>1460</v>
      </c>
      <c r="B1907" t="s">
        <v>1461</v>
      </c>
      <c r="E1907" s="11"/>
    </row>
    <row r="1908" spans="1:5">
      <c r="A1908" t="s">
        <v>1462</v>
      </c>
      <c r="B1908" t="s">
        <v>1463</v>
      </c>
      <c r="E1908" s="11"/>
    </row>
    <row r="1909" spans="1:5">
      <c r="A1909" t="s">
        <v>1464</v>
      </c>
      <c r="B1909" t="s">
        <v>1465</v>
      </c>
      <c r="E1909" s="11"/>
    </row>
    <row r="1910" spans="1:5">
      <c r="A1910" t="s">
        <v>1466</v>
      </c>
      <c r="B1910" t="s">
        <v>1467</v>
      </c>
      <c r="E1910" s="11"/>
    </row>
    <row r="1911" spans="1:5">
      <c r="A1911" t="s">
        <v>1469</v>
      </c>
      <c r="B1911" t="s">
        <v>1470</v>
      </c>
      <c r="E1911" s="11"/>
    </row>
    <row r="1912" spans="1:5">
      <c r="A1912" t="s">
        <v>1469</v>
      </c>
      <c r="B1912" t="s">
        <v>1471</v>
      </c>
      <c r="E1912" s="11"/>
    </row>
    <row r="1913" spans="1:5">
      <c r="A1913" t="s">
        <v>1474</v>
      </c>
      <c r="B1913" t="s">
        <v>1475</v>
      </c>
      <c r="E1913" s="11"/>
    </row>
    <row r="1914" spans="1:5">
      <c r="A1914" t="s">
        <v>1478</v>
      </c>
      <c r="B1914" t="s">
        <v>1479</v>
      </c>
      <c r="E1914" s="11"/>
    </row>
    <row r="1915" spans="1:5">
      <c r="A1915" t="s">
        <v>1482</v>
      </c>
      <c r="B1915" t="s">
        <v>1483</v>
      </c>
      <c r="E1915" s="11"/>
    </row>
    <row r="1916" spans="1:5">
      <c r="A1916" t="s">
        <v>1486</v>
      </c>
      <c r="B1916" t="s">
        <v>1487</v>
      </c>
      <c r="E1916" s="11"/>
    </row>
    <row r="1917" spans="1:5">
      <c r="A1917" t="s">
        <v>1490</v>
      </c>
      <c r="B1917" t="s">
        <v>1491</v>
      </c>
      <c r="E1917" s="11"/>
    </row>
    <row r="1918" spans="1:5">
      <c r="A1918" t="s">
        <v>1494</v>
      </c>
      <c r="B1918" t="s">
        <v>1495</v>
      </c>
      <c r="E1918" s="11"/>
    </row>
    <row r="1919" spans="1:5">
      <c r="A1919" t="s">
        <v>1498</v>
      </c>
      <c r="B1919" t="s">
        <v>1499</v>
      </c>
      <c r="E1919" s="11"/>
    </row>
    <row r="1920" spans="1:5">
      <c r="A1920" t="s">
        <v>1502</v>
      </c>
      <c r="B1920" t="s">
        <v>1503</v>
      </c>
      <c r="E1920" s="11"/>
    </row>
    <row r="1921" spans="1:5">
      <c r="A1921" t="s">
        <v>1506</v>
      </c>
      <c r="B1921" t="s">
        <v>1507</v>
      </c>
      <c r="E1921" s="11"/>
    </row>
    <row r="1922" spans="1:5">
      <c r="A1922" t="s">
        <v>1510</v>
      </c>
      <c r="B1922" t="s">
        <v>1511</v>
      </c>
      <c r="E1922" s="11"/>
    </row>
    <row r="1923" spans="1:5">
      <c r="A1923" t="s">
        <v>1514</v>
      </c>
      <c r="B1923" t="s">
        <v>1515</v>
      </c>
      <c r="E1923" s="11"/>
    </row>
    <row r="1924" spans="1:5">
      <c r="A1924" t="s">
        <v>1516</v>
      </c>
      <c r="B1924" t="s">
        <v>1517</v>
      </c>
      <c r="E1924" s="11"/>
    </row>
    <row r="1925" spans="1:5">
      <c r="A1925" t="s">
        <v>1519</v>
      </c>
      <c r="B1925" t="s">
        <v>1520</v>
      </c>
      <c r="E1925" s="11"/>
    </row>
    <row r="1926" spans="1:5">
      <c r="A1926" t="s">
        <v>1523</v>
      </c>
      <c r="B1926" t="s">
        <v>1524</v>
      </c>
      <c r="E1926" s="11"/>
    </row>
    <row r="1927" spans="1:5">
      <c r="A1927" t="s">
        <v>1527</v>
      </c>
      <c r="B1927" t="s">
        <v>1528</v>
      </c>
      <c r="E1927" s="11"/>
    </row>
    <row r="1928" spans="1:5">
      <c r="A1928" t="s">
        <v>1531</v>
      </c>
      <c r="B1928" t="s">
        <v>1532</v>
      </c>
      <c r="E1928" s="11"/>
    </row>
    <row r="1929" spans="1:5">
      <c r="A1929" t="s">
        <v>1536</v>
      </c>
      <c r="B1929" t="s">
        <v>1537</v>
      </c>
      <c r="E1929" s="11"/>
    </row>
    <row r="1930" spans="1:5">
      <c r="A1930" t="s">
        <v>1538</v>
      </c>
      <c r="B1930" t="s">
        <v>1539</v>
      </c>
      <c r="E1930" s="11"/>
    </row>
    <row r="1931" spans="1:5">
      <c r="A1931" t="s">
        <v>1542</v>
      </c>
      <c r="B1931" t="s">
        <v>1543</v>
      </c>
      <c r="E1931" s="11"/>
    </row>
    <row r="1932" spans="1:5">
      <c r="A1932" t="s">
        <v>1545</v>
      </c>
      <c r="B1932" t="s">
        <v>1546</v>
      </c>
      <c r="E1932" s="11"/>
    </row>
    <row r="1933" spans="1:5">
      <c r="A1933" t="s">
        <v>1549</v>
      </c>
      <c r="B1933" t="s">
        <v>1550</v>
      </c>
      <c r="E1933" s="11"/>
    </row>
    <row r="1934" spans="1:5">
      <c r="A1934" t="s">
        <v>1551</v>
      </c>
      <c r="B1934" t="s">
        <v>1552</v>
      </c>
      <c r="E1934" s="11"/>
    </row>
    <row r="1935" spans="1:5">
      <c r="A1935" t="s">
        <v>1554</v>
      </c>
      <c r="B1935" t="s">
        <v>1555</v>
      </c>
      <c r="E1935" s="11"/>
    </row>
    <row r="1936" spans="1:5">
      <c r="A1936" t="s">
        <v>1556</v>
      </c>
      <c r="B1936" t="s">
        <v>1557</v>
      </c>
      <c r="E1936" s="11"/>
    </row>
    <row r="1937" spans="1:5">
      <c r="A1937" t="s">
        <v>1559</v>
      </c>
      <c r="B1937" t="s">
        <v>1560</v>
      </c>
      <c r="E1937" s="11"/>
    </row>
    <row r="1938" spans="1:5">
      <c r="A1938" t="s">
        <v>1561</v>
      </c>
      <c r="B1938" t="s">
        <v>1562</v>
      </c>
      <c r="E1938" s="11"/>
    </row>
    <row r="1939" spans="1:5">
      <c r="A1939" t="s">
        <v>1564</v>
      </c>
      <c r="B1939" t="s">
        <v>1565</v>
      </c>
      <c r="E1939" s="11"/>
    </row>
    <row r="1940" spans="1:5">
      <c r="A1940" t="s">
        <v>1570</v>
      </c>
      <c r="B1940" t="s">
        <v>1571</v>
      </c>
      <c r="E1940" s="11"/>
    </row>
    <row r="1941" spans="1:5">
      <c r="A1941" t="s">
        <v>1574</v>
      </c>
      <c r="B1941" t="s">
        <v>1575</v>
      </c>
      <c r="E1941" s="11"/>
    </row>
    <row r="1942" spans="1:5">
      <c r="A1942" t="s">
        <v>1578</v>
      </c>
      <c r="B1942" t="s">
        <v>1579</v>
      </c>
      <c r="E1942" s="11"/>
    </row>
    <row r="1943" spans="1:5">
      <c r="A1943" t="s">
        <v>1582</v>
      </c>
      <c r="B1943" t="s">
        <v>1583</v>
      </c>
      <c r="E1943" s="11"/>
    </row>
    <row r="1944" spans="1:5">
      <c r="A1944" t="s">
        <v>1586</v>
      </c>
      <c r="B1944" t="s">
        <v>1587</v>
      </c>
      <c r="E1944" s="11"/>
    </row>
    <row r="1945" spans="1:5">
      <c r="A1945" t="s">
        <v>1590</v>
      </c>
      <c r="B1945" t="s">
        <v>1591</v>
      </c>
      <c r="E1945" s="11"/>
    </row>
    <row r="1946" spans="1:5">
      <c r="A1946" t="s">
        <v>1593</v>
      </c>
      <c r="B1946" t="s">
        <v>1594</v>
      </c>
      <c r="E1946" s="11"/>
    </row>
    <row r="1947" spans="1:5">
      <c r="A1947" t="s">
        <v>1595</v>
      </c>
      <c r="B1947" t="s">
        <v>1596</v>
      </c>
      <c r="E1947" s="11"/>
    </row>
    <row r="1948" spans="1:5">
      <c r="A1948" t="s">
        <v>1597</v>
      </c>
      <c r="B1948" t="s">
        <v>1598</v>
      </c>
      <c r="E1948" s="11"/>
    </row>
    <row r="1949" spans="1:5">
      <c r="A1949" t="s">
        <v>1600</v>
      </c>
      <c r="B1949" t="s">
        <v>1601</v>
      </c>
      <c r="E1949" s="11"/>
    </row>
    <row r="1950" spans="1:5">
      <c r="A1950" t="s">
        <v>1605</v>
      </c>
      <c r="B1950" t="s">
        <v>1606</v>
      </c>
      <c r="E1950" s="11"/>
    </row>
    <row r="1951" spans="1:5">
      <c r="A1951" t="s">
        <v>1610</v>
      </c>
      <c r="B1951" t="s">
        <v>1611</v>
      </c>
      <c r="E1951" s="11"/>
    </row>
    <row r="1952" spans="1:5">
      <c r="A1952" t="s">
        <v>1613</v>
      </c>
      <c r="B1952" t="s">
        <v>1614</v>
      </c>
      <c r="E1952" s="11"/>
    </row>
    <row r="1953" spans="1:5">
      <c r="A1953" t="s">
        <v>1619</v>
      </c>
      <c r="B1953" t="s">
        <v>1620</v>
      </c>
      <c r="E1953" s="11"/>
    </row>
    <row r="1954" spans="1:5">
      <c r="A1954" t="s">
        <v>1623</v>
      </c>
      <c r="B1954" t="s">
        <v>1624</v>
      </c>
      <c r="E1954" s="11"/>
    </row>
    <row r="1955" spans="1:5">
      <c r="A1955" t="s">
        <v>1636</v>
      </c>
      <c r="B1955" t="s">
        <v>1637</v>
      </c>
      <c r="E1955" s="11"/>
    </row>
    <row r="1956" spans="1:5">
      <c r="A1956" t="s">
        <v>1640</v>
      </c>
      <c r="B1956" t="s">
        <v>1641</v>
      </c>
      <c r="E1956" s="11"/>
    </row>
    <row r="1957" spans="1:5">
      <c r="A1957" t="s">
        <v>1644</v>
      </c>
      <c r="B1957" t="s">
        <v>1645</v>
      </c>
      <c r="E1957" s="11"/>
    </row>
    <row r="1958" spans="1:5">
      <c r="A1958" t="s">
        <v>1648</v>
      </c>
      <c r="B1958" t="s">
        <v>1649</v>
      </c>
      <c r="E1958" s="11"/>
    </row>
    <row r="1959" spans="1:5">
      <c r="A1959" t="s">
        <v>1655</v>
      </c>
      <c r="B1959" t="s">
        <v>1656</v>
      </c>
      <c r="E1959" s="11"/>
    </row>
    <row r="1960" spans="1:5">
      <c r="A1960" t="s">
        <v>1662</v>
      </c>
      <c r="B1960" t="s">
        <v>1663</v>
      </c>
      <c r="E1960" s="11"/>
    </row>
    <row r="1961" spans="1:5">
      <c r="A1961" t="s">
        <v>1666</v>
      </c>
      <c r="B1961" t="s">
        <v>1667</v>
      </c>
      <c r="E1961" s="11"/>
    </row>
    <row r="1962" spans="1:5">
      <c r="A1962" t="s">
        <v>1670</v>
      </c>
      <c r="B1962" t="s">
        <v>1671</v>
      </c>
      <c r="E1962" s="11"/>
    </row>
    <row r="1963" spans="1:5">
      <c r="A1963" t="s">
        <v>1678</v>
      </c>
      <c r="B1963" t="s">
        <v>1679</v>
      </c>
      <c r="E1963" s="11"/>
    </row>
    <row r="1964" spans="1:5">
      <c r="A1964" t="s">
        <v>1682</v>
      </c>
      <c r="B1964" t="s">
        <v>1683</v>
      </c>
      <c r="E1964" s="11"/>
    </row>
    <row r="1965" spans="1:5">
      <c r="A1965" t="s">
        <v>1686</v>
      </c>
      <c r="B1965" t="s">
        <v>1687</v>
      </c>
      <c r="E1965" s="11"/>
    </row>
    <row r="1966" spans="1:5">
      <c r="A1966" t="s">
        <v>1689</v>
      </c>
      <c r="B1966" t="s">
        <v>1690</v>
      </c>
      <c r="E1966" s="11"/>
    </row>
    <row r="1967" spans="1:5">
      <c r="A1967" t="s">
        <v>1692</v>
      </c>
      <c r="B1967" t="s">
        <v>1693</v>
      </c>
      <c r="E1967" s="11"/>
    </row>
    <row r="1968" spans="1:5">
      <c r="A1968" t="s">
        <v>1695</v>
      </c>
      <c r="B1968" t="s">
        <v>1696</v>
      </c>
      <c r="E1968" s="11"/>
    </row>
    <row r="1969" spans="1:5">
      <c r="A1969" t="s">
        <v>1697</v>
      </c>
      <c r="B1969" t="s">
        <v>1698</v>
      </c>
      <c r="E1969" s="11"/>
    </row>
    <row r="1970" spans="1:5">
      <c r="A1970" t="s">
        <v>1701</v>
      </c>
      <c r="B1970" t="s">
        <v>1702</v>
      </c>
      <c r="C1970" s="12"/>
      <c r="E1970" s="11"/>
    </row>
    <row r="1971" spans="1:5">
      <c r="A1971" t="s">
        <v>1705</v>
      </c>
      <c r="B1971" t="s">
        <v>1706</v>
      </c>
      <c r="C1971" s="12"/>
      <c r="E1971" s="11"/>
    </row>
    <row r="1972" spans="1:5">
      <c r="A1972" t="s">
        <v>1711</v>
      </c>
      <c r="B1972" t="s">
        <v>1712</v>
      </c>
      <c r="C1972" s="12"/>
      <c r="E1972" s="11"/>
    </row>
    <row r="1973" spans="1:5">
      <c r="A1973" t="s">
        <v>1713</v>
      </c>
      <c r="B1973" t="s">
        <v>1714</v>
      </c>
      <c r="C1973" s="12"/>
      <c r="E1973" s="11"/>
    </row>
    <row r="1974" spans="1:5">
      <c r="A1974" t="s">
        <v>1715</v>
      </c>
      <c r="B1974" t="s">
        <v>1716</v>
      </c>
      <c r="C1974" s="12"/>
      <c r="E1974" s="11"/>
    </row>
    <row r="1975" spans="1:5">
      <c r="A1975" t="s">
        <v>1726</v>
      </c>
      <c r="B1975" t="s">
        <v>1727</v>
      </c>
      <c r="C1975" s="12"/>
      <c r="E1975" s="11"/>
    </row>
    <row r="1976" spans="1:5">
      <c r="A1976" t="s">
        <v>1729</v>
      </c>
      <c r="B1976" t="s">
        <v>1730</v>
      </c>
      <c r="C1976" s="12"/>
      <c r="E1976" s="11"/>
    </row>
    <row r="1977" spans="1:5">
      <c r="A1977" t="s">
        <v>1731</v>
      </c>
      <c r="B1977" t="s">
        <v>1732</v>
      </c>
      <c r="C1977" s="12"/>
      <c r="E1977" s="11"/>
    </row>
    <row r="1978" spans="1:5">
      <c r="A1978" t="s">
        <v>1746</v>
      </c>
      <c r="B1978" t="s">
        <v>1747</v>
      </c>
      <c r="E1978" s="11"/>
    </row>
    <row r="1979" spans="1:5">
      <c r="A1979" t="s">
        <v>1748</v>
      </c>
      <c r="B1979" t="s">
        <v>1749</v>
      </c>
      <c r="E1979" s="11"/>
    </row>
    <row r="1980" spans="1:5">
      <c r="A1980" t="s">
        <v>1752</v>
      </c>
      <c r="B1980" t="s">
        <v>1753</v>
      </c>
      <c r="E1980" s="11"/>
    </row>
    <row r="1981" spans="1:5">
      <c r="A1981" t="s">
        <v>1756</v>
      </c>
      <c r="B1981" t="s">
        <v>1757</v>
      </c>
      <c r="E1981" s="11"/>
    </row>
    <row r="1982" spans="1:5">
      <c r="A1982" t="s">
        <v>1760</v>
      </c>
      <c r="B1982" t="s">
        <v>1761</v>
      </c>
      <c r="E1982" s="11"/>
    </row>
    <row r="1983" spans="1:5">
      <c r="A1983" t="s">
        <v>1763</v>
      </c>
      <c r="B1983" t="s">
        <v>1764</v>
      </c>
      <c r="E1983" s="11"/>
    </row>
    <row r="1984" spans="1:5">
      <c r="A1984" t="s">
        <v>1765</v>
      </c>
      <c r="B1984" t="s">
        <v>1766</v>
      </c>
      <c r="E1984" s="11"/>
    </row>
    <row r="1985" spans="1:5">
      <c r="A1985" t="s">
        <v>1768</v>
      </c>
      <c r="B1985" t="s">
        <v>1769</v>
      </c>
      <c r="E1985" s="11"/>
    </row>
    <row r="1986" spans="1:5">
      <c r="A1986" t="s">
        <v>1775</v>
      </c>
      <c r="B1986" t="s">
        <v>1776</v>
      </c>
      <c r="E1986" s="11"/>
    </row>
    <row r="1987" spans="1:5">
      <c r="A1987" t="s">
        <v>1777</v>
      </c>
      <c r="B1987" t="s">
        <v>1778</v>
      </c>
      <c r="E1987" s="11"/>
    </row>
    <row r="1988" spans="1:5">
      <c r="A1988" t="s">
        <v>1780</v>
      </c>
      <c r="B1988" t="s">
        <v>1781</v>
      </c>
      <c r="E1988" s="11"/>
    </row>
    <row r="1989" spans="1:5">
      <c r="A1989" t="s">
        <v>1787</v>
      </c>
      <c r="B1989" t="s">
        <v>1788</v>
      </c>
      <c r="E1989" s="11"/>
    </row>
    <row r="1990" spans="1:5">
      <c r="A1990" t="s">
        <v>1791</v>
      </c>
      <c r="B1990" t="s">
        <v>1792</v>
      </c>
      <c r="E1990" s="11"/>
    </row>
    <row r="1991" spans="1:5">
      <c r="A1991" t="s">
        <v>1795</v>
      </c>
      <c r="B1991" t="s">
        <v>1796</v>
      </c>
      <c r="E1991" s="11"/>
    </row>
    <row r="1992" spans="1:5">
      <c r="A1992" t="s">
        <v>1799</v>
      </c>
      <c r="B1992" t="s">
        <v>1800</v>
      </c>
      <c r="E1992" s="11"/>
    </row>
    <row r="1993" spans="1:5">
      <c r="A1993" t="s">
        <v>1801</v>
      </c>
      <c r="B1993" t="s">
        <v>1802</v>
      </c>
      <c r="E1993" s="11"/>
    </row>
    <row r="1994" spans="1:5">
      <c r="A1994" t="s">
        <v>1803</v>
      </c>
      <c r="B1994" t="s">
        <v>1804</v>
      </c>
      <c r="E1994" s="11"/>
    </row>
    <row r="1995" spans="1:5">
      <c r="A1995" t="s">
        <v>1805</v>
      </c>
      <c r="B1995" t="s">
        <v>1806</v>
      </c>
      <c r="E1995" s="11"/>
    </row>
    <row r="1996" spans="1:5">
      <c r="A1996" t="s">
        <v>1807</v>
      </c>
      <c r="B1996" t="s">
        <v>1808</v>
      </c>
      <c r="E1996" s="11"/>
    </row>
    <row r="1997" spans="1:5">
      <c r="A1997" t="s">
        <v>1813</v>
      </c>
      <c r="B1997" t="s">
        <v>1814</v>
      </c>
      <c r="E1997" s="11"/>
    </row>
    <row r="1998" spans="1:5">
      <c r="A1998" t="s">
        <v>1816</v>
      </c>
      <c r="B1998" t="s">
        <v>1817</v>
      </c>
      <c r="E1998" s="11"/>
    </row>
    <row r="1999" spans="1:5">
      <c r="A1999" t="s">
        <v>1819</v>
      </c>
      <c r="B1999" t="s">
        <v>1820</v>
      </c>
      <c r="E1999" s="11"/>
    </row>
    <row r="2000" spans="1:5">
      <c r="A2000" t="s">
        <v>1822</v>
      </c>
      <c r="B2000" t="s">
        <v>1823</v>
      </c>
      <c r="E2000" s="11"/>
    </row>
    <row r="2001" spans="1:6">
      <c r="A2001" t="s">
        <v>1824</v>
      </c>
      <c r="B2001" t="s">
        <v>1825</v>
      </c>
      <c r="E2001" s="11"/>
    </row>
    <row r="2002" spans="1:6">
      <c r="A2002" t="s">
        <v>1827</v>
      </c>
      <c r="B2002" t="s">
        <v>1828</v>
      </c>
      <c r="E2002" s="11"/>
    </row>
    <row r="2003" spans="1:6">
      <c r="A2003" t="s">
        <v>1832</v>
      </c>
      <c r="B2003" t="s">
        <v>1833</v>
      </c>
      <c r="E2003" s="11"/>
    </row>
    <row r="2004" spans="1:6">
      <c r="A2004" t="s">
        <v>1836</v>
      </c>
      <c r="B2004" t="s">
        <v>1837</v>
      </c>
      <c r="E2004" s="11"/>
    </row>
    <row r="2005" spans="1:6">
      <c r="A2005" t="s">
        <v>1839</v>
      </c>
      <c r="B2005" t="s">
        <v>1840</v>
      </c>
      <c r="E2005" s="11"/>
    </row>
    <row r="2006" spans="1:6">
      <c r="A2006" t="s">
        <v>1845</v>
      </c>
      <c r="B2006" t="s">
        <v>1846</v>
      </c>
      <c r="E2006" s="11"/>
      <c r="F2006" s="11"/>
    </row>
    <row r="2007" spans="1:6">
      <c r="A2007" t="s">
        <v>1849</v>
      </c>
      <c r="B2007" t="s">
        <v>1850</v>
      </c>
      <c r="E2007" s="11"/>
    </row>
    <row r="2008" spans="1:6">
      <c r="A2008" t="s">
        <v>1852</v>
      </c>
      <c r="B2008" t="s">
        <v>1853</v>
      </c>
      <c r="E2008" s="11"/>
    </row>
    <row r="2009" spans="1:6">
      <c r="A2009" t="s">
        <v>1863</v>
      </c>
      <c r="B2009" t="s">
        <v>1864</v>
      </c>
      <c r="E2009" s="11"/>
      <c r="F2009" s="11"/>
    </row>
    <row r="2010" spans="1:6">
      <c r="A2010" t="s">
        <v>1869</v>
      </c>
      <c r="B2010" t="s">
        <v>1870</v>
      </c>
      <c r="E2010" s="11"/>
    </row>
    <row r="2011" spans="1:6">
      <c r="A2011" t="s">
        <v>1871</v>
      </c>
      <c r="B2011" t="s">
        <v>1872</v>
      </c>
      <c r="E2011" s="11"/>
    </row>
    <row r="2012" spans="1:6">
      <c r="A2012" t="s">
        <v>1874</v>
      </c>
      <c r="B2012" t="s">
        <v>1875</v>
      </c>
      <c r="E2012" s="11"/>
    </row>
    <row r="2013" spans="1:6">
      <c r="A2013" t="s">
        <v>1877</v>
      </c>
      <c r="B2013" t="s">
        <v>1878</v>
      </c>
      <c r="E2013" s="11"/>
    </row>
    <row r="2014" spans="1:6">
      <c r="A2014" t="s">
        <v>1886</v>
      </c>
      <c r="B2014" t="s">
        <v>1887</v>
      </c>
      <c r="E2014" s="11"/>
    </row>
    <row r="2015" spans="1:6">
      <c r="A2015" t="s">
        <v>1892</v>
      </c>
      <c r="B2015" t="s">
        <v>1893</v>
      </c>
      <c r="E2015" s="11"/>
    </row>
    <row r="2016" spans="1:6">
      <c r="A2016" t="s">
        <v>1895</v>
      </c>
      <c r="B2016" t="s">
        <v>1896</v>
      </c>
      <c r="E2016" s="11"/>
    </row>
    <row r="2017" spans="1:5">
      <c r="A2017" t="s">
        <v>1898</v>
      </c>
      <c r="B2017" t="s">
        <v>1899</v>
      </c>
      <c r="E2017" s="11"/>
    </row>
    <row r="2018" spans="1:5">
      <c r="A2018" t="s">
        <v>1901</v>
      </c>
      <c r="B2018" t="s">
        <v>1902</v>
      </c>
      <c r="E2018" s="11"/>
    </row>
    <row r="2019" spans="1:5">
      <c r="A2019" t="s">
        <v>1910</v>
      </c>
      <c r="B2019" t="s">
        <v>1911</v>
      </c>
      <c r="E2019" s="11"/>
    </row>
    <row r="2020" spans="1:5">
      <c r="A2020" t="s">
        <v>1913</v>
      </c>
      <c r="B2020" t="s">
        <v>1914</v>
      </c>
      <c r="E2020" s="11"/>
    </row>
    <row r="2021" spans="1:5">
      <c r="A2021" t="s">
        <v>1913</v>
      </c>
      <c r="B2021" t="s">
        <v>1916</v>
      </c>
      <c r="E2021" s="11"/>
    </row>
    <row r="2022" spans="1:5">
      <c r="A2022" t="s">
        <v>1931</v>
      </c>
      <c r="B2022" t="s">
        <v>1932</v>
      </c>
      <c r="E2022" s="11"/>
    </row>
    <row r="2023" spans="1:5">
      <c r="A2023" t="s">
        <v>1933</v>
      </c>
      <c r="B2023" t="s">
        <v>1934</v>
      </c>
      <c r="E2023" s="11"/>
    </row>
    <row r="2024" spans="1:5">
      <c r="A2024" t="s">
        <v>1940</v>
      </c>
      <c r="B2024" t="s">
        <v>1941</v>
      </c>
      <c r="E2024" s="11"/>
    </row>
    <row r="2025" spans="1:5">
      <c r="A2025" t="s">
        <v>1942</v>
      </c>
      <c r="B2025" t="s">
        <v>1943</v>
      </c>
      <c r="E2025" s="11"/>
    </row>
    <row r="2026" spans="1:5">
      <c r="A2026" t="s">
        <v>1944</v>
      </c>
      <c r="B2026" t="s">
        <v>1945</v>
      </c>
      <c r="E2026" s="11"/>
    </row>
    <row r="2027" spans="1:5">
      <c r="A2027" t="s">
        <v>1946</v>
      </c>
      <c r="B2027" t="s">
        <v>1947</v>
      </c>
      <c r="E2027" s="11"/>
    </row>
    <row r="2028" spans="1:5">
      <c r="A2028" t="s">
        <v>1948</v>
      </c>
      <c r="B2028" t="s">
        <v>1949</v>
      </c>
      <c r="E2028" s="11"/>
    </row>
    <row r="2029" spans="1:5">
      <c r="A2029" t="s">
        <v>1953</v>
      </c>
      <c r="B2029" t="s">
        <v>1954</v>
      </c>
      <c r="E2029" s="11"/>
    </row>
    <row r="2030" spans="1:5">
      <c r="A2030" t="s">
        <v>1955</v>
      </c>
      <c r="B2030" t="s">
        <v>1956</v>
      </c>
      <c r="E2030" s="11"/>
    </row>
    <row r="2031" spans="1:5">
      <c r="A2031" t="s">
        <v>1957</v>
      </c>
      <c r="B2031" t="s">
        <v>1958</v>
      </c>
      <c r="E2031" s="11"/>
    </row>
    <row r="2032" spans="1:5">
      <c r="A2032" t="s">
        <v>1959</v>
      </c>
      <c r="B2032" t="s">
        <v>1960</v>
      </c>
      <c r="E2032" s="11"/>
    </row>
    <row r="2033" spans="1:6">
      <c r="A2033" t="s">
        <v>1961</v>
      </c>
      <c r="B2033" t="s">
        <v>1962</v>
      </c>
      <c r="E2033" s="11"/>
    </row>
    <row r="2034" spans="1:6">
      <c r="A2034" t="s">
        <v>1968</v>
      </c>
      <c r="B2034" t="s">
        <v>1969</v>
      </c>
      <c r="E2034" s="11"/>
    </row>
    <row r="2035" spans="1:6">
      <c r="A2035" t="s">
        <v>1971</v>
      </c>
      <c r="B2035" t="s">
        <v>1972</v>
      </c>
      <c r="E2035" s="11"/>
    </row>
    <row r="2036" spans="1:6">
      <c r="A2036" t="s">
        <v>1976</v>
      </c>
      <c r="B2036" t="s">
        <v>1977</v>
      </c>
      <c r="E2036" s="11"/>
      <c r="F2036" s="11"/>
    </row>
    <row r="2037" spans="1:6">
      <c r="A2037" t="s">
        <v>1981</v>
      </c>
      <c r="B2037" t="s">
        <v>1982</v>
      </c>
      <c r="E2037" s="11"/>
    </row>
    <row r="2038" spans="1:6">
      <c r="A2038" t="s">
        <v>1987</v>
      </c>
      <c r="B2038" t="s">
        <v>1988</v>
      </c>
      <c r="E2038" s="11"/>
    </row>
    <row r="2039" spans="1:6">
      <c r="A2039" t="s">
        <v>1992</v>
      </c>
      <c r="B2039" t="s">
        <v>1993</v>
      </c>
      <c r="E2039" s="11"/>
    </row>
    <row r="2040" spans="1:6">
      <c r="A2040" t="s">
        <v>1995</v>
      </c>
      <c r="B2040" t="s">
        <v>1996</v>
      </c>
      <c r="E2040" s="11"/>
    </row>
    <row r="2041" spans="1:6">
      <c r="A2041" t="s">
        <v>2001</v>
      </c>
      <c r="B2041" t="s">
        <v>2002</v>
      </c>
      <c r="E2041" s="11"/>
    </row>
    <row r="2042" spans="1:6">
      <c r="A2042" t="s">
        <v>2004</v>
      </c>
      <c r="B2042" t="s">
        <v>2005</v>
      </c>
      <c r="E2042" s="11"/>
    </row>
    <row r="2043" spans="1:6">
      <c r="A2043" t="s">
        <v>2007</v>
      </c>
      <c r="B2043" t="s">
        <v>2008</v>
      </c>
      <c r="E2043" s="11"/>
    </row>
    <row r="2044" spans="1:6">
      <c r="A2044" t="s">
        <v>2018</v>
      </c>
      <c r="B2044" t="s">
        <v>2019</v>
      </c>
      <c r="E2044" s="11"/>
    </row>
    <row r="2045" spans="1:6">
      <c r="A2045" t="s">
        <v>2020</v>
      </c>
      <c r="B2045" t="s">
        <v>2021</v>
      </c>
      <c r="E2045" s="11"/>
    </row>
    <row r="2046" spans="1:6">
      <c r="A2046" t="s">
        <v>2022</v>
      </c>
      <c r="B2046" t="s">
        <v>2023</v>
      </c>
      <c r="E2046" s="11"/>
    </row>
    <row r="2047" spans="1:6">
      <c r="A2047" t="s">
        <v>2031</v>
      </c>
      <c r="B2047" t="s">
        <v>2032</v>
      </c>
      <c r="E2047" s="11"/>
    </row>
    <row r="2048" spans="1:6">
      <c r="A2048" t="s">
        <v>2034</v>
      </c>
      <c r="B2048" t="s">
        <v>2035</v>
      </c>
      <c r="E2048" s="11"/>
    </row>
    <row r="2049" spans="1:5">
      <c r="A2049" t="s">
        <v>2042</v>
      </c>
      <c r="B2049" t="s">
        <v>2043</v>
      </c>
      <c r="E2049" s="11"/>
    </row>
    <row r="2050" spans="1:5">
      <c r="A2050" t="s">
        <v>2045</v>
      </c>
      <c r="B2050" t="s">
        <v>2046</v>
      </c>
      <c r="E2050" s="11"/>
    </row>
    <row r="2051" spans="1:5">
      <c r="A2051" t="s">
        <v>2047</v>
      </c>
      <c r="B2051" t="s">
        <v>2048</v>
      </c>
      <c r="E2051" s="11"/>
    </row>
    <row r="2052" spans="1:5">
      <c r="A2052" t="s">
        <v>2052</v>
      </c>
      <c r="B2052" t="s">
        <v>2053</v>
      </c>
      <c r="E2052" s="11"/>
    </row>
    <row r="2053" spans="1:5">
      <c r="A2053" t="s">
        <v>2058</v>
      </c>
      <c r="B2053" t="s">
        <v>2059</v>
      </c>
      <c r="E2053" s="11"/>
    </row>
    <row r="2054" spans="1:5">
      <c r="A2054" t="s">
        <v>2060</v>
      </c>
      <c r="B2054" t="s">
        <v>2061</v>
      </c>
      <c r="E2054" s="11"/>
    </row>
    <row r="2055" spans="1:5">
      <c r="A2055" t="s">
        <v>2067</v>
      </c>
      <c r="B2055" t="s">
        <v>2068</v>
      </c>
      <c r="E2055" s="11"/>
    </row>
    <row r="2056" spans="1:5">
      <c r="A2056" t="s">
        <v>2075</v>
      </c>
      <c r="B2056" t="s">
        <v>2076</v>
      </c>
      <c r="E2056" s="11"/>
    </row>
    <row r="2057" spans="1:5">
      <c r="A2057" t="s">
        <v>2080</v>
      </c>
      <c r="B2057" t="s">
        <v>2081</v>
      </c>
      <c r="E2057" s="11"/>
    </row>
    <row r="2058" spans="1:5">
      <c r="A2058" t="s">
        <v>2085</v>
      </c>
      <c r="B2058" t="s">
        <v>2086</v>
      </c>
      <c r="E2058" s="11"/>
    </row>
    <row r="2059" spans="1:5">
      <c r="A2059" t="s">
        <v>2087</v>
      </c>
      <c r="B2059" t="s">
        <v>2088</v>
      </c>
      <c r="E2059" s="11"/>
    </row>
    <row r="2060" spans="1:5">
      <c r="A2060" t="s">
        <v>2090</v>
      </c>
      <c r="B2060" t="s">
        <v>2091</v>
      </c>
      <c r="E2060" s="11"/>
    </row>
    <row r="2061" spans="1:5">
      <c r="A2061" t="s">
        <v>2092</v>
      </c>
      <c r="B2061" t="s">
        <v>2093</v>
      </c>
      <c r="E2061" s="11"/>
    </row>
    <row r="2062" spans="1:5">
      <c r="A2062" t="s">
        <v>2095</v>
      </c>
      <c r="B2062" t="s">
        <v>2096</v>
      </c>
      <c r="E2062" s="11"/>
    </row>
    <row r="2063" spans="1:5">
      <c r="A2063" t="s">
        <v>2097</v>
      </c>
      <c r="B2063" t="s">
        <v>2098</v>
      </c>
      <c r="E2063" s="11"/>
    </row>
    <row r="2064" spans="1:5">
      <c r="A2064" t="s">
        <v>2099</v>
      </c>
      <c r="B2064" t="s">
        <v>2100</v>
      </c>
      <c r="E2064" s="11"/>
    </row>
    <row r="2065" spans="1:6">
      <c r="A2065" t="s">
        <v>2102</v>
      </c>
      <c r="B2065" t="s">
        <v>2103</v>
      </c>
      <c r="E2065" s="11"/>
    </row>
    <row r="2066" spans="1:6">
      <c r="A2066" t="s">
        <v>2104</v>
      </c>
      <c r="B2066" t="s">
        <v>2105</v>
      </c>
      <c r="E2066" s="11"/>
    </row>
    <row r="2067" spans="1:6">
      <c r="A2067" t="s">
        <v>2106</v>
      </c>
      <c r="B2067" t="s">
        <v>2107</v>
      </c>
      <c r="E2067" s="11"/>
    </row>
    <row r="2068" spans="1:6">
      <c r="A2068" t="s">
        <v>2109</v>
      </c>
      <c r="B2068" t="s">
        <v>2110</v>
      </c>
      <c r="E2068" s="11"/>
    </row>
    <row r="2069" spans="1:6">
      <c r="A2069" t="s">
        <v>2112</v>
      </c>
      <c r="B2069" t="s">
        <v>2113</v>
      </c>
      <c r="E2069" s="11"/>
    </row>
    <row r="2070" spans="1:6">
      <c r="A2070" t="s">
        <v>2115</v>
      </c>
      <c r="B2070" t="s">
        <v>2116</v>
      </c>
      <c r="E2070" s="11"/>
    </row>
    <row r="2071" spans="1:6">
      <c r="A2071" t="s">
        <v>2117</v>
      </c>
      <c r="B2071" t="s">
        <v>2118</v>
      </c>
      <c r="E2071" s="11"/>
    </row>
    <row r="2072" spans="1:6">
      <c r="A2072" t="s">
        <v>2120</v>
      </c>
      <c r="B2072" t="s">
        <v>2121</v>
      </c>
      <c r="E2072" s="11"/>
    </row>
    <row r="2073" spans="1:6">
      <c r="A2073" t="s">
        <v>2126</v>
      </c>
      <c r="B2073" t="s">
        <v>2127</v>
      </c>
      <c r="E2073" s="11"/>
    </row>
    <row r="2074" spans="1:6">
      <c r="A2074" t="s">
        <v>2134</v>
      </c>
      <c r="B2074" t="s">
        <v>2135</v>
      </c>
      <c r="E2074" s="11"/>
    </row>
    <row r="2075" spans="1:6">
      <c r="A2075" t="s">
        <v>2137</v>
      </c>
      <c r="B2075" t="s">
        <v>2138</v>
      </c>
      <c r="E2075" s="11"/>
    </row>
    <row r="2076" spans="1:6">
      <c r="A2076" t="s">
        <v>2140</v>
      </c>
      <c r="B2076" t="s">
        <v>2141</v>
      </c>
      <c r="E2076" s="11"/>
      <c r="F2076" s="11"/>
    </row>
    <row r="2077" spans="1:6">
      <c r="A2077" t="s">
        <v>2143</v>
      </c>
      <c r="B2077" t="s">
        <v>2144</v>
      </c>
      <c r="E2077" s="11"/>
    </row>
    <row r="2078" spans="1:6">
      <c r="A2078" t="s">
        <v>2145</v>
      </c>
      <c r="B2078" t="s">
        <v>2146</v>
      </c>
      <c r="E2078" s="11"/>
    </row>
    <row r="2079" spans="1:6">
      <c r="A2079" t="s">
        <v>2153</v>
      </c>
      <c r="B2079" t="s">
        <v>2154</v>
      </c>
      <c r="E2079" s="11"/>
    </row>
    <row r="2080" spans="1:6">
      <c r="A2080" t="s">
        <v>2164</v>
      </c>
      <c r="B2080" t="s">
        <v>2165</v>
      </c>
      <c r="E2080" s="11"/>
    </row>
    <row r="2081" spans="1:5">
      <c r="A2081" t="s">
        <v>2168</v>
      </c>
      <c r="B2081" t="s">
        <v>2169</v>
      </c>
      <c r="E2081" s="11"/>
    </row>
    <row r="2082" spans="1:5">
      <c r="A2082" t="s">
        <v>2172</v>
      </c>
      <c r="B2082" t="s">
        <v>2173</v>
      </c>
      <c r="E2082" s="11"/>
    </row>
    <row r="2083" spans="1:5">
      <c r="A2083" t="s">
        <v>2175</v>
      </c>
      <c r="B2083" t="s">
        <v>2176</v>
      </c>
      <c r="E2083" s="11"/>
    </row>
    <row r="2084" spans="1:5">
      <c r="A2084" t="s">
        <v>2179</v>
      </c>
      <c r="B2084" t="s">
        <v>2180</v>
      </c>
      <c r="E2084" s="11"/>
    </row>
    <row r="2085" spans="1:5">
      <c r="A2085" t="s">
        <v>2183</v>
      </c>
      <c r="B2085" t="s">
        <v>2184</v>
      </c>
      <c r="E2085" s="11"/>
    </row>
    <row r="2086" spans="1:5">
      <c r="A2086" t="s">
        <v>2186</v>
      </c>
      <c r="B2086" t="s">
        <v>2187</v>
      </c>
      <c r="E2086" s="11"/>
    </row>
    <row r="2087" spans="1:5">
      <c r="A2087" t="s">
        <v>2189</v>
      </c>
      <c r="B2087" t="s">
        <v>2190</v>
      </c>
      <c r="E2087" s="11"/>
    </row>
    <row r="2088" spans="1:5">
      <c r="A2088" t="s">
        <v>2192</v>
      </c>
      <c r="B2088" t="s">
        <v>2193</v>
      </c>
      <c r="E2088" s="11"/>
    </row>
    <row r="2089" spans="1:5">
      <c r="A2089" t="s">
        <v>2196</v>
      </c>
      <c r="B2089" t="s">
        <v>2197</v>
      </c>
      <c r="E2089" s="11"/>
    </row>
    <row r="2090" spans="1:5">
      <c r="A2090" t="s">
        <v>2208</v>
      </c>
      <c r="B2090" t="s">
        <v>2209</v>
      </c>
      <c r="E2090" s="11"/>
    </row>
    <row r="2091" spans="1:5">
      <c r="A2091" t="s">
        <v>2212</v>
      </c>
      <c r="B2091" t="s">
        <v>2213</v>
      </c>
      <c r="E2091" s="11"/>
    </row>
    <row r="2092" spans="1:5">
      <c r="A2092" t="s">
        <v>2215</v>
      </c>
      <c r="B2092" t="s">
        <v>2216</v>
      </c>
      <c r="E2092" s="11"/>
    </row>
    <row r="2093" spans="1:5">
      <c r="A2093" t="s">
        <v>2219</v>
      </c>
      <c r="B2093" t="s">
        <v>2220</v>
      </c>
      <c r="E2093" s="11"/>
    </row>
    <row r="2094" spans="1:5">
      <c r="A2094" t="s">
        <v>2221</v>
      </c>
      <c r="B2094" t="s">
        <v>2222</v>
      </c>
      <c r="E2094" s="11"/>
    </row>
    <row r="2095" spans="1:5">
      <c r="A2095" t="s">
        <v>2224</v>
      </c>
      <c r="B2095" t="s">
        <v>2225</v>
      </c>
      <c r="E2095" s="11"/>
    </row>
    <row r="2096" spans="1:5">
      <c r="A2096" t="s">
        <v>2229</v>
      </c>
      <c r="B2096" t="s">
        <v>2230</v>
      </c>
      <c r="E2096" s="11"/>
    </row>
    <row r="2097" spans="1:5">
      <c r="A2097" t="s">
        <v>2232</v>
      </c>
      <c r="B2097" t="s">
        <v>2233</v>
      </c>
      <c r="E2097" s="11"/>
    </row>
    <row r="2098" spans="1:5">
      <c r="A2098" t="s">
        <v>2235</v>
      </c>
      <c r="B2098" t="s">
        <v>2236</v>
      </c>
      <c r="E2098" s="11"/>
    </row>
    <row r="2099" spans="1:5">
      <c r="A2099" t="s">
        <v>2243</v>
      </c>
      <c r="B2099" t="s">
        <v>2244</v>
      </c>
      <c r="E2099" s="11"/>
    </row>
    <row r="2100" spans="1:5">
      <c r="A2100" t="s">
        <v>2246</v>
      </c>
      <c r="B2100" t="s">
        <v>2247</v>
      </c>
      <c r="E2100" s="11"/>
    </row>
    <row r="2101" spans="1:5">
      <c r="A2101" t="s">
        <v>2251</v>
      </c>
      <c r="B2101" t="s">
        <v>2252</v>
      </c>
      <c r="E2101" s="11"/>
    </row>
    <row r="2102" spans="1:5">
      <c r="A2102" t="s">
        <v>2254</v>
      </c>
      <c r="B2102" t="s">
        <v>2255</v>
      </c>
      <c r="E2102" s="11"/>
    </row>
    <row r="2103" spans="1:5">
      <c r="A2103" t="s">
        <v>2260</v>
      </c>
      <c r="B2103" t="s">
        <v>2261</v>
      </c>
      <c r="E2103" s="11"/>
    </row>
    <row r="2104" spans="1:5">
      <c r="A2104" t="s">
        <v>2262</v>
      </c>
      <c r="B2104" t="s">
        <v>2263</v>
      </c>
      <c r="E2104" s="11"/>
    </row>
    <row r="2105" spans="1:5">
      <c r="A2105" t="s">
        <v>2265</v>
      </c>
      <c r="B2105" t="s">
        <v>2266</v>
      </c>
      <c r="E2105" s="11"/>
    </row>
    <row r="2106" spans="1:5">
      <c r="A2106" t="s">
        <v>2268</v>
      </c>
      <c r="B2106" t="s">
        <v>2269</v>
      </c>
      <c r="E2106" s="11"/>
    </row>
    <row r="2107" spans="1:5">
      <c r="A2107" t="s">
        <v>2272</v>
      </c>
      <c r="B2107" t="s">
        <v>2273</v>
      </c>
      <c r="E2107" s="11"/>
    </row>
    <row r="2108" spans="1:5">
      <c r="A2108" t="s">
        <v>2276</v>
      </c>
      <c r="B2108" t="s">
        <v>2277</v>
      </c>
      <c r="E2108" s="11"/>
    </row>
    <row r="2109" spans="1:5">
      <c r="A2109" t="s">
        <v>2280</v>
      </c>
      <c r="B2109" t="s">
        <v>2282</v>
      </c>
      <c r="E2109" s="11"/>
    </row>
    <row r="2110" spans="1:5">
      <c r="A2110" t="s">
        <v>2284</v>
      </c>
      <c r="B2110" t="s">
        <v>2285</v>
      </c>
      <c r="E2110" s="11"/>
    </row>
    <row r="2111" spans="1:5">
      <c r="A2111" t="s">
        <v>2289</v>
      </c>
      <c r="B2111" t="s">
        <v>2290</v>
      </c>
      <c r="E2111" s="11"/>
    </row>
    <row r="2112" spans="1:5">
      <c r="A2112" t="s">
        <v>2291</v>
      </c>
      <c r="B2112" t="s">
        <v>2292</v>
      </c>
      <c r="E2112" s="11"/>
    </row>
    <row r="2113" spans="1:5">
      <c r="A2113" t="s">
        <v>2293</v>
      </c>
      <c r="B2113" t="s">
        <v>2294</v>
      </c>
      <c r="E2113" s="11"/>
    </row>
    <row r="2114" spans="1:5">
      <c r="A2114" t="s">
        <v>2296</v>
      </c>
      <c r="B2114" t="s">
        <v>2297</v>
      </c>
      <c r="E2114" s="11"/>
    </row>
    <row r="2115" spans="1:5">
      <c r="A2115" t="s">
        <v>2298</v>
      </c>
      <c r="B2115" t="s">
        <v>2299</v>
      </c>
      <c r="E2115" s="11"/>
    </row>
    <row r="2116" spans="1:5">
      <c r="A2116" t="s">
        <v>2300</v>
      </c>
      <c r="B2116" t="s">
        <v>2301</v>
      </c>
      <c r="E2116" s="11"/>
    </row>
    <row r="2117" spans="1:5">
      <c r="A2117" t="s">
        <v>2302</v>
      </c>
      <c r="B2117" t="s">
        <v>2303</v>
      </c>
      <c r="E2117" s="11"/>
    </row>
    <row r="2118" spans="1:5">
      <c r="A2118" t="s">
        <v>2309</v>
      </c>
      <c r="B2118" t="s">
        <v>2310</v>
      </c>
      <c r="E2118" s="11"/>
    </row>
    <row r="2119" spans="1:5">
      <c r="A2119" t="s">
        <v>2313</v>
      </c>
      <c r="B2119" t="s">
        <v>2314</v>
      </c>
      <c r="E2119" s="11"/>
    </row>
    <row r="2120" spans="1:5">
      <c r="A2120" t="s">
        <v>2317</v>
      </c>
      <c r="B2120" t="s">
        <v>2318</v>
      </c>
      <c r="E2120" s="11"/>
    </row>
    <row r="2121" spans="1:5">
      <c r="A2121" t="s">
        <v>2321</v>
      </c>
      <c r="B2121" t="s">
        <v>2322</v>
      </c>
      <c r="E2121" s="11"/>
    </row>
    <row r="2122" spans="1:5">
      <c r="A2122" t="s">
        <v>2325</v>
      </c>
      <c r="B2122" t="s">
        <v>2326</v>
      </c>
      <c r="E2122" s="11"/>
    </row>
    <row r="2123" spans="1:5">
      <c r="A2123" t="s">
        <v>2328</v>
      </c>
      <c r="B2123" t="s">
        <v>2329</v>
      </c>
      <c r="E2123" s="11"/>
    </row>
    <row r="2124" spans="1:5">
      <c r="A2124" t="s">
        <v>2328</v>
      </c>
      <c r="B2124" t="s">
        <v>2332</v>
      </c>
      <c r="E2124" s="11"/>
    </row>
    <row r="2125" spans="1:5">
      <c r="A2125" t="s">
        <v>2328</v>
      </c>
      <c r="B2125" t="s">
        <v>2333</v>
      </c>
      <c r="E2125" s="11"/>
    </row>
    <row r="2126" spans="1:5">
      <c r="A2126" t="s">
        <v>2328</v>
      </c>
      <c r="B2126" t="s">
        <v>2334</v>
      </c>
      <c r="E2126" s="11"/>
    </row>
    <row r="2127" spans="1:5">
      <c r="A2127" t="s">
        <v>2337</v>
      </c>
      <c r="B2127" t="s">
        <v>2338</v>
      </c>
      <c r="E2127" s="11"/>
    </row>
    <row r="2128" spans="1:5">
      <c r="A2128" t="s">
        <v>2340</v>
      </c>
      <c r="B2128" t="s">
        <v>2341</v>
      </c>
      <c r="E2128" s="11"/>
    </row>
    <row r="2129" spans="1:5">
      <c r="A2129" t="s">
        <v>2343</v>
      </c>
      <c r="B2129" t="s">
        <v>2344</v>
      </c>
      <c r="E2129" s="11"/>
    </row>
    <row r="2130" spans="1:5">
      <c r="A2130" t="s">
        <v>2345</v>
      </c>
      <c r="B2130" t="s">
        <v>2346</v>
      </c>
      <c r="E2130" s="11"/>
    </row>
    <row r="2131" spans="1:5">
      <c r="A2131" t="s">
        <v>2347</v>
      </c>
      <c r="B2131" t="s">
        <v>2348</v>
      </c>
      <c r="E2131" s="11"/>
    </row>
    <row r="2132" spans="1:5">
      <c r="A2132" t="s">
        <v>2350</v>
      </c>
      <c r="B2132" t="s">
        <v>2352</v>
      </c>
      <c r="E2132" s="11"/>
    </row>
    <row r="2133" spans="1:5">
      <c r="A2133" t="s">
        <v>2350</v>
      </c>
      <c r="B2133" t="s">
        <v>2353</v>
      </c>
      <c r="E2133" s="11"/>
    </row>
    <row r="2134" spans="1:5">
      <c r="A2134" t="s">
        <v>2350</v>
      </c>
      <c r="B2134" t="s">
        <v>2354</v>
      </c>
      <c r="E2134" s="11"/>
    </row>
    <row r="2135" spans="1:5">
      <c r="A2135" t="s">
        <v>2359</v>
      </c>
      <c r="B2135" t="s">
        <v>2360</v>
      </c>
      <c r="E2135" s="11"/>
    </row>
    <row r="2136" spans="1:5">
      <c r="A2136" t="s">
        <v>2362</v>
      </c>
      <c r="B2136" t="s">
        <v>2363</v>
      </c>
      <c r="E2136" s="11"/>
    </row>
    <row r="2137" spans="1:5">
      <c r="A2137" t="s">
        <v>2365</v>
      </c>
      <c r="B2137" t="s">
        <v>2366</v>
      </c>
      <c r="E2137" s="11"/>
    </row>
    <row r="2138" spans="1:5">
      <c r="A2138" t="s">
        <v>2367</v>
      </c>
      <c r="B2138" t="s">
        <v>2368</v>
      </c>
      <c r="E2138" s="11"/>
    </row>
    <row r="2139" spans="1:5">
      <c r="A2139" t="s">
        <v>2371</v>
      </c>
      <c r="B2139" t="s">
        <v>2372</v>
      </c>
      <c r="E2139" s="11"/>
    </row>
    <row r="2140" spans="1:5">
      <c r="A2140" t="s">
        <v>2373</v>
      </c>
      <c r="B2140" t="s">
        <v>2374</v>
      </c>
      <c r="E2140" s="11"/>
    </row>
    <row r="2141" spans="1:5">
      <c r="A2141" t="s">
        <v>2376</v>
      </c>
      <c r="B2141" t="s">
        <v>2377</v>
      </c>
      <c r="E2141" s="11"/>
    </row>
    <row r="2142" spans="1:5">
      <c r="A2142" t="s">
        <v>2379</v>
      </c>
      <c r="B2142" t="s">
        <v>2380</v>
      </c>
      <c r="E2142" s="11"/>
    </row>
    <row r="2143" spans="1:5">
      <c r="A2143" t="s">
        <v>2382</v>
      </c>
      <c r="B2143" t="s">
        <v>2383</v>
      </c>
      <c r="E2143" s="11"/>
    </row>
    <row r="2144" spans="1:5">
      <c r="A2144" t="s">
        <v>2385</v>
      </c>
      <c r="B2144" t="s">
        <v>2386</v>
      </c>
      <c r="E2144" s="11"/>
    </row>
    <row r="2145" spans="1:5">
      <c r="A2145" t="s">
        <v>2391</v>
      </c>
      <c r="B2145" t="s">
        <v>2392</v>
      </c>
      <c r="E2145" s="11"/>
    </row>
    <row r="2146" spans="1:5">
      <c r="A2146" t="s">
        <v>2395</v>
      </c>
      <c r="B2146" t="s">
        <v>2396</v>
      </c>
      <c r="E2146" s="11"/>
    </row>
    <row r="2147" spans="1:5">
      <c r="A2147" t="s">
        <v>2406</v>
      </c>
      <c r="B2147" t="s">
        <v>2407</v>
      </c>
      <c r="E2147" s="11"/>
    </row>
    <row r="2148" spans="1:5">
      <c r="A2148" t="s">
        <v>2412</v>
      </c>
      <c r="B2148" t="s">
        <v>2413</v>
      </c>
      <c r="E2148" s="11"/>
    </row>
    <row r="2149" spans="1:5">
      <c r="A2149" t="s">
        <v>2415</v>
      </c>
      <c r="B2149" t="s">
        <v>2416</v>
      </c>
      <c r="E2149" s="11"/>
    </row>
    <row r="2150" spans="1:5">
      <c r="A2150" t="s">
        <v>2417</v>
      </c>
      <c r="B2150" t="s">
        <v>2418</v>
      </c>
      <c r="E2150" s="11"/>
    </row>
    <row r="2151" spans="1:5">
      <c r="A2151" t="s">
        <v>2420</v>
      </c>
      <c r="B2151" t="s">
        <v>2421</v>
      </c>
      <c r="E2151" s="11"/>
    </row>
    <row r="2152" spans="1:5">
      <c r="A2152" t="s">
        <v>2426</v>
      </c>
      <c r="B2152" t="s">
        <v>2427</v>
      </c>
      <c r="E2152" s="11"/>
    </row>
    <row r="2153" spans="1:5">
      <c r="A2153" t="s">
        <v>2428</v>
      </c>
      <c r="B2153" t="s">
        <v>2429</v>
      </c>
      <c r="E2153" s="11"/>
    </row>
    <row r="2154" spans="1:5">
      <c r="A2154" t="s">
        <v>2430</v>
      </c>
      <c r="B2154" t="s">
        <v>2431</v>
      </c>
      <c r="E2154" s="11"/>
    </row>
    <row r="2155" spans="1:5">
      <c r="A2155" t="s">
        <v>2430</v>
      </c>
      <c r="B2155" t="s">
        <v>2432</v>
      </c>
      <c r="E2155" s="11"/>
    </row>
    <row r="2156" spans="1:5">
      <c r="A2156" t="s">
        <v>2433</v>
      </c>
      <c r="B2156" t="s">
        <v>2434</v>
      </c>
      <c r="E2156" s="11"/>
    </row>
    <row r="2157" spans="1:5">
      <c r="A2157" t="s">
        <v>2436</v>
      </c>
      <c r="B2157" t="s">
        <v>2437</v>
      </c>
      <c r="E2157" s="11"/>
    </row>
    <row r="2158" spans="1:5">
      <c r="A2158" t="s">
        <v>2453</v>
      </c>
      <c r="B2158" t="s">
        <v>2454</v>
      </c>
      <c r="E2158" s="11"/>
    </row>
    <row r="2159" spans="1:5">
      <c r="A2159" t="s">
        <v>2455</v>
      </c>
      <c r="B2159" t="s">
        <v>2456</v>
      </c>
      <c r="E2159" s="11"/>
    </row>
    <row r="2160" spans="1:5">
      <c r="A2160" t="s">
        <v>2457</v>
      </c>
      <c r="B2160" t="s">
        <v>2458</v>
      </c>
      <c r="E2160" s="11"/>
    </row>
    <row r="2161" spans="1:5">
      <c r="A2161" t="s">
        <v>2460</v>
      </c>
      <c r="B2161" t="s">
        <v>2461</v>
      </c>
      <c r="E2161" s="11"/>
    </row>
    <row r="2162" spans="1:5">
      <c r="A2162" t="s">
        <v>2475</v>
      </c>
      <c r="B2162" t="s">
        <v>2476</v>
      </c>
      <c r="E2162" s="11"/>
    </row>
    <row r="2163" spans="1:5">
      <c r="A2163" t="s">
        <v>2480</v>
      </c>
      <c r="B2163" t="s">
        <v>2481</v>
      </c>
      <c r="E2163" s="11"/>
    </row>
    <row r="2164" spans="1:5">
      <c r="A2164" t="s">
        <v>2486</v>
      </c>
      <c r="B2164" t="s">
        <v>2487</v>
      </c>
      <c r="E2164" s="11"/>
    </row>
    <row r="2165" spans="1:5">
      <c r="A2165" t="s">
        <v>2497</v>
      </c>
      <c r="B2165" t="s">
        <v>2498</v>
      </c>
      <c r="E2165" s="11"/>
    </row>
    <row r="2166" spans="1:5">
      <c r="A2166" t="s">
        <v>2501</v>
      </c>
      <c r="B2166" t="s">
        <v>2502</v>
      </c>
      <c r="E2166" s="11"/>
    </row>
    <row r="2167" spans="1:5">
      <c r="A2167" t="s">
        <v>2504</v>
      </c>
      <c r="B2167" t="s">
        <v>2505</v>
      </c>
      <c r="E2167" s="11"/>
    </row>
    <row r="2168" spans="1:5">
      <c r="A2168" t="s">
        <v>2508</v>
      </c>
      <c r="B2168" t="s">
        <v>2509</v>
      </c>
      <c r="E2168" s="11"/>
    </row>
    <row r="2169" spans="1:5">
      <c r="A2169" t="s">
        <v>2512</v>
      </c>
      <c r="B2169" t="s">
        <v>2513</v>
      </c>
      <c r="E2169" s="11"/>
    </row>
    <row r="2170" spans="1:5">
      <c r="A2170" t="s">
        <v>2516</v>
      </c>
      <c r="B2170" t="s">
        <v>2517</v>
      </c>
      <c r="E2170" s="11"/>
    </row>
    <row r="2171" spans="1:5">
      <c r="A2171" t="s">
        <v>2520</v>
      </c>
      <c r="B2171" t="s">
        <v>2521</v>
      </c>
      <c r="E2171" s="11"/>
    </row>
    <row r="2172" spans="1:5">
      <c r="A2172" t="s">
        <v>2523</v>
      </c>
      <c r="B2172" t="s">
        <v>2524</v>
      </c>
      <c r="E2172" s="11"/>
    </row>
    <row r="2173" spans="1:5">
      <c r="A2173" t="s">
        <v>2525</v>
      </c>
      <c r="B2173" t="s">
        <v>2526</v>
      </c>
      <c r="E2173" s="11"/>
    </row>
    <row r="2174" spans="1:5">
      <c r="A2174" t="s">
        <v>2528</v>
      </c>
      <c r="B2174" t="s">
        <v>2529</v>
      </c>
      <c r="E2174" s="11"/>
    </row>
    <row r="2175" spans="1:5">
      <c r="A2175" t="s">
        <v>2532</v>
      </c>
      <c r="B2175" t="s">
        <v>2533</v>
      </c>
      <c r="E2175" s="11"/>
    </row>
    <row r="2176" spans="1:5">
      <c r="A2176" t="s">
        <v>2534</v>
      </c>
      <c r="B2176" t="s">
        <v>2535</v>
      </c>
      <c r="E2176" s="11"/>
    </row>
    <row r="2177" spans="1:5">
      <c r="A2177" t="s">
        <v>2541</v>
      </c>
      <c r="B2177" t="s">
        <v>2542</v>
      </c>
      <c r="E2177" s="11"/>
    </row>
    <row r="2178" spans="1:5">
      <c r="A2178" t="s">
        <v>2543</v>
      </c>
      <c r="B2178" t="s">
        <v>2544</v>
      </c>
      <c r="E2178" s="11"/>
    </row>
    <row r="2179" spans="1:5">
      <c r="A2179" t="s">
        <v>2547</v>
      </c>
      <c r="B2179" t="s">
        <v>2548</v>
      </c>
      <c r="E2179" s="11"/>
    </row>
    <row r="2180" spans="1:5">
      <c r="A2180" t="s">
        <v>2550</v>
      </c>
      <c r="B2180" t="s">
        <v>2551</v>
      </c>
      <c r="E2180" s="11"/>
    </row>
    <row r="2181" spans="1:5">
      <c r="A2181" t="s">
        <v>2559</v>
      </c>
      <c r="B2181" t="s">
        <v>2560</v>
      </c>
      <c r="E2181" s="11"/>
    </row>
    <row r="2182" spans="1:5">
      <c r="A2182" t="s">
        <v>2565</v>
      </c>
      <c r="B2182" t="s">
        <v>2566</v>
      </c>
      <c r="E2182" s="11"/>
    </row>
    <row r="2183" spans="1:5">
      <c r="A2183" t="s">
        <v>2567</v>
      </c>
      <c r="B2183" t="s">
        <v>2568</v>
      </c>
      <c r="E2183" s="11"/>
    </row>
    <row r="2184" spans="1:5">
      <c r="A2184" t="s">
        <v>2569</v>
      </c>
      <c r="B2184" t="s">
        <v>2570</v>
      </c>
      <c r="E2184" s="11"/>
    </row>
    <row r="2185" spans="1:5">
      <c r="A2185" t="s">
        <v>2572</v>
      </c>
      <c r="B2185" t="s">
        <v>2573</v>
      </c>
      <c r="E2185" s="11"/>
    </row>
    <row r="2186" spans="1:5">
      <c r="A2186" t="s">
        <v>2575</v>
      </c>
      <c r="B2186" t="s">
        <v>2576</v>
      </c>
      <c r="E2186" s="11"/>
    </row>
    <row r="2187" spans="1:5">
      <c r="A2187" t="s">
        <v>2586</v>
      </c>
      <c r="B2187" t="s">
        <v>2587</v>
      </c>
      <c r="E2187" s="11"/>
    </row>
    <row r="2188" spans="1:5">
      <c r="A2188" t="s">
        <v>2598</v>
      </c>
      <c r="B2188" t="s">
        <v>2599</v>
      </c>
      <c r="E2188" s="11"/>
    </row>
    <row r="2189" spans="1:5">
      <c r="A2189" t="s">
        <v>2601</v>
      </c>
      <c r="B2189" t="s">
        <v>2602</v>
      </c>
      <c r="E2189" s="11"/>
    </row>
    <row r="2190" spans="1:5">
      <c r="A2190" t="s">
        <v>2603</v>
      </c>
      <c r="B2190" t="s">
        <v>2604</v>
      </c>
      <c r="E2190" s="11"/>
    </row>
    <row r="2191" spans="1:5">
      <c r="A2191" t="s">
        <v>2603</v>
      </c>
      <c r="B2191" t="s">
        <v>2605</v>
      </c>
      <c r="E2191" s="11"/>
    </row>
    <row r="2192" spans="1:5">
      <c r="A2192" t="s">
        <v>2603</v>
      </c>
      <c r="B2192" t="s">
        <v>2606</v>
      </c>
      <c r="E2192" s="11"/>
    </row>
    <row r="2193" spans="1:5">
      <c r="A2193" t="s">
        <v>2612</v>
      </c>
      <c r="B2193" t="s">
        <v>2613</v>
      </c>
      <c r="E2193" s="11"/>
    </row>
    <row r="2194" spans="1:5">
      <c r="A2194" t="s">
        <v>2612</v>
      </c>
      <c r="B2194" t="s">
        <v>2614</v>
      </c>
      <c r="E2194" s="11"/>
    </row>
    <row r="2195" spans="1:5">
      <c r="A2195" t="s">
        <v>2616</v>
      </c>
      <c r="B2195" t="s">
        <v>2617</v>
      </c>
      <c r="E2195" s="11"/>
    </row>
    <row r="2196" spans="1:5">
      <c r="A2196" t="s">
        <v>2619</v>
      </c>
      <c r="B2196" t="s">
        <v>2620</v>
      </c>
      <c r="E2196" s="11"/>
    </row>
    <row r="2197" spans="1:5">
      <c r="A2197" t="s">
        <v>2626</v>
      </c>
      <c r="B2197" t="s">
        <v>2627</v>
      </c>
      <c r="E2197" s="11"/>
    </row>
    <row r="2198" spans="1:5">
      <c r="A2198" t="s">
        <v>2636</v>
      </c>
      <c r="B2198" t="s">
        <v>2637</v>
      </c>
      <c r="E2198" s="11"/>
    </row>
    <row r="2199" spans="1:5">
      <c r="A2199" t="s">
        <v>2657</v>
      </c>
      <c r="B2199" t="s">
        <v>2658</v>
      </c>
      <c r="E2199" s="11"/>
    </row>
    <row r="2200" spans="1:5">
      <c r="A2200" t="s">
        <v>2659</v>
      </c>
      <c r="B2200" t="s">
        <v>2660</v>
      </c>
      <c r="E2200" s="11"/>
    </row>
    <row r="2201" spans="1:5">
      <c r="A2201" t="s">
        <v>2662</v>
      </c>
      <c r="B2201" t="s">
        <v>2663</v>
      </c>
      <c r="E2201" s="11"/>
    </row>
    <row r="2202" spans="1:5">
      <c r="A2202" t="s">
        <v>2666</v>
      </c>
      <c r="B2202" t="s">
        <v>2667</v>
      </c>
      <c r="E2202" s="11"/>
    </row>
    <row r="2203" spans="1:5">
      <c r="A2203" t="s">
        <v>2668</v>
      </c>
      <c r="B2203" t="s">
        <v>2669</v>
      </c>
      <c r="E2203" s="11"/>
    </row>
    <row r="2204" spans="1:5">
      <c r="A2204" t="s">
        <v>2672</v>
      </c>
      <c r="B2204" t="s">
        <v>2673</v>
      </c>
      <c r="E2204" s="11"/>
    </row>
    <row r="2205" spans="1:5">
      <c r="A2205" t="s">
        <v>2674</v>
      </c>
      <c r="B2205" t="s">
        <v>2675</v>
      </c>
      <c r="E2205" s="11"/>
    </row>
    <row r="2206" spans="1:5">
      <c r="A2206" t="s">
        <v>2674</v>
      </c>
      <c r="B2206" t="s">
        <v>2676</v>
      </c>
      <c r="E2206" s="11"/>
    </row>
    <row r="2207" spans="1:5">
      <c r="A2207" t="s">
        <v>2680</v>
      </c>
      <c r="B2207" t="s">
        <v>2681</v>
      </c>
      <c r="E2207" s="11"/>
    </row>
    <row r="2208" spans="1:5">
      <c r="A2208" t="s">
        <v>2684</v>
      </c>
      <c r="B2208" t="s">
        <v>2685</v>
      </c>
      <c r="E2208" s="11"/>
    </row>
    <row r="2209" spans="1:5">
      <c r="A2209" t="s">
        <v>2688</v>
      </c>
      <c r="B2209" t="s">
        <v>2689</v>
      </c>
      <c r="E2209" s="11"/>
    </row>
    <row r="2210" spans="1:5">
      <c r="A2210" t="s">
        <v>2692</v>
      </c>
      <c r="B2210" t="s">
        <v>2693</v>
      </c>
      <c r="E2210" s="11"/>
    </row>
    <row r="2211" spans="1:5">
      <c r="A2211" t="s">
        <v>2696</v>
      </c>
      <c r="B2211" t="s">
        <v>2697</v>
      </c>
      <c r="E2211" s="11"/>
    </row>
    <row r="2212" spans="1:5">
      <c r="A2212" t="s">
        <v>2700</v>
      </c>
      <c r="B2212" t="s">
        <v>2701</v>
      </c>
      <c r="E2212" s="11"/>
    </row>
    <row r="2213" spans="1:5">
      <c r="A2213" t="s">
        <v>2712</v>
      </c>
      <c r="B2213" t="s">
        <v>2713</v>
      </c>
      <c r="E2213" s="11"/>
    </row>
    <row r="2214" spans="1:5">
      <c r="A2214" t="s">
        <v>2717</v>
      </c>
      <c r="B2214" t="s">
        <v>2718</v>
      </c>
      <c r="E2214" s="11"/>
    </row>
    <row r="2215" spans="1:5">
      <c r="A2215" t="s">
        <v>2719</v>
      </c>
      <c r="B2215" t="s">
        <v>2720</v>
      </c>
      <c r="E2215" s="11"/>
    </row>
    <row r="2216" spans="1:5">
      <c r="A2216" t="s">
        <v>2722</v>
      </c>
      <c r="B2216" t="s">
        <v>2723</v>
      </c>
      <c r="E2216" s="11"/>
    </row>
    <row r="2217" spans="1:5">
      <c r="A2217" t="s">
        <v>2731</v>
      </c>
      <c r="B2217" t="s">
        <v>2732</v>
      </c>
      <c r="E2217" s="11"/>
    </row>
    <row r="2218" spans="1:5">
      <c r="A2218" t="s">
        <v>2736</v>
      </c>
      <c r="B2218" t="s">
        <v>2737</v>
      </c>
      <c r="E2218" s="11"/>
    </row>
    <row r="2219" spans="1:5">
      <c r="A2219" t="s">
        <v>2738</v>
      </c>
      <c r="B2219" t="s">
        <v>2739</v>
      </c>
      <c r="E2219" s="11"/>
    </row>
    <row r="2220" spans="1:5">
      <c r="A2220" t="s">
        <v>2742</v>
      </c>
      <c r="B2220" t="s">
        <v>2743</v>
      </c>
      <c r="E2220" s="11"/>
    </row>
    <row r="2221" spans="1:5">
      <c r="A2221" t="s">
        <v>2744</v>
      </c>
      <c r="B2221" t="s">
        <v>2745</v>
      </c>
      <c r="E2221" s="11"/>
    </row>
    <row r="2222" spans="1:5">
      <c r="A2222" t="s">
        <v>2746</v>
      </c>
      <c r="B2222" t="s">
        <v>2747</v>
      </c>
      <c r="E2222" s="11"/>
    </row>
    <row r="2223" spans="1:5">
      <c r="A2223" t="s">
        <v>2748</v>
      </c>
      <c r="B2223" t="s">
        <v>2749</v>
      </c>
      <c r="E2223" s="11"/>
    </row>
    <row r="2224" spans="1:5">
      <c r="A2224" t="s">
        <v>2750</v>
      </c>
      <c r="B2224" t="s">
        <v>2751</v>
      </c>
      <c r="E2224" s="11"/>
    </row>
    <row r="2225" spans="1:5">
      <c r="A2225" t="s">
        <v>2758</v>
      </c>
      <c r="B2225" t="s">
        <v>2759</v>
      </c>
      <c r="E2225" s="11"/>
    </row>
    <row r="2226" spans="1:5">
      <c r="A2226" t="s">
        <v>2760</v>
      </c>
      <c r="B2226" t="s">
        <v>2761</v>
      </c>
      <c r="E2226" s="11"/>
    </row>
    <row r="2227" spans="1:5">
      <c r="A2227" t="s">
        <v>2763</v>
      </c>
      <c r="B2227" t="s">
        <v>2764</v>
      </c>
      <c r="E2227" s="11"/>
    </row>
    <row r="2228" spans="1:5">
      <c r="A2228" t="s">
        <v>2765</v>
      </c>
      <c r="B2228" t="s">
        <v>2766</v>
      </c>
      <c r="E2228" s="11"/>
    </row>
    <row r="2229" spans="1:5">
      <c r="A2229" t="s">
        <v>2767</v>
      </c>
      <c r="B2229" t="s">
        <v>2768</v>
      </c>
      <c r="E2229" s="11"/>
    </row>
    <row r="2230" spans="1:5">
      <c r="A2230" t="s">
        <v>2769</v>
      </c>
      <c r="B2230" t="s">
        <v>2770</v>
      </c>
      <c r="E2230" s="11"/>
    </row>
    <row r="2231" spans="1:5">
      <c r="A2231" t="s">
        <v>2771</v>
      </c>
      <c r="B2231" t="s">
        <v>2772</v>
      </c>
      <c r="E2231" s="11"/>
    </row>
    <row r="2232" spans="1:5">
      <c r="A2232" t="s">
        <v>2775</v>
      </c>
      <c r="B2232" t="s">
        <v>2776</v>
      </c>
      <c r="E2232" s="11"/>
    </row>
    <row r="2233" spans="1:5">
      <c r="A2233" t="s">
        <v>2782</v>
      </c>
      <c r="B2233" t="s">
        <v>2783</v>
      </c>
      <c r="E2233" s="11"/>
    </row>
    <row r="2234" spans="1:5">
      <c r="A2234" t="s">
        <v>2787</v>
      </c>
      <c r="B2234" t="s">
        <v>2788</v>
      </c>
      <c r="E2234" s="11"/>
    </row>
    <row r="2235" spans="1:5">
      <c r="A2235" t="s">
        <v>2790</v>
      </c>
      <c r="B2235" t="s">
        <v>2791</v>
      </c>
      <c r="E2235" s="11"/>
    </row>
    <row r="2236" spans="1:5">
      <c r="A2236" t="s">
        <v>2793</v>
      </c>
      <c r="B2236" t="s">
        <v>2794</v>
      </c>
      <c r="E2236" s="11"/>
    </row>
    <row r="2237" spans="1:5">
      <c r="A2237" t="s">
        <v>2795</v>
      </c>
      <c r="B2237" t="s">
        <v>2796</v>
      </c>
      <c r="E2237" s="11"/>
    </row>
    <row r="2238" spans="1:5">
      <c r="A2238" t="s">
        <v>2798</v>
      </c>
      <c r="B2238" t="s">
        <v>2799</v>
      </c>
      <c r="E2238" s="11"/>
    </row>
    <row r="2239" spans="1:5">
      <c r="A2239" t="s">
        <v>2801</v>
      </c>
      <c r="B2239" t="s">
        <v>2802</v>
      </c>
      <c r="E2239" s="11"/>
    </row>
    <row r="2240" spans="1:5">
      <c r="A2240" t="s">
        <v>2808</v>
      </c>
      <c r="B2240" t="s">
        <v>2809</v>
      </c>
      <c r="E2240" s="11"/>
    </row>
    <row r="2241" spans="1:5">
      <c r="A2241" t="s">
        <v>2811</v>
      </c>
      <c r="B2241" t="s">
        <v>2812</v>
      </c>
      <c r="E2241" s="11"/>
    </row>
    <row r="2242" spans="1:5">
      <c r="A2242" t="s">
        <v>2815</v>
      </c>
      <c r="B2242" t="s">
        <v>2816</v>
      </c>
      <c r="E2242" s="11"/>
    </row>
    <row r="2243" spans="1:5">
      <c r="A2243" t="s">
        <v>2815</v>
      </c>
      <c r="B2243" t="s">
        <v>2817</v>
      </c>
      <c r="E2243" s="11"/>
    </row>
    <row r="2244" spans="1:5">
      <c r="A2244" t="s">
        <v>2819</v>
      </c>
      <c r="B2244" t="s">
        <v>2820</v>
      </c>
      <c r="E2244" s="11"/>
    </row>
    <row r="2245" spans="1:5">
      <c r="A2245" t="s">
        <v>2821</v>
      </c>
      <c r="B2245" t="s">
        <v>2822</v>
      </c>
      <c r="E2245" s="11"/>
    </row>
    <row r="2246" spans="1:5">
      <c r="A2246" t="s">
        <v>2823</v>
      </c>
      <c r="B2246" t="s">
        <v>2824</v>
      </c>
      <c r="E2246" s="11"/>
    </row>
    <row r="2247" spans="1:5">
      <c r="A2247" t="s">
        <v>2826</v>
      </c>
      <c r="B2247" t="s">
        <v>2827</v>
      </c>
      <c r="E2247" s="11"/>
    </row>
    <row r="2248" spans="1:5">
      <c r="A2248" t="s">
        <v>2829</v>
      </c>
      <c r="B2248" t="s">
        <v>2830</v>
      </c>
      <c r="E2248" s="11"/>
    </row>
    <row r="2249" spans="1:5">
      <c r="A2249" t="s">
        <v>2832</v>
      </c>
      <c r="B2249" t="s">
        <v>2833</v>
      </c>
      <c r="E2249" s="11"/>
    </row>
    <row r="2250" spans="1:5">
      <c r="A2250" t="s">
        <v>2834</v>
      </c>
      <c r="B2250" t="s">
        <v>2835</v>
      </c>
      <c r="E2250" s="11"/>
    </row>
    <row r="2251" spans="1:5">
      <c r="A2251" t="s">
        <v>2838</v>
      </c>
      <c r="B2251" t="s">
        <v>2839</v>
      </c>
      <c r="E2251" s="11"/>
    </row>
    <row r="2252" spans="1:5">
      <c r="A2252" t="s">
        <v>2841</v>
      </c>
      <c r="B2252" t="s">
        <v>2842</v>
      </c>
      <c r="E2252" s="11"/>
    </row>
    <row r="2253" spans="1:5">
      <c r="A2253" t="s">
        <v>2845</v>
      </c>
      <c r="B2253" t="s">
        <v>2846</v>
      </c>
      <c r="E2253" s="11"/>
    </row>
    <row r="2254" spans="1:5">
      <c r="A2254" t="s">
        <v>2847</v>
      </c>
      <c r="B2254" t="s">
        <v>2848</v>
      </c>
      <c r="E2254" s="11"/>
    </row>
    <row r="2255" spans="1:5">
      <c r="A2255" t="s">
        <v>2853</v>
      </c>
      <c r="B2255" t="s">
        <v>2854</v>
      </c>
      <c r="E2255" s="11"/>
    </row>
    <row r="2256" spans="1:5">
      <c r="A2256" t="s">
        <v>2856</v>
      </c>
      <c r="B2256" t="s">
        <v>2857</v>
      </c>
      <c r="E2256" s="11"/>
    </row>
    <row r="2257" spans="1:5">
      <c r="A2257" t="s">
        <v>2870</v>
      </c>
      <c r="B2257" t="s">
        <v>2871</v>
      </c>
      <c r="E2257" s="11"/>
    </row>
    <row r="2258" spans="1:5">
      <c r="A2258" t="s">
        <v>2873</v>
      </c>
      <c r="B2258" t="s">
        <v>2874</v>
      </c>
      <c r="E2258" s="11"/>
    </row>
    <row r="2259" spans="1:5">
      <c r="A2259" t="s">
        <v>2876</v>
      </c>
      <c r="B2259" t="s">
        <v>2877</v>
      </c>
      <c r="E2259" s="11"/>
    </row>
    <row r="2260" spans="1:5">
      <c r="A2260" t="s">
        <v>2878</v>
      </c>
      <c r="B2260" t="s">
        <v>2879</v>
      </c>
      <c r="E2260" s="11"/>
    </row>
    <row r="2261" spans="1:5">
      <c r="A2261" t="s">
        <v>2890</v>
      </c>
      <c r="B2261" t="s">
        <v>2891</v>
      </c>
      <c r="E2261" s="11"/>
    </row>
    <row r="2262" spans="1:5">
      <c r="A2262" t="s">
        <v>2892</v>
      </c>
      <c r="B2262" t="s">
        <v>2893</v>
      </c>
      <c r="E2262" s="11"/>
    </row>
    <row r="2263" spans="1:5">
      <c r="A2263" t="s">
        <v>2894</v>
      </c>
      <c r="B2263" t="s">
        <v>2895</v>
      </c>
      <c r="E2263" s="11"/>
    </row>
    <row r="2264" spans="1:5">
      <c r="A2264" t="s">
        <v>2902</v>
      </c>
      <c r="B2264" t="s">
        <v>2903</v>
      </c>
      <c r="E2264" s="11"/>
    </row>
    <row r="2265" spans="1:5">
      <c r="A2265" t="s">
        <v>2904</v>
      </c>
      <c r="B2265" t="s">
        <v>2905</v>
      </c>
      <c r="E2265" s="11"/>
    </row>
    <row r="2266" spans="1:5">
      <c r="A2266" t="s">
        <v>2911</v>
      </c>
      <c r="B2266" t="s">
        <v>2912</v>
      </c>
      <c r="E2266" s="11"/>
    </row>
    <row r="2267" spans="1:5">
      <c r="A2267" t="s">
        <v>2913</v>
      </c>
      <c r="B2267" t="s">
        <v>2914</v>
      </c>
      <c r="E2267" s="11"/>
    </row>
    <row r="2268" spans="1:5">
      <c r="A2268" t="s">
        <v>2915</v>
      </c>
      <c r="B2268" t="s">
        <v>2916</v>
      </c>
      <c r="E2268" s="11"/>
    </row>
    <row r="2269" spans="1:5">
      <c r="A2269" t="s">
        <v>2922</v>
      </c>
      <c r="B2269" t="s">
        <v>2923</v>
      </c>
      <c r="E2269" s="11"/>
    </row>
    <row r="2270" spans="1:5">
      <c r="A2270" t="s">
        <v>2925</v>
      </c>
      <c r="B2270" t="s">
        <v>2926</v>
      </c>
      <c r="E2270" s="11"/>
    </row>
    <row r="2271" spans="1:5">
      <c r="A2271" t="s">
        <v>2927</v>
      </c>
      <c r="B2271" t="s">
        <v>2928</v>
      </c>
      <c r="E2271" s="11"/>
    </row>
    <row r="2272" spans="1:5">
      <c r="A2272" t="s">
        <v>2940</v>
      </c>
      <c r="B2272" t="s">
        <v>2941</v>
      </c>
      <c r="E2272" s="11"/>
    </row>
    <row r="2273" spans="1:5">
      <c r="A2273" t="s">
        <v>2943</v>
      </c>
      <c r="B2273" t="s">
        <v>2944</v>
      </c>
      <c r="E2273" s="11"/>
    </row>
    <row r="2274" spans="1:5">
      <c r="A2274" t="s">
        <v>2947</v>
      </c>
      <c r="B2274" t="s">
        <v>2948</v>
      </c>
      <c r="E2274" s="11"/>
    </row>
    <row r="2275" spans="1:5">
      <c r="A2275" t="s">
        <v>2950</v>
      </c>
      <c r="B2275" t="s">
        <v>2951</v>
      </c>
      <c r="E2275" s="11"/>
    </row>
    <row r="2276" spans="1:5">
      <c r="A2276" t="s">
        <v>2956</v>
      </c>
      <c r="B2276" t="s">
        <v>2957</v>
      </c>
      <c r="E2276" s="11"/>
    </row>
    <row r="2277" spans="1:5">
      <c r="A2277" t="s">
        <v>2959</v>
      </c>
      <c r="B2277" t="s">
        <v>2960</v>
      </c>
      <c r="E2277" s="11"/>
    </row>
    <row r="2278" spans="1:5">
      <c r="A2278" t="s">
        <v>2962</v>
      </c>
      <c r="B2278" t="s">
        <v>2963</v>
      </c>
      <c r="E2278" s="11"/>
    </row>
    <row r="2279" spans="1:5">
      <c r="A2279" t="s">
        <v>2969</v>
      </c>
      <c r="B2279" t="s">
        <v>2970</v>
      </c>
      <c r="E2279" s="11"/>
    </row>
    <row r="2280" spans="1:5">
      <c r="A2280" t="s">
        <v>2972</v>
      </c>
      <c r="B2280" t="s">
        <v>2973</v>
      </c>
      <c r="E2280" s="11"/>
    </row>
    <row r="2281" spans="1:5">
      <c r="A2281" t="s">
        <v>2975</v>
      </c>
      <c r="B2281" t="s">
        <v>2976</v>
      </c>
      <c r="E2281" s="11"/>
    </row>
    <row r="2282" spans="1:5">
      <c r="A2282" t="s">
        <v>2979</v>
      </c>
      <c r="B2282" t="s">
        <v>2980</v>
      </c>
      <c r="E2282" s="11"/>
    </row>
    <row r="2283" spans="1:5">
      <c r="A2283" t="s">
        <v>2981</v>
      </c>
      <c r="B2283" t="s">
        <v>2982</v>
      </c>
      <c r="E2283" s="11"/>
    </row>
    <row r="2284" spans="1:5">
      <c r="A2284" t="s">
        <v>2981</v>
      </c>
      <c r="B2284" t="s">
        <v>2983</v>
      </c>
      <c r="E2284" s="11"/>
    </row>
    <row r="2285" spans="1:5">
      <c r="A2285" t="s">
        <v>2984</v>
      </c>
      <c r="B2285" t="s">
        <v>2985</v>
      </c>
      <c r="E2285" s="11"/>
    </row>
    <row r="2286" spans="1:5">
      <c r="A2286" t="s">
        <v>2986</v>
      </c>
      <c r="B2286" t="s">
        <v>2987</v>
      </c>
      <c r="E2286" s="11"/>
    </row>
    <row r="2287" spans="1:5">
      <c r="A2287" t="s">
        <v>2989</v>
      </c>
      <c r="B2287" t="s">
        <v>2990</v>
      </c>
      <c r="E2287" s="11"/>
    </row>
    <row r="2288" spans="1:5">
      <c r="A2288" t="s">
        <v>2996</v>
      </c>
      <c r="B2288" t="s">
        <v>2997</v>
      </c>
      <c r="E2288" s="11"/>
    </row>
    <row r="2289" spans="1:5">
      <c r="A2289" t="s">
        <v>2998</v>
      </c>
      <c r="B2289" t="s">
        <v>2999</v>
      </c>
      <c r="E2289" s="11"/>
    </row>
    <row r="2290" spans="1:5">
      <c r="A2290" t="s">
        <v>3000</v>
      </c>
      <c r="B2290" t="s">
        <v>3001</v>
      </c>
      <c r="E2290" s="11"/>
    </row>
    <row r="2291" spans="1:5">
      <c r="A2291" t="s">
        <v>3002</v>
      </c>
      <c r="B2291" t="s">
        <v>3003</v>
      </c>
      <c r="E2291" s="11"/>
    </row>
    <row r="2292" spans="1:5">
      <c r="A2292" t="s">
        <v>3004</v>
      </c>
      <c r="B2292" t="s">
        <v>3005</v>
      </c>
      <c r="E2292" s="11"/>
    </row>
    <row r="2293" spans="1:5">
      <c r="A2293" t="s">
        <v>3006</v>
      </c>
      <c r="B2293" t="s">
        <v>3007</v>
      </c>
      <c r="E2293" s="11"/>
    </row>
    <row r="2294" spans="1:5">
      <c r="A2294" t="s">
        <v>3008</v>
      </c>
      <c r="B2294" t="s">
        <v>3009</v>
      </c>
      <c r="E2294" s="11"/>
    </row>
    <row r="2295" spans="1:5">
      <c r="A2295" t="s">
        <v>3011</v>
      </c>
      <c r="B2295" t="s">
        <v>3012</v>
      </c>
      <c r="E2295" s="11"/>
    </row>
    <row r="2296" spans="1:5">
      <c r="A2296" t="s">
        <v>3014</v>
      </c>
      <c r="B2296" t="s">
        <v>3015</v>
      </c>
      <c r="E2296" s="11"/>
    </row>
    <row r="2297" spans="1:5">
      <c r="A2297" t="s">
        <v>3016</v>
      </c>
      <c r="B2297" t="s">
        <v>3017</v>
      </c>
      <c r="E2297" s="11"/>
    </row>
    <row r="2298" spans="1:5">
      <c r="A2298" t="s">
        <v>3019</v>
      </c>
      <c r="B2298" t="s">
        <v>3020</v>
      </c>
      <c r="E2298" s="11"/>
    </row>
    <row r="2299" spans="1:5">
      <c r="A2299" t="s">
        <v>3022</v>
      </c>
      <c r="B2299" t="s">
        <v>3023</v>
      </c>
      <c r="E2299" s="11"/>
    </row>
    <row r="2300" spans="1:5">
      <c r="A2300" t="s">
        <v>3026</v>
      </c>
      <c r="B2300" t="s">
        <v>3027</v>
      </c>
      <c r="E2300" s="11"/>
    </row>
    <row r="2301" spans="1:5">
      <c r="A2301" t="s">
        <v>3032</v>
      </c>
      <c r="B2301" t="s">
        <v>3033</v>
      </c>
      <c r="E2301" s="11"/>
    </row>
    <row r="2302" spans="1:5">
      <c r="A2302" t="s">
        <v>3034</v>
      </c>
      <c r="B2302" t="s">
        <v>3035</v>
      </c>
      <c r="E2302" s="11"/>
    </row>
    <row r="2303" spans="1:5">
      <c r="A2303" t="s">
        <v>3036</v>
      </c>
      <c r="B2303" t="s">
        <v>3037</v>
      </c>
      <c r="E2303" s="11"/>
    </row>
    <row r="2304" spans="1:5">
      <c r="A2304" t="s">
        <v>3039</v>
      </c>
      <c r="B2304" t="s">
        <v>3040</v>
      </c>
      <c r="E2304" s="11"/>
    </row>
    <row r="2305" spans="1:5">
      <c r="A2305" t="s">
        <v>3042</v>
      </c>
      <c r="B2305" t="s">
        <v>3043</v>
      </c>
      <c r="E2305" s="11"/>
    </row>
    <row r="2306" spans="1:5">
      <c r="A2306" t="s">
        <v>3054</v>
      </c>
      <c r="B2306" t="s">
        <v>3055</v>
      </c>
      <c r="E2306" s="11"/>
    </row>
    <row r="2307" spans="1:5">
      <c r="A2307" t="s">
        <v>3056</v>
      </c>
      <c r="B2307" t="s">
        <v>3057</v>
      </c>
      <c r="E2307" s="11"/>
    </row>
    <row r="2308" spans="1:5">
      <c r="A2308" t="s">
        <v>3059</v>
      </c>
      <c r="B2308" t="s">
        <v>3060</v>
      </c>
      <c r="E2308" s="11"/>
    </row>
    <row r="2309" spans="1:5">
      <c r="A2309" t="s">
        <v>3064</v>
      </c>
      <c r="B2309" t="s">
        <v>3065</v>
      </c>
      <c r="E2309" s="11"/>
    </row>
    <row r="2310" spans="1:5">
      <c r="A2310" t="s">
        <v>3066</v>
      </c>
      <c r="B2310" t="s">
        <v>3067</v>
      </c>
      <c r="E2310" s="11"/>
    </row>
    <row r="2311" spans="1:5">
      <c r="A2311" t="s">
        <v>3068</v>
      </c>
      <c r="B2311" t="s">
        <v>3069</v>
      </c>
      <c r="E2311" s="11"/>
    </row>
    <row r="2312" spans="1:5">
      <c r="A2312" t="s">
        <v>3071</v>
      </c>
      <c r="B2312" t="s">
        <v>3072</v>
      </c>
      <c r="E2312" s="11"/>
    </row>
    <row r="2313" spans="1:5">
      <c r="A2313" t="s">
        <v>3073</v>
      </c>
      <c r="B2313" t="s">
        <v>3074</v>
      </c>
      <c r="E2313" s="11"/>
    </row>
    <row r="2314" spans="1:5">
      <c r="A2314" t="s">
        <v>3075</v>
      </c>
      <c r="B2314" t="s">
        <v>3076</v>
      </c>
      <c r="E2314" s="11"/>
    </row>
    <row r="2315" spans="1:5">
      <c r="A2315" t="s">
        <v>3078</v>
      </c>
      <c r="B2315" t="s">
        <v>3079</v>
      </c>
      <c r="E2315" s="11"/>
    </row>
    <row r="2316" spans="1:5">
      <c r="A2316" t="s">
        <v>3080</v>
      </c>
      <c r="B2316" t="s">
        <v>3081</v>
      </c>
      <c r="E2316" s="11"/>
    </row>
    <row r="2317" spans="1:5">
      <c r="A2317" t="s">
        <v>3083</v>
      </c>
      <c r="B2317" t="s">
        <v>3084</v>
      </c>
      <c r="E2317" s="11"/>
    </row>
    <row r="2318" spans="1:5">
      <c r="A2318" t="s">
        <v>3089</v>
      </c>
      <c r="B2318" t="s">
        <v>3090</v>
      </c>
      <c r="E2318" s="11"/>
    </row>
    <row r="2319" spans="1:5">
      <c r="A2319" t="s">
        <v>3091</v>
      </c>
      <c r="B2319" t="s">
        <v>3092</v>
      </c>
      <c r="E2319" s="11"/>
    </row>
    <row r="2320" spans="1:5">
      <c r="A2320" t="s">
        <v>3097</v>
      </c>
      <c r="B2320" t="s">
        <v>3098</v>
      </c>
      <c r="E2320" s="11"/>
    </row>
    <row r="2321" spans="1:5">
      <c r="A2321" t="s">
        <v>3100</v>
      </c>
      <c r="B2321" t="s">
        <v>3101</v>
      </c>
      <c r="E2321" s="11"/>
    </row>
    <row r="2322" spans="1:5">
      <c r="A2322" t="s">
        <v>3106</v>
      </c>
      <c r="B2322" t="s">
        <v>3107</v>
      </c>
      <c r="E2322" s="11"/>
    </row>
    <row r="2323" spans="1:5">
      <c r="A2323" t="s">
        <v>3110</v>
      </c>
      <c r="B2323" t="s">
        <v>3111</v>
      </c>
      <c r="E2323" s="11"/>
    </row>
    <row r="2324" spans="1:5">
      <c r="A2324" t="s">
        <v>3112</v>
      </c>
      <c r="B2324" t="s">
        <v>3113</v>
      </c>
      <c r="E2324" s="11"/>
    </row>
    <row r="2325" spans="1:5">
      <c r="A2325" t="s">
        <v>3119</v>
      </c>
      <c r="B2325" t="s">
        <v>3120</v>
      </c>
      <c r="E2325" s="11"/>
    </row>
    <row r="2326" spans="1:5">
      <c r="A2326" t="s">
        <v>3122</v>
      </c>
      <c r="B2326" t="s">
        <v>3123</v>
      </c>
      <c r="E2326" s="11"/>
    </row>
    <row r="2327" spans="1:5">
      <c r="A2327" t="s">
        <v>3125</v>
      </c>
      <c r="B2327" t="s">
        <v>3126</v>
      </c>
      <c r="E2327" s="11"/>
    </row>
    <row r="2328" spans="1:5">
      <c r="A2328" t="s">
        <v>3129</v>
      </c>
      <c r="B2328" t="s">
        <v>3130</v>
      </c>
      <c r="E2328" s="11"/>
    </row>
    <row r="2329" spans="1:5">
      <c r="A2329" t="s">
        <v>3132</v>
      </c>
      <c r="B2329" t="s">
        <v>3133</v>
      </c>
      <c r="E2329" s="11"/>
    </row>
    <row r="2330" spans="1:5">
      <c r="A2330" t="s">
        <v>3138</v>
      </c>
      <c r="B2330" t="s">
        <v>3139</v>
      </c>
      <c r="E2330" s="11"/>
    </row>
    <row r="2331" spans="1:5">
      <c r="A2331" t="s">
        <v>3142</v>
      </c>
      <c r="B2331" t="s">
        <v>3143</v>
      </c>
      <c r="E2331" s="11"/>
    </row>
    <row r="2332" spans="1:5">
      <c r="A2332" t="s">
        <v>3148</v>
      </c>
      <c r="B2332" t="s">
        <v>3149</v>
      </c>
      <c r="E2332" s="11"/>
    </row>
    <row r="2333" spans="1:5">
      <c r="A2333" t="s">
        <v>3158</v>
      </c>
      <c r="B2333" t="s">
        <v>3159</v>
      </c>
      <c r="E2333" s="11"/>
    </row>
    <row r="2334" spans="1:5">
      <c r="A2334" t="s">
        <v>3161</v>
      </c>
      <c r="B2334" t="s">
        <v>3162</v>
      </c>
      <c r="E2334" s="11"/>
    </row>
    <row r="2335" spans="1:5">
      <c r="A2335" t="s">
        <v>3177</v>
      </c>
      <c r="B2335" t="s">
        <v>3178</v>
      </c>
      <c r="E2335" s="11"/>
    </row>
    <row r="2336" spans="1:5">
      <c r="A2336" t="s">
        <v>3180</v>
      </c>
      <c r="B2336" t="s">
        <v>3181</v>
      </c>
      <c r="E2336" s="11"/>
    </row>
    <row r="2337" spans="1:5">
      <c r="A2337" t="s">
        <v>3183</v>
      </c>
      <c r="B2337" t="s">
        <v>3184</v>
      </c>
      <c r="E2337" s="11"/>
    </row>
    <row r="2338" spans="1:5">
      <c r="A2338" t="s">
        <v>3186</v>
      </c>
      <c r="B2338" t="s">
        <v>3187</v>
      </c>
      <c r="E2338" s="11"/>
    </row>
    <row r="2339" spans="1:5">
      <c r="A2339" t="s">
        <v>3200</v>
      </c>
      <c r="B2339" t="s">
        <v>3201</v>
      </c>
      <c r="E2339" s="11"/>
    </row>
    <row r="2340" spans="1:5">
      <c r="A2340" t="s">
        <v>3202</v>
      </c>
      <c r="B2340" t="s">
        <v>3203</v>
      </c>
      <c r="E2340" s="11"/>
    </row>
    <row r="2341" spans="1:5">
      <c r="A2341" t="s">
        <v>3206</v>
      </c>
      <c r="B2341" t="s">
        <v>3207</v>
      </c>
      <c r="E2341" s="11"/>
    </row>
    <row r="2342" spans="1:5">
      <c r="A2342" t="s">
        <v>3209</v>
      </c>
      <c r="B2342" t="s">
        <v>3210</v>
      </c>
      <c r="E2342" s="11"/>
    </row>
    <row r="2343" spans="1:5">
      <c r="A2343" t="s">
        <v>3212</v>
      </c>
      <c r="B2343" t="s">
        <v>3213</v>
      </c>
      <c r="E2343" s="11"/>
    </row>
    <row r="2344" spans="1:5">
      <c r="A2344" t="s">
        <v>3215</v>
      </c>
      <c r="B2344" t="s">
        <v>3216</v>
      </c>
      <c r="E2344" s="11"/>
    </row>
    <row r="2345" spans="1:5">
      <c r="A2345" t="s">
        <v>3218</v>
      </c>
      <c r="B2345" t="s">
        <v>3219</v>
      </c>
      <c r="E2345" s="11"/>
    </row>
    <row r="2346" spans="1:5">
      <c r="A2346" t="s">
        <v>3220</v>
      </c>
      <c r="B2346" t="s">
        <v>3221</v>
      </c>
      <c r="E2346" s="11"/>
    </row>
    <row r="2347" spans="1:5">
      <c r="A2347" t="s">
        <v>3223</v>
      </c>
      <c r="B2347" t="s">
        <v>3224</v>
      </c>
      <c r="E2347" s="11"/>
    </row>
    <row r="2348" spans="1:5">
      <c r="A2348" t="s">
        <v>3230</v>
      </c>
      <c r="B2348" t="s">
        <v>3231</v>
      </c>
      <c r="E2348" s="11"/>
    </row>
    <row r="2349" spans="1:5">
      <c r="A2349" t="s">
        <v>3233</v>
      </c>
      <c r="B2349" t="s">
        <v>3234</v>
      </c>
      <c r="E2349" s="11"/>
    </row>
    <row r="2350" spans="1:5">
      <c r="A2350" t="s">
        <v>3239</v>
      </c>
      <c r="B2350" t="s">
        <v>3240</v>
      </c>
      <c r="E2350" s="11"/>
    </row>
    <row r="2351" spans="1:5">
      <c r="A2351" t="s">
        <v>3241</v>
      </c>
      <c r="B2351" t="s">
        <v>3242</v>
      </c>
      <c r="E2351" s="11"/>
    </row>
    <row r="2352" spans="1:5">
      <c r="A2352" t="s">
        <v>3243</v>
      </c>
      <c r="B2352" t="s">
        <v>3244</v>
      </c>
      <c r="E2352" s="11"/>
    </row>
    <row r="2353" spans="1:5">
      <c r="A2353" t="s">
        <v>3245</v>
      </c>
      <c r="B2353" t="s">
        <v>3246</v>
      </c>
      <c r="E2353" s="11"/>
    </row>
    <row r="2354" spans="1:5">
      <c r="A2354" t="s">
        <v>3248</v>
      </c>
      <c r="B2354" t="s">
        <v>3249</v>
      </c>
      <c r="E2354" s="11"/>
    </row>
    <row r="2355" spans="1:5">
      <c r="A2355" t="s">
        <v>3254</v>
      </c>
      <c r="B2355" t="s">
        <v>3255</v>
      </c>
      <c r="E2355" s="11"/>
    </row>
    <row r="2356" spans="1:5">
      <c r="A2356" t="s">
        <v>3257</v>
      </c>
      <c r="B2356" t="s">
        <v>3258</v>
      </c>
      <c r="E2356" s="11"/>
    </row>
    <row r="2357" spans="1:5">
      <c r="A2357" t="s">
        <v>3259</v>
      </c>
      <c r="B2357" t="s">
        <v>3260</v>
      </c>
      <c r="E2357" s="11"/>
    </row>
    <row r="2358" spans="1:5">
      <c r="A2358" t="s">
        <v>3264</v>
      </c>
      <c r="B2358" t="s">
        <v>3265</v>
      </c>
      <c r="E2358" s="11"/>
    </row>
    <row r="2359" spans="1:5">
      <c r="A2359" t="s">
        <v>3267</v>
      </c>
      <c r="B2359" t="s">
        <v>3268</v>
      </c>
      <c r="E2359" s="11"/>
    </row>
    <row r="2360" spans="1:5">
      <c r="A2360" t="s">
        <v>3271</v>
      </c>
      <c r="B2360" t="s">
        <v>3272</v>
      </c>
      <c r="E2360" s="11"/>
    </row>
    <row r="2361" spans="1:5">
      <c r="A2361" t="s">
        <v>3281</v>
      </c>
      <c r="B2361" t="s">
        <v>3282</v>
      </c>
      <c r="E2361" s="11"/>
    </row>
    <row r="2362" spans="1:5">
      <c r="A2362" t="s">
        <v>3284</v>
      </c>
      <c r="B2362" t="s">
        <v>3285</v>
      </c>
      <c r="E2362" s="11"/>
    </row>
    <row r="2363" spans="1:5">
      <c r="A2363" t="s">
        <v>3289</v>
      </c>
      <c r="B2363" t="s">
        <v>3290</v>
      </c>
      <c r="E2363" s="11"/>
    </row>
    <row r="2364" spans="1:5">
      <c r="A2364" t="s">
        <v>3291</v>
      </c>
      <c r="B2364" t="s">
        <v>3292</v>
      </c>
      <c r="E2364" s="11"/>
    </row>
    <row r="2365" spans="1:5">
      <c r="A2365" t="s">
        <v>3293</v>
      </c>
      <c r="B2365" t="s">
        <v>3294</v>
      </c>
      <c r="E2365" s="11"/>
    </row>
    <row r="2366" spans="1:5">
      <c r="A2366" t="s">
        <v>3295</v>
      </c>
      <c r="B2366" t="s">
        <v>3296</v>
      </c>
      <c r="E2366" s="11"/>
    </row>
    <row r="2367" spans="1:5">
      <c r="A2367" t="s">
        <v>3304</v>
      </c>
      <c r="B2367" t="s">
        <v>3305</v>
      </c>
      <c r="E2367" s="11"/>
    </row>
    <row r="2368" spans="1:5">
      <c r="A2368" t="s">
        <v>3306</v>
      </c>
      <c r="B2368" t="s">
        <v>3307</v>
      </c>
      <c r="E2368" s="11"/>
    </row>
    <row r="2369" spans="1:5">
      <c r="A2369" t="s">
        <v>3309</v>
      </c>
      <c r="B2369" t="s">
        <v>3310</v>
      </c>
      <c r="E2369" s="11"/>
    </row>
    <row r="2370" spans="1:5">
      <c r="A2370" t="s">
        <v>3313</v>
      </c>
      <c r="B2370" t="s">
        <v>3314</v>
      </c>
      <c r="E2370" s="11"/>
    </row>
    <row r="2371" spans="1:5">
      <c r="A2371" t="s">
        <v>3318</v>
      </c>
      <c r="B2371" t="s">
        <v>3319</v>
      </c>
      <c r="E2371" s="11"/>
    </row>
    <row r="2372" spans="1:5">
      <c r="A2372" t="s">
        <v>3323</v>
      </c>
      <c r="B2372" t="s">
        <v>3324</v>
      </c>
      <c r="E2372" s="11"/>
    </row>
    <row r="2373" spans="1:5">
      <c r="A2373" t="s">
        <v>3323</v>
      </c>
      <c r="B2373" t="s">
        <v>3325</v>
      </c>
      <c r="E2373" s="11"/>
    </row>
    <row r="2374" spans="1:5">
      <c r="A2374" t="s">
        <v>3327</v>
      </c>
      <c r="B2374" t="s">
        <v>3328</v>
      </c>
      <c r="E2374" s="11"/>
    </row>
    <row r="2375" spans="1:5">
      <c r="A2375" t="s">
        <v>3331</v>
      </c>
      <c r="B2375" t="s">
        <v>3332</v>
      </c>
      <c r="E2375" s="11"/>
    </row>
    <row r="2376" spans="1:5">
      <c r="A2376" t="s">
        <v>3333</v>
      </c>
      <c r="B2376" t="s">
        <v>3334</v>
      </c>
      <c r="E2376" s="11"/>
    </row>
    <row r="2377" spans="1:5">
      <c r="A2377" t="s">
        <v>3335</v>
      </c>
      <c r="B2377" t="s">
        <v>3336</v>
      </c>
      <c r="E2377" s="11"/>
    </row>
    <row r="2378" spans="1:5">
      <c r="A2378" t="s">
        <v>3338</v>
      </c>
      <c r="B2378" t="s">
        <v>3339</v>
      </c>
      <c r="E2378" s="11"/>
    </row>
    <row r="2379" spans="1:5">
      <c r="A2379" t="s">
        <v>3341</v>
      </c>
      <c r="B2379" t="s">
        <v>3342</v>
      </c>
      <c r="E2379" s="11"/>
    </row>
    <row r="2380" spans="1:5">
      <c r="A2380" t="s">
        <v>3343</v>
      </c>
      <c r="B2380" t="s">
        <v>3344</v>
      </c>
      <c r="E2380" s="11"/>
    </row>
    <row r="2381" spans="1:5">
      <c r="A2381" t="s">
        <v>3346</v>
      </c>
      <c r="B2381" t="s">
        <v>3348</v>
      </c>
      <c r="E2381" s="11"/>
    </row>
    <row r="2382" spans="1:5">
      <c r="A2382" t="s">
        <v>3359</v>
      </c>
      <c r="B2382" t="s">
        <v>3360</v>
      </c>
      <c r="E2382" s="11"/>
    </row>
    <row r="2383" spans="1:5">
      <c r="A2383" t="s">
        <v>3369</v>
      </c>
      <c r="B2383" t="s">
        <v>3370</v>
      </c>
      <c r="E2383" s="11"/>
    </row>
    <row r="2384" spans="1:5">
      <c r="A2384" t="s">
        <v>3373</v>
      </c>
      <c r="B2384" t="s">
        <v>3374</v>
      </c>
      <c r="E2384" s="11"/>
    </row>
    <row r="2385" spans="1:5">
      <c r="A2385" t="s">
        <v>3377</v>
      </c>
      <c r="B2385" t="s">
        <v>3378</v>
      </c>
      <c r="E2385" s="11"/>
    </row>
    <row r="2386" spans="1:5">
      <c r="A2386" t="s">
        <v>3381</v>
      </c>
      <c r="B2386" t="s">
        <v>3382</v>
      </c>
      <c r="E2386" s="11"/>
    </row>
    <row r="2387" spans="1:5">
      <c r="A2387" t="s">
        <v>3384</v>
      </c>
      <c r="B2387" t="s">
        <v>3385</v>
      </c>
      <c r="E2387" s="11"/>
    </row>
    <row r="2388" spans="1:5">
      <c r="A2388" t="s">
        <v>3387</v>
      </c>
      <c r="B2388" t="s">
        <v>3388</v>
      </c>
      <c r="E2388" s="11"/>
    </row>
    <row r="2389" spans="1:5">
      <c r="A2389" t="s">
        <v>3389</v>
      </c>
      <c r="B2389" t="s">
        <v>3390</v>
      </c>
      <c r="E2389" s="11"/>
    </row>
    <row r="2390" spans="1:5">
      <c r="A2390" t="s">
        <v>3395</v>
      </c>
      <c r="B2390" t="s">
        <v>3396</v>
      </c>
      <c r="E2390" s="11"/>
    </row>
    <row r="2391" spans="1:5">
      <c r="A2391" t="s">
        <v>3398</v>
      </c>
      <c r="B2391" t="s">
        <v>3399</v>
      </c>
      <c r="E2391" s="11"/>
    </row>
    <row r="2392" spans="1:5">
      <c r="A2392" t="s">
        <v>3410</v>
      </c>
      <c r="B2392" t="s">
        <v>3411</v>
      </c>
      <c r="E2392" s="11"/>
    </row>
    <row r="2393" spans="1:5">
      <c r="A2393" t="s">
        <v>3414</v>
      </c>
      <c r="B2393" t="s">
        <v>3415</v>
      </c>
      <c r="E2393" s="11"/>
    </row>
    <row r="2394" spans="1:5">
      <c r="A2394" t="s">
        <v>3418</v>
      </c>
      <c r="B2394" t="s">
        <v>3419</v>
      </c>
      <c r="E2394" s="11"/>
    </row>
    <row r="2395" spans="1:5">
      <c r="A2395" t="s">
        <v>3428</v>
      </c>
      <c r="B2395" t="s">
        <v>3429</v>
      </c>
      <c r="E2395" s="11"/>
    </row>
    <row r="2396" spans="1:5">
      <c r="A2396" t="s">
        <v>3430</v>
      </c>
      <c r="B2396" t="s">
        <v>3431</v>
      </c>
      <c r="E2396" s="11"/>
    </row>
    <row r="2397" spans="1:5">
      <c r="A2397" t="s">
        <v>3437</v>
      </c>
      <c r="B2397" t="s">
        <v>3438</v>
      </c>
      <c r="E2397" s="11"/>
    </row>
    <row r="2398" spans="1:5">
      <c r="A2398" t="s">
        <v>3460</v>
      </c>
      <c r="B2398" t="s">
        <v>3461</v>
      </c>
      <c r="E2398" s="11"/>
    </row>
    <row r="2399" spans="1:5">
      <c r="A2399" t="s">
        <v>3464</v>
      </c>
      <c r="B2399" t="s">
        <v>3465</v>
      </c>
      <c r="E2399" s="11"/>
    </row>
    <row r="2400" spans="1:5">
      <c r="A2400" t="s">
        <v>3466</v>
      </c>
      <c r="B2400" t="s">
        <v>3467</v>
      </c>
      <c r="E2400" s="11"/>
    </row>
    <row r="2401" spans="1:5">
      <c r="A2401" t="s">
        <v>3473</v>
      </c>
      <c r="B2401" t="s">
        <v>3474</v>
      </c>
      <c r="E2401" s="11"/>
    </row>
    <row r="2402" spans="1:5">
      <c r="A2402" t="s">
        <v>3478</v>
      </c>
      <c r="B2402" t="s">
        <v>3479</v>
      </c>
      <c r="E2402" s="11"/>
    </row>
    <row r="2403" spans="1:5">
      <c r="A2403" t="s">
        <v>3480</v>
      </c>
      <c r="B2403" t="s">
        <v>3481</v>
      </c>
      <c r="E2403" s="11"/>
    </row>
    <row r="2404" spans="1:5">
      <c r="A2404" t="s">
        <v>3484</v>
      </c>
      <c r="B2404" t="s">
        <v>3485</v>
      </c>
      <c r="E2404" s="11"/>
    </row>
    <row r="2405" spans="1:5">
      <c r="A2405" t="s">
        <v>3493</v>
      </c>
      <c r="B2405" t="s">
        <v>3494</v>
      </c>
      <c r="E2405" s="11"/>
    </row>
    <row r="2406" spans="1:5">
      <c r="A2406" t="s">
        <v>3498</v>
      </c>
      <c r="B2406" t="s">
        <v>3499</v>
      </c>
      <c r="E2406" s="11"/>
    </row>
    <row r="2407" spans="1:5">
      <c r="A2407" t="s">
        <v>3504</v>
      </c>
      <c r="B2407" t="s">
        <v>3505</v>
      </c>
      <c r="E2407" s="11"/>
    </row>
    <row r="2408" spans="1:5">
      <c r="A2408" t="s">
        <v>3506</v>
      </c>
      <c r="B2408" t="s">
        <v>3507</v>
      </c>
      <c r="E2408" s="11"/>
    </row>
    <row r="2409" spans="1:5">
      <c r="A2409" t="s">
        <v>3508</v>
      </c>
      <c r="B2409" t="s">
        <v>3509</v>
      </c>
      <c r="E2409" s="11"/>
    </row>
    <row r="2410" spans="1:5">
      <c r="A2410" t="s">
        <v>3513</v>
      </c>
      <c r="B2410" t="s">
        <v>3514</v>
      </c>
      <c r="E2410" s="11"/>
    </row>
    <row r="2411" spans="1:5">
      <c r="A2411" t="s">
        <v>3520</v>
      </c>
      <c r="B2411" t="s">
        <v>3521</v>
      </c>
      <c r="E2411" s="11"/>
    </row>
    <row r="2412" spans="1:5">
      <c r="A2412" t="s">
        <v>3522</v>
      </c>
      <c r="B2412" t="s">
        <v>3523</v>
      </c>
      <c r="E2412" s="11"/>
    </row>
    <row r="2413" spans="1:5">
      <c r="A2413" t="s">
        <v>3528</v>
      </c>
      <c r="B2413" t="s">
        <v>3529</v>
      </c>
      <c r="E2413" s="11"/>
    </row>
    <row r="2414" spans="1:5">
      <c r="A2414" t="s">
        <v>3530</v>
      </c>
      <c r="B2414" t="s">
        <v>3531</v>
      </c>
      <c r="E2414" s="11"/>
    </row>
    <row r="2415" spans="1:5">
      <c r="A2415" t="s">
        <v>3532</v>
      </c>
      <c r="B2415" t="s">
        <v>3533</v>
      </c>
      <c r="E2415" s="11"/>
    </row>
    <row r="2416" spans="1:5">
      <c r="A2416" t="s">
        <v>3538</v>
      </c>
      <c r="B2416" t="s">
        <v>3539</v>
      </c>
      <c r="E2416" s="11"/>
    </row>
    <row r="2417" spans="1:5">
      <c r="A2417" t="s">
        <v>3542</v>
      </c>
      <c r="B2417" t="s">
        <v>3543</v>
      </c>
      <c r="E2417" s="11"/>
    </row>
    <row r="2418" spans="1:5">
      <c r="A2418" t="s">
        <v>3546</v>
      </c>
      <c r="B2418" t="s">
        <v>3547</v>
      </c>
      <c r="E2418" s="11"/>
    </row>
    <row r="2419" spans="1:5">
      <c r="A2419" t="s">
        <v>3550</v>
      </c>
      <c r="B2419" t="s">
        <v>3551</v>
      </c>
      <c r="E2419" s="11"/>
    </row>
    <row r="2420" spans="1:5">
      <c r="A2420" t="s">
        <v>3553</v>
      </c>
      <c r="B2420" t="s">
        <v>3554</v>
      </c>
      <c r="E2420" s="11"/>
    </row>
    <row r="2421" spans="1:5">
      <c r="A2421" t="s">
        <v>3555</v>
      </c>
      <c r="B2421" t="s">
        <v>3556</v>
      </c>
      <c r="E2421" s="11"/>
    </row>
    <row r="2422" spans="1:5">
      <c r="A2422" t="s">
        <v>3560</v>
      </c>
      <c r="B2422" t="s">
        <v>3561</v>
      </c>
      <c r="E2422" s="11"/>
    </row>
    <row r="2423" spans="1:5">
      <c r="A2423" t="s">
        <v>3563</v>
      </c>
      <c r="B2423" t="s">
        <v>3564</v>
      </c>
      <c r="E2423" s="11"/>
    </row>
    <row r="2424" spans="1:5">
      <c r="A2424" t="s">
        <v>3571</v>
      </c>
      <c r="B2424" t="s">
        <v>3572</v>
      </c>
      <c r="E2424" s="11"/>
    </row>
    <row r="2425" spans="1:5">
      <c r="A2425" t="s">
        <v>3574</v>
      </c>
      <c r="B2425" t="s">
        <v>3575</v>
      </c>
      <c r="E2425" s="11"/>
    </row>
    <row r="2426" spans="1:5">
      <c r="A2426" t="s">
        <v>3578</v>
      </c>
      <c r="B2426" t="s">
        <v>3579</v>
      </c>
      <c r="E2426" s="11"/>
    </row>
    <row r="2427" spans="1:5">
      <c r="A2427" t="s">
        <v>3589</v>
      </c>
      <c r="B2427" t="s">
        <v>3590</v>
      </c>
      <c r="E2427" s="11"/>
    </row>
    <row r="2428" spans="1:5">
      <c r="A2428" t="s">
        <v>3592</v>
      </c>
      <c r="B2428" t="s">
        <v>3593</v>
      </c>
      <c r="E2428" s="11"/>
    </row>
    <row r="2429" spans="1:5">
      <c r="A2429" t="s">
        <v>3597</v>
      </c>
      <c r="B2429" t="s">
        <v>3598</v>
      </c>
      <c r="E2429" s="11"/>
    </row>
    <row r="2430" spans="1:5">
      <c r="A2430" t="s">
        <v>3599</v>
      </c>
      <c r="B2430" t="s">
        <v>3600</v>
      </c>
      <c r="E2430" s="11"/>
    </row>
    <row r="2431" spans="1:5">
      <c r="A2431" t="s">
        <v>3605</v>
      </c>
      <c r="B2431" t="s">
        <v>3606</v>
      </c>
      <c r="E2431" s="11"/>
    </row>
    <row r="2432" spans="1:5">
      <c r="A2432" t="s">
        <v>3608</v>
      </c>
      <c r="B2432" t="s">
        <v>3609</v>
      </c>
      <c r="E2432" s="11"/>
    </row>
    <row r="2433" spans="1:5">
      <c r="A2433" t="s">
        <v>3611</v>
      </c>
      <c r="B2433" t="s">
        <v>3612</v>
      </c>
      <c r="E2433" s="11"/>
    </row>
    <row r="2434" spans="1:5">
      <c r="A2434" t="s">
        <v>3619</v>
      </c>
      <c r="B2434" t="s">
        <v>3621</v>
      </c>
      <c r="E2434" s="11"/>
    </row>
    <row r="2435" spans="1:5">
      <c r="A2435" t="s">
        <v>3619</v>
      </c>
      <c r="B2435" t="s">
        <v>3622</v>
      </c>
      <c r="E2435" s="11"/>
    </row>
    <row r="2436" spans="1:5">
      <c r="A2436" t="s">
        <v>3623</v>
      </c>
      <c r="B2436" t="s">
        <v>3624</v>
      </c>
      <c r="E2436" s="11"/>
    </row>
    <row r="2437" spans="1:5">
      <c r="A2437" t="s">
        <v>3626</v>
      </c>
      <c r="B2437" t="s">
        <v>3627</v>
      </c>
      <c r="E2437" s="11"/>
    </row>
    <row r="2438" spans="1:5">
      <c r="A2438" t="s">
        <v>3628</v>
      </c>
      <c r="B2438" t="s">
        <v>3629</v>
      </c>
      <c r="E2438" s="11"/>
    </row>
    <row r="2439" spans="1:5">
      <c r="A2439" t="s">
        <v>3630</v>
      </c>
      <c r="B2439" t="s">
        <v>3631</v>
      </c>
      <c r="E2439" s="11"/>
    </row>
    <row r="2440" spans="1:5">
      <c r="A2440" t="s">
        <v>3633</v>
      </c>
      <c r="B2440" t="s">
        <v>3634</v>
      </c>
      <c r="E2440" s="11"/>
    </row>
    <row r="2441" spans="1:5">
      <c r="A2441" t="s">
        <v>3636</v>
      </c>
      <c r="B2441" t="s">
        <v>3637</v>
      </c>
      <c r="E2441" s="11"/>
    </row>
    <row r="2442" spans="1:5">
      <c r="A2442" t="s">
        <v>3638</v>
      </c>
      <c r="B2442" t="s">
        <v>3639</v>
      </c>
      <c r="E2442" s="11"/>
    </row>
    <row r="2443" spans="1:5">
      <c r="A2443" t="s">
        <v>3645</v>
      </c>
      <c r="B2443" t="s">
        <v>3646</v>
      </c>
      <c r="E2443" s="11"/>
    </row>
    <row r="2444" spans="1:5">
      <c r="A2444" t="s">
        <v>3650</v>
      </c>
      <c r="B2444" t="s">
        <v>3651</v>
      </c>
      <c r="E2444" s="11"/>
    </row>
    <row r="2445" spans="1:5">
      <c r="A2445" t="s">
        <v>3653</v>
      </c>
      <c r="B2445" t="s">
        <v>3654</v>
      </c>
      <c r="E2445" s="11"/>
    </row>
    <row r="2446" spans="1:5">
      <c r="A2446" t="s">
        <v>3656</v>
      </c>
      <c r="B2446" t="s">
        <v>3657</v>
      </c>
      <c r="E2446" s="11"/>
    </row>
    <row r="2447" spans="1:5">
      <c r="A2447" t="s">
        <v>3670</v>
      </c>
      <c r="B2447" t="s">
        <v>3671</v>
      </c>
      <c r="E2447" s="11"/>
    </row>
    <row r="2448" spans="1:5">
      <c r="A2448" t="s">
        <v>3673</v>
      </c>
      <c r="B2448" t="s">
        <v>3674</v>
      </c>
      <c r="E2448" s="11"/>
    </row>
    <row r="2449" spans="1:5">
      <c r="A2449" t="s">
        <v>3675</v>
      </c>
      <c r="B2449" t="s">
        <v>3676</v>
      </c>
      <c r="E2449" s="11"/>
    </row>
    <row r="2450" spans="1:5">
      <c r="A2450" t="s">
        <v>3677</v>
      </c>
      <c r="B2450" t="s">
        <v>3678</v>
      </c>
      <c r="E2450" s="11"/>
    </row>
    <row r="2451" spans="1:5">
      <c r="A2451" t="s">
        <v>3679</v>
      </c>
      <c r="B2451" t="s">
        <v>3680</v>
      </c>
      <c r="E2451" s="11"/>
    </row>
    <row r="2452" spans="1:5">
      <c r="A2452" t="s">
        <v>3681</v>
      </c>
      <c r="B2452" t="s">
        <v>3682</v>
      </c>
      <c r="E2452" s="11"/>
    </row>
    <row r="2453" spans="1:5">
      <c r="A2453" t="s">
        <v>3681</v>
      </c>
      <c r="B2453" t="s">
        <v>3684</v>
      </c>
      <c r="E2453" s="11"/>
    </row>
    <row r="2454" spans="1:5">
      <c r="A2454" t="s">
        <v>3681</v>
      </c>
      <c r="B2454" t="s">
        <v>3686</v>
      </c>
      <c r="E2454" s="11"/>
    </row>
    <row r="2455" spans="1:5">
      <c r="A2455" t="s">
        <v>3681</v>
      </c>
      <c r="B2455" t="s">
        <v>3687</v>
      </c>
      <c r="E2455" s="11"/>
    </row>
    <row r="2456" spans="1:5">
      <c r="A2456" t="s">
        <v>3681</v>
      </c>
      <c r="B2456" t="s">
        <v>3688</v>
      </c>
      <c r="E2456" s="11"/>
    </row>
    <row r="2457" spans="1:5">
      <c r="A2457" t="s">
        <v>3689</v>
      </c>
      <c r="B2457" t="s">
        <v>3690</v>
      </c>
      <c r="E2457" s="11"/>
    </row>
    <row r="2458" spans="1:5">
      <c r="A2458" t="s">
        <v>3689</v>
      </c>
      <c r="B2458" t="s">
        <v>3691</v>
      </c>
      <c r="E2458" s="11"/>
    </row>
    <row r="2459" spans="1:5">
      <c r="A2459" t="s">
        <v>3692</v>
      </c>
      <c r="B2459" t="s">
        <v>3693</v>
      </c>
      <c r="E2459" s="11"/>
    </row>
    <row r="2460" spans="1:5">
      <c r="A2460" t="s">
        <v>3695</v>
      </c>
      <c r="B2460" t="s">
        <v>3696</v>
      </c>
      <c r="E2460" s="11"/>
    </row>
    <row r="2461" spans="1:5">
      <c r="A2461" t="s">
        <v>3697</v>
      </c>
      <c r="B2461" t="s">
        <v>3698</v>
      </c>
      <c r="E2461" s="11"/>
    </row>
    <row r="2462" spans="1:5">
      <c r="A2462" t="s">
        <v>3704</v>
      </c>
      <c r="B2462" t="s">
        <v>3705</v>
      </c>
      <c r="E2462" s="11"/>
    </row>
    <row r="2463" spans="1:5">
      <c r="A2463" t="s">
        <v>3706</v>
      </c>
      <c r="B2463" t="s">
        <v>3707</v>
      </c>
      <c r="E2463" s="11"/>
    </row>
    <row r="2464" spans="1:5">
      <c r="A2464" t="s">
        <v>3710</v>
      </c>
      <c r="B2464" t="s">
        <v>3711</v>
      </c>
      <c r="E2464" s="11"/>
    </row>
    <row r="2465" spans="1:5">
      <c r="A2465" t="s">
        <v>3714</v>
      </c>
      <c r="B2465" t="s">
        <v>3715</v>
      </c>
      <c r="E2465" s="11"/>
    </row>
    <row r="2466" spans="1:5">
      <c r="A2466" t="s">
        <v>3716</v>
      </c>
      <c r="B2466" t="s">
        <v>3717</v>
      </c>
      <c r="E2466" s="11"/>
    </row>
    <row r="2467" spans="1:5">
      <c r="A2467" t="s">
        <v>3718</v>
      </c>
      <c r="B2467" t="s">
        <v>3719</v>
      </c>
      <c r="E2467" s="11"/>
    </row>
    <row r="2468" spans="1:5">
      <c r="A2468" t="s">
        <v>3720</v>
      </c>
      <c r="B2468" t="s">
        <v>3721</v>
      </c>
      <c r="E2468" s="11"/>
    </row>
    <row r="2469" spans="1:5">
      <c r="A2469" t="s">
        <v>3739</v>
      </c>
      <c r="B2469" t="s">
        <v>3740</v>
      </c>
      <c r="E2469" s="11"/>
    </row>
    <row r="2470" spans="1:5">
      <c r="A2470" t="s">
        <v>3748</v>
      </c>
      <c r="B2470" t="s">
        <v>3749</v>
      </c>
      <c r="E2470" s="11"/>
    </row>
    <row r="2471" spans="1:5">
      <c r="A2471" t="s">
        <v>3754</v>
      </c>
      <c r="B2471" t="s">
        <v>3755</v>
      </c>
      <c r="E2471" s="11"/>
    </row>
    <row r="2472" spans="1:5">
      <c r="A2472" t="s">
        <v>3764</v>
      </c>
      <c r="B2472" t="s">
        <v>3765</v>
      </c>
      <c r="E2472" s="11"/>
    </row>
    <row r="2473" spans="1:5">
      <c r="A2473" t="s">
        <v>3767</v>
      </c>
      <c r="B2473" t="s">
        <v>3768</v>
      </c>
      <c r="E2473" s="11"/>
    </row>
    <row r="2474" spans="1:5">
      <c r="A2474" t="s">
        <v>3770</v>
      </c>
      <c r="B2474" t="s">
        <v>3771</v>
      </c>
      <c r="E2474" s="11"/>
    </row>
    <row r="2475" spans="1:5">
      <c r="A2475" t="s">
        <v>3772</v>
      </c>
      <c r="B2475" t="s">
        <v>3773</v>
      </c>
      <c r="E2475" s="11"/>
    </row>
    <row r="2476" spans="1:5">
      <c r="A2476" t="s">
        <v>3775</v>
      </c>
      <c r="B2476" t="s">
        <v>3776</v>
      </c>
      <c r="E2476" s="11"/>
    </row>
    <row r="2477" spans="1:5">
      <c r="A2477" t="s">
        <v>3778</v>
      </c>
      <c r="B2477" t="s">
        <v>3779</v>
      </c>
      <c r="E2477" s="11"/>
    </row>
    <row r="2478" spans="1:5">
      <c r="A2478" t="s">
        <v>3781</v>
      </c>
      <c r="B2478" t="s">
        <v>3782</v>
      </c>
      <c r="E2478" s="11"/>
    </row>
    <row r="2479" spans="1:5">
      <c r="A2479" t="s">
        <v>3783</v>
      </c>
      <c r="B2479" t="s">
        <v>3784</v>
      </c>
      <c r="E2479" s="11"/>
    </row>
    <row r="2480" spans="1:5">
      <c r="A2480" t="s">
        <v>3786</v>
      </c>
      <c r="B2480" t="s">
        <v>3787</v>
      </c>
      <c r="E2480" s="11"/>
    </row>
    <row r="2481" spans="1:5">
      <c r="A2481" t="s">
        <v>3789</v>
      </c>
      <c r="B2481" t="s">
        <v>3790</v>
      </c>
      <c r="E2481" s="11"/>
    </row>
    <row r="2482" spans="1:5">
      <c r="A2482" t="s">
        <v>3792</v>
      </c>
      <c r="B2482" t="s">
        <v>3793</v>
      </c>
      <c r="E2482" s="11"/>
    </row>
    <row r="2483" spans="1:5">
      <c r="A2483" t="s">
        <v>3795</v>
      </c>
      <c r="B2483" t="s">
        <v>3796</v>
      </c>
      <c r="E2483" s="11"/>
    </row>
    <row r="2484" spans="1:5">
      <c r="A2484" t="s">
        <v>3795</v>
      </c>
      <c r="B2484" t="s">
        <v>3797</v>
      </c>
      <c r="E2484" s="11"/>
    </row>
    <row r="2485" spans="1:5">
      <c r="A2485" t="s">
        <v>3798</v>
      </c>
      <c r="B2485" t="s">
        <v>3799</v>
      </c>
      <c r="E2485" s="11"/>
    </row>
    <row r="2486" spans="1:5">
      <c r="A2486" t="s">
        <v>3800</v>
      </c>
      <c r="B2486" t="s">
        <v>3801</v>
      </c>
      <c r="E2486" s="11"/>
    </row>
    <row r="2487" spans="1:5">
      <c r="A2487" t="s">
        <v>3802</v>
      </c>
      <c r="B2487" t="s">
        <v>3803</v>
      </c>
      <c r="E2487" s="11"/>
    </row>
    <row r="2488" spans="1:5">
      <c r="A2488" t="s">
        <v>3807</v>
      </c>
      <c r="B2488" t="s">
        <v>3808</v>
      </c>
      <c r="E2488" s="11"/>
    </row>
    <row r="2489" spans="1:5">
      <c r="A2489" t="s">
        <v>3809</v>
      </c>
      <c r="B2489" t="s">
        <v>3810</v>
      </c>
      <c r="E2489" s="11"/>
    </row>
    <row r="2490" spans="1:5">
      <c r="A2490" t="s">
        <v>3811</v>
      </c>
      <c r="B2490" t="s">
        <v>3812</v>
      </c>
      <c r="E2490" s="11"/>
    </row>
    <row r="2491" spans="1:5">
      <c r="A2491" t="s">
        <v>3813</v>
      </c>
      <c r="B2491" t="s">
        <v>3814</v>
      </c>
      <c r="E2491" s="11"/>
    </row>
    <row r="2492" spans="1:5">
      <c r="A2492" t="s">
        <v>3813</v>
      </c>
      <c r="B2492" t="s">
        <v>3815</v>
      </c>
      <c r="E2492" s="11"/>
    </row>
    <row r="2493" spans="1:5">
      <c r="A2493" t="s">
        <v>3820</v>
      </c>
      <c r="B2493" t="s">
        <v>3821</v>
      </c>
      <c r="E2493" s="11"/>
    </row>
    <row r="2494" spans="1:5">
      <c r="A2494" t="s">
        <v>3822</v>
      </c>
      <c r="B2494" t="s">
        <v>3823</v>
      </c>
      <c r="E2494" s="11"/>
    </row>
    <row r="2495" spans="1:5">
      <c r="A2495" t="s">
        <v>3824</v>
      </c>
      <c r="B2495" t="s">
        <v>3825</v>
      </c>
      <c r="E2495" s="11"/>
    </row>
    <row r="2496" spans="1:5">
      <c r="A2496" t="s">
        <v>3830</v>
      </c>
      <c r="B2496" t="s">
        <v>3831</v>
      </c>
      <c r="E2496" s="11"/>
    </row>
    <row r="2497" spans="1:5">
      <c r="A2497" t="s">
        <v>3833</v>
      </c>
      <c r="B2497" t="s">
        <v>3834</v>
      </c>
      <c r="E2497" s="11"/>
    </row>
    <row r="2498" spans="1:5">
      <c r="A2498" t="s">
        <v>3839</v>
      </c>
      <c r="B2498" t="s">
        <v>3840</v>
      </c>
      <c r="E2498" s="11"/>
    </row>
    <row r="2499" spans="1:5">
      <c r="A2499" t="s">
        <v>3841</v>
      </c>
      <c r="B2499" t="s">
        <v>3842</v>
      </c>
      <c r="E2499" s="11"/>
    </row>
    <row r="2500" spans="1:5">
      <c r="A2500" t="s">
        <v>3843</v>
      </c>
      <c r="B2500" t="s">
        <v>3844</v>
      </c>
      <c r="E2500" s="11"/>
    </row>
    <row r="2501" spans="1:5">
      <c r="A2501" t="s">
        <v>3846</v>
      </c>
      <c r="B2501" t="s">
        <v>3847</v>
      </c>
      <c r="E2501" s="11"/>
    </row>
    <row r="2502" spans="1:5">
      <c r="A2502" t="s">
        <v>3848</v>
      </c>
      <c r="B2502" t="s">
        <v>3849</v>
      </c>
      <c r="E2502" s="11"/>
    </row>
    <row r="2503" spans="1:5">
      <c r="A2503" t="s">
        <v>3851</v>
      </c>
      <c r="B2503" t="s">
        <v>3852</v>
      </c>
      <c r="E2503" s="11"/>
    </row>
    <row r="2504" spans="1:5">
      <c r="A2504" t="s">
        <v>3853</v>
      </c>
      <c r="B2504" t="s">
        <v>3854</v>
      </c>
      <c r="E2504" s="11"/>
    </row>
    <row r="2505" spans="1:5">
      <c r="A2505" t="s">
        <v>3855</v>
      </c>
      <c r="B2505" t="s">
        <v>3856</v>
      </c>
      <c r="E2505" s="11"/>
    </row>
    <row r="2506" spans="1:5">
      <c r="A2506" t="s">
        <v>3857</v>
      </c>
      <c r="B2506" t="s">
        <v>3858</v>
      </c>
      <c r="E2506" s="11"/>
    </row>
    <row r="2507" spans="1:5">
      <c r="A2507" t="s">
        <v>3864</v>
      </c>
      <c r="B2507" t="s">
        <v>3865</v>
      </c>
      <c r="E2507" s="11"/>
    </row>
    <row r="2508" spans="1:5">
      <c r="A2508" t="s">
        <v>3867</v>
      </c>
      <c r="B2508" t="s">
        <v>3868</v>
      </c>
      <c r="E2508" s="11"/>
    </row>
    <row r="2509" spans="1:5">
      <c r="A2509" t="s">
        <v>3874</v>
      </c>
      <c r="B2509" t="s">
        <v>3875</v>
      </c>
      <c r="E2509" s="11"/>
    </row>
    <row r="2510" spans="1:5">
      <c r="A2510" t="s">
        <v>3876</v>
      </c>
      <c r="B2510" t="s">
        <v>3877</v>
      </c>
      <c r="E2510" s="11"/>
    </row>
    <row r="2511" spans="1:5">
      <c r="A2511" t="s">
        <v>3882</v>
      </c>
      <c r="B2511" t="s">
        <v>3883</v>
      </c>
      <c r="E2511" s="11"/>
    </row>
    <row r="2512" spans="1:5">
      <c r="A2512" t="s">
        <v>3886</v>
      </c>
      <c r="B2512" t="s">
        <v>3887</v>
      </c>
      <c r="E2512" s="11"/>
    </row>
    <row r="2513" spans="1:5">
      <c r="A2513" t="s">
        <v>3890</v>
      </c>
      <c r="B2513" t="s">
        <v>3891</v>
      </c>
      <c r="E2513" s="11"/>
    </row>
    <row r="2514" spans="1:5">
      <c r="A2514" t="s">
        <v>3894</v>
      </c>
      <c r="B2514" t="s">
        <v>3895</v>
      </c>
      <c r="E2514" s="11"/>
    </row>
    <row r="2515" spans="1:5">
      <c r="A2515" t="s">
        <v>3897</v>
      </c>
      <c r="B2515" t="s">
        <v>3898</v>
      </c>
      <c r="E2515" s="11"/>
    </row>
    <row r="2516" spans="1:5">
      <c r="A2516" t="s">
        <v>3900</v>
      </c>
      <c r="B2516" t="s">
        <v>3901</v>
      </c>
      <c r="E2516" s="11"/>
    </row>
    <row r="2517" spans="1:5">
      <c r="A2517" t="s">
        <v>3902</v>
      </c>
      <c r="B2517" t="s">
        <v>3903</v>
      </c>
      <c r="E2517" s="11"/>
    </row>
    <row r="2518" spans="1:5">
      <c r="A2518" t="s">
        <v>3904</v>
      </c>
      <c r="B2518" t="s">
        <v>3905</v>
      </c>
      <c r="E2518" s="11"/>
    </row>
    <row r="2519" spans="1:5">
      <c r="A2519" t="s">
        <v>3906</v>
      </c>
      <c r="B2519" t="s">
        <v>3907</v>
      </c>
      <c r="E2519" s="11"/>
    </row>
    <row r="2520" spans="1:5">
      <c r="A2520" t="s">
        <v>3908</v>
      </c>
      <c r="B2520" t="s">
        <v>3909</v>
      </c>
      <c r="E2520" s="11"/>
    </row>
    <row r="2521" spans="1:5">
      <c r="A2521" t="s">
        <v>3927</v>
      </c>
      <c r="B2521" t="s">
        <v>3928</v>
      </c>
      <c r="E2521" s="11"/>
    </row>
    <row r="2522" spans="1:5">
      <c r="A2522" t="s">
        <v>3948</v>
      </c>
      <c r="B2522" t="s">
        <v>3949</v>
      </c>
      <c r="E2522" s="11"/>
    </row>
    <row r="2523" spans="1:5">
      <c r="A2523" t="s">
        <v>3957</v>
      </c>
      <c r="B2523" t="s">
        <v>3958</v>
      </c>
      <c r="E2523" s="11"/>
    </row>
    <row r="2524" spans="1:5">
      <c r="A2524" t="s">
        <v>3959</v>
      </c>
      <c r="B2524" t="s">
        <v>3960</v>
      </c>
      <c r="E2524" s="11"/>
    </row>
    <row r="2525" spans="1:5">
      <c r="A2525" t="s">
        <v>3961</v>
      </c>
      <c r="B2525" t="s">
        <v>3962</v>
      </c>
      <c r="E2525" s="11"/>
    </row>
    <row r="2526" spans="1:5">
      <c r="A2526" t="s">
        <v>3964</v>
      </c>
      <c r="B2526" t="s">
        <v>3965</v>
      </c>
      <c r="E2526" s="11"/>
    </row>
    <row r="2527" spans="1:5">
      <c r="A2527" t="s">
        <v>3970</v>
      </c>
      <c r="B2527" t="s">
        <v>3971</v>
      </c>
      <c r="E2527" s="11"/>
    </row>
    <row r="2528" spans="1:5">
      <c r="A2528" t="s">
        <v>3970</v>
      </c>
      <c r="B2528" t="s">
        <v>3972</v>
      </c>
      <c r="E2528" s="11"/>
    </row>
    <row r="2529" spans="1:5">
      <c r="A2529" t="s">
        <v>3970</v>
      </c>
      <c r="B2529" t="s">
        <v>3973</v>
      </c>
      <c r="E2529" s="11"/>
    </row>
    <row r="2530" spans="1:5">
      <c r="A2530" t="s">
        <v>3970</v>
      </c>
      <c r="B2530" t="s">
        <v>3974</v>
      </c>
      <c r="E2530" s="11"/>
    </row>
    <row r="2531" spans="1:5">
      <c r="A2531" t="s">
        <v>3976</v>
      </c>
      <c r="B2531" t="s">
        <v>3977</v>
      </c>
      <c r="E2531" s="11"/>
    </row>
    <row r="2532" spans="1:5">
      <c r="A2532" t="s">
        <v>3979</v>
      </c>
      <c r="B2532" t="s">
        <v>3980</v>
      </c>
      <c r="E2532" s="11"/>
    </row>
    <row r="2533" spans="1:5">
      <c r="A2533" t="s">
        <v>3981</v>
      </c>
      <c r="B2533" t="s">
        <v>3982</v>
      </c>
      <c r="E2533" s="11"/>
    </row>
    <row r="2534" spans="1:5">
      <c r="A2534" t="s">
        <v>3984</v>
      </c>
      <c r="B2534" t="s">
        <v>3985</v>
      </c>
      <c r="E2534" s="11"/>
    </row>
    <row r="2535" spans="1:5">
      <c r="A2535" t="s">
        <v>3991</v>
      </c>
      <c r="B2535" t="s">
        <v>3992</v>
      </c>
      <c r="E2535" s="11"/>
    </row>
    <row r="2536" spans="1:5">
      <c r="A2536" t="s">
        <v>3995</v>
      </c>
      <c r="B2536" t="s">
        <v>3996</v>
      </c>
      <c r="E2536" s="11"/>
    </row>
    <row r="2537" spans="1:5">
      <c r="A2537" t="s">
        <v>3998</v>
      </c>
      <c r="B2537" t="s">
        <v>3999</v>
      </c>
      <c r="E2537" s="11"/>
    </row>
    <row r="2538" spans="1:5">
      <c r="A2538" t="s">
        <v>4003</v>
      </c>
      <c r="B2538" t="s">
        <v>4004</v>
      </c>
      <c r="E2538" s="11"/>
    </row>
    <row r="2539" spans="1:5">
      <c r="A2539" t="s">
        <v>4007</v>
      </c>
      <c r="B2539" t="s">
        <v>4008</v>
      </c>
      <c r="E2539" s="11"/>
    </row>
    <row r="2540" spans="1:5">
      <c r="A2540" t="s">
        <v>4009</v>
      </c>
      <c r="B2540" t="s">
        <v>4010</v>
      </c>
      <c r="E2540" s="11"/>
    </row>
    <row r="2541" spans="1:5">
      <c r="A2541" t="s">
        <v>4012</v>
      </c>
      <c r="B2541" t="s">
        <v>4013</v>
      </c>
      <c r="E2541" s="11"/>
    </row>
    <row r="2542" spans="1:5">
      <c r="A2542" t="s">
        <v>4015</v>
      </c>
      <c r="B2542" t="s">
        <v>4016</v>
      </c>
      <c r="E2542" s="11"/>
    </row>
    <row r="2543" spans="1:5">
      <c r="A2543" t="s">
        <v>4023</v>
      </c>
      <c r="B2543" t="s">
        <v>4024</v>
      </c>
      <c r="E2543" s="11"/>
    </row>
    <row r="2544" spans="1:5">
      <c r="A2544" t="s">
        <v>4034</v>
      </c>
      <c r="B2544" t="s">
        <v>4035</v>
      </c>
      <c r="E2544" s="11"/>
    </row>
    <row r="2545" spans="1:5">
      <c r="A2545" t="s">
        <v>4037</v>
      </c>
      <c r="B2545" t="s">
        <v>4038</v>
      </c>
      <c r="E2545" s="11"/>
    </row>
    <row r="2546" spans="1:5">
      <c r="A2546" t="s">
        <v>4040</v>
      </c>
      <c r="B2546" t="s">
        <v>4041</v>
      </c>
      <c r="E2546" s="11"/>
    </row>
    <row r="2547" spans="1:5">
      <c r="A2547" t="s">
        <v>4044</v>
      </c>
      <c r="B2547" t="s">
        <v>4045</v>
      </c>
      <c r="E2547" s="11"/>
    </row>
    <row r="2548" spans="1:5">
      <c r="A2548" t="s">
        <v>4050</v>
      </c>
      <c r="B2548" t="s">
        <v>4051</v>
      </c>
      <c r="E2548" s="11"/>
    </row>
    <row r="2549" spans="1:5">
      <c r="A2549" t="s">
        <v>4052</v>
      </c>
      <c r="B2549" t="s">
        <v>4053</v>
      </c>
      <c r="E2549" s="11"/>
    </row>
    <row r="2550" spans="1:5">
      <c r="A2550" t="s">
        <v>4054</v>
      </c>
      <c r="B2550" t="s">
        <v>4055</v>
      </c>
      <c r="E2550" s="11"/>
    </row>
    <row r="2551" spans="1:5">
      <c r="A2551" t="s">
        <v>4054</v>
      </c>
      <c r="B2551" t="s">
        <v>4056</v>
      </c>
      <c r="E2551" s="11"/>
    </row>
    <row r="2552" spans="1:5">
      <c r="A2552" t="s">
        <v>4058</v>
      </c>
      <c r="B2552" t="s">
        <v>4059</v>
      </c>
      <c r="E2552" s="11"/>
    </row>
    <row r="2553" spans="1:5">
      <c r="A2553" t="s">
        <v>4065</v>
      </c>
      <c r="B2553" t="s">
        <v>4066</v>
      </c>
      <c r="E2553" s="11"/>
    </row>
    <row r="2554" spans="1:5">
      <c r="A2554" t="s">
        <v>4069</v>
      </c>
      <c r="B2554" t="s">
        <v>4070</v>
      </c>
      <c r="E2554" s="11"/>
    </row>
    <row r="2555" spans="1:5">
      <c r="A2555" t="s">
        <v>4072</v>
      </c>
      <c r="B2555" t="s">
        <v>4073</v>
      </c>
      <c r="E2555" s="11"/>
    </row>
    <row r="2556" spans="1:5">
      <c r="A2556" t="s">
        <v>4075</v>
      </c>
      <c r="B2556" t="s">
        <v>4076</v>
      </c>
      <c r="E2556" s="11"/>
    </row>
    <row r="2557" spans="1:5">
      <c r="A2557" t="s">
        <v>4078</v>
      </c>
      <c r="B2557" t="s">
        <v>4079</v>
      </c>
      <c r="E2557" s="11"/>
    </row>
    <row r="2558" spans="1:5">
      <c r="A2558" t="s">
        <v>4080</v>
      </c>
      <c r="B2558" t="s">
        <v>4081</v>
      </c>
      <c r="E2558" s="11"/>
    </row>
    <row r="2559" spans="1:5">
      <c r="A2559" t="s">
        <v>4082</v>
      </c>
      <c r="B2559" t="s">
        <v>4083</v>
      </c>
      <c r="E2559" s="11"/>
    </row>
    <row r="2560" spans="1:5">
      <c r="A2560" t="s">
        <v>4084</v>
      </c>
      <c r="B2560" t="s">
        <v>4085</v>
      </c>
      <c r="E2560" s="11"/>
    </row>
    <row r="2561" spans="1:6">
      <c r="A2561" t="s">
        <v>4086</v>
      </c>
      <c r="B2561" t="s">
        <v>4087</v>
      </c>
      <c r="E2561" s="11"/>
    </row>
    <row r="2562" spans="1:6">
      <c r="A2562" t="s">
        <v>4088</v>
      </c>
      <c r="B2562" t="s">
        <v>4089</v>
      </c>
      <c r="E2562" s="11"/>
    </row>
    <row r="2563" spans="1:6">
      <c r="A2563" t="s">
        <v>4092</v>
      </c>
      <c r="B2563" t="s">
        <v>4093</v>
      </c>
      <c r="E2563" s="11"/>
    </row>
    <row r="2564" spans="1:6">
      <c r="A2564" t="s">
        <v>4103</v>
      </c>
      <c r="B2564" t="s">
        <v>4104</v>
      </c>
      <c r="E2564" s="11"/>
    </row>
    <row r="2565" spans="1:6">
      <c r="A2565" t="s">
        <v>4105</v>
      </c>
      <c r="B2565" t="s">
        <v>4106</v>
      </c>
      <c r="E2565" s="11"/>
    </row>
    <row r="2566" spans="1:6">
      <c r="A2566" t="s">
        <v>4108</v>
      </c>
      <c r="B2566" t="s">
        <v>4109</v>
      </c>
      <c r="E2566" s="11"/>
    </row>
    <row r="2567" spans="1:6">
      <c r="A2567" t="s">
        <v>4122</v>
      </c>
      <c r="B2567" t="s">
        <v>4123</v>
      </c>
      <c r="E2567" s="11"/>
      <c r="F2567" s="42"/>
    </row>
    <row r="2568" spans="1:6">
      <c r="A2568" t="s">
        <v>4137</v>
      </c>
      <c r="B2568" t="s">
        <v>4138</v>
      </c>
      <c r="E2568" s="11"/>
    </row>
    <row r="2569" spans="1:6">
      <c r="A2569" t="s">
        <v>4143</v>
      </c>
      <c r="B2569" t="s">
        <v>4144</v>
      </c>
      <c r="E2569" s="11"/>
    </row>
    <row r="2570" spans="1:6">
      <c r="A2570" t="s">
        <v>4146</v>
      </c>
      <c r="B2570" t="s">
        <v>4147</v>
      </c>
      <c r="E2570" s="11"/>
    </row>
    <row r="2571" spans="1:6">
      <c r="A2571" t="s">
        <v>4148</v>
      </c>
      <c r="B2571" t="s">
        <v>4149</v>
      </c>
      <c r="E2571" s="11"/>
    </row>
    <row r="2572" spans="1:6">
      <c r="A2572" t="s">
        <v>4150</v>
      </c>
      <c r="B2572" t="s">
        <v>4151</v>
      </c>
      <c r="E2572" s="11"/>
    </row>
    <row r="2573" spans="1:6">
      <c r="A2573" t="s">
        <v>4152</v>
      </c>
      <c r="B2573" t="s">
        <v>4153</v>
      </c>
      <c r="E2573" s="11"/>
    </row>
    <row r="2574" spans="1:6">
      <c r="A2574" t="s">
        <v>4154</v>
      </c>
      <c r="B2574" t="s">
        <v>4155</v>
      </c>
      <c r="E2574" s="11"/>
    </row>
    <row r="2575" spans="1:6">
      <c r="A2575" t="s">
        <v>4156</v>
      </c>
      <c r="B2575" t="s">
        <v>4157</v>
      </c>
      <c r="E2575" s="11"/>
    </row>
    <row r="2576" spans="1:6">
      <c r="A2576" t="s">
        <v>4158</v>
      </c>
      <c r="B2576" t="s">
        <v>4159</v>
      </c>
      <c r="E2576" s="11"/>
    </row>
    <row r="2577" spans="1:5">
      <c r="A2577" t="s">
        <v>4160</v>
      </c>
      <c r="B2577" t="s">
        <v>4161</v>
      </c>
      <c r="E2577" s="11"/>
    </row>
    <row r="2578" spans="1:5">
      <c r="A2578" t="s">
        <v>4163</v>
      </c>
      <c r="B2578" t="s">
        <v>4164</v>
      </c>
      <c r="E2578" s="11"/>
    </row>
    <row r="2579" spans="1:5">
      <c r="A2579" t="s">
        <v>4173</v>
      </c>
      <c r="B2579" t="s">
        <v>4174</v>
      </c>
      <c r="E2579" s="11"/>
    </row>
    <row r="2580" spans="1:5">
      <c r="A2580" t="s">
        <v>4176</v>
      </c>
      <c r="B2580" t="s">
        <v>4177</v>
      </c>
      <c r="E2580" s="11"/>
    </row>
    <row r="2581" spans="1:5">
      <c r="A2581" t="s">
        <v>4183</v>
      </c>
      <c r="B2581" t="s">
        <v>4184</v>
      </c>
      <c r="E2581" s="11"/>
    </row>
    <row r="2582" spans="1:5">
      <c r="A2582" t="s">
        <v>4185</v>
      </c>
      <c r="B2582" t="s">
        <v>4186</v>
      </c>
      <c r="E2582" s="11"/>
    </row>
    <row r="2583" spans="1:5">
      <c r="A2583" t="s">
        <v>4187</v>
      </c>
      <c r="B2583" t="s">
        <v>4188</v>
      </c>
      <c r="E2583" s="11"/>
    </row>
    <row r="2584" spans="1:5">
      <c r="A2584" t="s">
        <v>4189</v>
      </c>
      <c r="B2584" t="s">
        <v>4190</v>
      </c>
      <c r="E2584" s="11"/>
    </row>
    <row r="2585" spans="1:5">
      <c r="A2585" t="s">
        <v>4199</v>
      </c>
      <c r="B2585" t="s">
        <v>4200</v>
      </c>
      <c r="E2585" s="11"/>
    </row>
    <row r="2586" spans="1:5">
      <c r="A2586" t="s">
        <v>4203</v>
      </c>
      <c r="B2586" t="s">
        <v>4204</v>
      </c>
      <c r="E2586" s="11"/>
    </row>
    <row r="2587" spans="1:5">
      <c r="A2587" t="s">
        <v>4205</v>
      </c>
      <c r="B2587" t="s">
        <v>4206</v>
      </c>
      <c r="E2587" s="11"/>
    </row>
    <row r="2588" spans="1:5">
      <c r="A2588" t="s">
        <v>4207</v>
      </c>
      <c r="B2588" t="s">
        <v>4208</v>
      </c>
      <c r="E2588" s="11"/>
    </row>
    <row r="2589" spans="1:5">
      <c r="A2589" t="s">
        <v>4214</v>
      </c>
      <c r="B2589" t="s">
        <v>4215</v>
      </c>
      <c r="E2589" s="11"/>
    </row>
    <row r="2590" spans="1:5">
      <c r="A2590" t="s">
        <v>4228</v>
      </c>
      <c r="B2590" t="s">
        <v>4229</v>
      </c>
      <c r="E2590" s="11"/>
    </row>
    <row r="2591" spans="1:5">
      <c r="A2591" t="s">
        <v>4233</v>
      </c>
      <c r="B2591" t="s">
        <v>4234</v>
      </c>
      <c r="E2591" s="11"/>
    </row>
    <row r="2592" spans="1:5">
      <c r="A2592" t="s">
        <v>4235</v>
      </c>
      <c r="B2592" t="s">
        <v>4236</v>
      </c>
      <c r="E2592" s="11"/>
    </row>
    <row r="2593" spans="1:5">
      <c r="A2593" t="s">
        <v>4254</v>
      </c>
      <c r="B2593" t="s">
        <v>4255</v>
      </c>
      <c r="E2593" s="11"/>
    </row>
    <row r="2594" spans="1:5">
      <c r="A2594" t="s">
        <v>4257</v>
      </c>
      <c r="B2594" t="s">
        <v>4258</v>
      </c>
      <c r="E2594" s="11"/>
    </row>
    <row r="2595" spans="1:5">
      <c r="A2595" t="s">
        <v>4259</v>
      </c>
      <c r="B2595" t="s">
        <v>4260</v>
      </c>
      <c r="E2595" s="11"/>
    </row>
    <row r="2596" spans="1:5">
      <c r="A2596" t="s">
        <v>4261</v>
      </c>
      <c r="B2596" t="s">
        <v>4262</v>
      </c>
      <c r="E2596" s="11"/>
    </row>
    <row r="2597" spans="1:5">
      <c r="A2597" t="s">
        <v>4268</v>
      </c>
      <c r="B2597" t="s">
        <v>4269</v>
      </c>
      <c r="E2597" s="11"/>
    </row>
    <row r="2598" spans="1:5">
      <c r="A2598" t="s">
        <v>4279</v>
      </c>
      <c r="B2598" t="s">
        <v>4280</v>
      </c>
      <c r="E2598" s="11"/>
    </row>
    <row r="2599" spans="1:5">
      <c r="A2599" t="s">
        <v>4284</v>
      </c>
      <c r="B2599" t="s">
        <v>4285</v>
      </c>
      <c r="E2599" s="11"/>
    </row>
    <row r="2600" spans="1:5">
      <c r="A2600" t="s">
        <v>4286</v>
      </c>
      <c r="B2600" t="s">
        <v>4287</v>
      </c>
      <c r="E2600" s="11"/>
    </row>
    <row r="2601" spans="1:5">
      <c r="A2601" t="s">
        <v>4288</v>
      </c>
      <c r="B2601" t="s">
        <v>4289</v>
      </c>
      <c r="E2601" s="11"/>
    </row>
    <row r="2602" spans="1:5">
      <c r="A2602" t="s">
        <v>4290</v>
      </c>
      <c r="B2602" t="s">
        <v>4291</v>
      </c>
      <c r="E2602" s="11"/>
    </row>
    <row r="2603" spans="1:5">
      <c r="A2603" t="s">
        <v>4293</v>
      </c>
      <c r="B2603" t="s">
        <v>4294</v>
      </c>
      <c r="E2603" s="11"/>
    </row>
    <row r="2604" spans="1:5">
      <c r="A2604" t="s">
        <v>4297</v>
      </c>
      <c r="B2604" t="s">
        <v>4298</v>
      </c>
      <c r="E2604" s="11"/>
    </row>
    <row r="2605" spans="1:5">
      <c r="A2605" t="s">
        <v>4297</v>
      </c>
      <c r="B2605" t="s">
        <v>4299</v>
      </c>
      <c r="E2605" s="11"/>
    </row>
    <row r="2606" spans="1:5">
      <c r="A2606" t="s">
        <v>4297</v>
      </c>
      <c r="B2606" t="s">
        <v>4300</v>
      </c>
      <c r="E2606" s="11"/>
    </row>
    <row r="2607" spans="1:5">
      <c r="A2607" t="s">
        <v>4312</v>
      </c>
      <c r="B2607" t="s">
        <v>4313</v>
      </c>
      <c r="E2607" s="11"/>
    </row>
    <row r="2608" spans="1:5">
      <c r="A2608" t="s">
        <v>4315</v>
      </c>
      <c r="B2608" t="s">
        <v>4316</v>
      </c>
      <c r="E2608" s="11"/>
    </row>
    <row r="2609" spans="1:5">
      <c r="A2609" t="s">
        <v>4317</v>
      </c>
      <c r="B2609" t="s">
        <v>4318</v>
      </c>
      <c r="E2609" s="11"/>
    </row>
    <row r="2610" spans="1:5">
      <c r="A2610" t="s">
        <v>4319</v>
      </c>
      <c r="B2610" t="s">
        <v>4320</v>
      </c>
      <c r="E2610" s="11"/>
    </row>
    <row r="2611" spans="1:5">
      <c r="A2611" t="s">
        <v>4322</v>
      </c>
      <c r="B2611" t="s">
        <v>4323</v>
      </c>
      <c r="E2611" s="11"/>
    </row>
    <row r="2612" spans="1:5">
      <c r="A2612" t="s">
        <v>4325</v>
      </c>
      <c r="B2612" t="s">
        <v>4326</v>
      </c>
      <c r="E2612" s="11"/>
    </row>
    <row r="2613" spans="1:5">
      <c r="A2613" t="s">
        <v>4327</v>
      </c>
      <c r="B2613" t="s">
        <v>4328</v>
      </c>
      <c r="E2613" s="11"/>
    </row>
    <row r="2614" spans="1:5">
      <c r="A2614" t="s">
        <v>4333</v>
      </c>
      <c r="B2614" t="s">
        <v>4334</v>
      </c>
      <c r="E2614" s="11"/>
    </row>
    <row r="2615" spans="1:5">
      <c r="A2615" t="s">
        <v>4336</v>
      </c>
      <c r="B2615" t="s">
        <v>4337</v>
      </c>
      <c r="E2615" s="11"/>
    </row>
    <row r="2616" spans="1:5">
      <c r="A2616" t="s">
        <v>4340</v>
      </c>
      <c r="B2616" t="s">
        <v>4341</v>
      </c>
      <c r="E2616" s="11"/>
    </row>
    <row r="2617" spans="1:5">
      <c r="A2617" t="s">
        <v>4344</v>
      </c>
      <c r="B2617" t="s">
        <v>4345</v>
      </c>
      <c r="E2617" s="11"/>
    </row>
    <row r="2618" spans="1:5">
      <c r="A2618" t="s">
        <v>4347</v>
      </c>
      <c r="B2618" t="s">
        <v>4348</v>
      </c>
      <c r="E2618" s="11"/>
    </row>
    <row r="2619" spans="1:5">
      <c r="A2619" t="s">
        <v>4353</v>
      </c>
      <c r="B2619" t="s">
        <v>4354</v>
      </c>
      <c r="E2619" s="11"/>
    </row>
    <row r="2620" spans="1:5">
      <c r="A2620" t="s">
        <v>4356</v>
      </c>
      <c r="B2620" t="s">
        <v>4357</v>
      </c>
      <c r="E2620" s="11"/>
    </row>
    <row r="2621" spans="1:5">
      <c r="A2621" t="s">
        <v>4359</v>
      </c>
      <c r="B2621" t="s">
        <v>4360</v>
      </c>
      <c r="E2621" s="11"/>
    </row>
    <row r="2622" spans="1:5">
      <c r="A2622" t="s">
        <v>4362</v>
      </c>
      <c r="B2622" t="s">
        <v>4363</v>
      </c>
      <c r="E2622" s="11"/>
    </row>
    <row r="2623" spans="1:5">
      <c r="A2623" t="s">
        <v>4365</v>
      </c>
      <c r="B2623" t="s">
        <v>4366</v>
      </c>
      <c r="E2623" s="11"/>
    </row>
    <row r="2624" spans="1:5">
      <c r="A2624" t="s">
        <v>4368</v>
      </c>
      <c r="B2624" t="s">
        <v>4369</v>
      </c>
      <c r="E2624" s="11"/>
    </row>
    <row r="2625" spans="1:5">
      <c r="A2625" t="s">
        <v>4371</v>
      </c>
      <c r="B2625" t="s">
        <v>4372</v>
      </c>
      <c r="E2625" s="11"/>
    </row>
    <row r="2626" spans="1:5">
      <c r="A2626" t="s">
        <v>4374</v>
      </c>
      <c r="B2626" t="s">
        <v>4375</v>
      </c>
      <c r="E2626" s="11"/>
    </row>
    <row r="2627" spans="1:5">
      <c r="A2627" t="s">
        <v>4376</v>
      </c>
      <c r="B2627" t="s">
        <v>4377</v>
      </c>
      <c r="E2627" s="11"/>
    </row>
    <row r="2628" spans="1:5">
      <c r="A2628" t="s">
        <v>4379</v>
      </c>
      <c r="B2628" t="s">
        <v>4380</v>
      </c>
      <c r="E2628" s="11"/>
    </row>
    <row r="2629" spans="1:5">
      <c r="A2629" t="s">
        <v>2763</v>
      </c>
      <c r="B2629" t="s">
        <v>4384</v>
      </c>
      <c r="E2629" s="11"/>
    </row>
    <row r="2630" spans="1:5">
      <c r="A2630" t="s">
        <v>4385</v>
      </c>
      <c r="B2630" t="s">
        <v>4386</v>
      </c>
      <c r="E2630" s="11"/>
    </row>
    <row r="2631" spans="1:5">
      <c r="A2631" t="s">
        <v>4388</v>
      </c>
      <c r="B2631" t="s">
        <v>4389</v>
      </c>
      <c r="E2631" s="11"/>
    </row>
    <row r="2632" spans="1:5">
      <c r="A2632" t="s">
        <v>4392</v>
      </c>
      <c r="B2632" t="s">
        <v>4393</v>
      </c>
      <c r="E2632" s="11"/>
    </row>
    <row r="2633" spans="1:5">
      <c r="A2633" t="s">
        <v>4399</v>
      </c>
      <c r="B2633" t="s">
        <v>4400</v>
      </c>
      <c r="E2633" s="11"/>
    </row>
    <row r="2634" spans="1:5">
      <c r="A2634" t="s">
        <v>4403</v>
      </c>
      <c r="B2634" t="s">
        <v>4404</v>
      </c>
      <c r="E2634" s="11"/>
    </row>
    <row r="2635" spans="1:5">
      <c r="A2635" t="s">
        <v>4407</v>
      </c>
      <c r="B2635" t="s">
        <v>4408</v>
      </c>
      <c r="E2635" s="11"/>
    </row>
    <row r="2636" spans="1:5">
      <c r="A2636" t="s">
        <v>4407</v>
      </c>
      <c r="B2636" t="s">
        <v>4409</v>
      </c>
      <c r="E2636" s="11"/>
    </row>
    <row r="2637" spans="1:5">
      <c r="A2637" t="s">
        <v>4412</v>
      </c>
      <c r="B2637" t="s">
        <v>4413</v>
      </c>
      <c r="E2637" s="11"/>
    </row>
    <row r="2638" spans="1:5">
      <c r="A2638" t="s">
        <v>4414</v>
      </c>
      <c r="B2638" t="s">
        <v>4415</v>
      </c>
      <c r="E2638" s="11"/>
    </row>
    <row r="2639" spans="1:5">
      <c r="A2639" t="s">
        <v>4416</v>
      </c>
      <c r="B2639" t="s">
        <v>4417</v>
      </c>
      <c r="E2639" s="11"/>
    </row>
    <row r="2640" spans="1:5">
      <c r="A2640" t="s">
        <v>4422</v>
      </c>
      <c r="B2640" t="s">
        <v>4423</v>
      </c>
      <c r="E2640" s="11"/>
    </row>
    <row r="2641" spans="1:5">
      <c r="A2641" t="s">
        <v>4443</v>
      </c>
      <c r="B2641" t="s">
        <v>4444</v>
      </c>
      <c r="E2641" s="11"/>
    </row>
    <row r="2642" spans="1:5">
      <c r="A2642" t="s">
        <v>4447</v>
      </c>
      <c r="B2642" t="s">
        <v>4449</v>
      </c>
      <c r="E2642" s="11"/>
    </row>
    <row r="2643" spans="1:5">
      <c r="A2643" t="s">
        <v>4451</v>
      </c>
      <c r="B2643" t="s">
        <v>4452</v>
      </c>
      <c r="E2643" s="11"/>
    </row>
    <row r="2644" spans="1:5">
      <c r="A2644" t="s">
        <v>4451</v>
      </c>
      <c r="B2644" t="s">
        <v>4453</v>
      </c>
      <c r="E2644" s="11"/>
    </row>
    <row r="2645" spans="1:5">
      <c r="A2645" t="s">
        <v>4455</v>
      </c>
      <c r="B2645" t="s">
        <v>4456</v>
      </c>
      <c r="E2645" s="11"/>
    </row>
    <row r="2646" spans="1:5">
      <c r="A2646" t="s">
        <v>4458</v>
      </c>
      <c r="B2646" t="s">
        <v>4459</v>
      </c>
      <c r="E2646" s="11"/>
    </row>
    <row r="2647" spans="1:5">
      <c r="A2647" t="s">
        <v>4462</v>
      </c>
      <c r="B2647" t="s">
        <v>4463</v>
      </c>
      <c r="E2647" s="11"/>
    </row>
    <row r="2648" spans="1:5">
      <c r="A2648" t="s">
        <v>4478</v>
      </c>
      <c r="B2648" t="s">
        <v>4479</v>
      </c>
      <c r="E2648" s="11"/>
    </row>
    <row r="2649" spans="1:5">
      <c r="A2649" t="s">
        <v>4482</v>
      </c>
      <c r="B2649" t="s">
        <v>4483</v>
      </c>
      <c r="E2649" s="11"/>
    </row>
    <row r="2650" spans="1:5">
      <c r="A2650" t="s">
        <v>4486</v>
      </c>
      <c r="B2650" t="s">
        <v>4487</v>
      </c>
      <c r="E2650" s="11"/>
    </row>
    <row r="2651" spans="1:5">
      <c r="A2651" t="s">
        <v>4490</v>
      </c>
      <c r="B2651" t="s">
        <v>4491</v>
      </c>
      <c r="E2651" s="11"/>
    </row>
    <row r="2652" spans="1:5">
      <c r="A2652" t="s">
        <v>4496</v>
      </c>
      <c r="B2652" t="s">
        <v>4497</v>
      </c>
      <c r="E2652" s="11"/>
    </row>
    <row r="2653" spans="1:5">
      <c r="A2653" t="s">
        <v>4548</v>
      </c>
      <c r="B2653" t="s">
        <v>4549</v>
      </c>
      <c r="E2653" s="11"/>
    </row>
    <row r="2654" spans="1:5">
      <c r="A2654" t="s">
        <v>4573</v>
      </c>
      <c r="B2654" t="s">
        <v>4574</v>
      </c>
      <c r="E2654" s="11"/>
    </row>
    <row r="2655" spans="1:5">
      <c r="A2655" t="s">
        <v>4575</v>
      </c>
      <c r="B2655" t="s">
        <v>4576</v>
      </c>
      <c r="E2655" s="11"/>
    </row>
    <row r="2656" spans="1:5">
      <c r="A2656" t="s">
        <v>4577</v>
      </c>
      <c r="B2656" t="s">
        <v>4578</v>
      </c>
      <c r="E2656" s="11"/>
    </row>
    <row r="2657" spans="1:5">
      <c r="A2657" t="s">
        <v>4579</v>
      </c>
      <c r="B2657" t="s">
        <v>4580</v>
      </c>
      <c r="E2657" s="11"/>
    </row>
    <row r="2658" spans="1:5">
      <c r="A2658" t="s">
        <v>4583</v>
      </c>
      <c r="B2658" t="s">
        <v>4584</v>
      </c>
      <c r="E2658" s="11"/>
    </row>
    <row r="2659" spans="1:5">
      <c r="A2659" t="s">
        <v>4587</v>
      </c>
      <c r="B2659" t="s">
        <v>4588</v>
      </c>
      <c r="E2659" s="11"/>
    </row>
    <row r="2660" spans="1:5">
      <c r="A2660" t="s">
        <v>4606</v>
      </c>
      <c r="B2660" t="s">
        <v>4607</v>
      </c>
      <c r="E2660" s="11"/>
    </row>
    <row r="2661" spans="1:5">
      <c r="A2661" t="s">
        <v>4608</v>
      </c>
      <c r="B2661" t="s">
        <v>4609</v>
      </c>
      <c r="E2661" s="11"/>
    </row>
    <row r="2662" spans="1:5">
      <c r="A2662" t="s">
        <v>4610</v>
      </c>
      <c r="B2662" t="s">
        <v>4611</v>
      </c>
      <c r="E2662" s="11"/>
    </row>
    <row r="2663" spans="1:5">
      <c r="A2663" t="s">
        <v>4612</v>
      </c>
      <c r="B2663" t="s">
        <v>4613</v>
      </c>
      <c r="E2663" s="11"/>
    </row>
    <row r="2664" spans="1:5">
      <c r="A2664" t="s">
        <v>4619</v>
      </c>
      <c r="B2664" t="s">
        <v>4620</v>
      </c>
      <c r="E2664" s="11"/>
    </row>
    <row r="2665" spans="1:5">
      <c r="A2665" t="s">
        <v>4630</v>
      </c>
      <c r="B2665" t="s">
        <v>4631</v>
      </c>
      <c r="E2665" s="11"/>
    </row>
    <row r="2666" spans="1:5">
      <c r="A2666" t="s">
        <v>4644</v>
      </c>
      <c r="B2666" t="s">
        <v>4645</v>
      </c>
      <c r="E2666" s="11"/>
    </row>
    <row r="2667" spans="1:5">
      <c r="A2667" t="s">
        <v>4646</v>
      </c>
      <c r="B2667" t="s">
        <v>4647</v>
      </c>
      <c r="E2667" s="11"/>
    </row>
    <row r="2668" spans="1:5">
      <c r="A2668" t="s">
        <v>4648</v>
      </c>
      <c r="B2668" t="s">
        <v>4649</v>
      </c>
      <c r="E2668" s="11"/>
    </row>
    <row r="2669" spans="1:5">
      <c r="A2669" t="s">
        <v>4650</v>
      </c>
      <c r="B2669" t="s">
        <v>4651</v>
      </c>
      <c r="E2669" s="11"/>
    </row>
    <row r="2670" spans="1:5">
      <c r="A2670" t="s">
        <v>4653</v>
      </c>
      <c r="B2670" t="s">
        <v>4655</v>
      </c>
      <c r="E2670" s="11"/>
    </row>
    <row r="2671" spans="1:5">
      <c r="A2671" t="s">
        <v>4666</v>
      </c>
      <c r="B2671" t="s">
        <v>4667</v>
      </c>
      <c r="E2671" s="11"/>
    </row>
    <row r="2672" spans="1:5">
      <c r="A2672" t="s">
        <v>4671</v>
      </c>
      <c r="B2672" t="s">
        <v>4672</v>
      </c>
      <c r="E2672" s="11"/>
    </row>
    <row r="2673" spans="1:5">
      <c r="A2673" t="s">
        <v>4673</v>
      </c>
      <c r="B2673" t="s">
        <v>4674</v>
      </c>
      <c r="E2673" s="11"/>
    </row>
    <row r="2674" spans="1:5">
      <c r="A2674" t="s">
        <v>4681</v>
      </c>
      <c r="B2674" t="s">
        <v>4682</v>
      </c>
      <c r="E2674" s="11"/>
    </row>
    <row r="2675" spans="1:5">
      <c r="A2675" t="s">
        <v>4685</v>
      </c>
      <c r="B2675" t="s">
        <v>4686</v>
      </c>
      <c r="E2675" s="11"/>
    </row>
    <row r="2676" spans="1:5">
      <c r="A2676" t="s">
        <v>4689</v>
      </c>
      <c r="B2676" t="s">
        <v>4690</v>
      </c>
      <c r="E2676" s="11"/>
    </row>
    <row r="2677" spans="1:5">
      <c r="A2677" t="s">
        <v>4693</v>
      </c>
      <c r="B2677" t="s">
        <v>4694</v>
      </c>
      <c r="E2677" s="11"/>
    </row>
    <row r="2678" spans="1:5">
      <c r="A2678" t="s">
        <v>4708</v>
      </c>
      <c r="B2678" t="s">
        <v>4709</v>
      </c>
      <c r="E2678" s="11"/>
    </row>
    <row r="2679" spans="1:5">
      <c r="A2679" t="s">
        <v>4714</v>
      </c>
      <c r="B2679" t="s">
        <v>4715</v>
      </c>
      <c r="E2679" s="11"/>
    </row>
    <row r="2680" spans="1:5">
      <c r="A2680" t="s">
        <v>4716</v>
      </c>
      <c r="B2680" t="s">
        <v>4717</v>
      </c>
      <c r="E2680" s="11"/>
    </row>
    <row r="2681" spans="1:5">
      <c r="A2681" t="s">
        <v>4721</v>
      </c>
      <c r="B2681" t="s">
        <v>4722</v>
      </c>
      <c r="E2681" s="11"/>
    </row>
    <row r="2682" spans="1:5">
      <c r="A2682" t="s">
        <v>4728</v>
      </c>
      <c r="B2682" t="s">
        <v>4729</v>
      </c>
      <c r="E2682" s="11"/>
    </row>
    <row r="2683" spans="1:5">
      <c r="A2683" t="s">
        <v>4735</v>
      </c>
      <c r="B2683" t="s">
        <v>4736</v>
      </c>
      <c r="E2683" s="11"/>
    </row>
    <row r="2684" spans="1:5">
      <c r="A2684" t="s">
        <v>4738</v>
      </c>
      <c r="B2684" t="s">
        <v>4739</v>
      </c>
      <c r="E2684" s="11"/>
    </row>
    <row r="2685" spans="1:5">
      <c r="A2685" t="s">
        <v>4741</v>
      </c>
      <c r="B2685" t="s">
        <v>4742</v>
      </c>
      <c r="E2685" s="11"/>
    </row>
    <row r="2686" spans="1:5">
      <c r="A2686" t="s">
        <v>4741</v>
      </c>
      <c r="B2686" t="s">
        <v>4744</v>
      </c>
      <c r="E2686" s="11"/>
    </row>
    <row r="2687" spans="1:5">
      <c r="A2687" t="s">
        <v>4741</v>
      </c>
      <c r="B2687" t="s">
        <v>4746</v>
      </c>
      <c r="E2687" s="11"/>
    </row>
    <row r="2688" spans="1:5">
      <c r="A2688" t="s">
        <v>4741</v>
      </c>
      <c r="B2688" t="s">
        <v>4748</v>
      </c>
      <c r="E2688" s="11"/>
    </row>
    <row r="2689" spans="1:5">
      <c r="A2689" t="s">
        <v>4741</v>
      </c>
      <c r="B2689" t="s">
        <v>4749</v>
      </c>
      <c r="E2689" s="11"/>
    </row>
    <row r="2690" spans="1:5">
      <c r="A2690" t="s">
        <v>4741</v>
      </c>
      <c r="B2690" t="s">
        <v>4750</v>
      </c>
      <c r="E2690" s="11"/>
    </row>
    <row r="2691" spans="1:5">
      <c r="A2691" t="s">
        <v>4741</v>
      </c>
      <c r="B2691" t="s">
        <v>4751</v>
      </c>
      <c r="E2691" s="11"/>
    </row>
    <row r="2692" spans="1:5">
      <c r="A2692" t="s">
        <v>4741</v>
      </c>
      <c r="B2692" t="s">
        <v>4752</v>
      </c>
      <c r="E2692" s="11"/>
    </row>
    <row r="2693" spans="1:5">
      <c r="A2693" t="s">
        <v>4753</v>
      </c>
      <c r="B2693" t="s">
        <v>4754</v>
      </c>
      <c r="E2693" s="11"/>
    </row>
    <row r="2694" spans="1:5">
      <c r="A2694" t="s">
        <v>4755</v>
      </c>
      <c r="B2694" t="s">
        <v>4756</v>
      </c>
      <c r="E2694" s="11"/>
    </row>
    <row r="2695" spans="1:5">
      <c r="A2695" t="s">
        <v>4757</v>
      </c>
      <c r="B2695" t="s">
        <v>4758</v>
      </c>
      <c r="E2695" s="11"/>
    </row>
    <row r="2696" spans="1:5">
      <c r="A2696" t="s">
        <v>4761</v>
      </c>
      <c r="B2696" t="s">
        <v>4762</v>
      </c>
      <c r="E2696" s="11"/>
    </row>
    <row r="2697" spans="1:5">
      <c r="A2697" t="s">
        <v>4763</v>
      </c>
      <c r="B2697" t="s">
        <v>4764</v>
      </c>
      <c r="E2697" s="11"/>
    </row>
    <row r="2698" spans="1:5">
      <c r="A2698" t="s">
        <v>4765</v>
      </c>
      <c r="B2698" t="s">
        <v>4766</v>
      </c>
      <c r="E2698" s="11"/>
    </row>
    <row r="2699" spans="1:5">
      <c r="A2699" t="s">
        <v>4767</v>
      </c>
      <c r="B2699" t="s">
        <v>4768</v>
      </c>
      <c r="E2699" s="11"/>
    </row>
    <row r="2700" spans="1:5">
      <c r="A2700" t="s">
        <v>4769</v>
      </c>
      <c r="B2700" t="s">
        <v>4770</v>
      </c>
      <c r="E2700" s="11"/>
    </row>
    <row r="2701" spans="1:5">
      <c r="A2701" t="s">
        <v>4771</v>
      </c>
      <c r="B2701" t="s">
        <v>4772</v>
      </c>
      <c r="E2701" s="11"/>
    </row>
    <row r="2702" spans="1:5">
      <c r="A2702" t="s">
        <v>4773</v>
      </c>
      <c r="B2702" t="s">
        <v>4774</v>
      </c>
      <c r="E2702" s="11"/>
    </row>
    <row r="2703" spans="1:5">
      <c r="A2703" t="s">
        <v>4775</v>
      </c>
      <c r="B2703" t="s">
        <v>4776</v>
      </c>
      <c r="E2703" s="11"/>
    </row>
    <row r="2704" spans="1:5">
      <c r="A2704" t="s">
        <v>4777</v>
      </c>
      <c r="B2704" t="s">
        <v>4778</v>
      </c>
      <c r="E2704" s="11"/>
    </row>
    <row r="2705" spans="1:5">
      <c r="A2705" t="s">
        <v>4779</v>
      </c>
      <c r="B2705" t="s">
        <v>4780</v>
      </c>
      <c r="E2705" s="11"/>
    </row>
    <row r="2706" spans="1:5">
      <c r="A2706" t="s">
        <v>4781</v>
      </c>
      <c r="B2706" t="s">
        <v>4782</v>
      </c>
      <c r="E2706" s="11"/>
    </row>
    <row r="2707" spans="1:5">
      <c r="A2707" t="s">
        <v>4784</v>
      </c>
      <c r="B2707" t="s">
        <v>4785</v>
      </c>
      <c r="E2707" s="11"/>
    </row>
    <row r="2708" spans="1:5">
      <c r="A2708" t="s">
        <v>4787</v>
      </c>
      <c r="B2708" t="s">
        <v>4788</v>
      </c>
      <c r="E2708" s="11"/>
    </row>
    <row r="2709" spans="1:5">
      <c r="A2709" t="s">
        <v>4789</v>
      </c>
      <c r="B2709" t="s">
        <v>4790</v>
      </c>
      <c r="E2709" s="11"/>
    </row>
    <row r="2710" spans="1:5">
      <c r="A2710" t="s">
        <v>4791</v>
      </c>
      <c r="B2710" t="s">
        <v>4792</v>
      </c>
      <c r="E2710" s="11"/>
    </row>
    <row r="2711" spans="1:5">
      <c r="A2711" t="s">
        <v>4793</v>
      </c>
      <c r="B2711" t="s">
        <v>4794</v>
      </c>
      <c r="E2711" s="11"/>
    </row>
    <row r="2712" spans="1:5">
      <c r="A2712" t="s">
        <v>4795</v>
      </c>
      <c r="B2712" t="s">
        <v>4796</v>
      </c>
      <c r="E2712" s="11"/>
    </row>
    <row r="2713" spans="1:5">
      <c r="A2713" t="s">
        <v>4798</v>
      </c>
      <c r="B2713" t="s">
        <v>4799</v>
      </c>
      <c r="E2713" s="11"/>
    </row>
    <row r="2714" spans="1:5">
      <c r="A2714" t="s">
        <v>4800</v>
      </c>
      <c r="B2714" t="s">
        <v>4801</v>
      </c>
      <c r="E2714" s="11"/>
    </row>
    <row r="2715" spans="1:5">
      <c r="A2715" t="s">
        <v>4802</v>
      </c>
      <c r="B2715" t="s">
        <v>4803</v>
      </c>
      <c r="E2715" s="11"/>
    </row>
    <row r="2716" spans="1:5">
      <c r="A2716" t="s">
        <v>4804</v>
      </c>
      <c r="B2716" t="s">
        <v>4805</v>
      </c>
      <c r="E2716" s="11"/>
    </row>
    <row r="2717" spans="1:5">
      <c r="A2717" t="s">
        <v>4806</v>
      </c>
      <c r="B2717" t="s">
        <v>4807</v>
      </c>
      <c r="E2717" s="11"/>
    </row>
    <row r="2718" spans="1:5">
      <c r="A2718" t="s">
        <v>4808</v>
      </c>
      <c r="B2718" t="s">
        <v>4809</v>
      </c>
      <c r="E2718" s="11"/>
    </row>
    <row r="2719" spans="1:5">
      <c r="A2719" t="s">
        <v>4810</v>
      </c>
      <c r="B2719" t="s">
        <v>4811</v>
      </c>
      <c r="E2719" s="11"/>
    </row>
    <row r="2720" spans="1:5">
      <c r="A2720" t="s">
        <v>4812</v>
      </c>
      <c r="B2720" t="s">
        <v>4813</v>
      </c>
      <c r="E2720" s="11"/>
    </row>
    <row r="2721" spans="1:5">
      <c r="A2721" t="s">
        <v>4814</v>
      </c>
      <c r="B2721" t="s">
        <v>4815</v>
      </c>
      <c r="E2721" s="11"/>
    </row>
    <row r="2722" spans="1:5">
      <c r="A2722" t="s">
        <v>4816</v>
      </c>
      <c r="B2722" t="s">
        <v>4817</v>
      </c>
      <c r="E2722" s="11"/>
    </row>
    <row r="2723" spans="1:5">
      <c r="A2723" t="s">
        <v>4818</v>
      </c>
      <c r="B2723" t="s">
        <v>4819</v>
      </c>
      <c r="E2723" s="11"/>
    </row>
    <row r="2724" spans="1:5">
      <c r="A2724" t="s">
        <v>4820</v>
      </c>
      <c r="B2724" t="s">
        <v>4821</v>
      </c>
      <c r="E2724" s="11"/>
    </row>
    <row r="2725" spans="1:5">
      <c r="A2725" t="s">
        <v>4822</v>
      </c>
      <c r="B2725" t="s">
        <v>4823</v>
      </c>
      <c r="E2725" s="11"/>
    </row>
    <row r="2726" spans="1:5">
      <c r="A2726" t="s">
        <v>4824</v>
      </c>
      <c r="B2726" t="s">
        <v>4825</v>
      </c>
      <c r="E2726" s="11"/>
    </row>
    <row r="2727" spans="1:5">
      <c r="A2727" t="s">
        <v>4826</v>
      </c>
      <c r="B2727" t="s">
        <v>4827</v>
      </c>
      <c r="E2727" s="11"/>
    </row>
    <row r="2728" spans="1:5">
      <c r="A2728" t="s">
        <v>4828</v>
      </c>
      <c r="B2728" t="s">
        <v>4829</v>
      </c>
      <c r="E2728" s="11"/>
    </row>
    <row r="2729" spans="1:5">
      <c r="A2729" t="s">
        <v>4830</v>
      </c>
      <c r="B2729" t="s">
        <v>4831</v>
      </c>
      <c r="E2729" s="11"/>
    </row>
    <row r="2730" spans="1:5">
      <c r="A2730" t="s">
        <v>4832</v>
      </c>
      <c r="B2730" t="s">
        <v>4833</v>
      </c>
      <c r="E2730" s="11"/>
    </row>
    <row r="2731" spans="1:5">
      <c r="A2731" t="s">
        <v>4835</v>
      </c>
      <c r="B2731" t="s">
        <v>4836</v>
      </c>
      <c r="E2731" s="11"/>
    </row>
    <row r="2732" spans="1:5">
      <c r="A2732" t="s">
        <v>4839</v>
      </c>
      <c r="B2732" t="s">
        <v>4840</v>
      </c>
      <c r="E2732" s="11"/>
    </row>
    <row r="2733" spans="1:5">
      <c r="A2733" t="s">
        <v>4844</v>
      </c>
      <c r="B2733" t="s">
        <v>4845</v>
      </c>
      <c r="E2733" s="11"/>
    </row>
    <row r="2734" spans="1:5">
      <c r="A2734" t="s">
        <v>4847</v>
      </c>
      <c r="B2734" t="s">
        <v>4848</v>
      </c>
      <c r="E2734" s="11"/>
    </row>
    <row r="2735" spans="1:5">
      <c r="A2735" t="s">
        <v>4849</v>
      </c>
      <c r="B2735" t="s">
        <v>4850</v>
      </c>
      <c r="E2735" s="11"/>
    </row>
    <row r="2736" spans="1:5">
      <c r="A2736" t="s">
        <v>4851</v>
      </c>
      <c r="B2736" t="s">
        <v>4852</v>
      </c>
      <c r="E2736" s="11"/>
    </row>
    <row r="2737" spans="1:5">
      <c r="A2737" t="s">
        <v>4853</v>
      </c>
      <c r="B2737" t="s">
        <v>4854</v>
      </c>
      <c r="E2737" s="11"/>
    </row>
    <row r="2738" spans="1:5">
      <c r="A2738" t="s">
        <v>4855</v>
      </c>
      <c r="B2738" t="s">
        <v>4856</v>
      </c>
      <c r="E2738" s="11"/>
    </row>
    <row r="2739" spans="1:5">
      <c r="A2739" t="s">
        <v>4857</v>
      </c>
      <c r="B2739" t="s">
        <v>4858</v>
      </c>
      <c r="E2739" s="11"/>
    </row>
    <row r="2740" spans="1:5">
      <c r="A2740" t="s">
        <v>4859</v>
      </c>
      <c r="B2740" t="s">
        <v>4860</v>
      </c>
      <c r="E2740" s="11"/>
    </row>
    <row r="2741" spans="1:5">
      <c r="A2741" t="s">
        <v>4861</v>
      </c>
      <c r="B2741" t="s">
        <v>4862</v>
      </c>
      <c r="E2741" s="11"/>
    </row>
    <row r="2742" spans="1:5">
      <c r="A2742" t="s">
        <v>4863</v>
      </c>
      <c r="B2742" t="s">
        <v>4864</v>
      </c>
      <c r="E2742" s="11"/>
    </row>
    <row r="2743" spans="1:5">
      <c r="A2743" t="s">
        <v>4866</v>
      </c>
      <c r="B2743" t="s">
        <v>4867</v>
      </c>
      <c r="E2743" s="11"/>
    </row>
    <row r="2744" spans="1:5">
      <c r="A2744" t="s">
        <v>4868</v>
      </c>
      <c r="B2744" t="s">
        <v>4869</v>
      </c>
      <c r="E2744" s="11"/>
    </row>
    <row r="2745" spans="1:5">
      <c r="A2745" t="s">
        <v>4870</v>
      </c>
      <c r="B2745" t="s">
        <v>4871</v>
      </c>
      <c r="E2745" s="11"/>
    </row>
    <row r="2746" spans="1:5">
      <c r="A2746" t="s">
        <v>4872</v>
      </c>
      <c r="B2746" t="s">
        <v>4873</v>
      </c>
      <c r="E2746" s="11"/>
    </row>
    <row r="2747" spans="1:5">
      <c r="A2747" t="s">
        <v>4874</v>
      </c>
      <c r="B2747" t="s">
        <v>4875</v>
      </c>
      <c r="E2747" s="11"/>
    </row>
    <row r="2748" spans="1:5">
      <c r="A2748" t="s">
        <v>4876</v>
      </c>
      <c r="B2748" t="s">
        <v>4877</v>
      </c>
      <c r="E2748" s="11"/>
    </row>
    <row r="2749" spans="1:5">
      <c r="A2749" t="s">
        <v>4879</v>
      </c>
      <c r="B2749" t="s">
        <v>4880</v>
      </c>
      <c r="E2749" s="11"/>
    </row>
    <row r="2750" spans="1:5">
      <c r="A2750" t="s">
        <v>4881</v>
      </c>
      <c r="B2750" t="s">
        <v>4882</v>
      </c>
      <c r="E2750" s="11"/>
    </row>
    <row r="2751" spans="1:5">
      <c r="A2751" t="s">
        <v>4884</v>
      </c>
      <c r="B2751" t="s">
        <v>4885</v>
      </c>
      <c r="E2751" s="11"/>
    </row>
    <row r="2752" spans="1:5">
      <c r="A2752" t="s">
        <v>4886</v>
      </c>
      <c r="B2752" t="s">
        <v>4887</v>
      </c>
      <c r="E2752" s="11"/>
    </row>
    <row r="2753" spans="1:5">
      <c r="A2753" t="s">
        <v>4889</v>
      </c>
      <c r="B2753" t="s">
        <v>4890</v>
      </c>
      <c r="E2753" s="11"/>
    </row>
    <row r="2754" spans="1:5">
      <c r="A2754" t="s">
        <v>4891</v>
      </c>
      <c r="B2754" t="s">
        <v>4892</v>
      </c>
      <c r="E2754" s="11"/>
    </row>
    <row r="2755" spans="1:5">
      <c r="A2755" t="s">
        <v>4893</v>
      </c>
      <c r="B2755" t="s">
        <v>4894</v>
      </c>
      <c r="E2755" s="11"/>
    </row>
    <row r="2756" spans="1:5">
      <c r="A2756" t="s">
        <v>4895</v>
      </c>
      <c r="B2756" t="s">
        <v>4896</v>
      </c>
      <c r="E2756" s="11"/>
    </row>
    <row r="2757" spans="1:5">
      <c r="A2757" t="s">
        <v>4898</v>
      </c>
      <c r="B2757" t="s">
        <v>4899</v>
      </c>
      <c r="E2757" s="11"/>
    </row>
    <row r="2758" spans="1:5">
      <c r="A2758" t="s">
        <v>4901</v>
      </c>
      <c r="B2758" t="s">
        <v>4902</v>
      </c>
      <c r="E2758" s="11"/>
    </row>
    <row r="2759" spans="1:5">
      <c r="A2759" t="s">
        <v>4903</v>
      </c>
      <c r="B2759" t="s">
        <v>4904</v>
      </c>
      <c r="E2759" s="11"/>
    </row>
    <row r="2760" spans="1:5">
      <c r="A2760" t="s">
        <v>4905</v>
      </c>
      <c r="B2760" t="s">
        <v>4906</v>
      </c>
      <c r="E2760" s="11"/>
    </row>
    <row r="2761" spans="1:5">
      <c r="A2761" t="s">
        <v>4907</v>
      </c>
      <c r="B2761" t="s">
        <v>4908</v>
      </c>
      <c r="E2761" s="11"/>
    </row>
    <row r="2762" spans="1:5">
      <c r="A2762" t="s">
        <v>4909</v>
      </c>
      <c r="B2762" t="s">
        <v>4910</v>
      </c>
      <c r="E2762" s="11"/>
    </row>
    <row r="2763" spans="1:5">
      <c r="A2763" t="s">
        <v>4911</v>
      </c>
      <c r="B2763" t="s">
        <v>4912</v>
      </c>
      <c r="E2763" s="11"/>
    </row>
    <row r="2764" spans="1:5">
      <c r="A2764" t="s">
        <v>4913</v>
      </c>
      <c r="B2764" t="s">
        <v>4914</v>
      </c>
      <c r="E2764" s="11"/>
    </row>
    <row r="2765" spans="1:5">
      <c r="A2765" t="s">
        <v>4916</v>
      </c>
      <c r="B2765" t="s">
        <v>4917</v>
      </c>
      <c r="E2765" s="11"/>
    </row>
    <row r="2766" spans="1:5">
      <c r="A2766" t="s">
        <v>4918</v>
      </c>
      <c r="B2766" t="s">
        <v>4919</v>
      </c>
      <c r="E2766" s="11"/>
    </row>
    <row r="2767" spans="1:5">
      <c r="A2767" t="s">
        <v>4920</v>
      </c>
      <c r="B2767" t="s">
        <v>4921</v>
      </c>
      <c r="E2767" s="11"/>
    </row>
    <row r="2768" spans="1:5">
      <c r="A2768" t="s">
        <v>4922</v>
      </c>
      <c r="B2768" t="s">
        <v>4923</v>
      </c>
      <c r="E2768" s="11"/>
    </row>
    <row r="2769" spans="1:5">
      <c r="A2769" t="s">
        <v>4926</v>
      </c>
      <c r="B2769" t="s">
        <v>4927</v>
      </c>
      <c r="E2769" s="11"/>
    </row>
    <row r="2770" spans="1:5">
      <c r="A2770" t="s">
        <v>4928</v>
      </c>
      <c r="B2770" t="s">
        <v>4929</v>
      </c>
      <c r="E2770" s="11"/>
    </row>
    <row r="2771" spans="1:5">
      <c r="A2771" t="s">
        <v>4930</v>
      </c>
      <c r="B2771" t="s">
        <v>4931</v>
      </c>
      <c r="E2771" s="11"/>
    </row>
    <row r="2772" spans="1:5">
      <c r="A2772" t="s">
        <v>4933</v>
      </c>
      <c r="B2772" t="s">
        <v>4934</v>
      </c>
      <c r="E2772" s="11"/>
    </row>
    <row r="2773" spans="1:5">
      <c r="A2773" t="s">
        <v>4935</v>
      </c>
      <c r="B2773" t="s">
        <v>4936</v>
      </c>
      <c r="E2773" s="11"/>
    </row>
    <row r="2774" spans="1:5">
      <c r="A2774" t="s">
        <v>4937</v>
      </c>
      <c r="B2774" t="s">
        <v>4938</v>
      </c>
      <c r="E2774" s="11"/>
    </row>
    <row r="2775" spans="1:5">
      <c r="A2775" t="s">
        <v>4940</v>
      </c>
      <c r="B2775" t="s">
        <v>4941</v>
      </c>
      <c r="E2775" s="11"/>
    </row>
    <row r="2776" spans="1:5">
      <c r="A2776" t="s">
        <v>4942</v>
      </c>
      <c r="B2776" t="s">
        <v>4943</v>
      </c>
      <c r="E2776" s="11"/>
    </row>
    <row r="2777" spans="1:5">
      <c r="A2777" t="s">
        <v>4944</v>
      </c>
      <c r="B2777" t="s">
        <v>4945</v>
      </c>
      <c r="E2777" s="11"/>
    </row>
    <row r="2778" spans="1:5">
      <c r="A2778" t="s">
        <v>4946</v>
      </c>
      <c r="B2778" t="s">
        <v>4947</v>
      </c>
      <c r="E2778" s="11"/>
    </row>
    <row r="2779" spans="1:5">
      <c r="A2779" t="s">
        <v>4948</v>
      </c>
      <c r="B2779" t="s">
        <v>4949</v>
      </c>
      <c r="E2779" s="11"/>
    </row>
    <row r="2780" spans="1:5">
      <c r="A2780" t="s">
        <v>4954</v>
      </c>
      <c r="B2780" t="s">
        <v>4955</v>
      </c>
      <c r="E2780" s="11"/>
    </row>
    <row r="2781" spans="1:5">
      <c r="A2781" t="s">
        <v>4956</v>
      </c>
      <c r="B2781" t="s">
        <v>4957</v>
      </c>
      <c r="E2781" s="11"/>
    </row>
    <row r="2782" spans="1:5">
      <c r="A2782" t="s">
        <v>4958</v>
      </c>
      <c r="B2782" t="s">
        <v>4959</v>
      </c>
      <c r="E2782" s="11"/>
    </row>
    <row r="2783" spans="1:5">
      <c r="A2783" t="s">
        <v>4960</v>
      </c>
      <c r="B2783" t="s">
        <v>4961</v>
      </c>
      <c r="E2783" s="11"/>
    </row>
    <row r="2784" spans="1:5">
      <c r="A2784" t="s">
        <v>4969</v>
      </c>
      <c r="B2784" t="s">
        <v>4970</v>
      </c>
      <c r="E2784" s="11"/>
    </row>
    <row r="2785" spans="1:5">
      <c r="A2785" t="s">
        <v>4971</v>
      </c>
      <c r="B2785" t="s">
        <v>4972</v>
      </c>
      <c r="E2785" s="11"/>
    </row>
    <row r="2786" spans="1:5">
      <c r="A2786" t="s">
        <v>4973</v>
      </c>
      <c r="B2786" t="s">
        <v>4974</v>
      </c>
      <c r="E2786" s="11"/>
    </row>
    <row r="2787" spans="1:5">
      <c r="A2787" t="s">
        <v>4976</v>
      </c>
      <c r="B2787" t="s">
        <v>4977</v>
      </c>
      <c r="E2787" s="11"/>
    </row>
    <row r="2788" spans="1:5">
      <c r="A2788" t="s">
        <v>4978</v>
      </c>
      <c r="B2788" t="s">
        <v>4979</v>
      </c>
      <c r="E2788" s="11"/>
    </row>
    <row r="2789" spans="1:5">
      <c r="A2789" t="s">
        <v>4981</v>
      </c>
      <c r="B2789" t="s">
        <v>4982</v>
      </c>
      <c r="E2789" s="11"/>
    </row>
    <row r="2790" spans="1:5">
      <c r="A2790" t="s">
        <v>4983</v>
      </c>
      <c r="B2790" t="s">
        <v>4984</v>
      </c>
      <c r="E2790" s="11"/>
    </row>
    <row r="2791" spans="1:5">
      <c r="A2791" t="s">
        <v>4986</v>
      </c>
      <c r="B2791" t="s">
        <v>4987</v>
      </c>
      <c r="E2791" s="11"/>
    </row>
    <row r="2792" spans="1:5">
      <c r="A2792" t="s">
        <v>4989</v>
      </c>
      <c r="B2792" t="s">
        <v>4990</v>
      </c>
      <c r="E2792" s="11"/>
    </row>
    <row r="2793" spans="1:5">
      <c r="A2793" t="s">
        <v>4991</v>
      </c>
      <c r="B2793" t="s">
        <v>4992</v>
      </c>
      <c r="E2793" s="11"/>
    </row>
    <row r="2794" spans="1:5">
      <c r="A2794" t="s">
        <v>4993</v>
      </c>
      <c r="B2794" t="s">
        <v>4994</v>
      </c>
      <c r="E2794" s="11"/>
    </row>
    <row r="2795" spans="1:5">
      <c r="A2795" t="s">
        <v>4995</v>
      </c>
      <c r="B2795" t="s">
        <v>4996</v>
      </c>
      <c r="E2795" s="11"/>
    </row>
    <row r="2796" spans="1:5">
      <c r="A2796" t="s">
        <v>4998</v>
      </c>
      <c r="B2796" t="s">
        <v>4999</v>
      </c>
      <c r="E2796" s="11"/>
    </row>
    <row r="2797" spans="1:5">
      <c r="A2797" t="s">
        <v>5000</v>
      </c>
      <c r="B2797" t="s">
        <v>5001</v>
      </c>
      <c r="E2797" s="11"/>
    </row>
    <row r="2798" spans="1:5">
      <c r="A2798" t="s">
        <v>5002</v>
      </c>
      <c r="B2798" t="s">
        <v>5003</v>
      </c>
      <c r="E2798" s="11"/>
    </row>
    <row r="2799" spans="1:5">
      <c r="A2799" t="s">
        <v>5004</v>
      </c>
      <c r="B2799" t="s">
        <v>5005</v>
      </c>
      <c r="E2799" s="11"/>
    </row>
    <row r="2800" spans="1:5">
      <c r="A2800" t="s">
        <v>5008</v>
      </c>
      <c r="B2800" t="s">
        <v>5009</v>
      </c>
      <c r="E2800" s="11"/>
    </row>
    <row r="2801" spans="1:5">
      <c r="A2801" t="s">
        <v>5010</v>
      </c>
      <c r="B2801" t="s">
        <v>5011</v>
      </c>
      <c r="E2801" s="11"/>
    </row>
    <row r="2802" spans="1:5">
      <c r="A2802" t="s">
        <v>5012</v>
      </c>
      <c r="B2802" t="s">
        <v>5013</v>
      </c>
      <c r="E2802" s="11"/>
    </row>
    <row r="2803" spans="1:5">
      <c r="A2803" t="s">
        <v>5014</v>
      </c>
      <c r="B2803" t="s">
        <v>5015</v>
      </c>
      <c r="E2803" s="11"/>
    </row>
    <row r="2804" spans="1:5">
      <c r="A2804" t="s">
        <v>5016</v>
      </c>
      <c r="B2804" t="s">
        <v>5017</v>
      </c>
      <c r="E2804" s="11"/>
    </row>
    <row r="2805" spans="1:5">
      <c r="A2805" t="s">
        <v>5018</v>
      </c>
      <c r="B2805" t="s">
        <v>5019</v>
      </c>
      <c r="E2805" s="11"/>
    </row>
    <row r="2806" spans="1:5">
      <c r="A2806" t="s">
        <v>5021</v>
      </c>
      <c r="B2806" t="s">
        <v>5022</v>
      </c>
      <c r="E2806" s="11"/>
    </row>
    <row r="2807" spans="1:5">
      <c r="A2807" t="s">
        <v>5023</v>
      </c>
      <c r="B2807" t="s">
        <v>5024</v>
      </c>
      <c r="E2807" s="11"/>
    </row>
    <row r="2808" spans="1:5">
      <c r="A2808" t="s">
        <v>5025</v>
      </c>
      <c r="B2808" t="s">
        <v>5026</v>
      </c>
      <c r="E2808" s="11"/>
    </row>
    <row r="2809" spans="1:5">
      <c r="A2809" t="s">
        <v>5027</v>
      </c>
      <c r="B2809" t="s">
        <v>5028</v>
      </c>
      <c r="E2809" s="11"/>
    </row>
    <row r="2810" spans="1:5">
      <c r="A2810" t="s">
        <v>5029</v>
      </c>
      <c r="B2810" t="s">
        <v>5030</v>
      </c>
      <c r="E2810" s="11"/>
    </row>
    <row r="2811" spans="1:5">
      <c r="A2811" t="s">
        <v>5032</v>
      </c>
      <c r="B2811" t="s">
        <v>5033</v>
      </c>
      <c r="E2811" s="11"/>
    </row>
    <row r="2812" spans="1:5">
      <c r="A2812" t="s">
        <v>5034</v>
      </c>
      <c r="B2812" t="s">
        <v>5035</v>
      </c>
      <c r="E2812" s="11"/>
    </row>
    <row r="2813" spans="1:5">
      <c r="A2813" t="s">
        <v>5036</v>
      </c>
      <c r="B2813" t="s">
        <v>5037</v>
      </c>
      <c r="E2813" s="11"/>
    </row>
    <row r="2814" spans="1:5">
      <c r="A2814" t="s">
        <v>5038</v>
      </c>
      <c r="B2814" t="s">
        <v>5039</v>
      </c>
      <c r="E2814" s="11"/>
    </row>
    <row r="2815" spans="1:5">
      <c r="A2815" t="s">
        <v>5040</v>
      </c>
      <c r="B2815" t="s">
        <v>5041</v>
      </c>
      <c r="E2815" s="11"/>
    </row>
    <row r="2816" spans="1:5">
      <c r="A2816" t="s">
        <v>5042</v>
      </c>
      <c r="B2816" t="s">
        <v>5043</v>
      </c>
      <c r="E2816" s="11"/>
    </row>
    <row r="2817" spans="1:5">
      <c r="A2817" t="s">
        <v>5044</v>
      </c>
      <c r="B2817" t="s">
        <v>5045</v>
      </c>
      <c r="E2817" s="11"/>
    </row>
    <row r="2818" spans="1:5">
      <c r="A2818" t="s">
        <v>5046</v>
      </c>
      <c r="B2818" t="s">
        <v>5047</v>
      </c>
      <c r="E2818" s="11"/>
    </row>
    <row r="2819" spans="1:5">
      <c r="A2819" t="s">
        <v>5049</v>
      </c>
      <c r="B2819" t="s">
        <v>5050</v>
      </c>
      <c r="E2819" s="11"/>
    </row>
    <row r="2820" spans="1:5">
      <c r="A2820" t="s">
        <v>5051</v>
      </c>
      <c r="B2820" t="s">
        <v>5052</v>
      </c>
      <c r="E2820" s="11"/>
    </row>
    <row r="2821" spans="1:5">
      <c r="A2821" t="s">
        <v>5053</v>
      </c>
      <c r="B2821" t="s">
        <v>5054</v>
      </c>
      <c r="E2821" s="11"/>
    </row>
    <row r="2822" spans="1:5">
      <c r="A2822" t="s">
        <v>5055</v>
      </c>
      <c r="B2822" t="s">
        <v>5056</v>
      </c>
      <c r="E2822" s="11"/>
    </row>
    <row r="2823" spans="1:5">
      <c r="A2823" t="s">
        <v>5057</v>
      </c>
      <c r="B2823" t="s">
        <v>5058</v>
      </c>
      <c r="E2823" s="11"/>
    </row>
    <row r="2824" spans="1:5">
      <c r="A2824" t="s">
        <v>5060</v>
      </c>
      <c r="B2824" t="s">
        <v>5061</v>
      </c>
      <c r="E2824" s="11"/>
    </row>
    <row r="2825" spans="1:5">
      <c r="A2825" t="s">
        <v>5065</v>
      </c>
      <c r="B2825" t="s">
        <v>5066</v>
      </c>
      <c r="E2825" s="11"/>
    </row>
    <row r="2826" spans="1:5">
      <c r="A2826" t="s">
        <v>5067</v>
      </c>
      <c r="B2826" t="s">
        <v>5068</v>
      </c>
      <c r="E2826" s="11"/>
    </row>
    <row r="2827" spans="1:5">
      <c r="A2827" t="s">
        <v>5069</v>
      </c>
      <c r="B2827" t="s">
        <v>5070</v>
      </c>
      <c r="E2827" s="11"/>
    </row>
    <row r="2828" spans="1:5">
      <c r="A2828" t="s">
        <v>5071</v>
      </c>
      <c r="B2828" t="s">
        <v>5072</v>
      </c>
      <c r="E2828" s="11"/>
    </row>
    <row r="2829" spans="1:5">
      <c r="A2829" t="s">
        <v>5073</v>
      </c>
      <c r="B2829" t="s">
        <v>5074</v>
      </c>
      <c r="E2829" s="11"/>
    </row>
    <row r="2830" spans="1:5">
      <c r="A2830" t="s">
        <v>5075</v>
      </c>
      <c r="B2830" t="s">
        <v>5076</v>
      </c>
      <c r="E2830" s="11"/>
    </row>
    <row r="2831" spans="1:5">
      <c r="A2831" t="s">
        <v>5077</v>
      </c>
      <c r="B2831" t="s">
        <v>5078</v>
      </c>
      <c r="E2831" s="11"/>
    </row>
    <row r="2832" spans="1:5">
      <c r="A2832" t="s">
        <v>5079</v>
      </c>
      <c r="B2832" t="s">
        <v>5080</v>
      </c>
      <c r="E2832" s="11"/>
    </row>
    <row r="2833" spans="1:5">
      <c r="A2833" t="s">
        <v>5081</v>
      </c>
      <c r="B2833" t="s">
        <v>5082</v>
      </c>
      <c r="E2833" s="11"/>
    </row>
    <row r="2834" spans="1:5">
      <c r="A2834" t="s">
        <v>5083</v>
      </c>
      <c r="B2834" t="s">
        <v>5084</v>
      </c>
      <c r="E2834" s="11"/>
    </row>
    <row r="2835" spans="1:5">
      <c r="A2835" t="s">
        <v>5083</v>
      </c>
      <c r="B2835" t="s">
        <v>5085</v>
      </c>
      <c r="E2835" s="11"/>
    </row>
    <row r="2836" spans="1:5">
      <c r="A2836" t="s">
        <v>5086</v>
      </c>
      <c r="B2836" t="s">
        <v>5087</v>
      </c>
      <c r="E2836" s="11"/>
    </row>
    <row r="2837" spans="1:5">
      <c r="A2837" t="s">
        <v>5088</v>
      </c>
      <c r="B2837" t="s">
        <v>5089</v>
      </c>
      <c r="E2837" s="11"/>
    </row>
    <row r="2838" spans="1:5">
      <c r="A2838" t="s">
        <v>5090</v>
      </c>
      <c r="B2838" t="s">
        <v>5091</v>
      </c>
      <c r="E2838" s="11"/>
    </row>
    <row r="2839" spans="1:5">
      <c r="A2839" t="s">
        <v>5092</v>
      </c>
      <c r="B2839" t="s">
        <v>5093</v>
      </c>
      <c r="E2839" s="11"/>
    </row>
    <row r="2840" spans="1:5">
      <c r="A2840" t="s">
        <v>5094</v>
      </c>
      <c r="B2840" t="s">
        <v>5095</v>
      </c>
      <c r="E2840" s="11"/>
    </row>
    <row r="2841" spans="1:5">
      <c r="A2841" t="s">
        <v>5102</v>
      </c>
      <c r="B2841" t="s">
        <v>5103</v>
      </c>
      <c r="E2841" s="11"/>
    </row>
    <row r="2842" spans="1:5">
      <c r="A2842" t="s">
        <v>5104</v>
      </c>
      <c r="B2842" t="s">
        <v>5105</v>
      </c>
      <c r="E2842" s="11"/>
    </row>
    <row r="2843" spans="1:5">
      <c r="A2843" t="s">
        <v>5106</v>
      </c>
      <c r="B2843" t="s">
        <v>5107</v>
      </c>
      <c r="E2843" s="11"/>
    </row>
    <row r="2844" spans="1:5">
      <c r="A2844" t="s">
        <v>5108</v>
      </c>
      <c r="B2844" t="s">
        <v>5109</v>
      </c>
      <c r="E2844" s="11"/>
    </row>
    <row r="2845" spans="1:5">
      <c r="A2845" t="s">
        <v>5110</v>
      </c>
      <c r="B2845" t="s">
        <v>5111</v>
      </c>
      <c r="E2845" s="11"/>
    </row>
    <row r="2846" spans="1:5">
      <c r="A2846" t="s">
        <v>5112</v>
      </c>
      <c r="B2846" t="s">
        <v>5113</v>
      </c>
      <c r="E2846" s="11"/>
    </row>
    <row r="2847" spans="1:5">
      <c r="A2847" t="s">
        <v>5114</v>
      </c>
      <c r="B2847" t="s">
        <v>5115</v>
      </c>
      <c r="E2847" s="11"/>
    </row>
    <row r="2848" spans="1:5">
      <c r="A2848" t="s">
        <v>5116</v>
      </c>
      <c r="B2848" t="s">
        <v>5117</v>
      </c>
      <c r="E2848" s="11"/>
    </row>
    <row r="2849" spans="1:5">
      <c r="A2849" t="s">
        <v>5119</v>
      </c>
      <c r="B2849" t="s">
        <v>5120</v>
      </c>
      <c r="E2849" s="11"/>
    </row>
    <row r="2850" spans="1:5">
      <c r="A2850" t="s">
        <v>5121</v>
      </c>
      <c r="B2850" t="s">
        <v>5122</v>
      </c>
      <c r="E2850" s="11"/>
    </row>
    <row r="2851" spans="1:5">
      <c r="A2851" t="s">
        <v>5123</v>
      </c>
      <c r="B2851" t="s">
        <v>5124</v>
      </c>
      <c r="E2851" s="11"/>
    </row>
    <row r="2852" spans="1:5">
      <c r="A2852" t="s">
        <v>5125</v>
      </c>
      <c r="B2852" t="s">
        <v>5126</v>
      </c>
      <c r="E2852" s="11"/>
    </row>
    <row r="2853" spans="1:5">
      <c r="A2853" t="s">
        <v>5127</v>
      </c>
      <c r="B2853" t="s">
        <v>5128</v>
      </c>
      <c r="E2853" s="11"/>
    </row>
    <row r="2854" spans="1:5">
      <c r="A2854" t="s">
        <v>5129</v>
      </c>
      <c r="B2854" t="s">
        <v>5130</v>
      </c>
      <c r="E2854" s="11"/>
    </row>
    <row r="2855" spans="1:5">
      <c r="A2855" t="s">
        <v>5131</v>
      </c>
      <c r="B2855" t="s">
        <v>5132</v>
      </c>
      <c r="E2855" s="11"/>
    </row>
    <row r="2856" spans="1:5">
      <c r="A2856" t="s">
        <v>5133</v>
      </c>
      <c r="B2856" t="s">
        <v>5134</v>
      </c>
      <c r="E2856" s="11"/>
    </row>
    <row r="2857" spans="1:5">
      <c r="A2857" t="s">
        <v>5135</v>
      </c>
      <c r="B2857" t="s">
        <v>5136</v>
      </c>
      <c r="E2857" s="11"/>
    </row>
    <row r="2858" spans="1:5">
      <c r="A2858" t="s">
        <v>5137</v>
      </c>
      <c r="B2858" t="s">
        <v>5138</v>
      </c>
      <c r="E2858" s="11"/>
    </row>
    <row r="2859" spans="1:5">
      <c r="A2859" t="s">
        <v>5140</v>
      </c>
      <c r="B2859" t="s">
        <v>5141</v>
      </c>
      <c r="E2859" s="11"/>
    </row>
    <row r="2860" spans="1:5">
      <c r="A2860" t="s">
        <v>5142</v>
      </c>
      <c r="B2860" t="s">
        <v>5143</v>
      </c>
      <c r="E2860" s="11"/>
    </row>
    <row r="2861" spans="1:5">
      <c r="A2861" t="s">
        <v>5144</v>
      </c>
      <c r="B2861" t="s">
        <v>5145</v>
      </c>
      <c r="E2861" s="11"/>
    </row>
    <row r="2862" spans="1:5">
      <c r="A2862" t="s">
        <v>5146</v>
      </c>
      <c r="B2862" t="s">
        <v>5147</v>
      </c>
      <c r="E2862" s="11"/>
    </row>
    <row r="2863" spans="1:5">
      <c r="A2863" t="s">
        <v>5148</v>
      </c>
      <c r="B2863" t="s">
        <v>5149</v>
      </c>
      <c r="E2863" s="11"/>
    </row>
    <row r="2864" spans="1:5">
      <c r="A2864" t="s">
        <v>5150</v>
      </c>
      <c r="B2864" t="s">
        <v>5151</v>
      </c>
      <c r="E2864" s="11"/>
    </row>
    <row r="2865" spans="1:5">
      <c r="A2865" t="s">
        <v>5152</v>
      </c>
      <c r="B2865" t="s">
        <v>5153</v>
      </c>
      <c r="E2865" s="11"/>
    </row>
    <row r="2866" spans="1:5">
      <c r="A2866" t="s">
        <v>5154</v>
      </c>
      <c r="B2866" t="s">
        <v>5155</v>
      </c>
      <c r="E2866" s="11"/>
    </row>
    <row r="2867" spans="1:5">
      <c r="A2867" t="s">
        <v>5158</v>
      </c>
      <c r="B2867" t="s">
        <v>5159</v>
      </c>
      <c r="E2867" s="11"/>
    </row>
    <row r="2868" spans="1:5">
      <c r="A2868" t="s">
        <v>5160</v>
      </c>
      <c r="B2868" t="s">
        <v>5161</v>
      </c>
      <c r="E2868" s="11"/>
    </row>
    <row r="2869" spans="1:5">
      <c r="A2869" t="s">
        <v>5162</v>
      </c>
      <c r="B2869" t="s">
        <v>5163</v>
      </c>
      <c r="E2869" s="11"/>
    </row>
    <row r="2870" spans="1:5">
      <c r="A2870" t="s">
        <v>5164</v>
      </c>
      <c r="B2870" t="s">
        <v>5165</v>
      </c>
      <c r="E2870" s="11"/>
    </row>
    <row r="2871" spans="1:5">
      <c r="A2871" t="s">
        <v>5166</v>
      </c>
      <c r="B2871" t="s">
        <v>5167</v>
      </c>
      <c r="E2871" s="11"/>
    </row>
    <row r="2872" spans="1:5">
      <c r="A2872" t="s">
        <v>5168</v>
      </c>
      <c r="B2872" t="s">
        <v>5169</v>
      </c>
      <c r="E2872" s="11"/>
    </row>
    <row r="2873" spans="1:5">
      <c r="A2873" t="s">
        <v>5170</v>
      </c>
      <c r="B2873" t="s">
        <v>5171</v>
      </c>
      <c r="E2873" s="11"/>
    </row>
    <row r="2874" spans="1:5">
      <c r="A2874" t="s">
        <v>5172</v>
      </c>
      <c r="B2874" t="s">
        <v>5173</v>
      </c>
      <c r="E2874" s="11"/>
    </row>
    <row r="2875" spans="1:5">
      <c r="A2875" t="s">
        <v>5174</v>
      </c>
      <c r="B2875" t="s">
        <v>5175</v>
      </c>
      <c r="E2875" s="11"/>
    </row>
    <row r="2876" spans="1:5">
      <c r="A2876" t="s">
        <v>5176</v>
      </c>
      <c r="B2876" t="s">
        <v>5177</v>
      </c>
      <c r="E2876" s="11"/>
    </row>
    <row r="2877" spans="1:5">
      <c r="A2877" t="s">
        <v>5178</v>
      </c>
      <c r="B2877" t="s">
        <v>5179</v>
      </c>
      <c r="E2877" s="11"/>
    </row>
    <row r="2878" spans="1:5">
      <c r="A2878" t="s">
        <v>5178</v>
      </c>
      <c r="B2878" t="s">
        <v>5180</v>
      </c>
      <c r="E2878" s="11"/>
    </row>
    <row r="2879" spans="1:5">
      <c r="A2879" t="s">
        <v>5182</v>
      </c>
      <c r="B2879" t="s">
        <v>5183</v>
      </c>
      <c r="E2879" s="11"/>
    </row>
    <row r="2880" spans="1:5">
      <c r="A2880" t="s">
        <v>5184</v>
      </c>
      <c r="B2880" t="s">
        <v>5185</v>
      </c>
      <c r="E2880" s="11"/>
    </row>
    <row r="2881" spans="1:5">
      <c r="A2881" t="s">
        <v>5186</v>
      </c>
      <c r="B2881" t="s">
        <v>5187</v>
      </c>
      <c r="E2881" s="11"/>
    </row>
    <row r="2882" spans="1:5">
      <c r="A2882" t="s">
        <v>5106</v>
      </c>
      <c r="B2882" t="s">
        <v>5188</v>
      </c>
      <c r="E2882" s="11"/>
    </row>
    <row r="2883" spans="1:5">
      <c r="A2883" t="s">
        <v>5189</v>
      </c>
      <c r="B2883" t="s">
        <v>5190</v>
      </c>
      <c r="E2883" s="11"/>
    </row>
    <row r="2884" spans="1:5">
      <c r="A2884" t="s">
        <v>5191</v>
      </c>
      <c r="B2884" t="s">
        <v>5192</v>
      </c>
      <c r="E2884" s="11"/>
    </row>
    <row r="2885" spans="1:5">
      <c r="A2885" t="s">
        <v>5191</v>
      </c>
      <c r="B2885" t="s">
        <v>5193</v>
      </c>
      <c r="E2885" s="11"/>
    </row>
    <row r="2886" spans="1:5">
      <c r="A2886" t="s">
        <v>5195</v>
      </c>
      <c r="B2886" t="s">
        <v>5196</v>
      </c>
      <c r="E2886" s="11"/>
    </row>
    <row r="2887" spans="1:5">
      <c r="A2887" t="s">
        <v>5197</v>
      </c>
      <c r="B2887" t="s">
        <v>5198</v>
      </c>
      <c r="E2887" s="11"/>
    </row>
    <row r="2888" spans="1:5">
      <c r="A2888" t="s">
        <v>5199</v>
      </c>
      <c r="B2888" t="s">
        <v>5200</v>
      </c>
      <c r="E2888" s="11"/>
    </row>
    <row r="2889" spans="1:5">
      <c r="A2889" t="s">
        <v>5202</v>
      </c>
      <c r="B2889" t="s">
        <v>5203</v>
      </c>
      <c r="E2889" s="11"/>
    </row>
    <row r="2890" spans="1:5">
      <c r="A2890" t="s">
        <v>5217</v>
      </c>
      <c r="B2890" t="s">
        <v>5218</v>
      </c>
      <c r="E2890" s="11"/>
    </row>
    <row r="2891" spans="1:5">
      <c r="A2891" t="s">
        <v>5230</v>
      </c>
      <c r="B2891" t="s">
        <v>5231</v>
      </c>
      <c r="E2891" s="11"/>
    </row>
    <row r="2892" spans="1:5">
      <c r="A2892" t="s">
        <v>5237</v>
      </c>
      <c r="B2892" t="s">
        <v>5238</v>
      </c>
      <c r="E2892" s="11"/>
    </row>
    <row r="2893" spans="1:5">
      <c r="A2893" t="s">
        <v>5239</v>
      </c>
      <c r="B2893" t="s">
        <v>5240</v>
      </c>
      <c r="E2893" s="11"/>
    </row>
    <row r="2894" spans="1:5">
      <c r="A2894" t="s">
        <v>5242</v>
      </c>
      <c r="B2894" t="s">
        <v>5243</v>
      </c>
      <c r="E2894" s="11"/>
    </row>
    <row r="2895" spans="1:5">
      <c r="A2895" t="s">
        <v>5250</v>
      </c>
      <c r="B2895" t="s">
        <v>5251</v>
      </c>
      <c r="E2895" s="11"/>
    </row>
    <row r="2896" spans="1:5">
      <c r="A2896" t="s">
        <v>5253</v>
      </c>
      <c r="B2896" t="s">
        <v>5254</v>
      </c>
      <c r="E2896" s="11"/>
    </row>
    <row r="2897" spans="1:5">
      <c r="A2897" t="s">
        <v>5255</v>
      </c>
      <c r="B2897" t="s">
        <v>5256</v>
      </c>
      <c r="E2897" s="11"/>
    </row>
    <row r="2898" spans="1:5">
      <c r="A2898" t="s">
        <v>5260</v>
      </c>
      <c r="B2898" t="s">
        <v>5261</v>
      </c>
      <c r="E2898" s="11"/>
    </row>
    <row r="2899" spans="1:5">
      <c r="A2899" t="s">
        <v>5263</v>
      </c>
      <c r="B2899" t="s">
        <v>5264</v>
      </c>
      <c r="E2899" s="11"/>
    </row>
    <row r="2900" spans="1:5">
      <c r="A2900" t="s">
        <v>5266</v>
      </c>
      <c r="B2900" t="s">
        <v>5267</v>
      </c>
      <c r="E2900" s="11"/>
    </row>
    <row r="2901" spans="1:5">
      <c r="A2901" t="s">
        <v>5272</v>
      </c>
      <c r="B2901" t="s">
        <v>5273</v>
      </c>
      <c r="E2901" s="11"/>
    </row>
    <row r="2902" spans="1:5">
      <c r="A2902" t="s">
        <v>5275</v>
      </c>
      <c r="B2902" t="s">
        <v>5276</v>
      </c>
      <c r="E2902" s="11"/>
    </row>
    <row r="2903" spans="1:5">
      <c r="A2903" t="s">
        <v>5282</v>
      </c>
      <c r="B2903" t="s">
        <v>5283</v>
      </c>
      <c r="E2903" s="11"/>
    </row>
    <row r="2904" spans="1:5">
      <c r="A2904" t="s">
        <v>5285</v>
      </c>
      <c r="B2904" t="s">
        <v>5286</v>
      </c>
      <c r="E2904" s="11"/>
    </row>
    <row r="2905" spans="1:5">
      <c r="A2905" t="s">
        <v>5290</v>
      </c>
      <c r="B2905" t="s">
        <v>5291</v>
      </c>
      <c r="E2905" s="11"/>
    </row>
    <row r="2906" spans="1:5">
      <c r="A2906" t="s">
        <v>5293</v>
      </c>
      <c r="B2906" t="s">
        <v>5294</v>
      </c>
      <c r="E2906" s="11"/>
    </row>
    <row r="2907" spans="1:5">
      <c r="A2907" t="s">
        <v>5301</v>
      </c>
      <c r="B2907" t="s">
        <v>5302</v>
      </c>
      <c r="E2907" s="11"/>
    </row>
    <row r="2908" spans="1:5">
      <c r="A2908" t="s">
        <v>5303</v>
      </c>
      <c r="B2908" t="s">
        <v>5304</v>
      </c>
      <c r="E2908" s="11"/>
    </row>
    <row r="2909" spans="1:5">
      <c r="A2909" t="s">
        <v>5309</v>
      </c>
      <c r="B2909" t="s">
        <v>5310</v>
      </c>
      <c r="E2909" s="11"/>
    </row>
    <row r="2910" spans="1:5">
      <c r="A2910" t="s">
        <v>5312</v>
      </c>
      <c r="B2910" t="s">
        <v>5313</v>
      </c>
      <c r="E2910" s="11"/>
    </row>
    <row r="2911" spans="1:5">
      <c r="A2911" t="s">
        <v>5318</v>
      </c>
      <c r="B2911" t="s">
        <v>5319</v>
      </c>
      <c r="E2911" s="11"/>
    </row>
    <row r="2912" spans="1:5">
      <c r="A2912" t="s">
        <v>5324</v>
      </c>
      <c r="B2912" t="s">
        <v>5325</v>
      </c>
      <c r="E2912" s="11"/>
    </row>
    <row r="2913" spans="1:5">
      <c r="A2913" t="s">
        <v>5327</v>
      </c>
      <c r="B2913" t="s">
        <v>5328</v>
      </c>
      <c r="E2913" s="11"/>
    </row>
    <row r="2914" spans="1:5">
      <c r="A2914" t="s">
        <v>5329</v>
      </c>
      <c r="B2914" t="s">
        <v>5330</v>
      </c>
      <c r="E2914" s="11"/>
    </row>
    <row r="2915" spans="1:5">
      <c r="A2915" t="s">
        <v>5332</v>
      </c>
      <c r="B2915" t="s">
        <v>5333</v>
      </c>
      <c r="E2915" s="11"/>
    </row>
    <row r="2916" spans="1:5">
      <c r="A2916" t="s">
        <v>5336</v>
      </c>
      <c r="B2916" t="s">
        <v>5337</v>
      </c>
      <c r="E2916" s="11"/>
    </row>
    <row r="2917" spans="1:5">
      <c r="A2917" t="s">
        <v>5338</v>
      </c>
      <c r="B2917" t="s">
        <v>5339</v>
      </c>
      <c r="E2917" s="11"/>
    </row>
    <row r="2918" spans="1:5">
      <c r="A2918" t="s">
        <v>5340</v>
      </c>
      <c r="B2918" t="s">
        <v>5341</v>
      </c>
      <c r="E2918" s="11"/>
    </row>
    <row r="2919" spans="1:5">
      <c r="A2919" t="s">
        <v>5350</v>
      </c>
      <c r="B2919" t="s">
        <v>5351</v>
      </c>
      <c r="E2919" s="11"/>
    </row>
    <row r="2920" spans="1:5">
      <c r="A2920" t="s">
        <v>5353</v>
      </c>
      <c r="B2920" t="s">
        <v>5354</v>
      </c>
      <c r="E2920" s="11"/>
    </row>
    <row r="2921" spans="1:5">
      <c r="A2921" t="s">
        <v>5358</v>
      </c>
      <c r="B2921" t="s">
        <v>5359</v>
      </c>
      <c r="E2921" s="11"/>
    </row>
    <row r="2922" spans="1:5">
      <c r="A2922" t="s">
        <v>5366</v>
      </c>
      <c r="B2922" t="s">
        <v>5367</v>
      </c>
      <c r="E2922" s="11"/>
    </row>
    <row r="2923" spans="1:5">
      <c r="A2923" t="s">
        <v>5370</v>
      </c>
      <c r="B2923" t="s">
        <v>5371</v>
      </c>
      <c r="E2923" s="11"/>
    </row>
    <row r="2924" spans="1:5">
      <c r="A2924" t="s">
        <v>5374</v>
      </c>
      <c r="B2924" t="s">
        <v>5375</v>
      </c>
      <c r="E2924" s="11"/>
    </row>
    <row r="2925" spans="1:5">
      <c r="A2925" t="s">
        <v>5376</v>
      </c>
      <c r="B2925" t="s">
        <v>5377</v>
      </c>
      <c r="E2925" s="11"/>
    </row>
    <row r="2926" spans="1:5">
      <c r="A2926" t="s">
        <v>5380</v>
      </c>
      <c r="B2926" t="s">
        <v>5381</v>
      </c>
      <c r="E2926" s="11"/>
    </row>
    <row r="2927" spans="1:5">
      <c r="A2927" t="s">
        <v>5384</v>
      </c>
      <c r="B2927" t="s">
        <v>5385</v>
      </c>
      <c r="E2927" s="11"/>
    </row>
    <row r="2928" spans="1:5">
      <c r="A2928" t="s">
        <v>5387</v>
      </c>
      <c r="B2928" t="s">
        <v>5388</v>
      </c>
      <c r="E2928" s="11"/>
    </row>
    <row r="2929" spans="1:5">
      <c r="A2929" t="s">
        <v>5389</v>
      </c>
      <c r="B2929" t="s">
        <v>5390</v>
      </c>
      <c r="E2929" s="11"/>
    </row>
    <row r="2930" spans="1:5">
      <c r="A2930" t="s">
        <v>5393</v>
      </c>
      <c r="B2930" t="s">
        <v>5394</v>
      </c>
      <c r="E2930" s="11"/>
    </row>
    <row r="2931" spans="1:5">
      <c r="A2931" t="s">
        <v>5398</v>
      </c>
      <c r="B2931" t="s">
        <v>5399</v>
      </c>
      <c r="E2931" s="11"/>
    </row>
    <row r="2932" spans="1:5">
      <c r="A2932" t="s">
        <v>5401</v>
      </c>
      <c r="B2932" t="s">
        <v>5402</v>
      </c>
      <c r="E2932" s="11"/>
    </row>
    <row r="2933" spans="1:5">
      <c r="A2933" t="s">
        <v>5403</v>
      </c>
      <c r="B2933" t="s">
        <v>5404</v>
      </c>
      <c r="E2933" s="11"/>
    </row>
    <row r="2934" spans="1:5">
      <c r="A2934" t="s">
        <v>5406</v>
      </c>
      <c r="B2934" t="s">
        <v>5407</v>
      </c>
      <c r="E2934" s="11"/>
    </row>
    <row r="2935" spans="1:5">
      <c r="A2935" t="s">
        <v>5412</v>
      </c>
      <c r="B2935" t="s">
        <v>5413</v>
      </c>
      <c r="E2935" s="11"/>
    </row>
    <row r="2936" spans="1:5">
      <c r="A2936" t="s">
        <v>5415</v>
      </c>
      <c r="B2936" t="s">
        <v>5416</v>
      </c>
      <c r="E2936" s="11"/>
    </row>
    <row r="2937" spans="1:5">
      <c r="A2937" t="s">
        <v>5418</v>
      </c>
      <c r="B2937" t="s">
        <v>5419</v>
      </c>
      <c r="E2937" s="11"/>
    </row>
    <row r="2938" spans="1:5">
      <c r="A2938" t="s">
        <v>5421</v>
      </c>
      <c r="B2938" t="s">
        <v>5422</v>
      </c>
      <c r="E2938" s="11"/>
    </row>
    <row r="2939" spans="1:5">
      <c r="A2939" t="s">
        <v>5438</v>
      </c>
      <c r="B2939" t="s">
        <v>5439</v>
      </c>
      <c r="E2939" s="11"/>
    </row>
    <row r="2940" spans="1:5">
      <c r="A2940" t="s">
        <v>5445</v>
      </c>
      <c r="B2940" t="s">
        <v>5446</v>
      </c>
      <c r="E2940" s="11"/>
    </row>
    <row r="2941" spans="1:5">
      <c r="A2941" t="s">
        <v>5447</v>
      </c>
      <c r="B2941" t="s">
        <v>5448</v>
      </c>
      <c r="E2941" s="11"/>
    </row>
    <row r="2942" spans="1:5">
      <c r="A2942" t="s">
        <v>5462</v>
      </c>
      <c r="B2942" t="s">
        <v>5463</v>
      </c>
      <c r="E2942" s="11"/>
    </row>
    <row r="2943" spans="1:5">
      <c r="A2943" t="s">
        <v>5468</v>
      </c>
      <c r="B2943" t="s">
        <v>5469</v>
      </c>
      <c r="E2943" s="11"/>
    </row>
    <row r="2944" spans="1:5">
      <c r="A2944" t="s">
        <v>5472</v>
      </c>
      <c r="B2944" t="s">
        <v>5473</v>
      </c>
      <c r="E2944" s="11"/>
    </row>
    <row r="2945" spans="1:5">
      <c r="A2945" t="s">
        <v>5475</v>
      </c>
      <c r="B2945" t="s">
        <v>5476</v>
      </c>
      <c r="E2945" s="11"/>
    </row>
    <row r="2946" spans="1:5">
      <c r="A2946" t="s">
        <v>5479</v>
      </c>
      <c r="B2946" t="s">
        <v>5480</v>
      </c>
      <c r="E2946" s="11"/>
    </row>
    <row r="2947" spans="1:5">
      <c r="A2947" t="s">
        <v>5483</v>
      </c>
      <c r="B2947" t="s">
        <v>5484</v>
      </c>
      <c r="E2947" s="11"/>
    </row>
    <row r="2948" spans="1:5">
      <c r="A2948" t="s">
        <v>5486</v>
      </c>
      <c r="B2948" t="s">
        <v>5487</v>
      </c>
      <c r="E2948" s="11"/>
    </row>
    <row r="2949" spans="1:5">
      <c r="A2949" t="s">
        <v>5489</v>
      </c>
      <c r="B2949" t="s">
        <v>5490</v>
      </c>
      <c r="E2949" s="11"/>
    </row>
    <row r="2950" spans="1:5">
      <c r="A2950" t="s">
        <v>5491</v>
      </c>
      <c r="B2950" t="s">
        <v>5492</v>
      </c>
      <c r="E2950" s="11"/>
    </row>
    <row r="2951" spans="1:5">
      <c r="A2951" t="s">
        <v>5493</v>
      </c>
      <c r="B2951" t="s">
        <v>5494</v>
      </c>
      <c r="E2951" s="11"/>
    </row>
    <row r="2952" spans="1:5">
      <c r="A2952" t="s">
        <v>5495</v>
      </c>
      <c r="B2952" t="s">
        <v>5496</v>
      </c>
      <c r="E2952" s="11"/>
    </row>
    <row r="2953" spans="1:5">
      <c r="A2953" t="s">
        <v>5502</v>
      </c>
      <c r="B2953" t="s">
        <v>5503</v>
      </c>
      <c r="E2953" s="11"/>
    </row>
    <row r="2954" spans="1:5">
      <c r="A2954" t="s">
        <v>5504</v>
      </c>
      <c r="B2954" t="s">
        <v>5505</v>
      </c>
      <c r="E2954" s="11"/>
    </row>
    <row r="2955" spans="1:5">
      <c r="A2955" t="s">
        <v>5506</v>
      </c>
      <c r="B2955" t="s">
        <v>5507</v>
      </c>
      <c r="E2955" s="11"/>
    </row>
    <row r="2956" spans="1:5">
      <c r="A2956" t="s">
        <v>5515</v>
      </c>
      <c r="B2956" t="s">
        <v>5516</v>
      </c>
      <c r="E2956" s="11"/>
    </row>
    <row r="2957" spans="1:5">
      <c r="A2957" t="s">
        <v>5527</v>
      </c>
      <c r="B2957" t="s">
        <v>5528</v>
      </c>
      <c r="E2957" s="11"/>
    </row>
    <row r="2958" spans="1:5">
      <c r="A2958" t="s">
        <v>5529</v>
      </c>
      <c r="B2958" t="s">
        <v>5530</v>
      </c>
      <c r="E2958" s="11"/>
    </row>
    <row r="2959" spans="1:5">
      <c r="A2959" t="s">
        <v>5531</v>
      </c>
      <c r="B2959" t="s">
        <v>5532</v>
      </c>
      <c r="E2959" s="11"/>
    </row>
    <row r="2960" spans="1:5">
      <c r="A2960" t="s">
        <v>5535</v>
      </c>
      <c r="B2960" t="s">
        <v>5536</v>
      </c>
      <c r="E2960" s="11"/>
    </row>
    <row r="2961" spans="1:5">
      <c r="A2961" t="s">
        <v>5537</v>
      </c>
      <c r="B2961" t="s">
        <v>5538</v>
      </c>
      <c r="E2961" s="11"/>
    </row>
    <row r="2962" spans="1:5">
      <c r="A2962" t="s">
        <v>5541</v>
      </c>
      <c r="B2962" t="s">
        <v>5542</v>
      </c>
      <c r="E2962" s="11"/>
    </row>
    <row r="2963" spans="1:5">
      <c r="A2963" t="s">
        <v>5557</v>
      </c>
      <c r="B2963" t="s">
        <v>5558</v>
      </c>
      <c r="E2963" s="11"/>
    </row>
    <row r="2964" spans="1:5">
      <c r="A2964" t="s">
        <v>5559</v>
      </c>
      <c r="B2964" t="s">
        <v>5560</v>
      </c>
      <c r="E2964" s="11"/>
    </row>
    <row r="2965" spans="1:5">
      <c r="A2965" t="s">
        <v>5561</v>
      </c>
      <c r="B2965" t="s">
        <v>5562</v>
      </c>
      <c r="E2965" s="11"/>
    </row>
    <row r="2966" spans="1:5">
      <c r="A2966" t="s">
        <v>5568</v>
      </c>
      <c r="B2966" t="s">
        <v>5569</v>
      </c>
      <c r="E2966" s="11"/>
    </row>
    <row r="2967" spans="1:5">
      <c r="A2967" t="s">
        <v>5575</v>
      </c>
      <c r="B2967" t="s">
        <v>5576</v>
      </c>
      <c r="E2967" s="11"/>
    </row>
    <row r="2968" spans="1:5">
      <c r="A2968" t="s">
        <v>5583</v>
      </c>
      <c r="B2968" t="s">
        <v>5584</v>
      </c>
      <c r="E2968" s="11"/>
    </row>
    <row r="2969" spans="1:5">
      <c r="A2969" t="s">
        <v>5587</v>
      </c>
      <c r="B2969" t="s">
        <v>5588</v>
      </c>
      <c r="E2969" s="11"/>
    </row>
    <row r="2970" spans="1:5">
      <c r="A2970" t="s">
        <v>5592</v>
      </c>
      <c r="B2970" t="s">
        <v>5593</v>
      </c>
      <c r="E2970" s="11"/>
    </row>
    <row r="2971" spans="1:5">
      <c r="A2971" t="s">
        <v>5596</v>
      </c>
      <c r="B2971" t="s">
        <v>5597</v>
      </c>
      <c r="E2971" s="11"/>
    </row>
    <row r="2972" spans="1:5">
      <c r="A2972" t="s">
        <v>5599</v>
      </c>
      <c r="B2972" t="s">
        <v>5600</v>
      </c>
      <c r="E2972" s="11"/>
    </row>
    <row r="2973" spans="1:5">
      <c r="A2973" t="s">
        <v>5602</v>
      </c>
      <c r="B2973" t="s">
        <v>5603</v>
      </c>
      <c r="E2973" s="11"/>
    </row>
    <row r="2974" spans="1:5">
      <c r="A2974" t="s">
        <v>5605</v>
      </c>
      <c r="B2974" t="s">
        <v>5606</v>
      </c>
      <c r="E2974" s="11"/>
    </row>
    <row r="2975" spans="1:5">
      <c r="A2975" t="s">
        <v>5614</v>
      </c>
      <c r="B2975" t="s">
        <v>5615</v>
      </c>
      <c r="E2975" s="11"/>
    </row>
    <row r="2976" spans="1:5">
      <c r="A2976" t="s">
        <v>5618</v>
      </c>
      <c r="B2976" t="s">
        <v>5619</v>
      </c>
      <c r="E2976" s="11"/>
    </row>
    <row r="2977" spans="1:5">
      <c r="A2977" t="s">
        <v>5629</v>
      </c>
      <c r="B2977" t="s">
        <v>5630</v>
      </c>
      <c r="E2977" s="11"/>
    </row>
    <row r="2978" spans="1:5">
      <c r="A2978" t="s">
        <v>5634</v>
      </c>
      <c r="B2978" t="s">
        <v>5635</v>
      </c>
      <c r="E2978" s="11"/>
    </row>
    <row r="2979" spans="1:5">
      <c r="A2979" t="s">
        <v>5637</v>
      </c>
      <c r="B2979" t="s">
        <v>5638</v>
      </c>
      <c r="E2979" s="11"/>
    </row>
    <row r="2980" spans="1:5">
      <c r="A2980" t="s">
        <v>5639</v>
      </c>
      <c r="B2980" t="s">
        <v>5640</v>
      </c>
      <c r="E2980" s="11"/>
    </row>
    <row r="2981" spans="1:5">
      <c r="A2981" t="s">
        <v>5642</v>
      </c>
      <c r="B2981" t="s">
        <v>5643</v>
      </c>
      <c r="E2981" s="11"/>
    </row>
    <row r="2982" spans="1:5">
      <c r="A2982" t="s">
        <v>5647</v>
      </c>
      <c r="B2982" t="s">
        <v>5648</v>
      </c>
      <c r="E2982" s="11"/>
    </row>
    <row r="2983" spans="1:5">
      <c r="A2983" t="s">
        <v>5649</v>
      </c>
      <c r="B2983" t="s">
        <v>5650</v>
      </c>
      <c r="E2983" s="11"/>
    </row>
    <row r="2984" spans="1:5">
      <c r="A2984" t="s">
        <v>5656</v>
      </c>
      <c r="B2984" t="s">
        <v>5657</v>
      </c>
      <c r="E2984" s="11"/>
    </row>
    <row r="2985" spans="1:5">
      <c r="A2985" t="s">
        <v>5660</v>
      </c>
      <c r="B2985" t="s">
        <v>5661</v>
      </c>
      <c r="E2985" s="11"/>
    </row>
    <row r="2986" spans="1:5">
      <c r="A2986" t="s">
        <v>5662</v>
      </c>
      <c r="B2986" t="s">
        <v>5663</v>
      </c>
      <c r="E2986" s="11"/>
    </row>
    <row r="2987" spans="1:5">
      <c r="A2987" t="s">
        <v>5666</v>
      </c>
      <c r="B2987" t="s">
        <v>5667</v>
      </c>
      <c r="E2987" s="11"/>
    </row>
    <row r="2988" spans="1:5">
      <c r="A2988" t="s">
        <v>5668</v>
      </c>
      <c r="B2988" t="s">
        <v>5669</v>
      </c>
      <c r="E2988" s="11"/>
    </row>
    <row r="2989" spans="1:5">
      <c r="A2989" t="s">
        <v>5670</v>
      </c>
      <c r="B2989" t="s">
        <v>5671</v>
      </c>
      <c r="E2989" s="11"/>
    </row>
    <row r="2990" spans="1:5">
      <c r="A2990" t="s">
        <v>5676</v>
      </c>
      <c r="B2990" t="s">
        <v>5677</v>
      </c>
      <c r="E2990" s="11"/>
    </row>
    <row r="2991" spans="1:5">
      <c r="A2991" t="s">
        <v>5683</v>
      </c>
      <c r="B2991" t="s">
        <v>5684</v>
      </c>
      <c r="E2991" s="11"/>
    </row>
    <row r="2992" spans="1:5">
      <c r="A2992" t="s">
        <v>5685</v>
      </c>
      <c r="B2992" t="s">
        <v>5686</v>
      </c>
      <c r="C2992" s="42"/>
      <c r="E2992" s="11"/>
    </row>
    <row r="2993" spans="1:5">
      <c r="A2993" t="s">
        <v>5689</v>
      </c>
      <c r="B2993" t="s">
        <v>5690</v>
      </c>
      <c r="E2993" s="11"/>
    </row>
    <row r="2994" spans="1:5">
      <c r="A2994" t="s">
        <v>5691</v>
      </c>
      <c r="B2994" t="s">
        <v>5692</v>
      </c>
      <c r="E2994" s="11"/>
    </row>
    <row r="2995" spans="1:5">
      <c r="A2995" t="s">
        <v>5695</v>
      </c>
      <c r="B2995" t="s">
        <v>5696</v>
      </c>
      <c r="E2995" s="11"/>
    </row>
    <row r="2996" spans="1:5">
      <c r="A2996" t="s">
        <v>5702</v>
      </c>
      <c r="B2996" t="s">
        <v>5703</v>
      </c>
      <c r="E2996" s="11"/>
    </row>
    <row r="2997" spans="1:5">
      <c r="A2997" t="s">
        <v>5704</v>
      </c>
      <c r="B2997" t="s">
        <v>5705</v>
      </c>
      <c r="E2997" s="11"/>
    </row>
    <row r="2998" spans="1:5">
      <c r="A2998" t="s">
        <v>5706</v>
      </c>
      <c r="B2998" t="s">
        <v>5707</v>
      </c>
      <c r="E2998" s="11"/>
    </row>
    <row r="2999" spans="1:5">
      <c r="A2999" t="s">
        <v>5709</v>
      </c>
      <c r="B2999" t="s">
        <v>5710</v>
      </c>
      <c r="E2999" s="11"/>
    </row>
    <row r="3000" spans="1:5">
      <c r="A3000" t="s">
        <v>5720</v>
      </c>
      <c r="B3000" t="s">
        <v>5721</v>
      </c>
      <c r="E3000" s="11"/>
    </row>
    <row r="3001" spans="1:5">
      <c r="A3001" t="s">
        <v>5725</v>
      </c>
      <c r="B3001" t="s">
        <v>5726</v>
      </c>
      <c r="E3001" s="11"/>
    </row>
    <row r="3002" spans="1:5">
      <c r="A3002" t="s">
        <v>5736</v>
      </c>
      <c r="B3002" t="s">
        <v>5737</v>
      </c>
      <c r="E3002" s="11"/>
    </row>
    <row r="3003" spans="1:5">
      <c r="A3003" t="s">
        <v>5739</v>
      </c>
      <c r="B3003" t="s">
        <v>5740</v>
      </c>
      <c r="E3003" s="11"/>
    </row>
    <row r="3004" spans="1:5">
      <c r="A3004" t="s">
        <v>5742</v>
      </c>
      <c r="B3004" t="s">
        <v>5743</v>
      </c>
      <c r="E3004" s="11"/>
    </row>
    <row r="3005" spans="1:5">
      <c r="A3005" t="s">
        <v>5744</v>
      </c>
      <c r="B3005" t="s">
        <v>5745</v>
      </c>
      <c r="E3005" s="11"/>
    </row>
    <row r="3006" spans="1:5">
      <c r="A3006" t="s">
        <v>5746</v>
      </c>
      <c r="B3006" t="s">
        <v>5747</v>
      </c>
      <c r="E3006" s="11"/>
    </row>
    <row r="3007" spans="1:5">
      <c r="A3007" t="s">
        <v>5750</v>
      </c>
      <c r="B3007" t="s">
        <v>5751</v>
      </c>
      <c r="E3007" s="11"/>
    </row>
    <row r="3008" spans="1:5">
      <c r="A3008" t="s">
        <v>5752</v>
      </c>
      <c r="B3008" t="s">
        <v>5753</v>
      </c>
      <c r="E3008" s="11"/>
    </row>
    <row r="3009" spans="1:5">
      <c r="A3009" t="s">
        <v>5763</v>
      </c>
      <c r="B3009" t="s">
        <v>5764</v>
      </c>
      <c r="E3009" s="11"/>
    </row>
    <row r="3010" spans="1:5">
      <c r="A3010" t="s">
        <v>5766</v>
      </c>
      <c r="B3010" t="s">
        <v>5767</v>
      </c>
      <c r="E3010" s="11"/>
    </row>
    <row r="3011" spans="1:5">
      <c r="A3011" t="s">
        <v>5776</v>
      </c>
      <c r="B3011" t="s">
        <v>5777</v>
      </c>
      <c r="E3011" s="11"/>
    </row>
    <row r="3012" spans="1:5">
      <c r="A3012" t="s">
        <v>5784</v>
      </c>
      <c r="B3012" t="s">
        <v>5786</v>
      </c>
      <c r="E3012" s="11"/>
    </row>
    <row r="3013" spans="1:5">
      <c r="A3013" t="s">
        <v>5787</v>
      </c>
      <c r="B3013" t="s">
        <v>5788</v>
      </c>
      <c r="E3013" s="11"/>
    </row>
    <row r="3014" spans="1:5">
      <c r="A3014" t="s">
        <v>5789</v>
      </c>
      <c r="B3014" t="s">
        <v>5790</v>
      </c>
      <c r="E3014" s="11"/>
    </row>
    <row r="3015" spans="1:5">
      <c r="A3015" t="s">
        <v>5801</v>
      </c>
      <c r="B3015" t="s">
        <v>5802</v>
      </c>
      <c r="E3015" s="11"/>
    </row>
    <row r="3016" spans="1:5">
      <c r="A3016" t="s">
        <v>5803</v>
      </c>
      <c r="B3016" t="s">
        <v>5804</v>
      </c>
      <c r="E3016" s="11"/>
    </row>
    <row r="3017" spans="1:5">
      <c r="A3017" t="s">
        <v>5805</v>
      </c>
      <c r="B3017" t="s">
        <v>5806</v>
      </c>
      <c r="E3017" s="11"/>
    </row>
    <row r="3018" spans="1:5">
      <c r="A3018" t="s">
        <v>5807</v>
      </c>
      <c r="B3018" t="s">
        <v>5808</v>
      </c>
      <c r="E3018" s="11"/>
    </row>
    <row r="3019" spans="1:5">
      <c r="A3019" t="s">
        <v>5818</v>
      </c>
      <c r="B3019" t="s">
        <v>5819</v>
      </c>
      <c r="E3019" s="11"/>
    </row>
    <row r="3020" spans="1:5">
      <c r="A3020" t="s">
        <v>5820</v>
      </c>
      <c r="B3020" t="s">
        <v>5821</v>
      </c>
      <c r="E3020" s="11"/>
    </row>
    <row r="3021" spans="1:5">
      <c r="A3021" t="s">
        <v>5822</v>
      </c>
      <c r="B3021" t="s">
        <v>5823</v>
      </c>
      <c r="E3021" s="11"/>
    </row>
    <row r="3022" spans="1:5">
      <c r="A3022" t="s">
        <v>5824</v>
      </c>
      <c r="B3022" t="s">
        <v>5825</v>
      </c>
      <c r="E3022" s="11"/>
    </row>
    <row r="3023" spans="1:5">
      <c r="A3023" t="s">
        <v>5826</v>
      </c>
      <c r="B3023" t="s">
        <v>5827</v>
      </c>
      <c r="E3023" s="11"/>
    </row>
    <row r="3024" spans="1:5">
      <c r="A3024" t="s">
        <v>5828</v>
      </c>
      <c r="B3024" t="s">
        <v>5829</v>
      </c>
      <c r="E3024" s="11"/>
    </row>
    <row r="3025" spans="1:5">
      <c r="A3025" t="s">
        <v>5832</v>
      </c>
      <c r="B3025" t="s">
        <v>5833</v>
      </c>
      <c r="E3025" s="11"/>
    </row>
    <row r="3026" spans="1:5">
      <c r="A3026" t="s">
        <v>5840</v>
      </c>
      <c r="B3026" t="s">
        <v>5841</v>
      </c>
      <c r="E3026" s="11"/>
    </row>
    <row r="3027" spans="1:5">
      <c r="A3027" t="s">
        <v>5842</v>
      </c>
      <c r="B3027" t="s">
        <v>5843</v>
      </c>
      <c r="E3027" s="11"/>
    </row>
    <row r="3028" spans="1:5">
      <c r="A3028" t="s">
        <v>5844</v>
      </c>
      <c r="B3028" t="s">
        <v>5845</v>
      </c>
      <c r="E3028" s="11"/>
    </row>
    <row r="3029" spans="1:5">
      <c r="A3029" t="s">
        <v>5848</v>
      </c>
      <c r="B3029" t="s">
        <v>5849</v>
      </c>
      <c r="E3029" s="11"/>
    </row>
    <row r="3030" spans="1:5">
      <c r="A3030" t="s">
        <v>5850</v>
      </c>
      <c r="B3030" t="s">
        <v>5851</v>
      </c>
      <c r="E3030" s="11"/>
    </row>
    <row r="3031" spans="1:5">
      <c r="A3031" t="s">
        <v>5853</v>
      </c>
      <c r="B3031" t="s">
        <v>5854</v>
      </c>
      <c r="E3031" s="11"/>
    </row>
    <row r="3032" spans="1:5">
      <c r="A3032" t="s">
        <v>5863</v>
      </c>
      <c r="B3032" t="s">
        <v>5864</v>
      </c>
      <c r="E3032" s="11"/>
    </row>
    <row r="3033" spans="1:5">
      <c r="A3033" t="s">
        <v>5866</v>
      </c>
      <c r="B3033" t="s">
        <v>5867</v>
      </c>
      <c r="E3033" s="11"/>
    </row>
    <row r="3034" spans="1:5">
      <c r="A3034" t="s">
        <v>5874</v>
      </c>
      <c r="B3034" t="s">
        <v>5875</v>
      </c>
      <c r="E3034" s="11"/>
    </row>
    <row r="3035" spans="1:5">
      <c r="A3035" t="s">
        <v>5877</v>
      </c>
      <c r="B3035" t="s">
        <v>5878</v>
      </c>
      <c r="E3035" s="11"/>
    </row>
    <row r="3036" spans="1:5">
      <c r="A3036" t="s">
        <v>5879</v>
      </c>
      <c r="B3036" t="s">
        <v>5880</v>
      </c>
      <c r="E3036" s="11"/>
    </row>
    <row r="3037" spans="1:5">
      <c r="A3037" t="s">
        <v>5881</v>
      </c>
      <c r="B3037" t="s">
        <v>5882</v>
      </c>
      <c r="E3037" s="11"/>
    </row>
    <row r="3038" spans="1:5">
      <c r="A3038" t="s">
        <v>5884</v>
      </c>
      <c r="B3038" t="s">
        <v>5885</v>
      </c>
      <c r="E3038" s="11"/>
    </row>
    <row r="3039" spans="1:5">
      <c r="A3039" t="s">
        <v>5887</v>
      </c>
      <c r="B3039" t="s">
        <v>5888</v>
      </c>
      <c r="E3039" s="11"/>
    </row>
    <row r="3040" spans="1:5">
      <c r="A3040" t="s">
        <v>5889</v>
      </c>
      <c r="B3040" t="s">
        <v>5890</v>
      </c>
      <c r="E3040" s="11"/>
    </row>
    <row r="3041" spans="1:5">
      <c r="A3041" t="s">
        <v>5891</v>
      </c>
      <c r="B3041" t="s">
        <v>5892</v>
      </c>
      <c r="E3041" s="11"/>
    </row>
    <row r="3042" spans="1:5">
      <c r="A3042" t="s">
        <v>5897</v>
      </c>
      <c r="B3042" t="s">
        <v>5898</v>
      </c>
      <c r="E3042" s="11"/>
    </row>
    <row r="3043" spans="1:5">
      <c r="A3043" t="s">
        <v>5899</v>
      </c>
      <c r="B3043" t="s">
        <v>5900</v>
      </c>
      <c r="E3043" s="11"/>
    </row>
    <row r="3044" spans="1:5">
      <c r="A3044" t="s">
        <v>5901</v>
      </c>
      <c r="B3044" t="s">
        <v>5902</v>
      </c>
      <c r="E3044" s="11"/>
    </row>
    <row r="3045" spans="1:5">
      <c r="A3045" t="s">
        <v>5909</v>
      </c>
      <c r="B3045" t="s">
        <v>5910</v>
      </c>
      <c r="E3045" s="11"/>
    </row>
    <row r="3046" spans="1:5">
      <c r="A3046" t="s">
        <v>5911</v>
      </c>
      <c r="B3046" t="s">
        <v>5912</v>
      </c>
      <c r="E3046" s="11"/>
    </row>
    <row r="3047" spans="1:5">
      <c r="A3047" t="s">
        <v>5913</v>
      </c>
      <c r="B3047" t="s">
        <v>5914</v>
      </c>
      <c r="E3047" s="11"/>
    </row>
    <row r="3048" spans="1:5">
      <c r="A3048" t="s">
        <v>5919</v>
      </c>
      <c r="B3048" t="s">
        <v>5920</v>
      </c>
      <c r="E3048" s="11"/>
    </row>
    <row r="3049" spans="1:5">
      <c r="A3049" t="s">
        <v>5921</v>
      </c>
      <c r="B3049" t="s">
        <v>5922</v>
      </c>
      <c r="E3049" s="11"/>
    </row>
    <row r="3050" spans="1:5">
      <c r="A3050" t="s">
        <v>5924</v>
      </c>
      <c r="B3050" t="s">
        <v>5925</v>
      </c>
      <c r="E3050" s="11"/>
    </row>
    <row r="3051" spans="1:5">
      <c r="A3051" t="s">
        <v>5927</v>
      </c>
      <c r="B3051" t="s">
        <v>5928</v>
      </c>
      <c r="E3051" s="11"/>
    </row>
    <row r="3052" spans="1:5">
      <c r="A3052" t="s">
        <v>5930</v>
      </c>
      <c r="B3052" t="s">
        <v>5931</v>
      </c>
      <c r="E3052" s="11"/>
    </row>
    <row r="3053" spans="1:5">
      <c r="A3053" t="s">
        <v>5934</v>
      </c>
      <c r="B3053" t="s">
        <v>5935</v>
      </c>
      <c r="E3053" s="11"/>
    </row>
    <row r="3054" spans="1:5">
      <c r="A3054" t="s">
        <v>5938</v>
      </c>
      <c r="B3054" t="s">
        <v>5939</v>
      </c>
      <c r="E3054" s="11"/>
    </row>
    <row r="3055" spans="1:5">
      <c r="A3055" t="s">
        <v>5942</v>
      </c>
      <c r="B3055" t="s">
        <v>5943</v>
      </c>
      <c r="E3055" s="11"/>
    </row>
    <row r="3056" spans="1:5">
      <c r="A3056" t="s">
        <v>5953</v>
      </c>
      <c r="B3056" t="s">
        <v>5954</v>
      </c>
      <c r="E3056" s="11"/>
    </row>
    <row r="3057" spans="1:5">
      <c r="A3057" t="s">
        <v>5973</v>
      </c>
      <c r="B3057" t="s">
        <v>5974</v>
      </c>
      <c r="E3057" s="11"/>
    </row>
    <row r="3058" spans="1:5">
      <c r="A3058" t="s">
        <v>5981</v>
      </c>
      <c r="B3058" t="s">
        <v>5982</v>
      </c>
      <c r="E3058" s="11"/>
    </row>
    <row r="3059" spans="1:5">
      <c r="A3059" t="s">
        <v>5981</v>
      </c>
      <c r="B3059" t="s">
        <v>5983</v>
      </c>
      <c r="E3059" s="11"/>
    </row>
    <row r="3060" spans="1:5">
      <c r="A3060" t="s">
        <v>5985</v>
      </c>
      <c r="B3060" t="s">
        <v>5986</v>
      </c>
      <c r="E3060" s="11"/>
    </row>
    <row r="3061" spans="1:5">
      <c r="A3061" t="s">
        <v>5995</v>
      </c>
      <c r="B3061" t="s">
        <v>5996</v>
      </c>
      <c r="E3061" s="11"/>
    </row>
    <row r="3062" spans="1:5">
      <c r="A3062" t="s">
        <v>5998</v>
      </c>
      <c r="B3062" t="s">
        <v>5999</v>
      </c>
      <c r="E3062" s="11"/>
    </row>
    <row r="3063" spans="1:5">
      <c r="A3063" t="s">
        <v>6001</v>
      </c>
      <c r="B3063" t="s">
        <v>6002</v>
      </c>
      <c r="E3063" s="11"/>
    </row>
    <row r="3064" spans="1:5">
      <c r="A3064" t="s">
        <v>6003</v>
      </c>
      <c r="B3064" t="s">
        <v>6004</v>
      </c>
      <c r="E3064" s="11"/>
    </row>
    <row r="3065" spans="1:5">
      <c r="A3065" t="s">
        <v>6006</v>
      </c>
      <c r="B3065" t="s">
        <v>6007</v>
      </c>
      <c r="E3065" s="11"/>
    </row>
    <row r="3066" spans="1:5">
      <c r="A3066" t="s">
        <v>6010</v>
      </c>
      <c r="B3066" t="s">
        <v>6011</v>
      </c>
      <c r="E3066" s="11"/>
    </row>
    <row r="3067" spans="1:5">
      <c r="A3067" t="s">
        <v>6016</v>
      </c>
      <c r="B3067" t="s">
        <v>6017</v>
      </c>
      <c r="E3067" s="11"/>
    </row>
    <row r="3068" spans="1:5">
      <c r="A3068" t="s">
        <v>6020</v>
      </c>
      <c r="B3068" t="s">
        <v>6021</v>
      </c>
      <c r="E3068" s="11"/>
    </row>
    <row r="3069" spans="1:5">
      <c r="A3069" t="s">
        <v>6024</v>
      </c>
      <c r="B3069" t="s">
        <v>6025</v>
      </c>
      <c r="E3069" s="11"/>
    </row>
    <row r="3070" spans="1:5">
      <c r="A3070" t="s">
        <v>6026</v>
      </c>
      <c r="B3070" t="s">
        <v>6027</v>
      </c>
      <c r="E3070" s="11"/>
    </row>
    <row r="3071" spans="1:5">
      <c r="A3071" t="s">
        <v>6039</v>
      </c>
      <c r="B3071" t="s">
        <v>6040</v>
      </c>
      <c r="E3071" s="11"/>
    </row>
    <row r="3072" spans="1:5">
      <c r="A3072" t="s">
        <v>6048</v>
      </c>
      <c r="B3072" t="s">
        <v>6049</v>
      </c>
      <c r="E3072" s="11"/>
    </row>
    <row r="3073" spans="1:5">
      <c r="A3073" t="s">
        <v>6051</v>
      </c>
      <c r="B3073" t="s">
        <v>6052</v>
      </c>
      <c r="E3073" s="11"/>
    </row>
    <row r="3074" spans="1:5">
      <c r="A3074" t="s">
        <v>6054</v>
      </c>
      <c r="B3074" t="s">
        <v>6055</v>
      </c>
      <c r="E3074" s="11"/>
    </row>
    <row r="3075" spans="1:5">
      <c r="A3075" t="s">
        <v>6057</v>
      </c>
      <c r="B3075" t="s">
        <v>6058</v>
      </c>
      <c r="E3075" s="11"/>
    </row>
    <row r="3076" spans="1:5">
      <c r="A3076" t="s">
        <v>6060</v>
      </c>
      <c r="B3076" t="s">
        <v>6061</v>
      </c>
      <c r="E3076" s="11"/>
    </row>
    <row r="3077" spans="1:5">
      <c r="A3077" t="s">
        <v>6067</v>
      </c>
      <c r="B3077" t="s">
        <v>6068</v>
      </c>
      <c r="E3077" s="11"/>
    </row>
    <row r="3078" spans="1:5">
      <c r="A3078" t="s">
        <v>6070</v>
      </c>
      <c r="B3078" t="s">
        <v>6071</v>
      </c>
      <c r="E3078" s="11"/>
    </row>
    <row r="3079" spans="1:5">
      <c r="A3079" t="s">
        <v>6082</v>
      </c>
      <c r="B3079" t="s">
        <v>6083</v>
      </c>
      <c r="E3079" s="11"/>
    </row>
    <row r="3080" spans="1:5">
      <c r="A3080" t="s">
        <v>6090</v>
      </c>
      <c r="B3080" t="s">
        <v>6091</v>
      </c>
      <c r="E3080" s="11"/>
    </row>
    <row r="3081" spans="1:5">
      <c r="A3081" t="s">
        <v>6094</v>
      </c>
      <c r="B3081" t="s">
        <v>6095</v>
      </c>
      <c r="E3081" s="11"/>
    </row>
    <row r="3082" spans="1:5">
      <c r="A3082" t="s">
        <v>6105</v>
      </c>
      <c r="B3082" t="s">
        <v>6106</v>
      </c>
      <c r="E3082" s="11"/>
    </row>
    <row r="3083" spans="1:5">
      <c r="A3083" t="s">
        <v>6107</v>
      </c>
      <c r="B3083" t="s">
        <v>6108</v>
      </c>
      <c r="E3083" s="11"/>
    </row>
    <row r="3084" spans="1:5">
      <c r="A3084" t="s">
        <v>560</v>
      </c>
      <c r="B3084" t="s">
        <v>6109</v>
      </c>
      <c r="E3084" s="11"/>
    </row>
    <row r="3085" spans="1:5">
      <c r="A3085" t="s">
        <v>6110</v>
      </c>
      <c r="B3085" t="s">
        <v>6111</v>
      </c>
      <c r="E3085" s="11"/>
    </row>
    <row r="3086" spans="1:5">
      <c r="A3086" t="s">
        <v>6116</v>
      </c>
      <c r="B3086" t="s">
        <v>6117</v>
      </c>
      <c r="E3086" s="11"/>
    </row>
    <row r="3087" spans="1:5">
      <c r="A3087" t="s">
        <v>6118</v>
      </c>
      <c r="B3087" t="s">
        <v>6119</v>
      </c>
      <c r="E3087" s="11"/>
    </row>
    <row r="3088" spans="1:5">
      <c r="A3088" t="s">
        <v>6123</v>
      </c>
      <c r="B3088" t="s">
        <v>6124</v>
      </c>
      <c r="E3088" s="11"/>
    </row>
    <row r="3089" spans="1:5">
      <c r="A3089" t="s">
        <v>6125</v>
      </c>
      <c r="B3089" t="s">
        <v>6126</v>
      </c>
      <c r="E3089" s="11"/>
    </row>
    <row r="3090" spans="1:5">
      <c r="A3090" t="s">
        <v>6131</v>
      </c>
      <c r="B3090" t="s">
        <v>6132</v>
      </c>
      <c r="E3090" s="11"/>
    </row>
    <row r="3091" spans="1:5">
      <c r="A3091" t="s">
        <v>6133</v>
      </c>
      <c r="B3091" t="s">
        <v>6134</v>
      </c>
      <c r="E3091" s="11"/>
    </row>
    <row r="3092" spans="1:5">
      <c r="A3092" t="s">
        <v>6135</v>
      </c>
      <c r="B3092" t="s">
        <v>6136</v>
      </c>
      <c r="E3092" s="11"/>
    </row>
    <row r="3093" spans="1:5">
      <c r="A3093" t="s">
        <v>6137</v>
      </c>
      <c r="B3093" t="s">
        <v>6138</v>
      </c>
      <c r="E3093" s="11"/>
    </row>
    <row r="3094" spans="1:5">
      <c r="A3094" t="s">
        <v>6139</v>
      </c>
      <c r="B3094" t="s">
        <v>6140</v>
      </c>
      <c r="E3094" s="11"/>
    </row>
    <row r="3095" spans="1:5">
      <c r="A3095" t="s">
        <v>6141</v>
      </c>
      <c r="B3095" t="s">
        <v>6142</v>
      </c>
      <c r="E3095" s="11"/>
    </row>
    <row r="3096" spans="1:5">
      <c r="A3096" t="s">
        <v>6150</v>
      </c>
      <c r="B3096" t="s">
        <v>6151</v>
      </c>
      <c r="E3096" s="11"/>
    </row>
    <row r="3097" spans="1:5">
      <c r="A3097" t="s">
        <v>6153</v>
      </c>
      <c r="B3097" t="s">
        <v>6154</v>
      </c>
      <c r="E3097" s="11"/>
    </row>
    <row r="3098" spans="1:5">
      <c r="A3098" t="s">
        <v>6158</v>
      </c>
      <c r="B3098" t="s">
        <v>6159</v>
      </c>
      <c r="E3098" s="11"/>
    </row>
    <row r="3099" spans="1:5">
      <c r="A3099" t="s">
        <v>6161</v>
      </c>
      <c r="B3099" t="s">
        <v>6162</v>
      </c>
      <c r="E3099" s="11"/>
    </row>
    <row r="3100" spans="1:5">
      <c r="A3100" t="s">
        <v>6164</v>
      </c>
      <c r="B3100" t="s">
        <v>6169</v>
      </c>
      <c r="E3100" s="11"/>
    </row>
    <row r="3101" spans="1:5">
      <c r="A3101" t="s">
        <v>6171</v>
      </c>
      <c r="B3101" t="s">
        <v>6172</v>
      </c>
      <c r="E3101" s="11"/>
    </row>
    <row r="3102" spans="1:5">
      <c r="A3102" t="s">
        <v>6174</v>
      </c>
      <c r="B3102" t="s">
        <v>6175</v>
      </c>
      <c r="E3102" s="11"/>
    </row>
    <row r="3103" spans="1:5">
      <c r="A3103" t="s">
        <v>6177</v>
      </c>
      <c r="B3103" t="s">
        <v>6178</v>
      </c>
      <c r="E3103" s="11"/>
    </row>
    <row r="3104" spans="1:5">
      <c r="A3104" t="s">
        <v>6179</v>
      </c>
      <c r="B3104" t="s">
        <v>6180</v>
      </c>
      <c r="E3104" s="11"/>
    </row>
    <row r="3105" spans="1:5">
      <c r="A3105" t="s">
        <v>6185</v>
      </c>
      <c r="B3105" t="s">
        <v>6186</v>
      </c>
      <c r="E3105" s="11"/>
    </row>
    <row r="3106" spans="1:5">
      <c r="A3106" t="s">
        <v>6185</v>
      </c>
      <c r="B3106" t="s">
        <v>6187</v>
      </c>
      <c r="E3106" s="11"/>
    </row>
    <row r="3107" spans="1:5">
      <c r="A3107" t="s">
        <v>6188</v>
      </c>
      <c r="B3107" t="s">
        <v>6189</v>
      </c>
      <c r="E3107" s="11"/>
    </row>
    <row r="3108" spans="1:5">
      <c r="A3108" t="s">
        <v>6188</v>
      </c>
      <c r="B3108" t="s">
        <v>6190</v>
      </c>
      <c r="E3108" s="11"/>
    </row>
    <row r="3109" spans="1:5">
      <c r="A3109" t="s">
        <v>6192</v>
      </c>
      <c r="B3109" t="s">
        <v>6193</v>
      </c>
      <c r="E3109" s="11"/>
    </row>
    <row r="3110" spans="1:5">
      <c r="A3110" t="s">
        <v>6198</v>
      </c>
      <c r="B3110" t="s">
        <v>6199</v>
      </c>
      <c r="E3110" s="11"/>
    </row>
    <row r="3111" spans="1:5">
      <c r="A3111" t="s">
        <v>6200</v>
      </c>
      <c r="B3111" t="s">
        <v>6201</v>
      </c>
      <c r="E3111" s="11"/>
    </row>
    <row r="3112" spans="1:5">
      <c r="A3112" t="s">
        <v>6202</v>
      </c>
      <c r="B3112" t="s">
        <v>6203</v>
      </c>
      <c r="E3112" s="11"/>
    </row>
    <row r="3113" spans="1:5">
      <c r="A3113" t="s">
        <v>6202</v>
      </c>
      <c r="B3113" t="s">
        <v>6204</v>
      </c>
      <c r="E3113" s="11"/>
    </row>
    <row r="3114" spans="1:5">
      <c r="A3114" t="s">
        <v>6205</v>
      </c>
      <c r="B3114" t="s">
        <v>6206</v>
      </c>
      <c r="E3114" s="11"/>
    </row>
    <row r="3115" spans="1:5">
      <c r="A3115" t="s">
        <v>6207</v>
      </c>
      <c r="B3115" t="s">
        <v>6208</v>
      </c>
      <c r="E3115" s="11"/>
    </row>
    <row r="3116" spans="1:5">
      <c r="A3116" t="s">
        <v>6209</v>
      </c>
      <c r="B3116" t="s">
        <v>6210</v>
      </c>
      <c r="E3116" s="11"/>
    </row>
    <row r="3117" spans="1:5">
      <c r="A3117" t="s">
        <v>6212</v>
      </c>
      <c r="B3117" t="s">
        <v>6213</v>
      </c>
      <c r="E3117" s="11"/>
    </row>
    <row r="3118" spans="1:5">
      <c r="A3118" t="s">
        <v>6217</v>
      </c>
      <c r="B3118" t="s">
        <v>6218</v>
      </c>
      <c r="E3118" s="11"/>
    </row>
    <row r="3119" spans="1:5">
      <c r="A3119" t="s">
        <v>6219</v>
      </c>
      <c r="B3119" t="s">
        <v>6220</v>
      </c>
      <c r="E3119" s="11"/>
    </row>
    <row r="3120" spans="1:5">
      <c r="A3120" t="s">
        <v>6225</v>
      </c>
      <c r="B3120" t="s">
        <v>6226</v>
      </c>
      <c r="E3120" s="11"/>
    </row>
    <row r="3121" spans="1:5">
      <c r="A3121" t="s">
        <v>6227</v>
      </c>
      <c r="B3121" t="s">
        <v>6228</v>
      </c>
      <c r="E3121" s="11"/>
    </row>
    <row r="3122" spans="1:5">
      <c r="A3122" t="s">
        <v>6229</v>
      </c>
      <c r="B3122" t="s">
        <v>6230</v>
      </c>
      <c r="E3122" s="11"/>
    </row>
    <row r="3123" spans="1:5">
      <c r="A3123" t="s">
        <v>6231</v>
      </c>
      <c r="B3123" t="s">
        <v>6232</v>
      </c>
      <c r="E3123" s="11"/>
    </row>
    <row r="3124" spans="1:5">
      <c r="A3124" t="s">
        <v>6233</v>
      </c>
      <c r="B3124" t="s">
        <v>6234</v>
      </c>
      <c r="E3124" s="11"/>
    </row>
    <row r="3125" spans="1:5">
      <c r="A3125" t="s">
        <v>6235</v>
      </c>
      <c r="B3125" t="s">
        <v>6236</v>
      </c>
      <c r="E3125" s="11"/>
    </row>
    <row r="3126" spans="1:5">
      <c r="A3126" t="s">
        <v>6235</v>
      </c>
      <c r="B3126" t="s">
        <v>6237</v>
      </c>
      <c r="E3126" s="11"/>
    </row>
    <row r="3127" spans="1:5">
      <c r="A3127" t="s">
        <v>6239</v>
      </c>
      <c r="B3127" t="s">
        <v>6242</v>
      </c>
      <c r="E3127" s="11"/>
    </row>
    <row r="3128" spans="1:5">
      <c r="A3128" t="s">
        <v>6239</v>
      </c>
      <c r="B3128" t="s">
        <v>6243</v>
      </c>
      <c r="E3128" s="11"/>
    </row>
    <row r="3129" spans="1:5">
      <c r="A3129" t="s">
        <v>6245</v>
      </c>
      <c r="B3129" t="s">
        <v>6246</v>
      </c>
      <c r="E3129" s="11"/>
    </row>
    <row r="3130" spans="1:5">
      <c r="A3130" t="s">
        <v>6247</v>
      </c>
      <c r="B3130" t="s">
        <v>6248</v>
      </c>
      <c r="E3130" s="11"/>
    </row>
    <row r="3131" spans="1:5">
      <c r="A3131" t="s">
        <v>6251</v>
      </c>
      <c r="B3131" t="s">
        <v>6252</v>
      </c>
      <c r="E3131" s="11"/>
    </row>
    <row r="3132" spans="1:5">
      <c r="A3132" t="s">
        <v>6254</v>
      </c>
      <c r="B3132" t="s">
        <v>6255</v>
      </c>
      <c r="E3132" s="11"/>
    </row>
    <row r="3133" spans="1:5">
      <c r="A3133" t="s">
        <v>6256</v>
      </c>
      <c r="B3133" t="s">
        <v>6257</v>
      </c>
      <c r="E3133" s="11"/>
    </row>
    <row r="3134" spans="1:5">
      <c r="A3134" t="s">
        <v>6263</v>
      </c>
      <c r="B3134" t="s">
        <v>6264</v>
      </c>
      <c r="E3134" s="11"/>
    </row>
    <row r="3135" spans="1:5">
      <c r="A3135" t="s">
        <v>6265</v>
      </c>
      <c r="B3135" t="s">
        <v>6266</v>
      </c>
      <c r="E3135" s="11"/>
    </row>
    <row r="3136" spans="1:5">
      <c r="A3136" t="s">
        <v>6268</v>
      </c>
      <c r="B3136" t="s">
        <v>6269</v>
      </c>
      <c r="E3136" s="11"/>
    </row>
    <row r="3137" spans="1:5">
      <c r="A3137" t="s">
        <v>6270</v>
      </c>
      <c r="B3137" t="s">
        <v>6271</v>
      </c>
      <c r="E3137" s="11"/>
    </row>
    <row r="3138" spans="1:5">
      <c r="A3138" t="s">
        <v>6272</v>
      </c>
      <c r="B3138" t="s">
        <v>6273</v>
      </c>
      <c r="E3138" s="11"/>
    </row>
    <row r="3139" spans="1:5">
      <c r="A3139" t="s">
        <v>6277</v>
      </c>
      <c r="B3139" t="s">
        <v>6278</v>
      </c>
      <c r="E3139" s="11"/>
    </row>
    <row r="3140" spans="1:5">
      <c r="A3140" t="s">
        <v>6280</v>
      </c>
      <c r="B3140" t="s">
        <v>6281</v>
      </c>
      <c r="E3140" s="11"/>
    </row>
    <row r="3141" spans="1:5">
      <c r="A3141" t="s">
        <v>6285</v>
      </c>
      <c r="B3141" t="s">
        <v>6286</v>
      </c>
      <c r="E3141" s="11"/>
    </row>
    <row r="3142" spans="1:5">
      <c r="A3142" t="s">
        <v>6287</v>
      </c>
      <c r="B3142" t="s">
        <v>6288</v>
      </c>
      <c r="E3142" s="11"/>
    </row>
    <row r="3143" spans="1:5">
      <c r="A3143" t="s">
        <v>6291</v>
      </c>
      <c r="B3143" t="s">
        <v>6292</v>
      </c>
      <c r="E3143" s="11"/>
    </row>
    <row r="3144" spans="1:5">
      <c r="A3144" t="s">
        <v>6295</v>
      </c>
      <c r="B3144" t="s">
        <v>6296</v>
      </c>
      <c r="E3144" s="11"/>
    </row>
    <row r="3145" spans="1:5">
      <c r="A3145" t="s">
        <v>6297</v>
      </c>
      <c r="B3145" t="s">
        <v>6298</v>
      </c>
      <c r="E3145" s="11"/>
    </row>
    <row r="3146" spans="1:5">
      <c r="A3146" t="s">
        <v>6301</v>
      </c>
      <c r="B3146" t="s">
        <v>6302</v>
      </c>
      <c r="E3146" s="11"/>
    </row>
    <row r="3147" spans="1:5">
      <c r="A3147" t="s">
        <v>6303</v>
      </c>
      <c r="B3147" t="s">
        <v>6304</v>
      </c>
      <c r="E3147" s="11"/>
    </row>
    <row r="3148" spans="1:5">
      <c r="A3148" t="s">
        <v>6310</v>
      </c>
      <c r="B3148" t="s">
        <v>6311</v>
      </c>
      <c r="E3148" s="11"/>
    </row>
    <row r="3149" spans="1:5">
      <c r="A3149" t="s">
        <v>6314</v>
      </c>
      <c r="B3149" t="s">
        <v>6315</v>
      </c>
      <c r="E3149" s="11"/>
    </row>
    <row r="3150" spans="1:5">
      <c r="A3150" t="s">
        <v>6318</v>
      </c>
      <c r="B3150" t="s">
        <v>6319</v>
      </c>
      <c r="E3150" s="11"/>
    </row>
    <row r="3151" spans="1:5">
      <c r="A3151" t="s">
        <v>6320</v>
      </c>
      <c r="B3151" t="s">
        <v>6321</v>
      </c>
      <c r="E3151" s="11"/>
    </row>
    <row r="3152" spans="1:5">
      <c r="A3152" t="s">
        <v>6322</v>
      </c>
      <c r="B3152" t="s">
        <v>6323</v>
      </c>
      <c r="E3152" s="11"/>
    </row>
    <row r="3153" spans="1:5">
      <c r="A3153" t="s">
        <v>6324</v>
      </c>
      <c r="B3153" t="s">
        <v>6325</v>
      </c>
      <c r="E3153" s="11"/>
    </row>
    <row r="3154" spans="1:5">
      <c r="A3154" t="s">
        <v>6335</v>
      </c>
      <c r="B3154" t="s">
        <v>6336</v>
      </c>
      <c r="E3154" s="11"/>
    </row>
    <row r="3155" spans="1:5">
      <c r="A3155" t="s">
        <v>6337</v>
      </c>
      <c r="B3155" t="s">
        <v>6338</v>
      </c>
      <c r="E3155" s="11"/>
    </row>
    <row r="3156" spans="1:5">
      <c r="A3156" t="s">
        <v>6343</v>
      </c>
      <c r="B3156" t="s">
        <v>6344</v>
      </c>
      <c r="E3156" s="11"/>
    </row>
    <row r="3157" spans="1:5">
      <c r="A3157" t="s">
        <v>6350</v>
      </c>
      <c r="B3157" t="s">
        <v>6351</v>
      </c>
      <c r="E3157" s="11"/>
    </row>
    <row r="3158" spans="1:5">
      <c r="A3158" t="s">
        <v>6356</v>
      </c>
      <c r="B3158" t="s">
        <v>6357</v>
      </c>
      <c r="E3158" s="11"/>
    </row>
    <row r="3159" spans="1:5">
      <c r="A3159" t="s">
        <v>6359</v>
      </c>
      <c r="B3159" t="s">
        <v>6360</v>
      </c>
      <c r="E3159" s="11"/>
    </row>
    <row r="3160" spans="1:5">
      <c r="A3160" t="s">
        <v>6361</v>
      </c>
      <c r="B3160" t="s">
        <v>6362</v>
      </c>
      <c r="E3160" s="11"/>
    </row>
    <row r="3161" spans="1:5">
      <c r="A3161" t="s">
        <v>6368</v>
      </c>
      <c r="B3161" t="s">
        <v>6369</v>
      </c>
      <c r="E3161" s="11"/>
    </row>
    <row r="3162" spans="1:5">
      <c r="A3162" t="s">
        <v>6373</v>
      </c>
      <c r="B3162" t="s">
        <v>6374</v>
      </c>
      <c r="E3162" s="11"/>
    </row>
    <row r="3163" spans="1:5">
      <c r="A3163" t="s">
        <v>6375</v>
      </c>
      <c r="B3163" t="s">
        <v>6376</v>
      </c>
      <c r="E3163" s="11"/>
    </row>
    <row r="3164" spans="1:5">
      <c r="A3164" t="s">
        <v>6378</v>
      </c>
      <c r="B3164" t="s">
        <v>6379</v>
      </c>
      <c r="E3164" s="11"/>
    </row>
    <row r="3165" spans="1:5">
      <c r="A3165" t="s">
        <v>6381</v>
      </c>
      <c r="B3165" t="s">
        <v>6382</v>
      </c>
      <c r="E3165" s="11"/>
    </row>
    <row r="3166" spans="1:5">
      <c r="A3166" t="s">
        <v>6383</v>
      </c>
      <c r="B3166" t="s">
        <v>6384</v>
      </c>
      <c r="E3166" s="11"/>
    </row>
    <row r="3167" spans="1:5">
      <c r="A3167" t="s">
        <v>6385</v>
      </c>
      <c r="B3167" t="s">
        <v>6386</v>
      </c>
      <c r="E3167" s="11"/>
    </row>
    <row r="3168" spans="1:5">
      <c r="A3168" t="s">
        <v>6388</v>
      </c>
      <c r="B3168" t="s">
        <v>6389</v>
      </c>
      <c r="E3168" s="11"/>
    </row>
    <row r="3169" spans="1:5">
      <c r="A3169" t="s">
        <v>6390</v>
      </c>
      <c r="B3169" t="s">
        <v>6391</v>
      </c>
      <c r="E3169" s="11"/>
    </row>
    <row r="3170" spans="1:5">
      <c r="A3170" t="s">
        <v>6392</v>
      </c>
      <c r="B3170" t="s">
        <v>6393</v>
      </c>
      <c r="E3170" s="11"/>
    </row>
    <row r="3171" spans="1:5">
      <c r="A3171" t="s">
        <v>6394</v>
      </c>
      <c r="B3171" t="s">
        <v>6395</v>
      </c>
      <c r="E3171" s="11"/>
    </row>
    <row r="3172" spans="1:5">
      <c r="A3172" t="s">
        <v>6396</v>
      </c>
      <c r="B3172" t="s">
        <v>6397</v>
      </c>
      <c r="E3172" s="11"/>
    </row>
    <row r="3173" spans="1:5">
      <c r="A3173" t="s">
        <v>6403</v>
      </c>
      <c r="B3173" t="s">
        <v>6404</v>
      </c>
      <c r="E3173" s="11"/>
    </row>
    <row r="3174" spans="1:5">
      <c r="A3174" t="s">
        <v>6405</v>
      </c>
      <c r="B3174" t="s">
        <v>6406</v>
      </c>
      <c r="E3174" s="11"/>
    </row>
    <row r="3175" spans="1:5">
      <c r="A3175" t="s">
        <v>6408</v>
      </c>
      <c r="B3175" t="s">
        <v>6409</v>
      </c>
      <c r="E3175" s="11"/>
    </row>
    <row r="3176" spans="1:5">
      <c r="A3176" t="s">
        <v>6410</v>
      </c>
      <c r="B3176" t="s">
        <v>6411</v>
      </c>
      <c r="E3176" s="11"/>
    </row>
    <row r="3177" spans="1:5">
      <c r="A3177" t="s">
        <v>6425</v>
      </c>
      <c r="B3177" t="s">
        <v>6426</v>
      </c>
      <c r="E3177" s="11"/>
    </row>
    <row r="3178" spans="1:5">
      <c r="A3178" t="s">
        <v>6427</v>
      </c>
      <c r="B3178" t="s">
        <v>6428</v>
      </c>
      <c r="E3178" s="11"/>
    </row>
    <row r="3179" spans="1:5">
      <c r="A3179" t="s">
        <v>6429</v>
      </c>
      <c r="B3179" t="s">
        <v>6430</v>
      </c>
      <c r="E3179" s="11"/>
    </row>
    <row r="3180" spans="1:5">
      <c r="A3180" t="s">
        <v>6432</v>
      </c>
      <c r="B3180" t="s">
        <v>6433</v>
      </c>
      <c r="E3180" s="11"/>
    </row>
    <row r="3181" spans="1:5">
      <c r="A3181" t="s">
        <v>6434</v>
      </c>
      <c r="B3181" t="s">
        <v>6435</v>
      </c>
      <c r="E3181" s="11"/>
    </row>
    <row r="3182" spans="1:5">
      <c r="A3182" t="s">
        <v>6437</v>
      </c>
      <c r="B3182" t="s">
        <v>6438</v>
      </c>
      <c r="E3182" s="11"/>
    </row>
    <row r="3183" spans="1:5">
      <c r="A3183" t="s">
        <v>6439</v>
      </c>
      <c r="B3183" t="s">
        <v>6440</v>
      </c>
      <c r="E3183" s="11"/>
    </row>
    <row r="3184" spans="1:5">
      <c r="A3184" t="s">
        <v>6442</v>
      </c>
      <c r="B3184" t="s">
        <v>6443</v>
      </c>
      <c r="E3184" s="11"/>
    </row>
    <row r="3185" spans="1:5">
      <c r="A3185" t="s">
        <v>6445</v>
      </c>
      <c r="B3185" t="s">
        <v>6446</v>
      </c>
      <c r="E3185" s="11"/>
    </row>
    <row r="3186" spans="1:5">
      <c r="A3186" t="s">
        <v>6449</v>
      </c>
      <c r="B3186" t="s">
        <v>6450</v>
      </c>
      <c r="E3186" s="11"/>
    </row>
    <row r="3187" spans="1:5">
      <c r="A3187" t="s">
        <v>6456</v>
      </c>
      <c r="B3187" t="s">
        <v>6457</v>
      </c>
      <c r="E3187" s="11"/>
    </row>
    <row r="3188" spans="1:5">
      <c r="A3188" t="s">
        <v>6460</v>
      </c>
      <c r="B3188" t="s">
        <v>6461</v>
      </c>
      <c r="E3188" s="11"/>
    </row>
    <row r="3189" spans="1:5">
      <c r="A3189" t="s">
        <v>6462</v>
      </c>
      <c r="B3189" t="s">
        <v>6463</v>
      </c>
      <c r="E3189" s="11"/>
    </row>
    <row r="3190" spans="1:5">
      <c r="A3190" t="s">
        <v>6464</v>
      </c>
      <c r="B3190" t="s">
        <v>6465</v>
      </c>
      <c r="E3190" s="11"/>
    </row>
    <row r="3191" spans="1:5">
      <c r="A3191" t="s">
        <v>6468</v>
      </c>
      <c r="B3191" t="s">
        <v>6469</v>
      </c>
      <c r="E3191" s="11"/>
    </row>
    <row r="3192" spans="1:5">
      <c r="A3192" t="s">
        <v>6471</v>
      </c>
      <c r="B3192" t="s">
        <v>6472</v>
      </c>
      <c r="E3192" s="11"/>
    </row>
    <row r="3193" spans="1:5">
      <c r="A3193" t="s">
        <v>6474</v>
      </c>
      <c r="B3193" t="s">
        <v>6475</v>
      </c>
      <c r="E3193" s="11"/>
    </row>
    <row r="3194" spans="1:5">
      <c r="A3194" t="s">
        <v>6477</v>
      </c>
      <c r="B3194" t="s">
        <v>6478</v>
      </c>
      <c r="E3194" s="11"/>
    </row>
    <row r="3195" spans="1:5">
      <c r="A3195" t="s">
        <v>6479</v>
      </c>
      <c r="B3195" t="s">
        <v>6480</v>
      </c>
      <c r="E3195" s="11"/>
    </row>
    <row r="3196" spans="1:5">
      <c r="A3196" t="s">
        <v>6483</v>
      </c>
      <c r="B3196" t="s">
        <v>6484</v>
      </c>
      <c r="E3196" s="11"/>
    </row>
    <row r="3197" spans="1:5">
      <c r="A3197" t="s">
        <v>6490</v>
      </c>
      <c r="B3197" t="s">
        <v>6491</v>
      </c>
      <c r="E3197" s="11"/>
    </row>
    <row r="3198" spans="1:5">
      <c r="A3198" t="s">
        <v>6495</v>
      </c>
      <c r="B3198" t="s">
        <v>6496</v>
      </c>
      <c r="E3198" s="11"/>
    </row>
    <row r="3199" spans="1:5">
      <c r="A3199" t="s">
        <v>6503</v>
      </c>
      <c r="B3199" t="s">
        <v>6504</v>
      </c>
      <c r="E3199" s="11"/>
    </row>
    <row r="3200" spans="1:5">
      <c r="A3200" t="s">
        <v>6506</v>
      </c>
      <c r="B3200" t="s">
        <v>6507</v>
      </c>
      <c r="E3200" s="11"/>
    </row>
    <row r="3201" spans="1:5">
      <c r="A3201" t="s">
        <v>6510</v>
      </c>
      <c r="B3201" t="s">
        <v>6511</v>
      </c>
      <c r="E3201" s="11"/>
    </row>
    <row r="3202" spans="1:5">
      <c r="A3202" t="s">
        <v>6512</v>
      </c>
      <c r="B3202" t="s">
        <v>6513</v>
      </c>
      <c r="E3202" s="11"/>
    </row>
    <row r="3203" spans="1:5">
      <c r="A3203" t="s">
        <v>6516</v>
      </c>
      <c r="B3203" t="s">
        <v>6517</v>
      </c>
      <c r="E3203" s="11"/>
    </row>
    <row r="3204" spans="1:5">
      <c r="A3204" t="s">
        <v>6520</v>
      </c>
      <c r="B3204" t="s">
        <v>6521</v>
      </c>
      <c r="E3204" s="11"/>
    </row>
    <row r="3205" spans="1:5">
      <c r="A3205" t="s">
        <v>6523</v>
      </c>
      <c r="B3205" t="s">
        <v>6524</v>
      </c>
      <c r="E3205" s="11"/>
    </row>
    <row r="3206" spans="1:5">
      <c r="A3206" t="s">
        <v>6525</v>
      </c>
      <c r="B3206" t="s">
        <v>6526</v>
      </c>
      <c r="E3206" s="11"/>
    </row>
    <row r="3207" spans="1:5">
      <c r="A3207" t="s">
        <v>6525</v>
      </c>
      <c r="B3207" t="s">
        <v>6527</v>
      </c>
      <c r="E3207" s="11"/>
    </row>
    <row r="3208" spans="1:5">
      <c r="A3208" t="s">
        <v>6528</v>
      </c>
      <c r="B3208" t="s">
        <v>6529</v>
      </c>
      <c r="E3208" s="11"/>
    </row>
    <row r="3209" spans="1:5">
      <c r="A3209" t="s">
        <v>6528</v>
      </c>
      <c r="B3209" t="s">
        <v>6530</v>
      </c>
      <c r="E3209" s="11"/>
    </row>
    <row r="3210" spans="1:5">
      <c r="A3210" t="s">
        <v>6531</v>
      </c>
      <c r="B3210" t="s">
        <v>6532</v>
      </c>
      <c r="E3210" s="11"/>
    </row>
    <row r="3211" spans="1:5">
      <c r="A3211" t="s">
        <v>6537</v>
      </c>
      <c r="B3211" t="s">
        <v>6538</v>
      </c>
      <c r="E3211" s="11"/>
    </row>
    <row r="3212" spans="1:5">
      <c r="A3212" t="s">
        <v>6541</v>
      </c>
      <c r="B3212" t="s">
        <v>6542</v>
      </c>
      <c r="E3212" s="11"/>
    </row>
    <row r="3213" spans="1:5">
      <c r="A3213" t="s">
        <v>6544</v>
      </c>
      <c r="B3213" t="s">
        <v>6545</v>
      </c>
      <c r="E3213" s="11"/>
    </row>
    <row r="3214" spans="1:5">
      <c r="A3214" t="s">
        <v>6553</v>
      </c>
      <c r="B3214" t="s">
        <v>6554</v>
      </c>
      <c r="E3214" s="11"/>
    </row>
    <row r="3215" spans="1:5">
      <c r="A3215" t="s">
        <v>6556</v>
      </c>
      <c r="B3215" t="s">
        <v>6557</v>
      </c>
      <c r="E3215" s="11"/>
    </row>
    <row r="3216" spans="1:5">
      <c r="A3216" t="s">
        <v>6563</v>
      </c>
      <c r="B3216" t="s">
        <v>6564</v>
      </c>
      <c r="E3216" s="11"/>
    </row>
    <row r="3217" spans="1:5">
      <c r="A3217" t="s">
        <v>6565</v>
      </c>
      <c r="B3217" t="s">
        <v>6566</v>
      </c>
      <c r="E3217" s="11"/>
    </row>
    <row r="3218" spans="1:5">
      <c r="A3218" t="s">
        <v>6573</v>
      </c>
      <c r="B3218" t="s">
        <v>6574</v>
      </c>
      <c r="E3218" s="11"/>
    </row>
    <row r="3219" spans="1:5">
      <c r="A3219" t="s">
        <v>6575</v>
      </c>
      <c r="B3219" t="s">
        <v>6576</v>
      </c>
      <c r="E3219" s="11"/>
    </row>
    <row r="3220" spans="1:5">
      <c r="A3220" t="s">
        <v>6579</v>
      </c>
      <c r="B3220" t="s">
        <v>6580</v>
      </c>
      <c r="E3220" s="11"/>
    </row>
    <row r="3221" spans="1:5">
      <c r="A3221" t="s">
        <v>6581</v>
      </c>
      <c r="B3221" t="s">
        <v>6582</v>
      </c>
      <c r="E3221" s="11"/>
    </row>
    <row r="3222" spans="1:5">
      <c r="A3222" t="s">
        <v>6584</v>
      </c>
      <c r="B3222" t="s">
        <v>6585</v>
      </c>
      <c r="E3222" s="11"/>
    </row>
    <row r="3223" spans="1:5">
      <c r="A3223" t="s">
        <v>6587</v>
      </c>
      <c r="B3223" t="s">
        <v>6588</v>
      </c>
      <c r="E3223" s="11"/>
    </row>
    <row r="3224" spans="1:5">
      <c r="A3224" t="s">
        <v>6590</v>
      </c>
      <c r="B3224" t="s">
        <v>6591</v>
      </c>
      <c r="E3224" s="11"/>
    </row>
    <row r="3225" spans="1:5">
      <c r="A3225" t="s">
        <v>6600</v>
      </c>
      <c r="B3225" t="s">
        <v>6601</v>
      </c>
      <c r="E3225" s="11"/>
    </row>
    <row r="3226" spans="1:5">
      <c r="A3226" t="s">
        <v>6624</v>
      </c>
      <c r="B3226" t="s">
        <v>6625</v>
      </c>
      <c r="E3226" s="11"/>
    </row>
    <row r="3227" spans="1:5">
      <c r="A3227" t="s">
        <v>6640</v>
      </c>
      <c r="B3227" t="s">
        <v>6641</v>
      </c>
      <c r="E3227" s="11"/>
    </row>
    <row r="3228" spans="1:5">
      <c r="A3228" t="s">
        <v>6645</v>
      </c>
      <c r="B3228" t="s">
        <v>6646</v>
      </c>
      <c r="E3228" s="11"/>
    </row>
    <row r="3229" spans="1:5">
      <c r="A3229" t="s">
        <v>6647</v>
      </c>
      <c r="B3229" t="s">
        <v>6648</v>
      </c>
      <c r="E3229" s="11"/>
    </row>
    <row r="3230" spans="1:5">
      <c r="A3230" t="s">
        <v>6650</v>
      </c>
      <c r="B3230" t="s">
        <v>6651</v>
      </c>
      <c r="E3230" s="11"/>
    </row>
    <row r="3231" spans="1:5">
      <c r="A3231" t="s">
        <v>6653</v>
      </c>
      <c r="B3231" t="s">
        <v>6654</v>
      </c>
      <c r="E3231" s="11"/>
    </row>
    <row r="3232" spans="1:5">
      <c r="A3232" t="s">
        <v>6655</v>
      </c>
      <c r="B3232" t="s">
        <v>6656</v>
      </c>
      <c r="E3232" s="11"/>
    </row>
    <row r="3233" spans="1:5">
      <c r="A3233" t="s">
        <v>6659</v>
      </c>
      <c r="B3233" t="s">
        <v>6661</v>
      </c>
      <c r="E3233" s="11"/>
    </row>
    <row r="3234" spans="1:5">
      <c r="A3234" t="s">
        <v>6662</v>
      </c>
      <c r="B3234" t="s">
        <v>6663</v>
      </c>
      <c r="E3234" s="11"/>
    </row>
    <row r="3235" spans="1:5">
      <c r="A3235" t="s">
        <v>6666</v>
      </c>
      <c r="B3235" t="s">
        <v>6667</v>
      </c>
      <c r="E3235" s="11"/>
    </row>
    <row r="3236" spans="1:5">
      <c r="A3236" t="s">
        <v>6666</v>
      </c>
      <c r="B3236" t="s">
        <v>6668</v>
      </c>
      <c r="E3236" s="11"/>
    </row>
    <row r="3237" spans="1:5">
      <c r="A3237" t="s">
        <v>6669</v>
      </c>
      <c r="B3237" t="s">
        <v>6670</v>
      </c>
      <c r="E3237" s="11"/>
    </row>
    <row r="3238" spans="1:5">
      <c r="A3238" t="s">
        <v>6669</v>
      </c>
      <c r="B3238" t="s">
        <v>6671</v>
      </c>
      <c r="E3238" s="11"/>
    </row>
    <row r="3239" spans="1:5">
      <c r="A3239" t="s">
        <v>6672</v>
      </c>
      <c r="B3239" t="s">
        <v>6673</v>
      </c>
      <c r="E3239" s="11"/>
    </row>
    <row r="3240" spans="1:5">
      <c r="A3240" t="s">
        <v>6677</v>
      </c>
      <c r="B3240" t="s">
        <v>6678</v>
      </c>
      <c r="E3240" s="11"/>
    </row>
    <row r="3241" spans="1:5">
      <c r="A3241" t="s">
        <v>6679</v>
      </c>
      <c r="B3241" t="s">
        <v>6680</v>
      </c>
      <c r="E3241" s="11"/>
    </row>
    <row r="3242" spans="1:5">
      <c r="A3242" t="s">
        <v>6686</v>
      </c>
      <c r="B3242" t="s">
        <v>6687</v>
      </c>
      <c r="E3242" s="11"/>
    </row>
    <row r="3243" spans="1:5">
      <c r="A3243" t="s">
        <v>6688</v>
      </c>
      <c r="B3243" t="s">
        <v>6689</v>
      </c>
      <c r="E3243" s="11"/>
    </row>
    <row r="3244" spans="1:5">
      <c r="A3244" t="s">
        <v>6690</v>
      </c>
      <c r="B3244" t="s">
        <v>6691</v>
      </c>
      <c r="E3244" s="11"/>
    </row>
    <row r="3245" spans="1:5">
      <c r="A3245" t="s">
        <v>6692</v>
      </c>
      <c r="B3245" t="s">
        <v>6693</v>
      </c>
      <c r="E3245" s="11"/>
    </row>
    <row r="3246" spans="1:5">
      <c r="A3246" t="s">
        <v>6692</v>
      </c>
      <c r="B3246" t="s">
        <v>6695</v>
      </c>
      <c r="E3246" s="11"/>
    </row>
    <row r="3247" spans="1:5">
      <c r="A3247" t="s">
        <v>6698</v>
      </c>
      <c r="B3247" t="s">
        <v>6699</v>
      </c>
      <c r="E3247" s="11"/>
    </row>
    <row r="3248" spans="1:5">
      <c r="A3248" t="s">
        <v>6701</v>
      </c>
      <c r="B3248" t="s">
        <v>6702</v>
      </c>
      <c r="E3248" s="11"/>
    </row>
    <row r="3249" spans="1:5">
      <c r="A3249" t="s">
        <v>6705</v>
      </c>
      <c r="B3249" t="s">
        <v>6706</v>
      </c>
      <c r="E3249" s="11"/>
    </row>
    <row r="3250" spans="1:5">
      <c r="A3250" t="s">
        <v>6707</v>
      </c>
      <c r="B3250" t="s">
        <v>6708</v>
      </c>
      <c r="E3250" s="11"/>
    </row>
    <row r="3251" spans="1:5">
      <c r="A3251" t="s">
        <v>6710</v>
      </c>
      <c r="B3251" t="s">
        <v>6711</v>
      </c>
      <c r="E3251" s="11"/>
    </row>
    <row r="3252" spans="1:5">
      <c r="A3252" t="s">
        <v>6712</v>
      </c>
      <c r="B3252" t="s">
        <v>6713</v>
      </c>
      <c r="E3252" s="11"/>
    </row>
    <row r="3253" spans="1:5">
      <c r="A3253" t="s">
        <v>6715</v>
      </c>
      <c r="B3253" t="s">
        <v>6716</v>
      </c>
      <c r="E3253" s="11"/>
    </row>
    <row r="3254" spans="1:5">
      <c r="A3254" t="s">
        <v>6719</v>
      </c>
      <c r="B3254" t="s">
        <v>6720</v>
      </c>
      <c r="E3254" s="11"/>
    </row>
    <row r="3255" spans="1:5">
      <c r="A3255" t="s">
        <v>6721</v>
      </c>
      <c r="B3255" t="s">
        <v>6722</v>
      </c>
      <c r="E3255" s="11"/>
    </row>
    <row r="3256" spans="1:5">
      <c r="A3256" t="s">
        <v>6723</v>
      </c>
      <c r="B3256" t="s">
        <v>6724</v>
      </c>
      <c r="E3256" s="11"/>
    </row>
    <row r="3257" spans="1:5">
      <c r="A3257" t="s">
        <v>6728</v>
      </c>
      <c r="B3257" t="s">
        <v>6729</v>
      </c>
      <c r="E3257" s="11"/>
    </row>
    <row r="3258" spans="1:5">
      <c r="A3258" t="s">
        <v>6731</v>
      </c>
      <c r="B3258" t="s">
        <v>6732</v>
      </c>
      <c r="E3258" s="11"/>
    </row>
    <row r="3259" spans="1:5">
      <c r="A3259" t="s">
        <v>6735</v>
      </c>
      <c r="B3259" t="s">
        <v>6736</v>
      </c>
      <c r="E3259" s="11"/>
    </row>
    <row r="3260" spans="1:5">
      <c r="A3260" t="s">
        <v>6737</v>
      </c>
      <c r="B3260" t="s">
        <v>6738</v>
      </c>
      <c r="E3260" s="11"/>
    </row>
    <row r="3261" spans="1:5">
      <c r="A3261" t="s">
        <v>6739</v>
      </c>
      <c r="B3261" t="s">
        <v>6740</v>
      </c>
      <c r="E3261" s="11"/>
    </row>
    <row r="3262" spans="1:5">
      <c r="A3262" t="s">
        <v>6746</v>
      </c>
      <c r="B3262" t="s">
        <v>6747</v>
      </c>
      <c r="E3262" s="11"/>
    </row>
    <row r="3263" spans="1:5">
      <c r="A3263" t="s">
        <v>6748</v>
      </c>
      <c r="B3263" t="s">
        <v>6749</v>
      </c>
      <c r="E3263" s="11"/>
    </row>
    <row r="3264" spans="1:5">
      <c r="A3264" t="s">
        <v>6751</v>
      </c>
      <c r="B3264" t="s">
        <v>6752</v>
      </c>
      <c r="E3264" s="11"/>
    </row>
    <row r="3265" spans="1:5">
      <c r="A3265" t="s">
        <v>6751</v>
      </c>
      <c r="B3265" t="s">
        <v>6753</v>
      </c>
      <c r="E3265" s="11"/>
    </row>
    <row r="3266" spans="1:5">
      <c r="A3266" t="s">
        <v>6755</v>
      </c>
      <c r="B3266" t="s">
        <v>6758</v>
      </c>
      <c r="E3266" s="11"/>
    </row>
    <row r="3267" spans="1:5">
      <c r="A3267" t="s">
        <v>6761</v>
      </c>
      <c r="B3267" t="s">
        <v>6762</v>
      </c>
      <c r="E3267" s="11"/>
    </row>
    <row r="3268" spans="1:5">
      <c r="A3268" t="s">
        <v>6763</v>
      </c>
      <c r="B3268" t="s">
        <v>6764</v>
      </c>
      <c r="E3268" s="11"/>
    </row>
    <row r="3269" spans="1:5">
      <c r="A3269" t="s">
        <v>6765</v>
      </c>
      <c r="B3269" t="s">
        <v>6766</v>
      </c>
      <c r="E3269" s="11"/>
    </row>
    <row r="3270" spans="1:5">
      <c r="A3270" t="s">
        <v>6767</v>
      </c>
      <c r="B3270" t="s">
        <v>6768</v>
      </c>
      <c r="E3270" s="11"/>
    </row>
    <row r="3271" spans="1:5">
      <c r="A3271" t="s">
        <v>6770</v>
      </c>
      <c r="B3271" t="s">
        <v>6771</v>
      </c>
      <c r="E3271" s="11"/>
    </row>
    <row r="3272" spans="1:5">
      <c r="A3272" t="s">
        <v>6772</v>
      </c>
      <c r="B3272" t="s">
        <v>6773</v>
      </c>
      <c r="E3272" s="11"/>
    </row>
    <row r="3273" spans="1:5">
      <c r="A3273" t="s">
        <v>6774</v>
      </c>
      <c r="B3273" t="s">
        <v>6775</v>
      </c>
      <c r="E3273" s="11"/>
    </row>
    <row r="3274" spans="1:5">
      <c r="A3274" t="s">
        <v>6774</v>
      </c>
      <c r="B3274" t="s">
        <v>6776</v>
      </c>
      <c r="E3274" s="11"/>
    </row>
    <row r="3275" spans="1:5">
      <c r="A3275" t="s">
        <v>6777</v>
      </c>
      <c r="B3275" t="s">
        <v>6778</v>
      </c>
      <c r="E3275" s="11"/>
    </row>
    <row r="3276" spans="1:5">
      <c r="A3276" t="s">
        <v>6779</v>
      </c>
      <c r="B3276" t="s">
        <v>6780</v>
      </c>
      <c r="E3276" s="11"/>
    </row>
    <row r="3277" spans="1:5">
      <c r="A3277" t="s">
        <v>6781</v>
      </c>
      <c r="B3277" t="s">
        <v>6782</v>
      </c>
      <c r="E3277" s="11"/>
    </row>
    <row r="3278" spans="1:5">
      <c r="A3278" t="s">
        <v>6783</v>
      </c>
      <c r="B3278" t="s">
        <v>6784</v>
      </c>
      <c r="E3278" s="11"/>
    </row>
    <row r="3279" spans="1:5">
      <c r="A3279" t="s">
        <v>6783</v>
      </c>
      <c r="B3279" t="s">
        <v>6785</v>
      </c>
      <c r="E3279" s="11"/>
    </row>
    <row r="3280" spans="1:5">
      <c r="A3280" t="s">
        <v>6788</v>
      </c>
      <c r="B3280" t="s">
        <v>6789</v>
      </c>
      <c r="E3280" s="11"/>
    </row>
    <row r="3281" spans="1:5">
      <c r="A3281" t="s">
        <v>6806</v>
      </c>
      <c r="B3281" t="s">
        <v>6809</v>
      </c>
      <c r="E3281" s="11"/>
    </row>
    <row r="3282" spans="1:5">
      <c r="A3282" t="s">
        <v>6806</v>
      </c>
      <c r="B3282" t="s">
        <v>6810</v>
      </c>
      <c r="E3282" s="11"/>
    </row>
    <row r="3283" spans="1:5">
      <c r="A3283" t="s">
        <v>6811</v>
      </c>
      <c r="B3283" t="s">
        <v>6812</v>
      </c>
      <c r="E3283" s="11"/>
    </row>
    <row r="3284" spans="1:5">
      <c r="A3284" t="s">
        <v>6813</v>
      </c>
      <c r="B3284" t="s">
        <v>6814</v>
      </c>
      <c r="E3284" s="11"/>
    </row>
    <row r="3285" spans="1:5">
      <c r="A3285" t="s">
        <v>3039</v>
      </c>
      <c r="B3285" t="s">
        <v>6815</v>
      </c>
      <c r="E3285" s="11"/>
    </row>
    <row r="3286" spans="1:5">
      <c r="A3286" t="s">
        <v>6816</v>
      </c>
      <c r="B3286" t="s">
        <v>6817</v>
      </c>
      <c r="E3286" s="11"/>
    </row>
    <row r="3287" spans="1:5">
      <c r="A3287" t="s">
        <v>6818</v>
      </c>
      <c r="B3287" t="s">
        <v>6819</v>
      </c>
      <c r="E3287" s="11"/>
    </row>
    <row r="3288" spans="1:5">
      <c r="A3288" t="s">
        <v>6823</v>
      </c>
      <c r="B3288" t="s">
        <v>6824</v>
      </c>
      <c r="E3288" s="11"/>
    </row>
    <row r="3289" spans="1:5">
      <c r="A3289" t="s">
        <v>6825</v>
      </c>
      <c r="B3289" t="s">
        <v>6826</v>
      </c>
      <c r="E3289" s="11"/>
    </row>
    <row r="3290" spans="1:5">
      <c r="A3290" t="s">
        <v>6827</v>
      </c>
      <c r="B3290" t="s">
        <v>6828</v>
      </c>
      <c r="E3290" s="11"/>
    </row>
    <row r="3291" spans="1:5">
      <c r="A3291" t="s">
        <v>6834</v>
      </c>
      <c r="B3291" t="s">
        <v>6835</v>
      </c>
      <c r="E3291" s="11"/>
    </row>
    <row r="3292" spans="1:5">
      <c r="A3292" t="s">
        <v>6839</v>
      </c>
      <c r="B3292" t="s">
        <v>6840</v>
      </c>
      <c r="E3292" s="11"/>
    </row>
    <row r="3293" spans="1:5">
      <c r="A3293" t="s">
        <v>6842</v>
      </c>
      <c r="B3293" t="s">
        <v>6843</v>
      </c>
      <c r="E3293" s="11"/>
    </row>
    <row r="3294" spans="1:5">
      <c r="A3294" t="s">
        <v>6848</v>
      </c>
      <c r="B3294" t="s">
        <v>6849</v>
      </c>
      <c r="E3294" s="11"/>
    </row>
    <row r="3295" spans="1:5">
      <c r="A3295" t="s">
        <v>6853</v>
      </c>
      <c r="B3295" t="s">
        <v>6854</v>
      </c>
      <c r="E3295" s="11"/>
    </row>
    <row r="3296" spans="1:5">
      <c r="A3296" t="s">
        <v>6855</v>
      </c>
      <c r="B3296" t="s">
        <v>6856</v>
      </c>
      <c r="E3296" s="11"/>
    </row>
    <row r="3297" spans="1:5">
      <c r="A3297" t="s">
        <v>6859</v>
      </c>
      <c r="B3297" t="s">
        <v>6860</v>
      </c>
      <c r="E3297" s="11"/>
    </row>
    <row r="3298" spans="1:5">
      <c r="A3298" t="s">
        <v>6861</v>
      </c>
      <c r="B3298" t="s">
        <v>6862</v>
      </c>
      <c r="E3298" s="11"/>
    </row>
    <row r="3299" spans="1:5">
      <c r="A3299" t="s">
        <v>6863</v>
      </c>
      <c r="B3299" t="s">
        <v>6865</v>
      </c>
      <c r="E3299" s="11"/>
    </row>
    <row r="3300" spans="1:5">
      <c r="A3300" t="s">
        <v>6866</v>
      </c>
      <c r="B3300" t="s">
        <v>6867</v>
      </c>
      <c r="E3300" s="11"/>
    </row>
    <row r="3301" spans="1:5">
      <c r="A3301" t="s">
        <v>6868</v>
      </c>
      <c r="B3301" t="s">
        <v>6869</v>
      </c>
      <c r="E3301" s="11"/>
    </row>
    <row r="3302" spans="1:5">
      <c r="A3302" t="s">
        <v>6878</v>
      </c>
      <c r="B3302" t="s">
        <v>6879</v>
      </c>
      <c r="E3302" s="11"/>
    </row>
    <row r="3303" spans="1:5">
      <c r="A3303" t="s">
        <v>6880</v>
      </c>
      <c r="B3303" t="s">
        <v>6881</v>
      </c>
      <c r="E3303" s="11"/>
    </row>
    <row r="3304" spans="1:5">
      <c r="A3304" t="s">
        <v>6880</v>
      </c>
      <c r="B3304" t="s">
        <v>6882</v>
      </c>
      <c r="E3304" s="11"/>
    </row>
    <row r="3305" spans="1:5">
      <c r="A3305" t="s">
        <v>6884</v>
      </c>
      <c r="B3305" t="s">
        <v>6885</v>
      </c>
      <c r="E3305" s="11"/>
    </row>
    <row r="3306" spans="1:5">
      <c r="A3306" t="s">
        <v>6884</v>
      </c>
      <c r="B3306" t="s">
        <v>6886</v>
      </c>
      <c r="E3306" s="11"/>
    </row>
    <row r="3307" spans="1:5">
      <c r="A3307" t="s">
        <v>6889</v>
      </c>
      <c r="B3307" t="s">
        <v>6890</v>
      </c>
      <c r="E3307" s="11"/>
    </row>
    <row r="3308" spans="1:5">
      <c r="A3308" t="s">
        <v>6896</v>
      </c>
      <c r="B3308" t="s">
        <v>6897</v>
      </c>
      <c r="E3308" s="11"/>
    </row>
    <row r="3309" spans="1:5">
      <c r="A3309" t="s">
        <v>6898</v>
      </c>
      <c r="B3309" t="s">
        <v>6899</v>
      </c>
      <c r="E3309" s="11"/>
    </row>
    <row r="3310" spans="1:5">
      <c r="A3310" t="s">
        <v>6906</v>
      </c>
      <c r="B3310" t="s">
        <v>6907</v>
      </c>
      <c r="E3310" s="11"/>
    </row>
    <row r="3311" spans="1:5">
      <c r="A3311" t="s">
        <v>6910</v>
      </c>
      <c r="B3311" t="s">
        <v>6911</v>
      </c>
      <c r="E3311" s="11"/>
    </row>
    <row r="3312" spans="1:5">
      <c r="A3312" t="s">
        <v>6912</v>
      </c>
      <c r="B3312" t="s">
        <v>6913</v>
      </c>
      <c r="E3312" s="11"/>
    </row>
    <row r="3313" spans="1:5">
      <c r="A3313" t="s">
        <v>6920</v>
      </c>
      <c r="B3313" t="s">
        <v>6921</v>
      </c>
      <c r="E3313" s="11"/>
    </row>
    <row r="3314" spans="1:5">
      <c r="A3314" t="s">
        <v>6930</v>
      </c>
      <c r="B3314" t="s">
        <v>6931</v>
      </c>
      <c r="E3314" s="11"/>
    </row>
    <row r="3315" spans="1:5">
      <c r="A3315" t="s">
        <v>6937</v>
      </c>
      <c r="B3315" t="s">
        <v>6938</v>
      </c>
      <c r="E3315" s="11"/>
    </row>
    <row r="3316" spans="1:5">
      <c r="A3316" t="s">
        <v>6939</v>
      </c>
      <c r="B3316" t="s">
        <v>6940</v>
      </c>
      <c r="E3316" s="11"/>
    </row>
    <row r="3317" spans="1:5">
      <c r="A3317" t="s">
        <v>6941</v>
      </c>
      <c r="B3317" t="s">
        <v>6942</v>
      </c>
      <c r="E3317" s="11"/>
    </row>
    <row r="3318" spans="1:5">
      <c r="A3318" t="s">
        <v>6941</v>
      </c>
      <c r="B3318" t="s">
        <v>6943</v>
      </c>
      <c r="E3318" s="11"/>
    </row>
    <row r="3319" spans="1:5">
      <c r="A3319" t="s">
        <v>6950</v>
      </c>
      <c r="B3319" t="s">
        <v>6951</v>
      </c>
      <c r="E3319" s="11"/>
    </row>
    <row r="3320" spans="1:5">
      <c r="A3320" t="s">
        <v>6954</v>
      </c>
      <c r="B3320" t="s">
        <v>6955</v>
      </c>
      <c r="E3320" s="11"/>
    </row>
    <row r="3321" spans="1:5">
      <c r="A3321" t="s">
        <v>6958</v>
      </c>
      <c r="B3321" t="s">
        <v>6959</v>
      </c>
      <c r="E3321" s="11"/>
    </row>
    <row r="3322" spans="1:5">
      <c r="A3322" t="s">
        <v>6974</v>
      </c>
      <c r="B3322" t="s">
        <v>6975</v>
      </c>
      <c r="E3322" s="11"/>
    </row>
    <row r="3323" spans="1:5">
      <c r="A3323" t="s">
        <v>6977</v>
      </c>
      <c r="B3323" t="s">
        <v>6978</v>
      </c>
      <c r="E3323" s="11"/>
    </row>
    <row r="3324" spans="1:5">
      <c r="A3324" t="s">
        <v>6977</v>
      </c>
      <c r="B3324" t="s">
        <v>6979</v>
      </c>
      <c r="E3324" s="11"/>
    </row>
    <row r="3325" spans="1:5">
      <c r="A3325" t="s">
        <v>6980</v>
      </c>
      <c r="B3325" t="s">
        <v>6981</v>
      </c>
      <c r="E3325" s="11"/>
    </row>
    <row r="3326" spans="1:5">
      <c r="A3326" t="s">
        <v>6987</v>
      </c>
      <c r="B3326" t="s">
        <v>6988</v>
      </c>
      <c r="E3326" s="11"/>
    </row>
    <row r="3327" spans="1:5">
      <c r="A3327" t="s">
        <v>6990</v>
      </c>
      <c r="B3327" t="s">
        <v>6991</v>
      </c>
      <c r="E3327" s="11"/>
    </row>
    <row r="3328" spans="1:5">
      <c r="A3328" t="s">
        <v>6993</v>
      </c>
      <c r="B3328" t="s">
        <v>6994</v>
      </c>
      <c r="E3328" s="11"/>
    </row>
    <row r="3329" spans="1:5">
      <c r="A3329" t="s">
        <v>6996</v>
      </c>
      <c r="B3329" t="s">
        <v>6997</v>
      </c>
      <c r="E3329" s="11"/>
    </row>
    <row r="3330" spans="1:5">
      <c r="A3330" t="s">
        <v>6998</v>
      </c>
      <c r="B3330" t="s">
        <v>6999</v>
      </c>
      <c r="E3330" s="11"/>
    </row>
    <row r="3331" spans="1:5">
      <c r="A3331" t="s">
        <v>6998</v>
      </c>
      <c r="B3331" t="s">
        <v>7000</v>
      </c>
      <c r="E3331" s="11"/>
    </row>
    <row r="3332" spans="1:5">
      <c r="A3332" t="s">
        <v>4451</v>
      </c>
      <c r="B3332" t="s">
        <v>7001</v>
      </c>
      <c r="E3332" s="11"/>
    </row>
    <row r="3333" spans="1:5">
      <c r="A3333" t="s">
        <v>7003</v>
      </c>
      <c r="B3333" t="s">
        <v>7004</v>
      </c>
      <c r="E3333" s="11"/>
    </row>
    <row r="3334" spans="1:5">
      <c r="A3334" t="s">
        <v>7006</v>
      </c>
      <c r="B3334" t="s">
        <v>7007</v>
      </c>
      <c r="E3334" s="11"/>
    </row>
    <row r="3335" spans="1:5">
      <c r="A3335" t="s">
        <v>7008</v>
      </c>
      <c r="B3335" t="s">
        <v>7009</v>
      </c>
      <c r="E3335" s="11"/>
    </row>
    <row r="3336" spans="1:5">
      <c r="A3336" t="s">
        <v>7010</v>
      </c>
      <c r="B3336" t="s">
        <v>7012</v>
      </c>
      <c r="E3336" s="11"/>
    </row>
    <row r="3337" spans="1:5">
      <c r="A3337" t="s">
        <v>7010</v>
      </c>
      <c r="B3337" t="s">
        <v>7013</v>
      </c>
      <c r="E3337" s="11"/>
    </row>
    <row r="3338" spans="1:5">
      <c r="A3338" t="s">
        <v>7010</v>
      </c>
      <c r="B3338" t="s">
        <v>7014</v>
      </c>
      <c r="E3338" s="11"/>
    </row>
    <row r="3339" spans="1:5">
      <c r="A3339" t="s">
        <v>7015</v>
      </c>
      <c r="B3339" t="s">
        <v>7016</v>
      </c>
      <c r="E3339" s="11"/>
    </row>
    <row r="3340" spans="1:5">
      <c r="A3340" t="s">
        <v>7015</v>
      </c>
      <c r="B3340" t="s">
        <v>7017</v>
      </c>
      <c r="E3340" s="11"/>
    </row>
    <row r="3341" spans="1:5">
      <c r="A3341" t="s">
        <v>7018</v>
      </c>
      <c r="B3341" t="s">
        <v>7020</v>
      </c>
      <c r="E3341" s="11"/>
    </row>
    <row r="3342" spans="1:5">
      <c r="A3342" t="s">
        <v>7018</v>
      </c>
      <c r="B3342" t="s">
        <v>7021</v>
      </c>
      <c r="E3342" s="11"/>
    </row>
    <row r="3343" spans="1:5">
      <c r="A3343" t="s">
        <v>7018</v>
      </c>
      <c r="B3343" t="s">
        <v>7022</v>
      </c>
      <c r="E3343" s="11"/>
    </row>
    <row r="3344" spans="1:5">
      <c r="A3344" t="s">
        <v>7031</v>
      </c>
      <c r="B3344" t="s">
        <v>7032</v>
      </c>
      <c r="E3344" s="11"/>
    </row>
    <row r="3345" spans="1:5">
      <c r="A3345" t="s">
        <v>7039</v>
      </c>
      <c r="B3345" t="s">
        <v>7040</v>
      </c>
      <c r="E3345" s="11"/>
    </row>
    <row r="3346" spans="1:5">
      <c r="A3346" t="s">
        <v>7041</v>
      </c>
      <c r="B3346" t="s">
        <v>7044</v>
      </c>
      <c r="E3346" s="11"/>
    </row>
    <row r="3347" spans="1:5">
      <c r="A3347" t="s">
        <v>7041</v>
      </c>
      <c r="B3347" t="s">
        <v>7046</v>
      </c>
      <c r="E3347" s="11"/>
    </row>
    <row r="3348" spans="1:5">
      <c r="A3348" t="s">
        <v>7053</v>
      </c>
      <c r="B3348" t="s">
        <v>7055</v>
      </c>
      <c r="E3348" s="11"/>
    </row>
    <row r="3349" spans="1:5">
      <c r="A3349" t="s">
        <v>7053</v>
      </c>
      <c r="B3349" t="s">
        <v>7056</v>
      </c>
      <c r="E3349" s="11"/>
    </row>
    <row r="3350" spans="1:5">
      <c r="A3350" t="s">
        <v>7060</v>
      </c>
      <c r="B3350" t="s">
        <v>7062</v>
      </c>
      <c r="E3350" s="11"/>
    </row>
    <row r="3351" spans="1:5">
      <c r="A3351" t="s">
        <v>7072</v>
      </c>
      <c r="B3351" t="s">
        <v>7073</v>
      </c>
      <c r="E3351" s="11"/>
    </row>
    <row r="3352" spans="1:5">
      <c r="A3352" t="s">
        <v>7080</v>
      </c>
      <c r="B3352" t="s">
        <v>7081</v>
      </c>
      <c r="E3352" s="11"/>
    </row>
    <row r="3353" spans="1:5">
      <c r="A3353" t="s">
        <v>7084</v>
      </c>
      <c r="B3353" t="s">
        <v>7085</v>
      </c>
      <c r="E3353" s="11"/>
    </row>
    <row r="3354" spans="1:5">
      <c r="A3354" t="s">
        <v>7088</v>
      </c>
      <c r="B3354" t="s">
        <v>7089</v>
      </c>
      <c r="E3354" s="11"/>
    </row>
    <row r="3355" spans="1:5">
      <c r="A3355" t="s">
        <v>7094</v>
      </c>
      <c r="B3355" t="s">
        <v>7095</v>
      </c>
      <c r="E3355" s="11"/>
    </row>
    <row r="3356" spans="1:5">
      <c r="A3356" t="s">
        <v>7100</v>
      </c>
      <c r="B3356" t="s">
        <v>7101</v>
      </c>
      <c r="E3356" s="11"/>
    </row>
    <row r="3357" spans="1:5">
      <c r="A3357" t="s">
        <v>7106</v>
      </c>
      <c r="B3357" t="s">
        <v>7107</v>
      </c>
      <c r="E3357" s="11"/>
    </row>
    <row r="3358" spans="1:5">
      <c r="A3358" t="s">
        <v>7109</v>
      </c>
      <c r="B3358" t="s">
        <v>7110</v>
      </c>
      <c r="E3358" s="11"/>
    </row>
    <row r="3359" spans="1:5">
      <c r="A3359" t="s">
        <v>7120</v>
      </c>
      <c r="B3359" t="s">
        <v>7121</v>
      </c>
      <c r="E3359" s="11"/>
    </row>
    <row r="3360" spans="1:5">
      <c r="A3360" t="s">
        <v>7125</v>
      </c>
      <c r="B3360" t="s">
        <v>7126</v>
      </c>
      <c r="E3360" s="11"/>
    </row>
    <row r="3361" spans="1:5">
      <c r="A3361" t="s">
        <v>7146</v>
      </c>
      <c r="B3361" t="s">
        <v>7147</v>
      </c>
      <c r="E3361" s="11"/>
    </row>
    <row r="3362" spans="1:5">
      <c r="A3362" t="s">
        <v>7149</v>
      </c>
      <c r="B3362" t="s">
        <v>7150</v>
      </c>
      <c r="E3362" s="11"/>
    </row>
    <row r="3363" spans="1:5">
      <c r="A3363" t="s">
        <v>7152</v>
      </c>
      <c r="B3363" t="s">
        <v>7153</v>
      </c>
      <c r="E3363" s="11"/>
    </row>
    <row r="3364" spans="1:5">
      <c r="A3364" t="s">
        <v>7166</v>
      </c>
      <c r="B3364" t="s">
        <v>7167</v>
      </c>
      <c r="E3364" s="11"/>
    </row>
    <row r="3365" spans="1:5">
      <c r="A3365" t="s">
        <v>7171</v>
      </c>
      <c r="B3365" t="s">
        <v>7172</v>
      </c>
      <c r="E3365" s="11"/>
    </row>
    <row r="3366" spans="1:5">
      <c r="A3366" t="s">
        <v>7182</v>
      </c>
      <c r="B3366" t="s">
        <v>7183</v>
      </c>
      <c r="E3366" s="11"/>
    </row>
    <row r="3367" spans="1:5">
      <c r="A3367" t="s">
        <v>7184</v>
      </c>
      <c r="B3367" t="s">
        <v>7185</v>
      </c>
      <c r="E3367" s="11"/>
    </row>
    <row r="3368" spans="1:5">
      <c r="A3368" t="s">
        <v>7187</v>
      </c>
      <c r="B3368" t="s">
        <v>7188</v>
      </c>
      <c r="E3368" s="11"/>
    </row>
    <row r="3369" spans="1:5">
      <c r="A3369" t="s">
        <v>7190</v>
      </c>
      <c r="B3369" t="s">
        <v>7191</v>
      </c>
      <c r="E3369" s="11"/>
    </row>
    <row r="3370" spans="1:5">
      <c r="A3370" t="s">
        <v>7192</v>
      </c>
      <c r="B3370" t="s">
        <v>7193</v>
      </c>
      <c r="E3370" s="11"/>
    </row>
    <row r="3371" spans="1:5">
      <c r="A3371" t="s">
        <v>7194</v>
      </c>
      <c r="B3371" t="s">
        <v>7195</v>
      </c>
      <c r="E3371" s="11"/>
    </row>
    <row r="3372" spans="1:5">
      <c r="A3372" t="s">
        <v>7196</v>
      </c>
      <c r="B3372" t="s">
        <v>7197</v>
      </c>
      <c r="E3372" s="11"/>
    </row>
    <row r="3373" spans="1:5">
      <c r="A3373" t="s">
        <v>7202</v>
      </c>
      <c r="B3373" t="s">
        <v>7203</v>
      </c>
      <c r="E3373" s="11"/>
    </row>
    <row r="3374" spans="1:5">
      <c r="A3374" t="s">
        <v>7204</v>
      </c>
      <c r="B3374" t="s">
        <v>7205</v>
      </c>
      <c r="E3374" s="11"/>
    </row>
    <row r="3375" spans="1:5">
      <c r="A3375" t="s">
        <v>7214</v>
      </c>
      <c r="B3375" t="s">
        <v>7215</v>
      </c>
      <c r="E3375" s="11"/>
    </row>
    <row r="3376" spans="1:5">
      <c r="A3376" t="s">
        <v>7216</v>
      </c>
      <c r="B3376" t="s">
        <v>7217</v>
      </c>
      <c r="E3376" s="11"/>
    </row>
    <row r="3377" spans="1:5">
      <c r="A3377" t="s">
        <v>7216</v>
      </c>
      <c r="B3377" t="s">
        <v>7218</v>
      </c>
      <c r="E3377" s="11"/>
    </row>
    <row r="3378" spans="1:5">
      <c r="A3378" t="s">
        <v>7221</v>
      </c>
      <c r="B3378" t="s">
        <v>7222</v>
      </c>
      <c r="E3378" s="11"/>
    </row>
    <row r="3379" spans="1:5">
      <c r="A3379" t="s">
        <v>7223</v>
      </c>
      <c r="B3379" t="s">
        <v>7224</v>
      </c>
      <c r="E3379" s="11"/>
    </row>
    <row r="3380" spans="1:5">
      <c r="A3380" t="s">
        <v>7228</v>
      </c>
      <c r="B3380" t="s">
        <v>7229</v>
      </c>
      <c r="E3380" s="11"/>
    </row>
    <row r="3381" spans="1:5">
      <c r="A3381" t="s">
        <v>7234</v>
      </c>
      <c r="B3381" t="s">
        <v>7235</v>
      </c>
      <c r="E3381" s="11"/>
    </row>
    <row r="3382" spans="1:5">
      <c r="A3382" t="s">
        <v>7237</v>
      </c>
      <c r="B3382" t="s">
        <v>7238</v>
      </c>
      <c r="E3382" s="11"/>
    </row>
    <row r="3383" spans="1:5">
      <c r="A3383" t="s">
        <v>7240</v>
      </c>
      <c r="B3383" t="s">
        <v>7241</v>
      </c>
      <c r="E3383" s="11"/>
    </row>
    <row r="3384" spans="1:5">
      <c r="A3384" t="s">
        <v>7243</v>
      </c>
      <c r="B3384" t="s">
        <v>7244</v>
      </c>
      <c r="E3384" s="11"/>
    </row>
    <row r="3385" spans="1:5">
      <c r="A3385" t="s">
        <v>2075</v>
      </c>
      <c r="B3385" t="s">
        <v>7245</v>
      </c>
      <c r="E3385" s="11"/>
    </row>
    <row r="3386" spans="1:5">
      <c r="A3386" t="s">
        <v>7247</v>
      </c>
      <c r="B3386" t="s">
        <v>7248</v>
      </c>
      <c r="E3386" s="11"/>
    </row>
    <row r="3387" spans="1:5">
      <c r="A3387" t="s">
        <v>7250</v>
      </c>
      <c r="B3387" t="s">
        <v>7251</v>
      </c>
      <c r="E3387" s="11"/>
    </row>
    <row r="3388" spans="1:5">
      <c r="A3388" t="s">
        <v>7250</v>
      </c>
      <c r="B3388" t="s">
        <v>7252</v>
      </c>
      <c r="E3388" s="11"/>
    </row>
    <row r="3389" spans="1:5">
      <c r="A3389" t="s">
        <v>7250</v>
      </c>
      <c r="B3389" t="s">
        <v>7253</v>
      </c>
      <c r="E3389" s="11"/>
    </row>
    <row r="3390" spans="1:5">
      <c r="A3390" t="s">
        <v>7254</v>
      </c>
      <c r="B3390" t="s">
        <v>7255</v>
      </c>
      <c r="E3390" s="11"/>
    </row>
    <row r="3391" spans="1:5">
      <c r="A3391" t="s">
        <v>7258</v>
      </c>
      <c r="B3391" t="s">
        <v>7259</v>
      </c>
      <c r="E3391" s="11"/>
    </row>
    <row r="3392" spans="1:5">
      <c r="A3392" t="s">
        <v>7269</v>
      </c>
      <c r="B3392" t="s">
        <v>7270</v>
      </c>
      <c r="E3392" s="11"/>
    </row>
    <row r="3393" spans="1:5">
      <c r="A3393" t="s">
        <v>7282</v>
      </c>
      <c r="B3393" t="s">
        <v>7283</v>
      </c>
      <c r="E3393" s="11"/>
    </row>
    <row r="3394" spans="1:5">
      <c r="A3394" t="s">
        <v>7289</v>
      </c>
      <c r="B3394" t="s">
        <v>7290</v>
      </c>
      <c r="E3394" s="11"/>
    </row>
    <row r="3395" spans="1:5">
      <c r="A3395" t="s">
        <v>7291</v>
      </c>
      <c r="B3395" t="s">
        <v>7292</v>
      </c>
      <c r="E3395" s="11"/>
    </row>
    <row r="3396" spans="1:5">
      <c r="A3396" t="s">
        <v>7293</v>
      </c>
      <c r="B3396" t="s">
        <v>7294</v>
      </c>
      <c r="E3396" s="11"/>
    </row>
    <row r="3397" spans="1:5">
      <c r="A3397" t="s">
        <v>7298</v>
      </c>
      <c r="B3397" t="s">
        <v>7299</v>
      </c>
      <c r="E3397" s="11"/>
    </row>
    <row r="3398" spans="1:5">
      <c r="A3398" t="s">
        <v>7300</v>
      </c>
      <c r="B3398" t="s">
        <v>7301</v>
      </c>
      <c r="E3398" s="11"/>
    </row>
    <row r="3399" spans="1:5">
      <c r="A3399" t="s">
        <v>7302</v>
      </c>
      <c r="B3399" t="s">
        <v>7303</v>
      </c>
      <c r="E3399" s="11"/>
    </row>
    <row r="3400" spans="1:5">
      <c r="A3400" t="s">
        <v>7304</v>
      </c>
      <c r="B3400" t="s">
        <v>7305</v>
      </c>
      <c r="E3400" s="11"/>
    </row>
    <row r="3401" spans="1:5">
      <c r="A3401" t="s">
        <v>7315</v>
      </c>
      <c r="B3401" t="s">
        <v>7316</v>
      </c>
      <c r="E3401" s="11"/>
    </row>
    <row r="3402" spans="1:5">
      <c r="A3402" t="s">
        <v>7317</v>
      </c>
      <c r="B3402" t="s">
        <v>7318</v>
      </c>
      <c r="E3402" s="11"/>
    </row>
    <row r="3403" spans="1:5">
      <c r="A3403" t="s">
        <v>7321</v>
      </c>
      <c r="B3403" t="s">
        <v>7322</v>
      </c>
      <c r="E3403" s="11"/>
    </row>
    <row r="3404" spans="1:5">
      <c r="A3404" t="s">
        <v>7325</v>
      </c>
      <c r="B3404" t="s">
        <v>7326</v>
      </c>
      <c r="E3404" s="11"/>
    </row>
    <row r="3405" spans="1:5">
      <c r="A3405" t="s">
        <v>7331</v>
      </c>
      <c r="B3405" t="s">
        <v>7332</v>
      </c>
      <c r="E3405" s="11"/>
    </row>
    <row r="3406" spans="1:5">
      <c r="A3406" t="s">
        <v>7336</v>
      </c>
      <c r="B3406" t="s">
        <v>7337</v>
      </c>
      <c r="E3406" s="11"/>
    </row>
    <row r="3407" spans="1:5">
      <c r="A3407" t="s">
        <v>7339</v>
      </c>
      <c r="B3407" t="s">
        <v>7340</v>
      </c>
      <c r="E3407" s="11"/>
    </row>
    <row r="3408" spans="1:5">
      <c r="A3408" t="s">
        <v>7341</v>
      </c>
      <c r="B3408" t="s">
        <v>7342</v>
      </c>
      <c r="E3408" s="11"/>
    </row>
    <row r="3409" spans="1:5">
      <c r="A3409" t="s">
        <v>7344</v>
      </c>
      <c r="B3409" t="s">
        <v>7345</v>
      </c>
      <c r="E3409" s="11"/>
    </row>
    <row r="3410" spans="1:5">
      <c r="A3410" t="s">
        <v>7347</v>
      </c>
      <c r="B3410" t="s">
        <v>7348</v>
      </c>
      <c r="E3410" s="11"/>
    </row>
    <row r="3411" spans="1:5">
      <c r="A3411" t="s">
        <v>7350</v>
      </c>
      <c r="B3411" t="s">
        <v>7351</v>
      </c>
      <c r="E3411" s="11"/>
    </row>
    <row r="3412" spans="1:5">
      <c r="A3412" t="s">
        <v>7354</v>
      </c>
      <c r="B3412" t="s">
        <v>7355</v>
      </c>
      <c r="E3412" s="11"/>
    </row>
    <row r="3413" spans="1:5">
      <c r="A3413" t="s">
        <v>7357</v>
      </c>
      <c r="B3413" t="s">
        <v>7358</v>
      </c>
      <c r="E3413" s="11"/>
    </row>
    <row r="3414" spans="1:5">
      <c r="A3414" t="s">
        <v>7359</v>
      </c>
      <c r="B3414" t="s">
        <v>7360</v>
      </c>
      <c r="E3414" s="11"/>
    </row>
    <row r="3415" spans="1:5">
      <c r="A3415" t="s">
        <v>7362</v>
      </c>
      <c r="B3415" t="s">
        <v>7363</v>
      </c>
      <c r="E3415" s="11"/>
    </row>
    <row r="3416" spans="1:5">
      <c r="A3416" t="s">
        <v>7364</v>
      </c>
      <c r="B3416" t="s">
        <v>7365</v>
      </c>
      <c r="E3416" s="11"/>
    </row>
    <row r="3417" spans="1:5">
      <c r="A3417" t="s">
        <v>7366</v>
      </c>
      <c r="B3417" t="s">
        <v>7367</v>
      </c>
      <c r="E3417" s="11"/>
    </row>
    <row r="3418" spans="1:5">
      <c r="A3418" t="s">
        <v>7368</v>
      </c>
      <c r="B3418" t="s">
        <v>7369</v>
      </c>
      <c r="E3418" s="11"/>
    </row>
    <row r="3419" spans="1:5">
      <c r="A3419" t="s">
        <v>7370</v>
      </c>
      <c r="B3419" t="s">
        <v>7371</v>
      </c>
      <c r="E3419" s="11"/>
    </row>
    <row r="3420" spans="1:5">
      <c r="A3420" t="s">
        <v>7373</v>
      </c>
      <c r="B3420" t="s">
        <v>7374</v>
      </c>
      <c r="E3420" s="11"/>
    </row>
    <row r="3421" spans="1:5">
      <c r="A3421" t="s">
        <v>7382</v>
      </c>
      <c r="B3421" t="s">
        <v>7383</v>
      </c>
      <c r="E3421" s="11"/>
    </row>
    <row r="3422" spans="1:5">
      <c r="A3422" t="s">
        <v>7385</v>
      </c>
      <c r="B3422" t="s">
        <v>7386</v>
      </c>
      <c r="E3422" s="11"/>
    </row>
    <row r="3423" spans="1:5">
      <c r="A3423" t="s">
        <v>7388</v>
      </c>
      <c r="B3423" t="s">
        <v>7389</v>
      </c>
      <c r="E3423" s="11"/>
    </row>
    <row r="3424" spans="1:5">
      <c r="A3424" t="s">
        <v>7406</v>
      </c>
      <c r="B3424" t="s">
        <v>7407</v>
      </c>
      <c r="E3424" s="11"/>
    </row>
    <row r="3425" spans="1:5">
      <c r="A3425" t="s">
        <v>7427</v>
      </c>
      <c r="B3425" t="s">
        <v>7428</v>
      </c>
      <c r="E3425" s="11"/>
    </row>
    <row r="3426" spans="1:5">
      <c r="A3426" t="s">
        <v>7430</v>
      </c>
      <c r="B3426" t="s">
        <v>7431</v>
      </c>
      <c r="E3426" s="11"/>
    </row>
    <row r="3427" spans="1:5">
      <c r="A3427" t="s">
        <v>7433</v>
      </c>
      <c r="B3427" t="s">
        <v>7434</v>
      </c>
      <c r="E3427" s="11"/>
    </row>
    <row r="3428" spans="1:5">
      <c r="A3428" t="s">
        <v>7436</v>
      </c>
      <c r="B3428" t="s">
        <v>7437</v>
      </c>
      <c r="E3428" s="11"/>
    </row>
    <row r="3429" spans="1:5">
      <c r="A3429" t="s">
        <v>7438</v>
      </c>
      <c r="B3429" t="s">
        <v>7439</v>
      </c>
      <c r="E3429" s="11"/>
    </row>
    <row r="3430" spans="1:5">
      <c r="A3430" t="s">
        <v>7442</v>
      </c>
      <c r="B3430" t="s">
        <v>7443</v>
      </c>
      <c r="E3430" s="11"/>
    </row>
    <row r="3431" spans="1:5">
      <c r="A3431" t="s">
        <v>7444</v>
      </c>
      <c r="B3431" t="s">
        <v>7445</v>
      </c>
      <c r="E3431" s="11"/>
    </row>
    <row r="3432" spans="1:5">
      <c r="A3432" t="s">
        <v>7447</v>
      </c>
      <c r="B3432" t="s">
        <v>7448</v>
      </c>
      <c r="E3432" s="11"/>
    </row>
    <row r="3433" spans="1:5">
      <c r="A3433" t="s">
        <v>7455</v>
      </c>
      <c r="B3433" t="s">
        <v>7456</v>
      </c>
      <c r="E3433" s="11"/>
    </row>
    <row r="3434" spans="1:5">
      <c r="A3434" t="s">
        <v>7458</v>
      </c>
      <c r="B3434" t="s">
        <v>7459</v>
      </c>
      <c r="E3434" s="11"/>
    </row>
    <row r="3435" spans="1:5">
      <c r="A3435" t="s">
        <v>7460</v>
      </c>
      <c r="B3435" t="s">
        <v>7461</v>
      </c>
      <c r="E3435" s="11"/>
    </row>
    <row r="3436" spans="1:5">
      <c r="A3436" t="s">
        <v>7462</v>
      </c>
      <c r="B3436" t="s">
        <v>7463</v>
      </c>
      <c r="E3436" s="11"/>
    </row>
    <row r="3437" spans="1:5">
      <c r="A3437" t="s">
        <v>7464</v>
      </c>
      <c r="B3437" t="s">
        <v>7465</v>
      </c>
      <c r="E3437" s="11"/>
    </row>
    <row r="3438" spans="1:5">
      <c r="A3438" t="s">
        <v>7466</v>
      </c>
      <c r="B3438" t="s">
        <v>7467</v>
      </c>
      <c r="E3438" s="11"/>
    </row>
    <row r="3439" spans="1:5">
      <c r="A3439" t="s">
        <v>7468</v>
      </c>
      <c r="B3439" t="s">
        <v>7469</v>
      </c>
      <c r="E3439" s="11"/>
    </row>
    <row r="3440" spans="1:5">
      <c r="A3440" t="s">
        <v>7470</v>
      </c>
      <c r="B3440" t="s">
        <v>7471</v>
      </c>
      <c r="E3440" s="11"/>
    </row>
    <row r="3441" spans="1:5">
      <c r="A3441" t="s">
        <v>7472</v>
      </c>
      <c r="B3441" t="s">
        <v>7473</v>
      </c>
      <c r="E3441" s="11"/>
    </row>
    <row r="3442" spans="1:5">
      <c r="A3442" t="s">
        <v>7475</v>
      </c>
      <c r="B3442" t="s">
        <v>7476</v>
      </c>
      <c r="E3442" s="11"/>
    </row>
    <row r="3443" spans="1:5">
      <c r="A3443" t="s">
        <v>7477</v>
      </c>
      <c r="B3443" t="s">
        <v>7478</v>
      </c>
      <c r="E3443" s="11"/>
    </row>
    <row r="3444" spans="1:5">
      <c r="A3444" t="s">
        <v>7479</v>
      </c>
      <c r="B3444" t="s">
        <v>7480</v>
      </c>
      <c r="E3444" s="11"/>
    </row>
    <row r="3445" spans="1:5">
      <c r="A3445" t="s">
        <v>7482</v>
      </c>
      <c r="B3445" t="s">
        <v>7483</v>
      </c>
      <c r="E3445" s="11"/>
    </row>
    <row r="3446" spans="1:5">
      <c r="A3446" t="s">
        <v>7484</v>
      </c>
      <c r="B3446" t="s">
        <v>7485</v>
      </c>
      <c r="E3446" s="11"/>
    </row>
    <row r="3447" spans="1:5">
      <c r="A3447" t="s">
        <v>7487</v>
      </c>
      <c r="B3447" t="s">
        <v>7488</v>
      </c>
      <c r="E3447" s="11"/>
    </row>
    <row r="3448" spans="1:5">
      <c r="A3448" t="s">
        <v>7490</v>
      </c>
      <c r="B3448" t="s">
        <v>7491</v>
      </c>
      <c r="E3448" s="11"/>
    </row>
    <row r="3449" spans="1:5">
      <c r="A3449" t="s">
        <v>7493</v>
      </c>
      <c r="B3449" t="s">
        <v>7494</v>
      </c>
      <c r="E3449" s="11"/>
    </row>
    <row r="3450" spans="1:5">
      <c r="A3450" t="s">
        <v>7496</v>
      </c>
      <c r="B3450" t="s">
        <v>7497</v>
      </c>
      <c r="E3450" s="11"/>
    </row>
    <row r="3451" spans="1:5">
      <c r="A3451" t="s">
        <v>7499</v>
      </c>
      <c r="B3451" t="s">
        <v>7500</v>
      </c>
      <c r="E3451" s="11"/>
    </row>
    <row r="3452" spans="1:5">
      <c r="A3452" t="s">
        <v>7503</v>
      </c>
      <c r="B3452" t="s">
        <v>7504</v>
      </c>
      <c r="E3452" s="11"/>
    </row>
    <row r="3453" spans="1:5">
      <c r="A3453" t="s">
        <v>7505</v>
      </c>
      <c r="B3453" t="s">
        <v>7506</v>
      </c>
      <c r="E3453" s="11"/>
    </row>
    <row r="3454" spans="1:5">
      <c r="A3454" t="s">
        <v>7511</v>
      </c>
      <c r="B3454" t="s">
        <v>7512</v>
      </c>
      <c r="E3454" s="11"/>
    </row>
    <row r="3455" spans="1:5">
      <c r="A3455" t="s">
        <v>7514</v>
      </c>
      <c r="B3455" t="s">
        <v>7515</v>
      </c>
      <c r="E3455" s="11"/>
    </row>
    <row r="3456" spans="1:5">
      <c r="A3456" t="s">
        <v>7524</v>
      </c>
      <c r="B3456" t="s">
        <v>7525</v>
      </c>
      <c r="E3456" s="11"/>
    </row>
    <row r="3457" spans="1:5">
      <c r="A3457" t="s">
        <v>7527</v>
      </c>
      <c r="B3457" t="s">
        <v>7528</v>
      </c>
      <c r="E3457" s="11"/>
    </row>
    <row r="3458" spans="1:5">
      <c r="A3458" t="s">
        <v>7530</v>
      </c>
      <c r="B3458" t="s">
        <v>7531</v>
      </c>
      <c r="E3458" s="11"/>
    </row>
    <row r="3459" spans="1:5">
      <c r="A3459" t="s">
        <v>7533</v>
      </c>
      <c r="B3459" t="s">
        <v>7534</v>
      </c>
      <c r="E3459" s="11"/>
    </row>
    <row r="3460" spans="1:5">
      <c r="A3460" t="s">
        <v>7536</v>
      </c>
      <c r="B3460" t="s">
        <v>7537</v>
      </c>
      <c r="E3460" s="11"/>
    </row>
    <row r="3461" spans="1:5">
      <c r="A3461" t="s">
        <v>7540</v>
      </c>
      <c r="B3461" t="s">
        <v>7541</v>
      </c>
      <c r="E3461" s="11"/>
    </row>
    <row r="3462" spans="1:5">
      <c r="A3462" t="s">
        <v>7542</v>
      </c>
      <c r="B3462" t="s">
        <v>7543</v>
      </c>
      <c r="E3462" s="11"/>
    </row>
    <row r="3463" spans="1:5">
      <c r="A3463" t="s">
        <v>7545</v>
      </c>
      <c r="B3463" t="s">
        <v>7546</v>
      </c>
      <c r="E3463" s="11"/>
    </row>
    <row r="3464" spans="1:5">
      <c r="A3464" t="s">
        <v>7557</v>
      </c>
      <c r="B3464" t="s">
        <v>7558</v>
      </c>
      <c r="E3464" s="11"/>
    </row>
    <row r="3465" spans="1:5">
      <c r="A3465" t="s">
        <v>7561</v>
      </c>
      <c r="B3465" t="s">
        <v>7562</v>
      </c>
      <c r="E3465" s="11"/>
    </row>
    <row r="3466" spans="1:5">
      <c r="A3466" t="s">
        <v>7563</v>
      </c>
      <c r="B3466" t="s">
        <v>7564</v>
      </c>
      <c r="E3466" s="11"/>
    </row>
    <row r="3467" spans="1:5">
      <c r="A3467" t="s">
        <v>7565</v>
      </c>
      <c r="B3467" t="s">
        <v>7566</v>
      </c>
      <c r="E3467" s="11"/>
    </row>
    <row r="3468" spans="1:5">
      <c r="A3468" t="s">
        <v>7571</v>
      </c>
      <c r="B3468" t="s">
        <v>7572</v>
      </c>
      <c r="E3468" s="11"/>
    </row>
    <row r="3469" spans="1:5">
      <c r="A3469" t="s">
        <v>7573</v>
      </c>
      <c r="B3469" t="s">
        <v>7574</v>
      </c>
      <c r="E3469" s="11"/>
    </row>
    <row r="3470" spans="1:5">
      <c r="A3470" t="s">
        <v>7575</v>
      </c>
      <c r="B3470" t="s">
        <v>7576</v>
      </c>
      <c r="E3470" s="11"/>
    </row>
    <row r="3471" spans="1:5">
      <c r="A3471" t="s">
        <v>7579</v>
      </c>
      <c r="B3471" t="s">
        <v>7580</v>
      </c>
      <c r="E3471" s="11"/>
    </row>
    <row r="3472" spans="1:5">
      <c r="A3472" t="s">
        <v>7584</v>
      </c>
      <c r="B3472" t="s">
        <v>7585</v>
      </c>
      <c r="E3472" s="11"/>
    </row>
    <row r="3473" spans="1:5">
      <c r="A3473" t="s">
        <v>7586</v>
      </c>
      <c r="B3473" t="s">
        <v>7587</v>
      </c>
      <c r="E3473" s="11"/>
    </row>
    <row r="3474" spans="1:5">
      <c r="A3474" t="s">
        <v>7588</v>
      </c>
      <c r="B3474" t="s">
        <v>7589</v>
      </c>
      <c r="E3474" s="11"/>
    </row>
    <row r="3475" spans="1:5">
      <c r="A3475" t="s">
        <v>7597</v>
      </c>
      <c r="B3475" t="s">
        <v>7598</v>
      </c>
      <c r="E3475" s="11"/>
    </row>
    <row r="3476" spans="1:5">
      <c r="A3476" t="s">
        <v>7603</v>
      </c>
      <c r="B3476" t="s">
        <v>7604</v>
      </c>
      <c r="E3476" s="11"/>
    </row>
    <row r="3477" spans="1:5">
      <c r="A3477" t="s">
        <v>7607</v>
      </c>
      <c r="B3477" t="s">
        <v>7608</v>
      </c>
      <c r="E3477" s="11"/>
    </row>
    <row r="3478" spans="1:5">
      <c r="A3478" t="s">
        <v>7611</v>
      </c>
      <c r="B3478" t="s">
        <v>7612</v>
      </c>
      <c r="E3478" s="11"/>
    </row>
    <row r="3479" spans="1:5">
      <c r="A3479" t="s">
        <v>7614</v>
      </c>
      <c r="B3479" t="s">
        <v>7615</v>
      </c>
      <c r="E3479" s="11"/>
    </row>
    <row r="3480" spans="1:5">
      <c r="A3480" t="s">
        <v>7618</v>
      </c>
      <c r="B3480" t="s">
        <v>7619</v>
      </c>
      <c r="E3480" s="11"/>
    </row>
    <row r="3481" spans="1:5">
      <c r="A3481" t="s">
        <v>7621</v>
      </c>
      <c r="B3481" t="s">
        <v>7622</v>
      </c>
      <c r="E3481" s="11"/>
    </row>
    <row r="3482" spans="1:5">
      <c r="A3482" t="s">
        <v>7623</v>
      </c>
      <c r="B3482" t="s">
        <v>7624</v>
      </c>
      <c r="E3482" s="11"/>
    </row>
    <row r="3483" spans="1:5">
      <c r="A3483" t="s">
        <v>7625</v>
      </c>
      <c r="B3483" t="s">
        <v>7626</v>
      </c>
      <c r="E3483" s="11"/>
    </row>
    <row r="3484" spans="1:5">
      <c r="A3484" t="s">
        <v>7627</v>
      </c>
      <c r="B3484" t="s">
        <v>7628</v>
      </c>
      <c r="E3484" s="11"/>
    </row>
    <row r="3485" spans="1:5">
      <c r="A3485" t="s">
        <v>7632</v>
      </c>
      <c r="B3485" t="s">
        <v>7633</v>
      </c>
      <c r="E3485" s="11"/>
    </row>
    <row r="3486" spans="1:5">
      <c r="A3486" t="s">
        <v>7634</v>
      </c>
      <c r="B3486" t="s">
        <v>7635</v>
      </c>
      <c r="E3486" s="11"/>
    </row>
    <row r="3487" spans="1:5">
      <c r="A3487" t="s">
        <v>7634</v>
      </c>
      <c r="B3487" t="s">
        <v>7636</v>
      </c>
      <c r="E3487" s="11"/>
    </row>
    <row r="3488" spans="1:5">
      <c r="A3488" t="s">
        <v>7638</v>
      </c>
      <c r="B3488" t="s">
        <v>7639</v>
      </c>
      <c r="E3488" s="11"/>
    </row>
    <row r="3489" spans="1:5">
      <c r="A3489" t="s">
        <v>7640</v>
      </c>
      <c r="B3489" t="s">
        <v>7641</v>
      </c>
      <c r="E3489" s="11"/>
    </row>
    <row r="3490" spans="1:5">
      <c r="A3490" t="s">
        <v>7642</v>
      </c>
      <c r="B3490" t="s">
        <v>7643</v>
      </c>
      <c r="E3490" s="11"/>
    </row>
    <row r="3491" spans="1:5">
      <c r="A3491" t="s">
        <v>7645</v>
      </c>
      <c r="B3491" t="s">
        <v>7646</v>
      </c>
      <c r="E3491" s="11"/>
    </row>
    <row r="3492" spans="1:5">
      <c r="A3492" t="s">
        <v>7647</v>
      </c>
      <c r="B3492" t="s">
        <v>7648</v>
      </c>
      <c r="E3492" s="11"/>
    </row>
    <row r="3493" spans="1:5">
      <c r="A3493" t="s">
        <v>7649</v>
      </c>
      <c r="B3493" t="s">
        <v>7650</v>
      </c>
      <c r="E3493" s="11"/>
    </row>
    <row r="3494" spans="1:5">
      <c r="A3494" t="s">
        <v>7655</v>
      </c>
      <c r="B3494" t="s">
        <v>7656</v>
      </c>
      <c r="E3494" s="11"/>
    </row>
    <row r="3495" spans="1:5">
      <c r="A3495" t="s">
        <v>7657</v>
      </c>
      <c r="B3495" t="s">
        <v>7658</v>
      </c>
      <c r="E3495" s="11"/>
    </row>
    <row r="3496" spans="1:5">
      <c r="A3496" t="s">
        <v>7661</v>
      </c>
      <c r="B3496" t="s">
        <v>7662</v>
      </c>
      <c r="E3496" s="11"/>
    </row>
    <row r="3497" spans="1:5">
      <c r="A3497" t="s">
        <v>7665</v>
      </c>
      <c r="B3497" t="s">
        <v>7666</v>
      </c>
      <c r="E3497" s="11"/>
    </row>
    <row r="3498" spans="1:5">
      <c r="A3498" t="s">
        <v>7667</v>
      </c>
      <c r="B3498" t="s">
        <v>7668</v>
      </c>
      <c r="E3498" s="11"/>
    </row>
    <row r="3499" spans="1:5">
      <c r="A3499" t="s">
        <v>7670</v>
      </c>
      <c r="B3499" t="s">
        <v>7671</v>
      </c>
      <c r="E3499" s="11"/>
    </row>
    <row r="3500" spans="1:5">
      <c r="A3500" t="s">
        <v>7673</v>
      </c>
      <c r="B3500" t="s">
        <v>7674</v>
      </c>
      <c r="E3500" s="11"/>
    </row>
    <row r="3501" spans="1:5">
      <c r="A3501" t="s">
        <v>7675</v>
      </c>
      <c r="B3501" t="s">
        <v>7676</v>
      </c>
      <c r="E3501" s="11"/>
    </row>
    <row r="3502" spans="1:5">
      <c r="A3502" t="s">
        <v>7678</v>
      </c>
      <c r="B3502" t="s">
        <v>7679</v>
      </c>
      <c r="E3502" s="11"/>
    </row>
    <row r="3503" spans="1:5">
      <c r="A3503" t="s">
        <v>7681</v>
      </c>
      <c r="B3503" t="s">
        <v>7682</v>
      </c>
      <c r="E3503" s="11"/>
    </row>
    <row r="3504" spans="1:5">
      <c r="A3504" t="s">
        <v>7685</v>
      </c>
      <c r="B3504" t="s">
        <v>7687</v>
      </c>
      <c r="E3504" s="11"/>
    </row>
    <row r="3505" spans="1:5">
      <c r="A3505" t="s">
        <v>7688</v>
      </c>
      <c r="B3505" t="s">
        <v>7689</v>
      </c>
      <c r="E3505" s="11"/>
    </row>
    <row r="3506" spans="1:5">
      <c r="A3506" t="s">
        <v>7688</v>
      </c>
      <c r="B3506" t="s">
        <v>7690</v>
      </c>
      <c r="E3506" s="11"/>
    </row>
    <row r="3507" spans="1:5">
      <c r="A3507" t="s">
        <v>7691</v>
      </c>
      <c r="B3507" t="s">
        <v>7692</v>
      </c>
      <c r="E3507" s="11"/>
    </row>
    <row r="3508" spans="1:5">
      <c r="A3508" t="s">
        <v>7696</v>
      </c>
      <c r="B3508" t="s">
        <v>7697</v>
      </c>
      <c r="E3508" s="11"/>
    </row>
    <row r="3509" spans="1:5">
      <c r="A3509" t="s">
        <v>7707</v>
      </c>
      <c r="B3509" t="s">
        <v>7708</v>
      </c>
      <c r="E3509" s="11"/>
    </row>
    <row r="3510" spans="1:5">
      <c r="A3510" t="s">
        <v>7709</v>
      </c>
      <c r="B3510" t="s">
        <v>7710</v>
      </c>
      <c r="E3510" s="11"/>
    </row>
    <row r="3511" spans="1:5">
      <c r="A3511" t="s">
        <v>7711</v>
      </c>
      <c r="B3511" t="s">
        <v>7712</v>
      </c>
      <c r="E3511" s="11"/>
    </row>
    <row r="3512" spans="1:5">
      <c r="A3512" t="s">
        <v>7713</v>
      </c>
      <c r="B3512" t="s">
        <v>7714</v>
      </c>
      <c r="E3512" s="11"/>
    </row>
    <row r="3513" spans="1:5">
      <c r="A3513" t="s">
        <v>7715</v>
      </c>
      <c r="B3513" t="s">
        <v>7716</v>
      </c>
      <c r="E3513" s="11"/>
    </row>
    <row r="3514" spans="1:5">
      <c r="A3514" t="s">
        <v>7719</v>
      </c>
      <c r="B3514" t="s">
        <v>7720</v>
      </c>
      <c r="E3514" s="11"/>
    </row>
    <row r="3515" spans="1:5">
      <c r="A3515" t="s">
        <v>7723</v>
      </c>
      <c r="B3515" t="s">
        <v>7724</v>
      </c>
      <c r="E3515" s="11"/>
    </row>
    <row r="3516" spans="1:5">
      <c r="A3516" t="s">
        <v>7727</v>
      </c>
      <c r="B3516" t="s">
        <v>7728</v>
      </c>
      <c r="E3516" s="11"/>
    </row>
    <row r="3517" spans="1:5">
      <c r="A3517" t="s">
        <v>7729</v>
      </c>
      <c r="B3517" t="s">
        <v>7730</v>
      </c>
      <c r="E3517" s="11"/>
    </row>
    <row r="3518" spans="1:5">
      <c r="A3518" t="s">
        <v>7731</v>
      </c>
      <c r="B3518" t="s">
        <v>7732</v>
      </c>
      <c r="E3518" s="11"/>
    </row>
    <row r="3519" spans="1:5">
      <c r="A3519" t="s">
        <v>7733</v>
      </c>
      <c r="B3519" t="s">
        <v>7734</v>
      </c>
      <c r="E3519" s="11"/>
    </row>
    <row r="3520" spans="1:5">
      <c r="A3520" t="s">
        <v>7736</v>
      </c>
      <c r="B3520" t="s">
        <v>7737</v>
      </c>
      <c r="E3520" s="11"/>
    </row>
    <row r="3521" spans="1:5">
      <c r="A3521" t="s">
        <v>7739</v>
      </c>
      <c r="B3521" t="s">
        <v>7740</v>
      </c>
      <c r="E3521" s="11"/>
    </row>
    <row r="3522" spans="1:5">
      <c r="A3522" t="s">
        <v>7741</v>
      </c>
      <c r="B3522" t="s">
        <v>7742</v>
      </c>
      <c r="E3522" s="11"/>
    </row>
    <row r="3523" spans="1:5">
      <c r="A3523" t="s">
        <v>7743</v>
      </c>
      <c r="B3523" t="s">
        <v>7744</v>
      </c>
      <c r="E3523" s="11"/>
    </row>
    <row r="3524" spans="1:5">
      <c r="A3524" t="s">
        <v>7745</v>
      </c>
      <c r="B3524" t="s">
        <v>7746</v>
      </c>
      <c r="E3524" s="11"/>
    </row>
    <row r="3525" spans="1:5">
      <c r="A3525" t="s">
        <v>7748</v>
      </c>
      <c r="B3525" t="s">
        <v>7749</v>
      </c>
      <c r="E3525" s="11"/>
    </row>
    <row r="3526" spans="1:5">
      <c r="A3526" t="s">
        <v>7750</v>
      </c>
      <c r="B3526" t="s">
        <v>7751</v>
      </c>
      <c r="E3526" s="11"/>
    </row>
    <row r="3527" spans="1:5">
      <c r="A3527" t="s">
        <v>7752</v>
      </c>
      <c r="B3527" t="s">
        <v>7753</v>
      </c>
      <c r="E3527" s="11"/>
    </row>
    <row r="3528" spans="1:5">
      <c r="A3528" t="s">
        <v>7754</v>
      </c>
      <c r="B3528" t="s">
        <v>7755</v>
      </c>
      <c r="E3528" s="11"/>
    </row>
    <row r="3529" spans="1:5">
      <c r="A3529" t="s">
        <v>7759</v>
      </c>
      <c r="B3529" t="s">
        <v>7760</v>
      </c>
      <c r="E3529" s="11"/>
    </row>
    <row r="3530" spans="1:5">
      <c r="A3530" t="s">
        <v>7761</v>
      </c>
      <c r="B3530" t="s">
        <v>7762</v>
      </c>
      <c r="E3530" s="11"/>
    </row>
    <row r="3531" spans="1:5">
      <c r="A3531" t="s">
        <v>7766</v>
      </c>
      <c r="B3531" t="s">
        <v>7767</v>
      </c>
      <c r="E3531" s="11"/>
    </row>
    <row r="3532" spans="1:5">
      <c r="A3532" t="s">
        <v>7766</v>
      </c>
      <c r="B3532" t="s">
        <v>7768</v>
      </c>
      <c r="E3532" s="11"/>
    </row>
    <row r="3533" spans="1:5">
      <c r="A3533" t="s">
        <v>7769</v>
      </c>
      <c r="B3533" t="s">
        <v>7770</v>
      </c>
      <c r="E3533" s="11"/>
    </row>
    <row r="3534" spans="1:5">
      <c r="A3534" t="s">
        <v>560</v>
      </c>
      <c r="B3534" t="s">
        <v>7773</v>
      </c>
      <c r="E3534" s="11"/>
    </row>
    <row r="3535" spans="1:5">
      <c r="A3535" t="s">
        <v>7775</v>
      </c>
      <c r="B3535" t="s">
        <v>7776</v>
      </c>
      <c r="E3535" s="11"/>
    </row>
    <row r="3536" spans="1:5">
      <c r="A3536" t="s">
        <v>7782</v>
      </c>
      <c r="B3536" t="s">
        <v>7784</v>
      </c>
      <c r="E3536" s="11"/>
    </row>
    <row r="3537" spans="1:5">
      <c r="A3537" t="s">
        <v>7785</v>
      </c>
      <c r="B3537" t="s">
        <v>7786</v>
      </c>
      <c r="E3537" s="11"/>
    </row>
    <row r="3538" spans="1:5">
      <c r="A3538" t="s">
        <v>7788</v>
      </c>
      <c r="B3538" t="s">
        <v>7789</v>
      </c>
      <c r="E3538" s="11"/>
    </row>
    <row r="3539" spans="1:5">
      <c r="A3539" t="s">
        <v>7791</v>
      </c>
      <c r="B3539" t="s">
        <v>7792</v>
      </c>
      <c r="E3539" s="11"/>
    </row>
    <row r="3540" spans="1:5">
      <c r="A3540" t="s">
        <v>7793</v>
      </c>
      <c r="B3540" t="s">
        <v>7794</v>
      </c>
      <c r="E3540" s="11"/>
    </row>
    <row r="3541" spans="1:5">
      <c r="A3541" t="s">
        <v>7796</v>
      </c>
      <c r="B3541" t="s">
        <v>7797</v>
      </c>
      <c r="E3541" s="11"/>
    </row>
    <row r="3542" spans="1:5">
      <c r="A3542" t="s">
        <v>7799</v>
      </c>
      <c r="B3542" t="s">
        <v>7800</v>
      </c>
      <c r="E3542" s="11"/>
    </row>
    <row r="3543" spans="1:5">
      <c r="A3543" t="s">
        <v>7803</v>
      </c>
      <c r="B3543" t="s">
        <v>7804</v>
      </c>
      <c r="E3543" s="11"/>
    </row>
    <row r="3544" spans="1:5">
      <c r="A3544" t="s">
        <v>7806</v>
      </c>
      <c r="B3544" t="s">
        <v>7807</v>
      </c>
      <c r="E3544" s="11"/>
    </row>
    <row r="3545" spans="1:5">
      <c r="A3545" t="s">
        <v>7808</v>
      </c>
      <c r="B3545" t="s">
        <v>7809</v>
      </c>
      <c r="E3545" s="11"/>
    </row>
    <row r="3546" spans="1:5">
      <c r="A3546" t="s">
        <v>7812</v>
      </c>
      <c r="B3546" t="s">
        <v>7813</v>
      </c>
      <c r="E3546" s="11"/>
    </row>
    <row r="3547" spans="1:5">
      <c r="A3547" t="s">
        <v>7820</v>
      </c>
      <c r="B3547" t="s">
        <v>7821</v>
      </c>
      <c r="E3547" s="11"/>
    </row>
    <row r="3548" spans="1:5">
      <c r="A3548" t="s">
        <v>7827</v>
      </c>
      <c r="B3548" t="s">
        <v>7828</v>
      </c>
      <c r="E3548" s="11"/>
    </row>
    <row r="3549" spans="1:5">
      <c r="A3549" t="s">
        <v>7829</v>
      </c>
      <c r="B3549" t="s">
        <v>7830</v>
      </c>
      <c r="E3549" s="11"/>
    </row>
    <row r="3550" spans="1:5">
      <c r="A3550" t="s">
        <v>7832</v>
      </c>
      <c r="B3550" t="s">
        <v>7833</v>
      </c>
      <c r="E3550" s="11"/>
    </row>
    <row r="3551" spans="1:5">
      <c r="A3551" t="s">
        <v>7835</v>
      </c>
      <c r="B3551" t="s">
        <v>7836</v>
      </c>
      <c r="E3551" s="11"/>
    </row>
    <row r="3552" spans="1:5">
      <c r="A3552" t="s">
        <v>7837</v>
      </c>
      <c r="B3552" t="s">
        <v>7838</v>
      </c>
      <c r="E3552" s="11"/>
    </row>
    <row r="3553" spans="1:5">
      <c r="A3553" t="s">
        <v>7837</v>
      </c>
      <c r="B3553" t="s">
        <v>7839</v>
      </c>
      <c r="E3553" s="11"/>
    </row>
    <row r="3554" spans="1:5">
      <c r="A3554" t="s">
        <v>7837</v>
      </c>
      <c r="B3554" t="s">
        <v>7840</v>
      </c>
      <c r="E3554" s="11"/>
    </row>
    <row r="3555" spans="1:5">
      <c r="A3555" t="s">
        <v>7842</v>
      </c>
      <c r="B3555" t="s">
        <v>7843</v>
      </c>
      <c r="E3555" s="11"/>
    </row>
    <row r="3556" spans="1:5">
      <c r="A3556" t="s">
        <v>7845</v>
      </c>
      <c r="B3556" t="s">
        <v>7846</v>
      </c>
      <c r="E3556" s="11"/>
    </row>
    <row r="3557" spans="1:5">
      <c r="A3557" t="s">
        <v>7848</v>
      </c>
      <c r="B3557" t="s">
        <v>7849</v>
      </c>
      <c r="E3557" s="11"/>
    </row>
    <row r="3558" spans="1:5">
      <c r="A3558" t="s">
        <v>7851</v>
      </c>
      <c r="B3558" t="s">
        <v>7852</v>
      </c>
      <c r="E3558" s="11"/>
    </row>
    <row r="3559" spans="1:5">
      <c r="A3559" t="s">
        <v>7870</v>
      </c>
      <c r="B3559" t="s">
        <v>7871</v>
      </c>
      <c r="E3559" s="11"/>
    </row>
    <row r="3560" spans="1:5">
      <c r="A3560" t="s">
        <v>7872</v>
      </c>
      <c r="B3560" t="s">
        <v>7873</v>
      </c>
      <c r="E3560" s="11"/>
    </row>
    <row r="3561" spans="1:5">
      <c r="A3561" t="s">
        <v>7874</v>
      </c>
      <c r="B3561" t="s">
        <v>7875</v>
      </c>
      <c r="E3561" s="11"/>
    </row>
    <row r="3562" spans="1:5">
      <c r="A3562" t="s">
        <v>7876</v>
      </c>
      <c r="B3562" t="s">
        <v>7877</v>
      </c>
      <c r="E3562" s="11"/>
    </row>
    <row r="3563" spans="1:5">
      <c r="A3563" t="s">
        <v>7882</v>
      </c>
      <c r="B3563" t="s">
        <v>7883</v>
      </c>
      <c r="E3563" s="11"/>
    </row>
    <row r="3564" spans="1:5">
      <c r="A3564" t="s">
        <v>7888</v>
      </c>
      <c r="B3564" t="s">
        <v>7889</v>
      </c>
      <c r="E3564" s="11"/>
    </row>
    <row r="3565" spans="1:5">
      <c r="A3565" t="s">
        <v>7896</v>
      </c>
      <c r="B3565" t="s">
        <v>7897</v>
      </c>
      <c r="E3565" s="11"/>
    </row>
    <row r="3566" spans="1:5">
      <c r="A3566" t="s">
        <v>7898</v>
      </c>
      <c r="B3566" t="s">
        <v>7899</v>
      </c>
      <c r="E3566" s="11"/>
    </row>
    <row r="3567" spans="1:5">
      <c r="A3567" t="s">
        <v>7900</v>
      </c>
      <c r="B3567" t="s">
        <v>7901</v>
      </c>
      <c r="E3567" s="11"/>
    </row>
    <row r="3568" spans="1:5">
      <c r="A3568" t="s">
        <v>7902</v>
      </c>
      <c r="B3568" t="s">
        <v>7903</v>
      </c>
      <c r="E3568" s="11"/>
    </row>
    <row r="3569" spans="1:5">
      <c r="A3569" t="s">
        <v>7909</v>
      </c>
      <c r="B3569" t="s">
        <v>7910</v>
      </c>
      <c r="E3569" s="11"/>
    </row>
    <row r="3570" spans="1:5">
      <c r="A3570" t="s">
        <v>7915</v>
      </c>
      <c r="B3570" t="s">
        <v>7916</v>
      </c>
      <c r="E3570" s="11"/>
    </row>
    <row r="3571" spans="1:5">
      <c r="A3571" t="s">
        <v>7917</v>
      </c>
      <c r="B3571" t="s">
        <v>7918</v>
      </c>
      <c r="E3571" s="11"/>
    </row>
    <row r="3572" spans="1:5">
      <c r="A3572" t="s">
        <v>7921</v>
      </c>
      <c r="B3572" t="s">
        <v>7922</v>
      </c>
      <c r="E3572" s="11"/>
    </row>
    <row r="3573" spans="1:5">
      <c r="A3573" t="s">
        <v>7924</v>
      </c>
      <c r="B3573" t="s">
        <v>7925</v>
      </c>
      <c r="E3573" s="11"/>
    </row>
    <row r="3574" spans="1:5">
      <c r="A3574" t="s">
        <v>7926</v>
      </c>
      <c r="B3574" t="s">
        <v>7927</v>
      </c>
      <c r="E3574" s="11"/>
    </row>
    <row r="3575" spans="1:5">
      <c r="A3575" t="s">
        <v>7929</v>
      </c>
      <c r="B3575" t="s">
        <v>7930</v>
      </c>
      <c r="E3575" s="11"/>
    </row>
    <row r="3576" spans="1:5">
      <c r="A3576" t="s">
        <v>7931</v>
      </c>
      <c r="B3576" t="s">
        <v>7932</v>
      </c>
      <c r="E3576" s="11"/>
    </row>
    <row r="3577" spans="1:5">
      <c r="A3577" t="s">
        <v>7942</v>
      </c>
      <c r="B3577" t="s">
        <v>7943</v>
      </c>
      <c r="E3577" s="11"/>
    </row>
    <row r="3578" spans="1:5">
      <c r="A3578" t="s">
        <v>7946</v>
      </c>
      <c r="B3578" t="s">
        <v>7947</v>
      </c>
      <c r="E3578" s="11"/>
    </row>
    <row r="3579" spans="1:5">
      <c r="A3579" t="s">
        <v>7950</v>
      </c>
      <c r="B3579" t="s">
        <v>7951</v>
      </c>
      <c r="E3579" s="11"/>
    </row>
    <row r="3580" spans="1:5">
      <c r="A3580" t="s">
        <v>7952</v>
      </c>
      <c r="B3580" t="s">
        <v>7953</v>
      </c>
      <c r="E3580" s="11"/>
    </row>
    <row r="3581" spans="1:5">
      <c r="A3581" t="s">
        <v>7958</v>
      </c>
      <c r="B3581" t="s">
        <v>7959</v>
      </c>
      <c r="E3581" s="11"/>
    </row>
    <row r="3582" spans="1:5">
      <c r="A3582" t="s">
        <v>7958</v>
      </c>
      <c r="B3582" t="s">
        <v>7960</v>
      </c>
      <c r="E3582" s="11"/>
    </row>
    <row r="3583" spans="1:5">
      <c r="A3583" t="s">
        <v>7968</v>
      </c>
      <c r="B3583" t="s">
        <v>7969</v>
      </c>
      <c r="E3583" s="11"/>
    </row>
    <row r="3584" spans="1:5">
      <c r="A3584" t="s">
        <v>7970</v>
      </c>
      <c r="B3584" t="s">
        <v>7971</v>
      </c>
      <c r="E3584" s="11"/>
    </row>
    <row r="3585" spans="1:5">
      <c r="A3585" t="s">
        <v>7973</v>
      </c>
      <c r="B3585" t="s">
        <v>7974</v>
      </c>
      <c r="E3585" s="11"/>
    </row>
    <row r="3586" spans="1:5">
      <c r="A3586" t="s">
        <v>7976</v>
      </c>
      <c r="B3586" t="s">
        <v>7977</v>
      </c>
      <c r="E3586" s="11"/>
    </row>
    <row r="3587" spans="1:5">
      <c r="A3587" t="s">
        <v>7979</v>
      </c>
      <c r="B3587" t="s">
        <v>7980</v>
      </c>
      <c r="E3587" s="11"/>
    </row>
    <row r="3588" spans="1:5">
      <c r="A3588" t="s">
        <v>7981</v>
      </c>
      <c r="B3588" t="s">
        <v>7982</v>
      </c>
      <c r="E3588" s="11"/>
    </row>
    <row r="3589" spans="1:5">
      <c r="A3589" t="s">
        <v>7983</v>
      </c>
      <c r="B3589" t="s">
        <v>7984</v>
      </c>
      <c r="E3589" s="11"/>
    </row>
    <row r="3590" spans="1:5">
      <c r="A3590" t="s">
        <v>7986</v>
      </c>
      <c r="B3590" t="s">
        <v>7987</v>
      </c>
      <c r="E3590" s="11"/>
    </row>
    <row r="3591" spans="1:5">
      <c r="A3591" t="s">
        <v>7991</v>
      </c>
      <c r="B3591" t="s">
        <v>7992</v>
      </c>
      <c r="E3591" s="11"/>
    </row>
    <row r="3592" spans="1:5">
      <c r="A3592" t="s">
        <v>7993</v>
      </c>
      <c r="B3592" t="s">
        <v>7994</v>
      </c>
      <c r="E3592" s="11"/>
    </row>
    <row r="3593" spans="1:5">
      <c r="A3593" t="s">
        <v>7996</v>
      </c>
      <c r="B3593" t="s">
        <v>7997</v>
      </c>
      <c r="E3593" s="11"/>
    </row>
    <row r="3594" spans="1:5">
      <c r="A3594" t="s">
        <v>8000</v>
      </c>
      <c r="B3594" t="s">
        <v>8001</v>
      </c>
      <c r="E3594" s="11"/>
    </row>
    <row r="3595" spans="1:5">
      <c r="A3595" t="s">
        <v>8004</v>
      </c>
      <c r="B3595" t="s">
        <v>8005</v>
      </c>
      <c r="E3595" s="11"/>
    </row>
    <row r="3596" spans="1:5">
      <c r="A3596" t="s">
        <v>8007</v>
      </c>
      <c r="B3596" t="s">
        <v>8008</v>
      </c>
      <c r="E3596" s="11"/>
    </row>
    <row r="3597" spans="1:5">
      <c r="A3597" t="s">
        <v>8009</v>
      </c>
      <c r="B3597" t="s">
        <v>8010</v>
      </c>
      <c r="E3597" s="11"/>
    </row>
    <row r="3598" spans="1:5">
      <c r="A3598" t="s">
        <v>8013</v>
      </c>
      <c r="B3598" t="s">
        <v>8014</v>
      </c>
      <c r="E3598" s="11"/>
    </row>
    <row r="3599" spans="1:5">
      <c r="A3599" t="s">
        <v>8015</v>
      </c>
      <c r="B3599" t="s">
        <v>8016</v>
      </c>
      <c r="E3599" s="11"/>
    </row>
    <row r="3600" spans="1:5">
      <c r="A3600" t="s">
        <v>8015</v>
      </c>
      <c r="B3600" t="s">
        <v>8017</v>
      </c>
      <c r="E3600" s="11"/>
    </row>
    <row r="3601" spans="1:5">
      <c r="A3601" t="s">
        <v>8015</v>
      </c>
      <c r="B3601" t="s">
        <v>8018</v>
      </c>
      <c r="E3601" s="11"/>
    </row>
    <row r="3602" spans="1:5">
      <c r="A3602" t="s">
        <v>8015</v>
      </c>
      <c r="B3602" t="s">
        <v>8019</v>
      </c>
      <c r="E3602" s="11"/>
    </row>
    <row r="3603" spans="1:5">
      <c r="A3603" t="s">
        <v>8020</v>
      </c>
      <c r="B3603" t="s">
        <v>8021</v>
      </c>
      <c r="E3603" s="11"/>
    </row>
    <row r="3604" spans="1:5">
      <c r="A3604" t="s">
        <v>8022</v>
      </c>
      <c r="B3604" t="s">
        <v>8023</v>
      </c>
      <c r="E3604" s="11"/>
    </row>
    <row r="3605" spans="1:5">
      <c r="A3605" t="s">
        <v>8026</v>
      </c>
      <c r="B3605" t="s">
        <v>8027</v>
      </c>
      <c r="E3605" s="11"/>
    </row>
    <row r="3606" spans="1:5">
      <c r="A3606" t="s">
        <v>8028</v>
      </c>
      <c r="B3606" t="s">
        <v>8029</v>
      </c>
      <c r="E3606" s="11"/>
    </row>
    <row r="3607" spans="1:5">
      <c r="A3607" t="s">
        <v>8031</v>
      </c>
      <c r="B3607" t="s">
        <v>8032</v>
      </c>
      <c r="E3607" s="11"/>
    </row>
    <row r="3608" spans="1:5">
      <c r="A3608" t="s">
        <v>8033</v>
      </c>
      <c r="B3608" t="s">
        <v>8034</v>
      </c>
      <c r="E3608" s="11"/>
    </row>
    <row r="3609" spans="1:5">
      <c r="A3609" t="s">
        <v>8035</v>
      </c>
      <c r="B3609" t="s">
        <v>8036</v>
      </c>
      <c r="E3609" s="11"/>
    </row>
    <row r="3610" spans="1:5">
      <c r="A3610" t="s">
        <v>8040</v>
      </c>
      <c r="B3610" t="s">
        <v>8041</v>
      </c>
      <c r="E3610" s="11"/>
    </row>
    <row r="3611" spans="1:5">
      <c r="A3611" t="s">
        <v>8042</v>
      </c>
      <c r="B3611" t="s">
        <v>8043</v>
      </c>
      <c r="E3611" s="11"/>
    </row>
    <row r="3612" spans="1:5">
      <c r="A3612" t="s">
        <v>8044</v>
      </c>
      <c r="B3612" t="s">
        <v>8045</v>
      </c>
      <c r="E3612" s="11"/>
    </row>
    <row r="3613" spans="1:5">
      <c r="A3613" t="s">
        <v>8046</v>
      </c>
      <c r="B3613" t="s">
        <v>8047</v>
      </c>
      <c r="E3613" s="11"/>
    </row>
    <row r="3614" spans="1:5">
      <c r="A3614" t="s">
        <v>8048</v>
      </c>
      <c r="B3614" t="s">
        <v>8049</v>
      </c>
      <c r="E3614" s="11"/>
    </row>
    <row r="3615" spans="1:5">
      <c r="A3615" t="s">
        <v>8050</v>
      </c>
      <c r="B3615" t="s">
        <v>8051</v>
      </c>
      <c r="E3615" s="11"/>
    </row>
    <row r="3616" spans="1:5">
      <c r="A3616" t="s">
        <v>8053</v>
      </c>
      <c r="B3616" t="s">
        <v>8054</v>
      </c>
      <c r="E3616" s="11"/>
    </row>
    <row r="3617" spans="1:5">
      <c r="A3617" t="s">
        <v>8053</v>
      </c>
      <c r="B3617" t="s">
        <v>8055</v>
      </c>
      <c r="E3617" s="11"/>
    </row>
    <row r="3618" spans="1:5">
      <c r="A3618" t="s">
        <v>8053</v>
      </c>
      <c r="B3618" t="s">
        <v>8056</v>
      </c>
      <c r="E3618" s="11"/>
    </row>
    <row r="3619" spans="1:5">
      <c r="A3619" t="s">
        <v>8058</v>
      </c>
      <c r="B3619" t="s">
        <v>8059</v>
      </c>
      <c r="E3619" s="11"/>
    </row>
    <row r="3620" spans="1:5">
      <c r="A3620" t="s">
        <v>8063</v>
      </c>
      <c r="B3620" t="s">
        <v>8064</v>
      </c>
      <c r="E3620" s="11"/>
    </row>
    <row r="3621" spans="1:5">
      <c r="A3621" t="s">
        <v>8065</v>
      </c>
      <c r="B3621" t="s">
        <v>8066</v>
      </c>
      <c r="E3621" s="11"/>
    </row>
    <row r="3622" spans="1:5">
      <c r="A3622" t="s">
        <v>8069</v>
      </c>
      <c r="B3622" t="s">
        <v>8070</v>
      </c>
      <c r="E3622" s="11"/>
    </row>
    <row r="3623" spans="1:5">
      <c r="A3623" t="s">
        <v>8071</v>
      </c>
      <c r="B3623" t="s">
        <v>8072</v>
      </c>
      <c r="E3623" s="11"/>
    </row>
    <row r="3624" spans="1:5">
      <c r="A3624" t="s">
        <v>8073</v>
      </c>
      <c r="B3624" t="s">
        <v>8075</v>
      </c>
      <c r="E3624" s="11"/>
    </row>
    <row r="3625" spans="1:5">
      <c r="A3625" t="s">
        <v>8079</v>
      </c>
      <c r="B3625" t="s">
        <v>8080</v>
      </c>
      <c r="E3625" s="11"/>
    </row>
    <row r="3626" spans="1:5">
      <c r="A3626" t="s">
        <v>8081</v>
      </c>
      <c r="B3626" t="s">
        <v>8082</v>
      </c>
      <c r="E3626" s="11"/>
    </row>
    <row r="3627" spans="1:5">
      <c r="A3627" t="s">
        <v>8083</v>
      </c>
      <c r="B3627" t="s">
        <v>8084</v>
      </c>
      <c r="E3627" s="11"/>
    </row>
    <row r="3628" spans="1:5">
      <c r="A3628" t="s">
        <v>8085</v>
      </c>
      <c r="B3628" t="s">
        <v>8086</v>
      </c>
      <c r="E3628" s="11"/>
    </row>
    <row r="3629" spans="1:5">
      <c r="A3629" t="s">
        <v>8087</v>
      </c>
      <c r="B3629" t="s">
        <v>8088</v>
      </c>
      <c r="E3629" s="11"/>
    </row>
    <row r="3630" spans="1:5">
      <c r="A3630" t="s">
        <v>8087</v>
      </c>
      <c r="B3630" t="s">
        <v>8089</v>
      </c>
      <c r="E3630" s="11"/>
    </row>
    <row r="3631" spans="1:5">
      <c r="A3631" t="s">
        <v>8091</v>
      </c>
      <c r="B3631" t="s">
        <v>8092</v>
      </c>
      <c r="E3631" s="11"/>
    </row>
    <row r="3632" spans="1:5">
      <c r="A3632" t="s">
        <v>8093</v>
      </c>
      <c r="B3632" t="s">
        <v>8094</v>
      </c>
      <c r="E3632" s="11"/>
    </row>
    <row r="3633" spans="1:5">
      <c r="A3633" t="s">
        <v>8095</v>
      </c>
      <c r="B3633" t="s">
        <v>8096</v>
      </c>
      <c r="E3633" s="11"/>
    </row>
    <row r="3634" spans="1:5">
      <c r="A3634" t="s">
        <v>8097</v>
      </c>
      <c r="B3634" t="s">
        <v>8098</v>
      </c>
      <c r="E3634" s="11"/>
    </row>
    <row r="3635" spans="1:5">
      <c r="A3635" t="s">
        <v>8099</v>
      </c>
      <c r="B3635" t="s">
        <v>8100</v>
      </c>
      <c r="E3635" s="11"/>
    </row>
    <row r="3636" spans="1:5">
      <c r="A3636" t="s">
        <v>8107</v>
      </c>
      <c r="B3636" t="s">
        <v>8108</v>
      </c>
      <c r="E3636" s="11"/>
    </row>
    <row r="3637" spans="1:5">
      <c r="A3637" t="s">
        <v>8109</v>
      </c>
      <c r="B3637" t="s">
        <v>8110</v>
      </c>
      <c r="E3637" s="11"/>
    </row>
    <row r="3638" spans="1:5">
      <c r="A3638" t="s">
        <v>8113</v>
      </c>
      <c r="B3638" t="s">
        <v>8114</v>
      </c>
      <c r="E3638" s="11"/>
    </row>
    <row r="3639" spans="1:5">
      <c r="A3639" t="s">
        <v>8115</v>
      </c>
      <c r="B3639" t="s">
        <v>8116</v>
      </c>
      <c r="E3639" s="11"/>
    </row>
    <row r="3640" spans="1:5">
      <c r="A3640" t="s">
        <v>8117</v>
      </c>
      <c r="B3640" t="s">
        <v>8118</v>
      </c>
      <c r="E3640" s="11"/>
    </row>
    <row r="3641" spans="1:5">
      <c r="A3641" t="s">
        <v>8125</v>
      </c>
      <c r="B3641" t="s">
        <v>8126</v>
      </c>
      <c r="E3641" s="11"/>
    </row>
    <row r="3642" spans="1:5">
      <c r="A3642" t="s">
        <v>8129</v>
      </c>
      <c r="B3642" t="s">
        <v>8130</v>
      </c>
      <c r="E3642" s="11"/>
    </row>
    <row r="3643" spans="1:5">
      <c r="A3643" t="s">
        <v>8131</v>
      </c>
      <c r="B3643" t="s">
        <v>8132</v>
      </c>
      <c r="E3643" s="11"/>
    </row>
    <row r="3644" spans="1:5">
      <c r="A3644" t="s">
        <v>8133</v>
      </c>
      <c r="B3644" t="s">
        <v>8134</v>
      </c>
      <c r="E3644" s="11"/>
    </row>
    <row r="3645" spans="1:5">
      <c r="A3645" t="s">
        <v>8140</v>
      </c>
      <c r="B3645" t="s">
        <v>8141</v>
      </c>
      <c r="E3645" s="11"/>
    </row>
    <row r="3646" spans="1:5">
      <c r="A3646" t="s">
        <v>8145</v>
      </c>
      <c r="B3646" t="s">
        <v>8146</v>
      </c>
      <c r="E3646" s="11"/>
    </row>
    <row r="3647" spans="1:5">
      <c r="A3647" t="s">
        <v>8150</v>
      </c>
      <c r="B3647" t="s">
        <v>8151</v>
      </c>
      <c r="E3647" s="11"/>
    </row>
    <row r="3648" spans="1:5">
      <c r="A3648" t="s">
        <v>8153</v>
      </c>
      <c r="B3648" t="s">
        <v>8154</v>
      </c>
      <c r="E3648" s="11"/>
    </row>
    <row r="3649" spans="1:5">
      <c r="A3649" t="s">
        <v>8157</v>
      </c>
      <c r="B3649" t="s">
        <v>8158</v>
      </c>
      <c r="E3649" s="11"/>
    </row>
    <row r="3650" spans="1:5">
      <c r="A3650" t="s">
        <v>8164</v>
      </c>
      <c r="B3650" t="s">
        <v>8165</v>
      </c>
      <c r="E3650" s="11"/>
    </row>
    <row r="3651" spans="1:5">
      <c r="A3651" t="s">
        <v>8170</v>
      </c>
      <c r="B3651" t="s">
        <v>8171</v>
      </c>
      <c r="E3651" s="11"/>
    </row>
    <row r="3652" spans="1:5">
      <c r="A3652" t="s">
        <v>8172</v>
      </c>
      <c r="B3652" t="s">
        <v>8173</v>
      </c>
      <c r="E3652" s="11"/>
    </row>
    <row r="3653" spans="1:5">
      <c r="A3653" t="s">
        <v>8180</v>
      </c>
      <c r="B3653" t="s">
        <v>8181</v>
      </c>
      <c r="E3653" s="11"/>
    </row>
    <row r="3654" spans="1:5">
      <c r="A3654" t="s">
        <v>8182</v>
      </c>
      <c r="B3654" t="s">
        <v>8183</v>
      </c>
      <c r="E3654" s="11"/>
    </row>
    <row r="3655" spans="1:5">
      <c r="A3655" t="s">
        <v>8184</v>
      </c>
      <c r="B3655" t="s">
        <v>8185</v>
      </c>
      <c r="E3655" s="11"/>
    </row>
    <row r="3656" spans="1:5">
      <c r="A3656" t="s">
        <v>8187</v>
      </c>
      <c r="B3656" t="s">
        <v>8188</v>
      </c>
      <c r="E3656" s="11"/>
    </row>
    <row r="3657" spans="1:5">
      <c r="A3657" t="s">
        <v>8189</v>
      </c>
      <c r="B3657" t="s">
        <v>8190</v>
      </c>
      <c r="E3657" s="11"/>
    </row>
    <row r="3658" spans="1:5">
      <c r="A3658" t="s">
        <v>8191</v>
      </c>
      <c r="B3658" t="s">
        <v>8192</v>
      </c>
      <c r="E3658" s="11"/>
    </row>
    <row r="3659" spans="1:5">
      <c r="A3659" t="s">
        <v>8193</v>
      </c>
      <c r="B3659" t="s">
        <v>8194</v>
      </c>
      <c r="E3659" s="11"/>
    </row>
    <row r="3660" spans="1:5">
      <c r="A3660" t="s">
        <v>8198</v>
      </c>
      <c r="B3660" t="s">
        <v>8199</v>
      </c>
      <c r="E3660" s="11"/>
    </row>
    <row r="3661" spans="1:5">
      <c r="A3661" t="s">
        <v>8205</v>
      </c>
      <c r="B3661" t="s">
        <v>8206</v>
      </c>
      <c r="E3661" s="11"/>
    </row>
    <row r="3662" spans="1:5">
      <c r="A3662" t="s">
        <v>8207</v>
      </c>
      <c r="B3662" t="s">
        <v>8208</v>
      </c>
      <c r="E3662" s="11"/>
    </row>
    <row r="3663" spans="1:5">
      <c r="A3663" t="s">
        <v>8213</v>
      </c>
      <c r="B3663" t="s">
        <v>8214</v>
      </c>
      <c r="E3663" s="11"/>
    </row>
    <row r="3664" spans="1:5">
      <c r="A3664" t="s">
        <v>8215</v>
      </c>
      <c r="B3664" t="s">
        <v>8216</v>
      </c>
      <c r="E3664" s="11"/>
    </row>
    <row r="3665" spans="1:5">
      <c r="A3665" t="s">
        <v>8217</v>
      </c>
      <c r="B3665" t="s">
        <v>8218</v>
      </c>
      <c r="E3665" s="11"/>
    </row>
    <row r="3666" spans="1:5">
      <c r="A3666" t="s">
        <v>8219</v>
      </c>
      <c r="B3666" t="s">
        <v>8220</v>
      </c>
      <c r="E3666" s="11"/>
    </row>
    <row r="3667" spans="1:5">
      <c r="A3667" t="s">
        <v>8224</v>
      </c>
      <c r="B3667" t="s">
        <v>8225</v>
      </c>
      <c r="E3667" s="11"/>
    </row>
    <row r="3668" spans="1:5">
      <c r="A3668" t="s">
        <v>8226</v>
      </c>
      <c r="B3668" t="s">
        <v>8227</v>
      </c>
      <c r="E3668" s="11"/>
    </row>
    <row r="3669" spans="1:5">
      <c r="A3669" t="s">
        <v>8230</v>
      </c>
      <c r="B3669" t="s">
        <v>8231</v>
      </c>
      <c r="E3669" s="11"/>
    </row>
    <row r="3670" spans="1:5">
      <c r="A3670" t="s">
        <v>8236</v>
      </c>
      <c r="B3670" t="s">
        <v>8237</v>
      </c>
      <c r="E3670" s="11"/>
    </row>
    <row r="3671" spans="1:5">
      <c r="A3671" t="s">
        <v>8255</v>
      </c>
      <c r="B3671" t="s">
        <v>8256</v>
      </c>
      <c r="E3671" s="11"/>
    </row>
    <row r="3672" spans="1:5">
      <c r="A3672" t="s">
        <v>8258</v>
      </c>
      <c r="B3672" t="s">
        <v>8259</v>
      </c>
      <c r="E3672" s="11"/>
    </row>
    <row r="3673" spans="1:5">
      <c r="A3673" t="s">
        <v>8260</v>
      </c>
      <c r="B3673" t="s">
        <v>8261</v>
      </c>
      <c r="E3673" s="11"/>
    </row>
    <row r="3674" spans="1:5">
      <c r="A3674" t="s">
        <v>8262</v>
      </c>
      <c r="B3674" t="s">
        <v>8263</v>
      </c>
      <c r="E3674" s="11"/>
    </row>
    <row r="3675" spans="1:5">
      <c r="A3675" t="s">
        <v>8265</v>
      </c>
      <c r="B3675" t="s">
        <v>8266</v>
      </c>
      <c r="E3675" s="11"/>
    </row>
    <row r="3676" spans="1:5">
      <c r="A3676" t="s">
        <v>8268</v>
      </c>
      <c r="B3676" t="s">
        <v>8269</v>
      </c>
      <c r="E3676" s="11"/>
    </row>
    <row r="3677" spans="1:5">
      <c r="A3677" t="s">
        <v>8270</v>
      </c>
      <c r="B3677" t="s">
        <v>8271</v>
      </c>
      <c r="E3677" s="11"/>
    </row>
    <row r="3678" spans="1:5">
      <c r="A3678" t="s">
        <v>8273</v>
      </c>
      <c r="B3678" t="s">
        <v>8274</v>
      </c>
      <c r="E3678" s="11"/>
    </row>
    <row r="3679" spans="1:5">
      <c r="A3679" t="s">
        <v>8275</v>
      </c>
      <c r="B3679" t="s">
        <v>8276</v>
      </c>
      <c r="E3679" s="11"/>
    </row>
    <row r="3680" spans="1:5">
      <c r="A3680" t="s">
        <v>8277</v>
      </c>
      <c r="B3680" t="s">
        <v>8278</v>
      </c>
      <c r="E3680" s="11"/>
    </row>
    <row r="3681" spans="1:5">
      <c r="A3681" t="s">
        <v>8283</v>
      </c>
      <c r="B3681" t="s">
        <v>8284</v>
      </c>
      <c r="E3681" s="11"/>
    </row>
    <row r="3682" spans="1:5">
      <c r="A3682" t="s">
        <v>8287</v>
      </c>
      <c r="B3682" t="s">
        <v>8288</v>
      </c>
      <c r="E3682" s="11"/>
    </row>
    <row r="3683" spans="1:5">
      <c r="A3683" t="s">
        <v>8291</v>
      </c>
      <c r="B3683" t="s">
        <v>8292</v>
      </c>
      <c r="E3683" s="11"/>
    </row>
    <row r="3684" spans="1:5">
      <c r="A3684" t="s">
        <v>8293</v>
      </c>
      <c r="B3684" t="s">
        <v>8294</v>
      </c>
      <c r="E3684" s="11"/>
    </row>
    <row r="3685" spans="1:5">
      <c r="A3685" t="s">
        <v>8295</v>
      </c>
      <c r="B3685" t="s">
        <v>8296</v>
      </c>
      <c r="E3685" s="11"/>
    </row>
    <row r="3686" spans="1:5">
      <c r="A3686" t="s">
        <v>8297</v>
      </c>
      <c r="B3686" t="s">
        <v>8298</v>
      </c>
      <c r="E3686" s="11"/>
    </row>
    <row r="3687" spans="1:5">
      <c r="A3687" t="s">
        <v>8299</v>
      </c>
      <c r="B3687" t="s">
        <v>8300</v>
      </c>
      <c r="E3687" s="11"/>
    </row>
    <row r="3688" spans="1:5">
      <c r="A3688" t="s">
        <v>8302</v>
      </c>
      <c r="B3688" t="s">
        <v>8303</v>
      </c>
      <c r="E3688" s="11"/>
    </row>
    <row r="3689" spans="1:5">
      <c r="A3689" t="s">
        <v>8306</v>
      </c>
      <c r="B3689" t="s">
        <v>8307</v>
      </c>
      <c r="E3689" s="11"/>
    </row>
    <row r="3690" spans="1:5">
      <c r="A3690" t="s">
        <v>8308</v>
      </c>
      <c r="B3690" t="s">
        <v>8309</v>
      </c>
      <c r="E3690" s="11"/>
    </row>
    <row r="3691" spans="1:5">
      <c r="A3691" t="s">
        <v>8310</v>
      </c>
      <c r="B3691" t="s">
        <v>8311</v>
      </c>
      <c r="E3691" s="11"/>
    </row>
    <row r="3692" spans="1:5">
      <c r="A3692" t="s">
        <v>8312</v>
      </c>
      <c r="B3692" t="s">
        <v>8313</v>
      </c>
      <c r="E3692" s="11"/>
    </row>
    <row r="3693" spans="1:5">
      <c r="A3693" t="s">
        <v>8318</v>
      </c>
      <c r="B3693" t="s">
        <v>8319</v>
      </c>
      <c r="E3693" s="11"/>
    </row>
    <row r="3694" spans="1:5">
      <c r="A3694" t="s">
        <v>8320</v>
      </c>
      <c r="B3694" t="s">
        <v>8321</v>
      </c>
      <c r="E3694" s="11"/>
    </row>
    <row r="3695" spans="1:5">
      <c r="A3695" t="s">
        <v>8322</v>
      </c>
      <c r="B3695" t="s">
        <v>8323</v>
      </c>
      <c r="E3695" s="11"/>
    </row>
    <row r="3696" spans="1:5">
      <c r="A3696" t="s">
        <v>8324</v>
      </c>
      <c r="B3696" t="s">
        <v>8325</v>
      </c>
      <c r="E3696" s="11"/>
    </row>
    <row r="3697" spans="1:5">
      <c r="A3697" t="s">
        <v>8327</v>
      </c>
      <c r="B3697" t="s">
        <v>8328</v>
      </c>
      <c r="E3697" s="11"/>
    </row>
    <row r="3698" spans="1:5">
      <c r="A3698" t="s">
        <v>8329</v>
      </c>
      <c r="B3698" t="s">
        <v>8330</v>
      </c>
      <c r="E3698" s="11"/>
    </row>
    <row r="3699" spans="1:5">
      <c r="A3699" t="s">
        <v>8331</v>
      </c>
      <c r="B3699" t="s">
        <v>8332</v>
      </c>
      <c r="E3699" s="11"/>
    </row>
    <row r="3700" spans="1:5">
      <c r="A3700" t="s">
        <v>8334</v>
      </c>
      <c r="B3700" t="s">
        <v>8335</v>
      </c>
      <c r="E3700" s="11"/>
    </row>
    <row r="3701" spans="1:5">
      <c r="A3701" t="s">
        <v>8334</v>
      </c>
      <c r="B3701" t="s">
        <v>8336</v>
      </c>
      <c r="E3701" s="11"/>
    </row>
    <row r="3702" spans="1:5">
      <c r="A3702" t="s">
        <v>8339</v>
      </c>
      <c r="B3702" t="s">
        <v>8340</v>
      </c>
      <c r="E3702" s="11"/>
    </row>
    <row r="3703" spans="1:5">
      <c r="A3703" t="s">
        <v>8341</v>
      </c>
      <c r="B3703" t="s">
        <v>8342</v>
      </c>
      <c r="E3703" s="11"/>
    </row>
    <row r="3704" spans="1:5">
      <c r="A3704" t="s">
        <v>8343</v>
      </c>
      <c r="B3704" t="s">
        <v>8344</v>
      </c>
      <c r="E3704" s="11"/>
    </row>
    <row r="3705" spans="1:5">
      <c r="A3705" t="s">
        <v>8346</v>
      </c>
      <c r="B3705" t="s">
        <v>8347</v>
      </c>
      <c r="E3705" s="11"/>
    </row>
    <row r="3706" spans="1:5">
      <c r="A3706" t="s">
        <v>8349</v>
      </c>
      <c r="B3706" t="s">
        <v>8350</v>
      </c>
      <c r="E3706" s="11"/>
    </row>
    <row r="3707" spans="1:5">
      <c r="A3707" t="s">
        <v>8351</v>
      </c>
      <c r="B3707" t="s">
        <v>8352</v>
      </c>
      <c r="E3707" s="11"/>
    </row>
    <row r="3708" spans="1:5">
      <c r="A3708" t="s">
        <v>8356</v>
      </c>
      <c r="B3708" t="s">
        <v>8357</v>
      </c>
      <c r="E3708" s="11"/>
    </row>
    <row r="3709" spans="1:5">
      <c r="A3709" t="s">
        <v>8358</v>
      </c>
      <c r="B3709" t="s">
        <v>8359</v>
      </c>
      <c r="E3709" s="11"/>
    </row>
    <row r="3710" spans="1:5">
      <c r="A3710" t="s">
        <v>8361</v>
      </c>
      <c r="B3710" t="s">
        <v>8362</v>
      </c>
      <c r="E3710" s="11"/>
    </row>
    <row r="3711" spans="1:5">
      <c r="A3711" t="s">
        <v>8364</v>
      </c>
      <c r="B3711" t="s">
        <v>8365</v>
      </c>
      <c r="E3711" s="11"/>
    </row>
    <row r="3712" spans="1:5">
      <c r="A3712" t="s">
        <v>8367</v>
      </c>
      <c r="B3712" t="s">
        <v>8368</v>
      </c>
      <c r="E3712" s="11"/>
    </row>
    <row r="3713" spans="1:8">
      <c r="A3713" t="s">
        <v>8374</v>
      </c>
      <c r="B3713" t="s">
        <v>8375</v>
      </c>
      <c r="E3713" s="11"/>
    </row>
    <row r="3714" spans="1:8">
      <c r="A3714" t="s">
        <v>8377</v>
      </c>
      <c r="B3714" t="s">
        <v>8378</v>
      </c>
      <c r="E3714" s="11"/>
    </row>
    <row r="3715" spans="1:8">
      <c r="A3715" t="s">
        <v>8379</v>
      </c>
      <c r="B3715" t="s">
        <v>8380</v>
      </c>
      <c r="E3715" s="11"/>
    </row>
    <row r="3716" spans="1:8">
      <c r="A3716" t="s">
        <v>8385</v>
      </c>
      <c r="B3716" t="s">
        <v>8386</v>
      </c>
      <c r="E3716" s="11"/>
    </row>
    <row r="3717" spans="1:8">
      <c r="A3717" t="s">
        <v>8388</v>
      </c>
      <c r="B3717" t="s">
        <v>8389</v>
      </c>
      <c r="E3717" s="11"/>
    </row>
    <row r="3718" spans="1:8">
      <c r="A3718" t="s">
        <v>8390</v>
      </c>
      <c r="B3718" t="s">
        <v>8391</v>
      </c>
      <c r="E3718" s="11"/>
    </row>
    <row r="3719" spans="1:8">
      <c r="A3719" t="s">
        <v>8393</v>
      </c>
      <c r="B3719" t="s">
        <v>8394</v>
      </c>
      <c r="E3719" s="11"/>
    </row>
    <row r="3720" spans="1:8">
      <c r="A3720" t="s">
        <v>8395</v>
      </c>
      <c r="B3720" t="s">
        <v>8396</v>
      </c>
      <c r="E3720" s="11"/>
    </row>
    <row r="3721" spans="1:8">
      <c r="A3721" t="s">
        <v>8401</v>
      </c>
      <c r="B3721" t="s">
        <v>8402</v>
      </c>
      <c r="E3721" s="11"/>
    </row>
    <row r="3722" spans="1:8">
      <c r="A3722" t="s">
        <v>8405</v>
      </c>
      <c r="B3722" t="s">
        <v>8406</v>
      </c>
      <c r="E3722" s="11"/>
    </row>
    <row r="3723" spans="1:8">
      <c r="A3723" t="s">
        <v>8413</v>
      </c>
      <c r="B3723" t="s">
        <v>8414</v>
      </c>
      <c r="E3723" s="11"/>
    </row>
    <row r="3724" spans="1:8">
      <c r="C3724" s="45" t="s">
        <v>16086</v>
      </c>
      <c r="E3724" s="39" t="s">
        <v>16157</v>
      </c>
      <c r="F3724" s="39" t="s">
        <v>16158</v>
      </c>
      <c r="G3724" t="s">
        <v>16159</v>
      </c>
      <c r="H3724" t="s">
        <v>16160</v>
      </c>
    </row>
    <row r="3725" spans="1:8">
      <c r="C3725" s="45" t="s">
        <v>16086</v>
      </c>
      <c r="E3725" s="39" t="s">
        <v>16157</v>
      </c>
      <c r="F3725" s="39" t="s">
        <v>16161</v>
      </c>
      <c r="G3725" t="s">
        <v>16159</v>
      </c>
      <c r="H3725" t="s">
        <v>16162</v>
      </c>
    </row>
    <row r="3726" spans="1:8">
      <c r="C3726" s="45" t="s">
        <v>16087</v>
      </c>
      <c r="E3726" s="39" t="s">
        <v>16163</v>
      </c>
      <c r="F3726" s="39" t="s">
        <v>16164</v>
      </c>
      <c r="G3726" t="s">
        <v>16165</v>
      </c>
      <c r="H3726" t="s">
        <v>16160</v>
      </c>
    </row>
    <row r="3727" spans="1:8">
      <c r="C3727" s="45" t="s">
        <v>16087</v>
      </c>
      <c r="E3727" s="39" t="s">
        <v>16163</v>
      </c>
      <c r="F3727" s="39" t="s">
        <v>16166</v>
      </c>
      <c r="G3727" t="s">
        <v>16165</v>
      </c>
      <c r="H3727" t="s">
        <v>16162</v>
      </c>
    </row>
    <row r="3728" spans="1:8">
      <c r="C3728" s="45" t="s">
        <v>16088</v>
      </c>
      <c r="E3728" s="39" t="s">
        <v>16167</v>
      </c>
      <c r="F3728" s="39" t="s">
        <v>16168</v>
      </c>
      <c r="G3728" t="s">
        <v>16169</v>
      </c>
      <c r="H3728" t="s">
        <v>16170</v>
      </c>
    </row>
    <row r="3729" spans="3:8">
      <c r="C3729" s="45" t="s">
        <v>16089</v>
      </c>
      <c r="E3729" s="39" t="s">
        <v>16171</v>
      </c>
      <c r="F3729" s="39" t="s">
        <v>16172</v>
      </c>
      <c r="G3729" t="s">
        <v>16173</v>
      </c>
      <c r="H3729" t="s">
        <v>16174</v>
      </c>
    </row>
    <row r="3730" spans="3:8">
      <c r="C3730" s="45" t="s">
        <v>16089</v>
      </c>
      <c r="E3730" s="39" t="s">
        <v>16171</v>
      </c>
      <c r="F3730" s="39" t="s">
        <v>16175</v>
      </c>
      <c r="G3730" t="s">
        <v>16176</v>
      </c>
      <c r="H3730" t="s">
        <v>16177</v>
      </c>
    </row>
    <row r="3731" spans="3:8">
      <c r="C3731" s="45" t="s">
        <v>16090</v>
      </c>
      <c r="E3731" s="39" t="s">
        <v>16178</v>
      </c>
      <c r="F3731" s="39" t="s">
        <v>16179</v>
      </c>
      <c r="G3731" t="s">
        <v>16180</v>
      </c>
      <c r="H3731" t="s">
        <v>16181</v>
      </c>
    </row>
    <row r="3732" spans="3:8">
      <c r="C3732" s="45" t="s">
        <v>16091</v>
      </c>
      <c r="E3732" s="39" t="s">
        <v>16182</v>
      </c>
      <c r="F3732" s="39" t="s">
        <v>16183</v>
      </c>
      <c r="G3732" t="s">
        <v>16184</v>
      </c>
      <c r="H3732" t="s">
        <v>16185</v>
      </c>
    </row>
    <row r="3733" spans="3:8">
      <c r="C3733" s="45" t="s">
        <v>16091</v>
      </c>
      <c r="E3733" s="39" t="s">
        <v>16182</v>
      </c>
      <c r="F3733" s="39" t="s">
        <v>16186</v>
      </c>
      <c r="G3733" t="s">
        <v>16187</v>
      </c>
      <c r="H3733" t="s">
        <v>16188</v>
      </c>
    </row>
    <row r="3734" spans="3:8">
      <c r="C3734" s="45" t="s">
        <v>16091</v>
      </c>
      <c r="E3734" s="39" t="s">
        <v>16182</v>
      </c>
      <c r="F3734" s="39" t="s">
        <v>16189</v>
      </c>
      <c r="G3734" t="s">
        <v>16190</v>
      </c>
      <c r="H3734" t="s">
        <v>16191</v>
      </c>
    </row>
    <row r="3735" spans="3:8">
      <c r="C3735" s="45" t="s">
        <v>16091</v>
      </c>
      <c r="E3735" s="39" t="s">
        <v>16182</v>
      </c>
      <c r="F3735" s="39" t="s">
        <v>16192</v>
      </c>
      <c r="G3735" t="s">
        <v>16193</v>
      </c>
      <c r="H3735" t="s">
        <v>16194</v>
      </c>
    </row>
    <row r="3736" spans="3:8">
      <c r="C3736" s="45" t="s">
        <v>16091</v>
      </c>
      <c r="E3736" s="39" t="s">
        <v>16182</v>
      </c>
      <c r="F3736" s="39" t="s">
        <v>16195</v>
      </c>
      <c r="G3736" t="s">
        <v>16196</v>
      </c>
      <c r="H3736" t="s">
        <v>16197</v>
      </c>
    </row>
    <row r="3737" spans="3:8">
      <c r="C3737" s="45" t="s">
        <v>16091</v>
      </c>
      <c r="E3737" s="39" t="s">
        <v>16182</v>
      </c>
      <c r="F3737" s="39" t="s">
        <v>16198</v>
      </c>
      <c r="G3737" t="s">
        <v>16199</v>
      </c>
      <c r="H3737" t="s">
        <v>16200</v>
      </c>
    </row>
    <row r="3738" spans="3:8">
      <c r="C3738" s="45" t="s">
        <v>16091</v>
      </c>
      <c r="E3738" s="39" t="s">
        <v>16182</v>
      </c>
      <c r="F3738" s="39" t="s">
        <v>16201</v>
      </c>
      <c r="G3738" t="s">
        <v>16202</v>
      </c>
      <c r="H3738" t="s">
        <v>16203</v>
      </c>
    </row>
    <row r="3739" spans="3:8">
      <c r="C3739" s="45" t="s">
        <v>16091</v>
      </c>
      <c r="E3739" s="39" t="s">
        <v>16182</v>
      </c>
      <c r="F3739" s="39" t="s">
        <v>16204</v>
      </c>
      <c r="G3739" t="s">
        <v>16205</v>
      </c>
      <c r="H3739" t="s">
        <v>16206</v>
      </c>
    </row>
    <row r="3740" spans="3:8">
      <c r="C3740" s="45" t="s">
        <v>16091</v>
      </c>
      <c r="E3740" s="39" t="s">
        <v>16182</v>
      </c>
      <c r="F3740" s="39" t="s">
        <v>16207</v>
      </c>
      <c r="G3740" t="s">
        <v>16208</v>
      </c>
      <c r="H3740" t="s">
        <v>16209</v>
      </c>
    </row>
    <row r="3741" spans="3:8">
      <c r="C3741" s="45" t="s">
        <v>16091</v>
      </c>
      <c r="E3741" s="39" t="s">
        <v>16182</v>
      </c>
      <c r="F3741" s="39" t="s">
        <v>16210</v>
      </c>
      <c r="G3741" t="s">
        <v>16211</v>
      </c>
      <c r="H3741" t="s">
        <v>16212</v>
      </c>
    </row>
    <row r="3742" spans="3:8">
      <c r="C3742" s="45" t="s">
        <v>16091</v>
      </c>
      <c r="E3742" s="39" t="s">
        <v>16182</v>
      </c>
      <c r="F3742" s="39" t="s">
        <v>16213</v>
      </c>
      <c r="G3742" t="s">
        <v>16214</v>
      </c>
      <c r="H3742" t="s">
        <v>16215</v>
      </c>
    </row>
    <row r="3743" spans="3:8">
      <c r="C3743" s="45" t="s">
        <v>16091</v>
      </c>
      <c r="E3743" s="39" t="s">
        <v>16182</v>
      </c>
      <c r="F3743" s="39" t="s">
        <v>16216</v>
      </c>
      <c r="G3743" t="s">
        <v>16217</v>
      </c>
      <c r="H3743" t="s">
        <v>16218</v>
      </c>
    </row>
    <row r="3744" spans="3:8">
      <c r="C3744" s="45" t="s">
        <v>16091</v>
      </c>
      <c r="E3744" s="39" t="s">
        <v>16182</v>
      </c>
      <c r="F3744" s="39" t="s">
        <v>16219</v>
      </c>
      <c r="G3744" t="s">
        <v>16220</v>
      </c>
      <c r="H3744" t="s">
        <v>16223</v>
      </c>
    </row>
    <row r="3745" spans="3:8">
      <c r="C3745" s="45" t="s">
        <v>16091</v>
      </c>
      <c r="E3745" s="39" t="s">
        <v>16182</v>
      </c>
      <c r="F3745" s="39" t="s">
        <v>16221</v>
      </c>
      <c r="G3745" t="s">
        <v>16222</v>
      </c>
      <c r="H3745" t="s">
        <v>16224</v>
      </c>
    </row>
    <row r="3746" spans="3:8">
      <c r="C3746" s="45" t="s">
        <v>16091</v>
      </c>
      <c r="E3746" s="39" t="s">
        <v>16182</v>
      </c>
      <c r="F3746" s="39" t="s">
        <v>16225</v>
      </c>
      <c r="G3746" t="s">
        <v>16226</v>
      </c>
      <c r="H3746" t="s">
        <v>16227</v>
      </c>
    </row>
    <row r="3747" spans="3:8">
      <c r="C3747" s="45" t="s">
        <v>16092</v>
      </c>
      <c r="E3747" s="39" t="s">
        <v>16228</v>
      </c>
      <c r="F3747" s="39" t="s">
        <v>16229</v>
      </c>
      <c r="G3747" t="s">
        <v>16230</v>
      </c>
      <c r="H3747" t="s">
        <v>16231</v>
      </c>
    </row>
    <row r="3748" spans="3:8">
      <c r="C3748" s="45" t="s">
        <v>16092</v>
      </c>
      <c r="E3748" s="39" t="s">
        <v>16228</v>
      </c>
      <c r="F3748" s="39" t="s">
        <v>16232</v>
      </c>
      <c r="G3748" t="s">
        <v>16233</v>
      </c>
      <c r="H3748" t="s">
        <v>16234</v>
      </c>
    </row>
    <row r="3749" spans="3:8">
      <c r="C3749" s="45" t="s">
        <v>16093</v>
      </c>
      <c r="E3749" s="39" t="s">
        <v>16235</v>
      </c>
      <c r="F3749" s="39" t="s">
        <v>16236</v>
      </c>
      <c r="G3749" t="s">
        <v>16237</v>
      </c>
      <c r="H3749" t="s">
        <v>16238</v>
      </c>
    </row>
    <row r="3750" spans="3:8">
      <c r="C3750" s="45" t="s">
        <v>16093</v>
      </c>
      <c r="E3750" s="39" t="s">
        <v>16235</v>
      </c>
      <c r="F3750" s="39" t="s">
        <v>16239</v>
      </c>
      <c r="G3750" t="s">
        <v>16240</v>
      </c>
      <c r="H3750" t="s">
        <v>16238</v>
      </c>
    </row>
    <row r="3751" spans="3:8">
      <c r="C3751" s="45" t="s">
        <v>16094</v>
      </c>
      <c r="E3751" s="39" t="s">
        <v>16241</v>
      </c>
      <c r="F3751" s="39" t="s">
        <v>16242</v>
      </c>
      <c r="G3751" t="s">
        <v>16243</v>
      </c>
      <c r="H3751" t="s">
        <v>16244</v>
      </c>
    </row>
    <row r="3752" spans="3:8">
      <c r="C3752" s="45" t="s">
        <v>16095</v>
      </c>
      <c r="E3752" s="39" t="s">
        <v>16245</v>
      </c>
      <c r="F3752" s="39" t="s">
        <v>16246</v>
      </c>
      <c r="G3752" t="s">
        <v>16247</v>
      </c>
      <c r="H3752" t="s">
        <v>16248</v>
      </c>
    </row>
    <row r="3753" spans="3:8">
      <c r="C3753" s="45" t="s">
        <v>16095</v>
      </c>
      <c r="E3753" s="39" t="s">
        <v>16245</v>
      </c>
      <c r="F3753" s="39" t="s">
        <v>16249</v>
      </c>
      <c r="G3753" t="s">
        <v>16250</v>
      </c>
      <c r="H3753" t="s">
        <v>16251</v>
      </c>
    </row>
    <row r="3754" spans="3:8">
      <c r="C3754" s="45" t="s">
        <v>16096</v>
      </c>
      <c r="E3754" s="39" t="s">
        <v>16252</v>
      </c>
      <c r="F3754" s="39" t="s">
        <v>16253</v>
      </c>
      <c r="G3754" t="s">
        <v>16254</v>
      </c>
      <c r="H3754" t="s">
        <v>16255</v>
      </c>
    </row>
    <row r="3755" spans="3:8">
      <c r="C3755" s="45" t="s">
        <v>16097</v>
      </c>
      <c r="E3755" s="39" t="s">
        <v>16256</v>
      </c>
    </row>
    <row r="3756" spans="3:8">
      <c r="C3756" s="45" t="s">
        <v>16098</v>
      </c>
      <c r="E3756" s="39" t="s">
        <v>16257</v>
      </c>
      <c r="F3756" s="39" t="s">
        <v>16258</v>
      </c>
      <c r="G3756" t="s">
        <v>16259</v>
      </c>
      <c r="H3756" t="s">
        <v>16260</v>
      </c>
    </row>
    <row r="3757" spans="3:8">
      <c r="C3757" s="45" t="s">
        <v>16099</v>
      </c>
      <c r="E3757" s="39" t="s">
        <v>16261</v>
      </c>
      <c r="F3757" s="39" t="s">
        <v>16262</v>
      </c>
      <c r="G3757" t="s">
        <v>16263</v>
      </c>
      <c r="H3757" t="s">
        <v>16264</v>
      </c>
    </row>
    <row r="3758" spans="3:8">
      <c r="C3758" s="45" t="s">
        <v>16100</v>
      </c>
      <c r="E3758" s="39" t="s">
        <v>16265</v>
      </c>
      <c r="F3758" s="39" t="s">
        <v>16266</v>
      </c>
      <c r="G3758" t="s">
        <v>16267</v>
      </c>
      <c r="H3758" t="s">
        <v>16268</v>
      </c>
    </row>
    <row r="3759" spans="3:8">
      <c r="C3759" s="45" t="s">
        <v>16100</v>
      </c>
      <c r="E3759" s="39" t="s">
        <v>16265</v>
      </c>
      <c r="F3759" s="39" t="s">
        <v>16269</v>
      </c>
      <c r="G3759" t="s">
        <v>16270</v>
      </c>
      <c r="H3759" t="s">
        <v>16271</v>
      </c>
    </row>
    <row r="3760" spans="3:8">
      <c r="C3760" s="45" t="s">
        <v>16101</v>
      </c>
      <c r="E3760" s="39" t="s">
        <v>16272</v>
      </c>
      <c r="F3760" s="39" t="s">
        <v>16273</v>
      </c>
      <c r="G3760" t="s">
        <v>16274</v>
      </c>
      <c r="H3760" t="s">
        <v>16275</v>
      </c>
    </row>
    <row r="3761" spans="3:8">
      <c r="C3761" s="45" t="s">
        <v>16101</v>
      </c>
      <c r="E3761" s="39" t="s">
        <v>16272</v>
      </c>
      <c r="F3761" s="39" t="s">
        <v>16276</v>
      </c>
      <c r="G3761" t="s">
        <v>16277</v>
      </c>
      <c r="H3761" t="s">
        <v>16275</v>
      </c>
    </row>
    <row r="3762" spans="3:8">
      <c r="C3762" s="45" t="s">
        <v>16101</v>
      </c>
      <c r="E3762" s="39" t="s">
        <v>16272</v>
      </c>
      <c r="F3762" s="39" t="s">
        <v>16278</v>
      </c>
      <c r="G3762" t="s">
        <v>16279</v>
      </c>
      <c r="H3762" t="s">
        <v>16280</v>
      </c>
    </row>
    <row r="3763" spans="3:8">
      <c r="C3763" s="45" t="s">
        <v>16102</v>
      </c>
      <c r="E3763" s="39" t="s">
        <v>16281</v>
      </c>
      <c r="F3763" s="39" t="s">
        <v>16282</v>
      </c>
      <c r="G3763" t="s">
        <v>16283</v>
      </c>
      <c r="H3763" t="s">
        <v>16284</v>
      </c>
    </row>
    <row r="3764" spans="3:8">
      <c r="C3764" s="45" t="s">
        <v>16103</v>
      </c>
      <c r="E3764" s="39" t="s">
        <v>16285</v>
      </c>
      <c r="F3764" s="39" t="s">
        <v>16286</v>
      </c>
      <c r="G3764" t="s">
        <v>16287</v>
      </c>
      <c r="H3764" t="s">
        <v>16288</v>
      </c>
    </row>
    <row r="3765" spans="3:8">
      <c r="C3765" s="45" t="s">
        <v>16104</v>
      </c>
      <c r="E3765" s="39" t="s">
        <v>16289</v>
      </c>
      <c r="F3765" s="39" t="s">
        <v>8877</v>
      </c>
      <c r="G3765" t="s">
        <v>10809</v>
      </c>
      <c r="H3765" t="s">
        <v>10810</v>
      </c>
    </row>
    <row r="3766" spans="3:8">
      <c r="C3766" s="45" t="s">
        <v>16105</v>
      </c>
      <c r="E3766" s="39" t="s">
        <v>16290</v>
      </c>
      <c r="F3766" s="39" t="s">
        <v>16291</v>
      </c>
      <c r="G3766" t="s">
        <v>11066</v>
      </c>
      <c r="H3766" t="s">
        <v>16292</v>
      </c>
    </row>
    <row r="3767" spans="3:8">
      <c r="C3767" s="45" t="s">
        <v>16106</v>
      </c>
      <c r="E3767" s="39" t="s">
        <v>16293</v>
      </c>
      <c r="F3767" s="39" t="s">
        <v>16294</v>
      </c>
      <c r="G3767" t="s">
        <v>16295</v>
      </c>
      <c r="H3767" t="s">
        <v>16296</v>
      </c>
    </row>
    <row r="3768" spans="3:8">
      <c r="C3768" s="45" t="s">
        <v>16107</v>
      </c>
      <c r="E3768" s="39" t="s">
        <v>16297</v>
      </c>
      <c r="F3768" s="39" t="s">
        <v>16298</v>
      </c>
      <c r="G3768" t="s">
        <v>16299</v>
      </c>
      <c r="H3768" t="s">
        <v>16300</v>
      </c>
    </row>
    <row r="3769" spans="3:8">
      <c r="C3769" s="45" t="s">
        <v>16108</v>
      </c>
      <c r="E3769" s="39" t="s">
        <v>16301</v>
      </c>
      <c r="F3769" s="39" t="s">
        <v>9235</v>
      </c>
      <c r="G3769" t="s">
        <v>10470</v>
      </c>
      <c r="H3769" t="s">
        <v>10471</v>
      </c>
    </row>
    <row r="3770" spans="3:8">
      <c r="C3770" s="45" t="s">
        <v>16109</v>
      </c>
      <c r="E3770" s="39" t="s">
        <v>16302</v>
      </c>
    </row>
    <row r="3771" spans="3:8">
      <c r="C3771" s="45" t="s">
        <v>16110</v>
      </c>
      <c r="E3771" s="39" t="s">
        <v>16303</v>
      </c>
    </row>
    <row r="3772" spans="3:8">
      <c r="C3772" s="45" t="s">
        <v>16111</v>
      </c>
      <c r="E3772" s="39" t="s">
        <v>16304</v>
      </c>
      <c r="F3772" s="39" t="s">
        <v>16305</v>
      </c>
      <c r="G3772" t="s">
        <v>16306</v>
      </c>
      <c r="H3772" t="s">
        <v>16307</v>
      </c>
    </row>
    <row r="3773" spans="3:8">
      <c r="C3773" s="45" t="s">
        <v>16111</v>
      </c>
      <c r="E3773" s="39" t="s">
        <v>16304</v>
      </c>
      <c r="F3773" s="39" t="s">
        <v>16308</v>
      </c>
      <c r="G3773" t="s">
        <v>16309</v>
      </c>
      <c r="H3773" t="s">
        <v>16310</v>
      </c>
    </row>
    <row r="3774" spans="3:8">
      <c r="C3774" s="45" t="s">
        <v>16111</v>
      </c>
      <c r="E3774" s="39" t="s">
        <v>16304</v>
      </c>
      <c r="F3774" s="39" t="s">
        <v>16311</v>
      </c>
      <c r="G3774" t="s">
        <v>16312</v>
      </c>
      <c r="H3774" t="s">
        <v>16313</v>
      </c>
    </row>
    <row r="3775" spans="3:8">
      <c r="C3775" s="45" t="s">
        <v>16111</v>
      </c>
      <c r="E3775" s="39" t="s">
        <v>16304</v>
      </c>
      <c r="F3775" s="39" t="s">
        <v>16314</v>
      </c>
      <c r="G3775" t="s">
        <v>16315</v>
      </c>
      <c r="H3775" t="s">
        <v>16316</v>
      </c>
    </row>
    <row r="3776" spans="3:8">
      <c r="C3776" s="45" t="s">
        <v>16111</v>
      </c>
      <c r="E3776" s="39" t="s">
        <v>16304</v>
      </c>
      <c r="F3776" s="39" t="s">
        <v>16317</v>
      </c>
      <c r="G3776" t="s">
        <v>16318</v>
      </c>
      <c r="H3776" t="s">
        <v>16319</v>
      </c>
    </row>
    <row r="3777" spans="3:8">
      <c r="C3777" s="45" t="s">
        <v>16111</v>
      </c>
      <c r="E3777" s="39" t="s">
        <v>16304</v>
      </c>
      <c r="F3777" s="39" t="s">
        <v>16320</v>
      </c>
      <c r="G3777" t="s">
        <v>16321</v>
      </c>
      <c r="H3777" t="s">
        <v>16322</v>
      </c>
    </row>
    <row r="3778" spans="3:8">
      <c r="C3778" s="45" t="s">
        <v>16111</v>
      </c>
      <c r="E3778" s="39" t="s">
        <v>16304</v>
      </c>
      <c r="F3778" s="39" t="s">
        <v>16323</v>
      </c>
      <c r="G3778" t="s">
        <v>16324</v>
      </c>
      <c r="H3778" t="s">
        <v>16325</v>
      </c>
    </row>
    <row r="3779" spans="3:8">
      <c r="C3779" s="45" t="s">
        <v>16111</v>
      </c>
      <c r="E3779" s="39" t="s">
        <v>16304</v>
      </c>
      <c r="F3779" s="39" t="s">
        <v>16326</v>
      </c>
      <c r="G3779" t="s">
        <v>16327</v>
      </c>
      <c r="H3779" t="s">
        <v>16329</v>
      </c>
    </row>
    <row r="3780" spans="3:8">
      <c r="C3780" s="45" t="s">
        <v>16111</v>
      </c>
      <c r="E3780" s="39" t="s">
        <v>16304</v>
      </c>
      <c r="F3780" s="39" t="s">
        <v>16330</v>
      </c>
      <c r="G3780" t="s">
        <v>16331</v>
      </c>
      <c r="H3780" t="s">
        <v>16332</v>
      </c>
    </row>
    <row r="3781" spans="3:8">
      <c r="C3781" s="45" t="s">
        <v>16111</v>
      </c>
      <c r="E3781" s="39" t="s">
        <v>16304</v>
      </c>
      <c r="F3781" s="39" t="s">
        <v>16333</v>
      </c>
      <c r="G3781" t="s">
        <v>16334</v>
      </c>
      <c r="H3781" t="s">
        <v>16335</v>
      </c>
    </row>
    <row r="3782" spans="3:8">
      <c r="C3782" s="45" t="s">
        <v>16111</v>
      </c>
      <c r="E3782" s="39" t="s">
        <v>16304</v>
      </c>
      <c r="F3782" s="39" t="s">
        <v>16336</v>
      </c>
      <c r="G3782" t="s">
        <v>16337</v>
      </c>
      <c r="H3782" t="s">
        <v>16338</v>
      </c>
    </row>
    <row r="3783" spans="3:8">
      <c r="C3783" s="45" t="s">
        <v>16111</v>
      </c>
      <c r="E3783" s="39" t="s">
        <v>16304</v>
      </c>
      <c r="F3783" s="39" t="s">
        <v>16339</v>
      </c>
      <c r="G3783" t="s">
        <v>16341</v>
      </c>
      <c r="H3783" t="s">
        <v>16342</v>
      </c>
    </row>
    <row r="3784" spans="3:8">
      <c r="C3784" s="45" t="s">
        <v>8778</v>
      </c>
      <c r="E3784" s="39" t="s">
        <v>8779</v>
      </c>
      <c r="F3784" s="39" t="s">
        <v>8780</v>
      </c>
      <c r="G3784" t="s">
        <v>10519</v>
      </c>
      <c r="H3784" t="s">
        <v>10520</v>
      </c>
    </row>
    <row r="3785" spans="3:8">
      <c r="C3785" s="45" t="s">
        <v>8778</v>
      </c>
      <c r="E3785" s="39" t="s">
        <v>8779</v>
      </c>
      <c r="F3785" s="39" t="s">
        <v>8781</v>
      </c>
      <c r="G3785" t="s">
        <v>10789</v>
      </c>
      <c r="H3785" t="s">
        <v>10790</v>
      </c>
    </row>
    <row r="3786" spans="3:8">
      <c r="C3786" s="45" t="s">
        <v>8778</v>
      </c>
      <c r="E3786" s="39" t="s">
        <v>8779</v>
      </c>
      <c r="F3786" s="39" t="s">
        <v>8782</v>
      </c>
      <c r="G3786" t="s">
        <v>10498</v>
      </c>
      <c r="H3786" t="s">
        <v>10499</v>
      </c>
    </row>
    <row r="3787" spans="3:8">
      <c r="C3787" s="45" t="s">
        <v>16112</v>
      </c>
      <c r="E3787" s="39" t="s">
        <v>16343</v>
      </c>
      <c r="F3787" s="39" t="s">
        <v>16344</v>
      </c>
      <c r="G3787" t="s">
        <v>16346</v>
      </c>
      <c r="H3787" t="s">
        <v>16347</v>
      </c>
    </row>
    <row r="3788" spans="3:8">
      <c r="C3788" s="45" t="s">
        <v>16113</v>
      </c>
      <c r="E3788" s="39" t="s">
        <v>16348</v>
      </c>
      <c r="F3788" s="39" t="s">
        <v>16349</v>
      </c>
      <c r="G3788" t="s">
        <v>16350</v>
      </c>
      <c r="H3788" t="s">
        <v>11969</v>
      </c>
    </row>
    <row r="3789" spans="3:8">
      <c r="C3789" s="45" t="s">
        <v>16114</v>
      </c>
      <c r="E3789" s="39" t="s">
        <v>16351</v>
      </c>
      <c r="F3789" s="39" t="s">
        <v>16352</v>
      </c>
      <c r="G3789" t="s">
        <v>16353</v>
      </c>
      <c r="H3789" t="s">
        <v>16354</v>
      </c>
    </row>
    <row r="3790" spans="3:8">
      <c r="C3790" s="45" t="s">
        <v>16114</v>
      </c>
      <c r="E3790" s="39" t="s">
        <v>16351</v>
      </c>
      <c r="F3790" s="39" t="s">
        <v>16355</v>
      </c>
      <c r="G3790" t="s">
        <v>16356</v>
      </c>
      <c r="H3790" t="s">
        <v>16357</v>
      </c>
    </row>
    <row r="3791" spans="3:8">
      <c r="C3791" s="45" t="s">
        <v>16114</v>
      </c>
      <c r="E3791" s="39" t="s">
        <v>16351</v>
      </c>
      <c r="F3791" s="39" t="s">
        <v>16358</v>
      </c>
      <c r="G3791" t="s">
        <v>16359</v>
      </c>
      <c r="H3791" t="s">
        <v>16360</v>
      </c>
    </row>
    <row r="3792" spans="3:8">
      <c r="C3792" s="45" t="s">
        <v>16115</v>
      </c>
      <c r="E3792" s="39" t="s">
        <v>16361</v>
      </c>
      <c r="F3792" s="39" t="s">
        <v>16362</v>
      </c>
      <c r="G3792" t="s">
        <v>16363</v>
      </c>
      <c r="H3792" t="s">
        <v>16364</v>
      </c>
    </row>
    <row r="3793" spans="3:8">
      <c r="C3793" s="45" t="s">
        <v>16115</v>
      </c>
      <c r="E3793" s="39" t="s">
        <v>16361</v>
      </c>
      <c r="F3793" s="39" t="s">
        <v>16365</v>
      </c>
      <c r="G3793" t="s">
        <v>16366</v>
      </c>
      <c r="H3793" t="s">
        <v>16367</v>
      </c>
    </row>
    <row r="3794" spans="3:8">
      <c r="C3794" s="45" t="s">
        <v>16115</v>
      </c>
      <c r="E3794" s="39" t="s">
        <v>16361</v>
      </c>
      <c r="F3794" s="39" t="s">
        <v>16368</v>
      </c>
      <c r="G3794" t="s">
        <v>16369</v>
      </c>
      <c r="H3794" t="s">
        <v>16370</v>
      </c>
    </row>
    <row r="3795" spans="3:8">
      <c r="C3795" s="45" t="s">
        <v>16116</v>
      </c>
      <c r="E3795" s="39" t="s">
        <v>16371</v>
      </c>
      <c r="F3795" s="39" t="s">
        <v>10156</v>
      </c>
      <c r="G3795" t="s">
        <v>10729</v>
      </c>
      <c r="H3795" t="s">
        <v>10730</v>
      </c>
    </row>
    <row r="3796" spans="3:8">
      <c r="C3796" s="45" t="s">
        <v>16116</v>
      </c>
      <c r="E3796" s="39" t="s">
        <v>16371</v>
      </c>
      <c r="F3796" s="39" t="s">
        <v>16372</v>
      </c>
      <c r="G3796" t="s">
        <v>16373</v>
      </c>
      <c r="H3796" t="s">
        <v>16374</v>
      </c>
    </row>
    <row r="3797" spans="3:8">
      <c r="C3797" s="45" t="s">
        <v>16116</v>
      </c>
      <c r="E3797" s="39" t="s">
        <v>16371</v>
      </c>
      <c r="F3797" s="39" t="s">
        <v>10159</v>
      </c>
      <c r="G3797" t="s">
        <v>10735</v>
      </c>
      <c r="H3797" t="s">
        <v>10736</v>
      </c>
    </row>
    <row r="3798" spans="3:8">
      <c r="C3798" s="45" t="s">
        <v>16117</v>
      </c>
      <c r="E3798" s="39" t="s">
        <v>16375</v>
      </c>
      <c r="F3798" s="39" t="s">
        <v>11823</v>
      </c>
      <c r="G3798" t="s">
        <v>11973</v>
      </c>
      <c r="H3798" t="s">
        <v>11825</v>
      </c>
    </row>
    <row r="3799" spans="3:8">
      <c r="C3799" s="45" t="s">
        <v>16117</v>
      </c>
      <c r="E3799" s="39" t="s">
        <v>16375</v>
      </c>
      <c r="F3799" s="39" t="s">
        <v>16376</v>
      </c>
      <c r="G3799" t="s">
        <v>16377</v>
      </c>
      <c r="H3799" t="s">
        <v>16378</v>
      </c>
    </row>
    <row r="3800" spans="3:8">
      <c r="C3800" s="45" t="s">
        <v>16118</v>
      </c>
      <c r="E3800" s="39" t="s">
        <v>16379</v>
      </c>
      <c r="F3800" s="39" t="s">
        <v>16380</v>
      </c>
      <c r="G3800" t="s">
        <v>16381</v>
      </c>
      <c r="H3800" t="s">
        <v>16382</v>
      </c>
    </row>
    <row r="3801" spans="3:8">
      <c r="C3801" s="45" t="s">
        <v>16119</v>
      </c>
      <c r="E3801" s="39" t="s">
        <v>16383</v>
      </c>
      <c r="F3801" s="39" t="s">
        <v>16384</v>
      </c>
      <c r="G3801" t="s">
        <v>16385</v>
      </c>
      <c r="H3801" t="s">
        <v>16386</v>
      </c>
    </row>
    <row r="3802" spans="3:8">
      <c r="C3802" s="45" t="s">
        <v>16120</v>
      </c>
      <c r="E3802" s="39" t="s">
        <v>16387</v>
      </c>
      <c r="F3802" s="39" t="s">
        <v>16388</v>
      </c>
      <c r="G3802" t="s">
        <v>16389</v>
      </c>
      <c r="H3802" t="s">
        <v>16390</v>
      </c>
    </row>
    <row r="3803" spans="3:8">
      <c r="C3803" s="45" t="s">
        <v>16120</v>
      </c>
      <c r="E3803" s="39" t="s">
        <v>16387</v>
      </c>
      <c r="F3803" s="39" t="s">
        <v>16391</v>
      </c>
      <c r="G3803" t="s">
        <v>16154</v>
      </c>
      <c r="H3803" t="s">
        <v>16390</v>
      </c>
    </row>
    <row r="3804" spans="3:8">
      <c r="C3804" s="45" t="s">
        <v>16120</v>
      </c>
      <c r="E3804" s="39" t="s">
        <v>16387</v>
      </c>
      <c r="F3804" s="39" t="s">
        <v>16392</v>
      </c>
      <c r="G3804" t="s">
        <v>16393</v>
      </c>
      <c r="H3804" t="s">
        <v>16390</v>
      </c>
    </row>
    <row r="3805" spans="3:8">
      <c r="C3805" s="45" t="s">
        <v>16121</v>
      </c>
      <c r="E3805" s="39" t="s">
        <v>16394</v>
      </c>
      <c r="F3805" s="39" t="s">
        <v>16395</v>
      </c>
      <c r="G3805" t="s">
        <v>16396</v>
      </c>
      <c r="H3805" t="s">
        <v>9840</v>
      </c>
    </row>
    <row r="3806" spans="3:8">
      <c r="C3806" s="45" t="s">
        <v>16121</v>
      </c>
      <c r="E3806" s="39" t="s">
        <v>16394</v>
      </c>
      <c r="F3806" s="39" t="s">
        <v>16397</v>
      </c>
      <c r="G3806" t="s">
        <v>16398</v>
      </c>
      <c r="H3806" t="s">
        <v>16399</v>
      </c>
    </row>
    <row r="3807" spans="3:8">
      <c r="C3807" s="45" t="s">
        <v>16122</v>
      </c>
      <c r="E3807" s="39" t="s">
        <v>16400</v>
      </c>
      <c r="F3807" s="39" t="s">
        <v>16401</v>
      </c>
      <c r="G3807" t="s">
        <v>16402</v>
      </c>
      <c r="H3807" t="s">
        <v>16403</v>
      </c>
    </row>
    <row r="3808" spans="3:8">
      <c r="C3808" s="45" t="s">
        <v>16123</v>
      </c>
      <c r="E3808" s="39" t="s">
        <v>16404</v>
      </c>
    </row>
    <row r="3809" spans="3:8">
      <c r="C3809" s="45" t="s">
        <v>16124</v>
      </c>
      <c r="E3809" s="39" t="s">
        <v>16405</v>
      </c>
      <c r="F3809" s="39" t="s">
        <v>16406</v>
      </c>
      <c r="G3809" t="s">
        <v>16407</v>
      </c>
      <c r="H3809" t="s">
        <v>16403</v>
      </c>
    </row>
    <row r="3810" spans="3:8">
      <c r="C3810" s="45" t="s">
        <v>16124</v>
      </c>
      <c r="E3810" s="39" t="s">
        <v>16405</v>
      </c>
      <c r="F3810" s="39" t="s">
        <v>16408</v>
      </c>
      <c r="G3810" t="s">
        <v>16398</v>
      </c>
      <c r="H3810" t="s">
        <v>16409</v>
      </c>
    </row>
    <row r="3811" spans="3:8">
      <c r="C3811" s="45" t="s">
        <v>16124</v>
      </c>
      <c r="E3811" s="39" t="s">
        <v>16405</v>
      </c>
      <c r="F3811" s="39" t="s">
        <v>16410</v>
      </c>
      <c r="G3811" t="s">
        <v>16411</v>
      </c>
      <c r="H3811" t="s">
        <v>16412</v>
      </c>
    </row>
    <row r="3812" spans="3:8">
      <c r="C3812" s="45" t="s">
        <v>16125</v>
      </c>
      <c r="E3812" s="39" t="s">
        <v>16413</v>
      </c>
      <c r="F3812" s="39" t="s">
        <v>16414</v>
      </c>
      <c r="G3812" t="s">
        <v>9458</v>
      </c>
      <c r="H3812" t="s">
        <v>16415</v>
      </c>
    </row>
    <row r="3813" spans="3:8">
      <c r="C3813" s="45" t="s">
        <v>16125</v>
      </c>
      <c r="E3813" s="39" t="s">
        <v>16413</v>
      </c>
      <c r="F3813" s="39" t="s">
        <v>16416</v>
      </c>
      <c r="G3813" t="s">
        <v>16417</v>
      </c>
      <c r="H3813" t="s">
        <v>16418</v>
      </c>
    </row>
    <row r="3814" spans="3:8">
      <c r="C3814" s="45" t="s">
        <v>16125</v>
      </c>
      <c r="E3814" s="39" t="s">
        <v>16413</v>
      </c>
      <c r="F3814" s="39" t="s">
        <v>16419</v>
      </c>
      <c r="G3814" t="s">
        <v>16418</v>
      </c>
      <c r="H3814" t="s">
        <v>16421</v>
      </c>
    </row>
    <row r="3815" spans="3:8">
      <c r="C3815" s="45" t="s">
        <v>16126</v>
      </c>
      <c r="E3815" s="39" t="s">
        <v>16422</v>
      </c>
      <c r="F3815" s="39" t="s">
        <v>16423</v>
      </c>
      <c r="G3815" t="s">
        <v>16424</v>
      </c>
      <c r="H3815" t="s">
        <v>16425</v>
      </c>
    </row>
    <row r="3816" spans="3:8">
      <c r="C3816" s="45" t="s">
        <v>16127</v>
      </c>
      <c r="E3816" s="39" t="s">
        <v>16426</v>
      </c>
      <c r="F3816" s="39" t="s">
        <v>16427</v>
      </c>
      <c r="G3816" t="s">
        <v>16428</v>
      </c>
      <c r="H3816" t="s">
        <v>16429</v>
      </c>
    </row>
  </sheetData>
  <sortState xmlns:xlrd2="http://schemas.microsoft.com/office/spreadsheetml/2017/richdata2" ref="A2:H3723">
    <sortCondition ref="C2:C3723"/>
  </sortState>
  <hyperlinks>
    <hyperlink ref="F583" r:id="rId1" xr:uid="{0D394656-2DAA-4B26-9096-B43234B8A807}"/>
    <hyperlink ref="E292" r:id="rId2" display="KEGG ENZYME: 3.1.26.5" xr:uid="{C9778298-BF5C-4F22-BEEB-13A91134F89D}"/>
    <hyperlink ref="F292" r:id="rId3" display="https://www.genome.jp/entry/R02016/R00900/R03596/R09372" xr:uid="{5EB1BD69-4AAF-4A4B-8936-2481FFA958C9}"/>
    <hyperlink ref="E865" r:id="rId4" display="KEGG ENZYME: 3.1.26.5" xr:uid="{91ECD4E7-627A-4D03-A612-3CBFFAFB040F}"/>
    <hyperlink ref="F865" r:id="rId5" display="https://www.genome.jp/entry/R09382/R09383/R09384/R09386" xr:uid="{295486ED-7435-425B-A7F7-C90A214F0B02}"/>
    <hyperlink ref="E705" r:id="rId6" display="https://www.genome.jp/entry/2.7.1.49" xr:uid="{81ED3E53-8F72-40B4-BAFD-D68F10862F44}"/>
    <hyperlink ref="F705" r:id="rId7" display="https://www.genome.jp/entry/R03471" xr:uid="{FB21DC7B-9F07-4230-9876-CD086B7C1BF4}"/>
    <hyperlink ref="E765" r:id="rId8" display="https://www.genome.jp/entry/2.7.4.7" xr:uid="{32B6E614-55D4-4DC5-A0A3-9216757674A0}"/>
    <hyperlink ref="F765" r:id="rId9" display="https://www.genome.jp/entry/R04509" xr:uid="{F1C972A9-8ACF-4599-9832-0116DC8D2484}"/>
    <hyperlink ref="E357" r:id="rId10" display="https://www.genome.jp/entry/2.1.1.63" xr:uid="{6D01A9A0-6643-40F0-A8DC-FE76B6969F0E}"/>
    <hyperlink ref="F357" r:id="rId11" display="https://www.genome.jp/entry/R04314" xr:uid="{E961F556-D9B1-46C0-BA05-043A3C5C053E}"/>
    <hyperlink ref="E82" r:id="rId12" display="https://www.genome.jp/entry/1.1.1.18" xr:uid="{3D822808-5B4A-4D87-B0F8-09DCDBE298AC}"/>
    <hyperlink ref="F82" r:id="rId13" display="https://www.genome.jp/entry/R01183" xr:uid="{8F6F3368-EC6C-4139-9D91-7F03125FA5B4}"/>
    <hyperlink ref="E1257" r:id="rId14" display="https://www.genome.jp/entry/4.2.1.20" xr:uid="{4C558018-8F9C-4CB7-874A-1413A2DAB521}"/>
    <hyperlink ref="F1257" r:id="rId15" display="https://www.genome.jp/entry/R00674/R02340/R02722" xr:uid="{018E3CE6-9D88-4E96-99E6-3370B64D7901}"/>
    <hyperlink ref="E1254" r:id="rId16" display="https://www.genome.jp/entry/4.2.1.20" xr:uid="{BAC2C276-E609-43B4-BCA4-C31B024EF28D}"/>
    <hyperlink ref="F1254" r:id="rId17" display="https://www.genome.jp/entry/R00674/R02340/R02722" xr:uid="{C0DD4D12-4362-42D8-8013-8A9E25105C01}"/>
    <hyperlink ref="E1227" r:id="rId18" display="https://www.genome.jp/entry/4.1.1.48" xr:uid="{5C1F7C76-E6C4-4604-8EF4-391F686AB154}"/>
    <hyperlink ref="F1227" r:id="rId19" display="https://www.genome.jp/entry/R03508" xr:uid="{DC23A1BD-2426-4303-872C-73352D738103}"/>
    <hyperlink ref="E1350" r:id="rId20" display="https://www.genome.jp/entry/5.3.1.24" xr:uid="{0ACF4D9D-0730-4D53-8D48-95131FA505CC}"/>
    <hyperlink ref="F1350" r:id="rId21" display="https://www.genome.jp/entry/R03509" xr:uid="{79D4A6F6-D02E-47DB-BCA6-CC51E329E3FE}"/>
    <hyperlink ref="E566" r:id="rId22" display="https://www.genome.jp/entry/2.4.2.18" xr:uid="{3F104F7C-7C59-4501-AB43-706BB0C4F96A}"/>
    <hyperlink ref="F566" r:id="rId23" display="https://www.genome.jp/entry/R01073" xr:uid="{48F78778-CE88-4D71-AFA7-D86AF6FC26AC}"/>
    <hyperlink ref="E1236" r:id="rId24" display="https://www.genome.jp/entry/4.1.3.27" xr:uid="{0CD4C262-6748-49DA-92D2-0D86EE427434}"/>
    <hyperlink ref="F1236" r:id="rId25" display="https://www.genome.jp/entry/R00986/R00985" xr:uid="{6225F99B-3572-47C8-8D3F-98E971B90624}"/>
    <hyperlink ref="F1237" r:id="rId26" display="https://www.genome.jp/entry/R00985" xr:uid="{7B24CD90-708D-4C54-93F8-7BB3721D0059}"/>
    <hyperlink ref="E173" r:id="rId27" display="https://www.genome.jp/entry/1.14.13.24" xr:uid="{9CA972BB-C1FD-4D91-B97D-AF87AFA1D5D9}"/>
    <hyperlink ref="F173" r:id="rId28" display="https://www.genome.jp/entry/R02589" xr:uid="{70F1ED5C-C17F-48A2-9216-3EF14ED3F101}"/>
    <hyperlink ref="E1339" r:id="rId29" display="https://www.genome.jp/entry/5.2.1.4" xr:uid="{F3BEDAA4-4715-41C1-894D-B997629636FC}"/>
    <hyperlink ref="F1339" r:id="rId30" display="https://www.genome.jp/entry/R03868" xr:uid="{D15B1A34-1339-45A3-81DB-7FAB1E45C4EE}"/>
    <hyperlink ref="E1417" r:id="rId31" display="https://www.genome.jp/entry/6.1.1.4" xr:uid="{2C47CC16-A9C7-4D0E-B776-EF4D9FA7CB8C}"/>
    <hyperlink ref="F1417" r:id="rId32" display="https://www.genome.jp/entry/R03657" xr:uid="{DDFA604B-73D1-4222-9746-3BCE798BFD06}"/>
    <hyperlink ref="E96" r:id="rId33" display="https://www.genome.jp/entry/1.1.1.298" xr:uid="{D68B98F2-A28E-46E7-957F-341E35AF0D62}"/>
    <hyperlink ref="F96" r:id="rId34" display="https://www.genome.jp/entry/R09289" xr:uid="{7C782190-D534-4A48-B8C9-87F7E80A5316}"/>
    <hyperlink ref="E675" r:id="rId35" display="https://www.genome.jp/entry/2.7.1.12" xr:uid="{FEB2868B-1930-4369-BA38-A818E14BF9EF}"/>
    <hyperlink ref="F675" r:id="rId36" display="https://www.genome.jp/entry/R01737" xr:uid="{F0C2BA72-F348-45C4-9D1F-242D4992FDE2}"/>
    <hyperlink ref="E105" r:id="rId37" display="https://www.genome.jp/entry/1.1.1.40" xr:uid="{6B7D637A-22BC-4B72-821F-CE32AEEAA3D0}"/>
    <hyperlink ref="F105" r:id="rId38" display="https://www.genome.jp/entry/R00216/R00217" xr:uid="{A8AABB8E-3A4A-48C1-AAD9-DF4D40774BA9}"/>
    <hyperlink ref="E356" r:id="rId39" display="https://www.genome.jp/entry/2.1.1.63" xr:uid="{2CBED0E5-C0D8-4C52-8219-84A1B4CB8CCB}"/>
    <hyperlink ref="F356" r:id="rId40" display="https://www.genome.jp/entry/R04314" xr:uid="{C6879C3C-FD84-4DA3-9C6F-3D38D8D2429B}"/>
    <hyperlink ref="E1496" r:id="rId41" display="https://www.genome.jp/entry/6.5.1.8" xr:uid="{FBEE6675-A5C0-4358-8F3B-4444A7A0F07C}"/>
    <hyperlink ref="E1389" r:id="rId42" display="https://www.genome.jp/entry/5.5.1.4" xr:uid="{395FA60C-0333-470E-8519-1D4510ACB809}"/>
    <hyperlink ref="F1389" r:id="rId43" display="https://www.genome.jp/entry/R07324" xr:uid="{36E50C28-2FBA-494D-B05B-862AE2590259}"/>
    <hyperlink ref="E1395" r:id="rId44" display="https://www.genome.jp/entry/5.6.2.3" xr:uid="{1976D9A1-8BA3-4F26-8129-5685B44FC22A}"/>
    <hyperlink ref="E730" r:id="rId45" display="https://www.genome.jp/entry/2.7.13.3" xr:uid="{78FDF58E-670A-421E-9DD2-1F5665A63679}"/>
    <hyperlink ref="E729" r:id="rId46" display="https://www.genome.jp/entry/2.7.13.3" xr:uid="{F41D382E-90BC-46DD-879C-9CD2D9AEF89F}"/>
    <hyperlink ref="E175" r:id="rId47" display="https://www.genome.jp/entry/1.15.1.1" xr:uid="{27C20E9E-616D-491D-89E0-63E0D97D9995}"/>
    <hyperlink ref="F175" r:id="rId48" display="https://www.genome.jp/entry/R00275" xr:uid="{C587036A-A2C3-4526-BA7A-DA2C1B50D0B1}"/>
    <hyperlink ref="E296" r:id="rId49" display="https://www.genome.jp/entry/1.8.4.11" xr:uid="{89C109B7-A91D-41DA-94C4-FA5F7EC3E7BF}"/>
    <hyperlink ref="F296" r:id="rId50" display="https://www.genome.jp/entry/R04120/R07606" xr:uid="{362F863B-96F7-4F94-A74A-97E9840E0955}"/>
    <hyperlink ref="E92" r:id="rId51" display="https://www.genome.jp/entry/1.1.1.27" xr:uid="{7D3790BB-5ED5-4AEB-818F-6F9A1404608F}"/>
    <hyperlink ref="F92" r:id="rId52" display="https://www.genome.jp/entry/R00703/R01000/R03104" xr:uid="{6CF995C9-DB12-4AE3-A73C-D9720F15B2B8}"/>
    <hyperlink ref="E1272" r:id="rId53" display="https://www.genome.jp/entry/4.2.1.51" xr:uid="{0806316E-2E8B-4211-A8D9-A846805CFF72}"/>
    <hyperlink ref="F1272" r:id="rId54" display="https://www.genome.jp/entry/R01373/R00691" xr:uid="{0F2B3955-A466-4A7A-9190-999D36D4C34B}"/>
    <hyperlink ref="E1404" r:id="rId55" display="https://www.genome.jp/entry/6.1.1.11" xr:uid="{4A6E614A-5F41-4D8C-9715-361ED4557D75}"/>
    <hyperlink ref="F1404" r:id="rId56" display="https://www.genome.jp/entry/R03662/R08218" xr:uid="{81379D8B-2513-416C-AF7E-97E4ECE6C93F}"/>
    <hyperlink ref="E687" r:id="rId57" display="https://www.genome.jp/entry/2.7.1.30" xr:uid="{E90AF4D8-CEE9-44F0-B450-257CD4529B21}"/>
    <hyperlink ref="F687" r:id="rId58" display="https://www.genome.jp/entry/R00847" xr:uid="{032A8751-B821-40C5-9564-E762B13230D8}"/>
    <hyperlink ref="E1385" r:id="rId59" display="https://www.genome.jp/entry/5.4.99.9" xr:uid="{7C5BC1D5-61B8-4B6A-B16A-BE6C293AE64D}"/>
    <hyperlink ref="F1385" r:id="rId60" display="https://www.genome.jp/entry/R00505/R09009" xr:uid="{F2032531-8A14-4727-83E0-1B02F16B64C4}"/>
    <hyperlink ref="E570" r:id="rId61" display="https://www.genome.jp/entry/2.4.2.45" xr:uid="{E36A62E2-1D4C-4BE1-80DA-18152F407DD0}"/>
    <hyperlink ref="F570" r:id="rId62" display="https://www.genome.jp/entry/R10095" xr:uid="{C622BCEB-8489-48F2-96EE-B26CB79AC0FC}"/>
    <hyperlink ref="E351" r:id="rId63" display="https://www.genome.jp/entry/2.1.1.33" xr:uid="{61BE483B-39B2-4128-A971-F300C443E4E9}"/>
    <hyperlink ref="F351" r:id="rId64" display="https://www.genome.jp/entry/R00600" xr:uid="{A9969278-6BCB-41D2-86CA-685F48B09A0F}"/>
    <hyperlink ref="E1222" r:id="rId65" display="https://www.genome.jp/entry/4.1.1.32" xr:uid="{D9EC6594-5EC4-48D0-A1AF-F876B359FBF7}"/>
    <hyperlink ref="F1222" r:id="rId66" display="https://www.genome.jp/entry/R00431/R00726" xr:uid="{C4B834FC-9D95-4EAA-97FC-B89DFAF0E2A8}"/>
    <hyperlink ref="E1142" r:id="rId67" display="https://www.genome.jp/entry/3.5.4.13" xr:uid="{FF496C4B-9623-4122-A7E7-CFE611859A7B}"/>
    <hyperlink ref="F1142" r:id="rId68" display="https://www.genome.jp/entry/R02325" xr:uid="{11E92796-ED0F-4865-B7CB-6C6C5E765EF4}"/>
    <hyperlink ref="E1052" r:id="rId69" display="https://www.genome.jp/entry/3.2.2.20" xr:uid="{92EF0E0E-843B-4245-B409-E5DA2650F387}"/>
    <hyperlink ref="E299" r:id="rId70" display="https://www.genome.jp/entry/1.8.4.8" xr:uid="{DDD8C33D-8E0B-42B9-B430-E965C9CC7F1F}"/>
    <hyperlink ref="F299" r:id="rId71" display="https://www.genome.jp/entry/R02021" xr:uid="{9B8F2143-F6F7-4016-9933-EEBF9D0436BD}"/>
    <hyperlink ref="E785" r:id="rId72" display="https://www.genome.jp/entry/2.7.7.4" xr:uid="{3815A280-F3B6-486E-BEEB-946913D132D9}"/>
    <hyperlink ref="F785" r:id="rId73" display="https://www.genome.jp/entry/R00529/R04929" xr:uid="{EEB6FDCA-699B-41CD-9E61-132915A7F73E}"/>
    <hyperlink ref="E51" r:id="rId74" display="https://www.genome.jp/entry/1.1.1.1" xr:uid="{7C5DA3A8-B2DF-43BC-8691-CEAD9AB885FF}"/>
    <hyperlink ref="F51" r:id="rId75" display="https://www.genome.jp/entry/R00623/R00754/R02124/R02878/R04805/R04880/R05233/R05234/R06917/R06927/R08281/R08306/R08557/R08558/R10783/R00624/R08310/R02246/R07105" xr:uid="{DFF68FC9-10F8-4FC5-A4DC-DED773335713}"/>
    <hyperlink ref="E562" r:id="rId76" display="https://www.genome.jp/entry/2.4.2.10" xr:uid="{38139073-DBE4-4FDD-A6B8-7BDD96305BE7}"/>
    <hyperlink ref="F562" r:id="rId77" display="https://www.genome.jp/entry/R01870/R08231" xr:uid="{3F0416F5-BE84-41B0-978F-82C5A5BE9F32}"/>
    <hyperlink ref="E1229" r:id="rId78" display="https://www.genome.jp/entry/4.1.2.13" xr:uid="{C15D0694-9AF3-44EA-B304-C52B9B47DFF0}"/>
    <hyperlink ref="E1469" r:id="rId79" display="https://www.genome.jp/entry/6.3.4.4" xr:uid="{07F8379B-AA50-4A22-9882-F404D7C63E21}"/>
    <hyperlink ref="F1469" r:id="rId80" display="https://www.genome.jp/entry/R01135" xr:uid="{9F94BEBD-F1DE-4358-8555-68E8C49F3446}"/>
    <hyperlink ref="E728" r:id="rId81" display="https://www.genome.jp/entry/2.7.13.3" xr:uid="{4246E9E8-073B-420D-B2F0-D5179AEA5EB6}"/>
    <hyperlink ref="E430" r:id="rId82" display="https://www.genome.jp/entry/2.3.1.8" xr:uid="{EEAC7F82-1ACD-4EFD-8441-36A14B9BCC3B}"/>
    <hyperlink ref="F430" r:id="rId83" display="https://www.genome.jp/entry/R00230/R00921" xr:uid="{21DF0A65-1E03-4F3C-B6E1-C0C845CE3A42}"/>
    <hyperlink ref="E731" r:id="rId84" display="https://www.genome.jp/entry/2.7.2.1" xr:uid="{AF0521B8-945D-45C6-BEE1-47FEF6C09DF3}"/>
    <hyperlink ref="F731" r:id="rId85" display="https://www.genome.jp/entry/R00315/R01353" xr:uid="{072EE5CE-8B99-41D5-AE51-E008635650E9}"/>
    <hyperlink ref="E718" r:id="rId86" display="https://www.genome.jp/entry/2.7.11.1" xr:uid="{679A4934-F313-4BB3-925D-681515F00C77}"/>
    <hyperlink ref="F718" r:id="rId87" display="https://www.genome.jp/entry/R00162/R03632" xr:uid="{9CE875D4-FEAA-4505-ACB4-2449BFC4D76D}"/>
    <hyperlink ref="E976" r:id="rId88" display="https://www.genome.jp/entry/3.1.11.2" xr:uid="{E4E28263-B240-4674-8CFE-B08B5AC5069C}"/>
    <hyperlink ref="E415" r:id="rId89" display="https://www.genome.jp/entry/2.3.1.1" xr:uid="{09CB2026-E650-4B29-B11D-7D878C75F34F}"/>
    <hyperlink ref="F415" r:id="rId90" display="https://www.genome.jp/entry/R00259" xr:uid="{CA1E74B8-5FE1-4BA3-A2FB-39029DE1E9F7}"/>
    <hyperlink ref="E1136" r:id="rId91" display="https://www.genome.jp/entry/3.5.1.88" xr:uid="{A97CAFD6-4544-4E03-9B16-01ADB61EA7D1}"/>
    <hyperlink ref="F1136" r:id="rId92" display="https://www.genome.jp/entry/R05635/R04268" xr:uid="{47ACCE7B-C047-4584-BB35-F827351C4D57}"/>
    <hyperlink ref="E1448" r:id="rId93" display="https://www.genome.jp/entry/6.3.2.2" xr:uid="{148E1AE7-1792-4275-B6D6-6CE2F2E27B10}"/>
    <hyperlink ref="F1448" r:id="rId94" display="https://www.genome.jp/entry/R00894/R10993" xr:uid="{30E62799-9D1F-4D59-9F79-C459413E671B}"/>
    <hyperlink ref="E740" r:id="rId95" display="https://www.genome.jp/entry/2.7.4.1" xr:uid="{96E440F5-9F7D-4E4F-9D4E-E66FDF894DA0}"/>
    <hyperlink ref="F740" r:id="rId96" display="https://www.genome.jp/entry/R02184" xr:uid="{1CE3D459-E724-4789-9E39-F694532C55C8}"/>
    <hyperlink ref="E215" r:id="rId97" display="https://www.genome.jp/entry/1.2.1.79" xr:uid="{7BA8551B-E027-409B-8EE8-140607E62A59}"/>
    <hyperlink ref="F215" r:id="rId98" display="https://www.genome.jp/entry/R00714" xr:uid="{31FDF878-CA57-4AB5-9472-FDE03446B274}"/>
    <hyperlink ref="E599" r:id="rId99" display="https://www.genome.jp/entry/2.5.1.16" xr:uid="{70A4E323-B1CE-41FB-990A-4D7AAA3AB036}"/>
    <hyperlink ref="F599" r:id="rId100" display="https://www.genome.jp/entry/R01920/R08359" xr:uid="{BD564072-3050-4FCD-BB1F-CAFC1EF4BC5D}"/>
    <hyperlink ref="E1164" r:id="rId101" display="https://www.genome.jp/entry/3.6.1.1" xr:uid="{5E9D4F43-473E-4507-89B0-276797A7006D}"/>
    <hyperlink ref="F1164" r:id="rId102" display="https://www.genome.jp/entry/R00004" xr:uid="{2F49F02D-77FB-4349-B59F-9BD574356852}"/>
    <hyperlink ref="E1076" r:id="rId103" display="https://www.genome.jp/entry/3.4.16.4" xr:uid="{B0267DC4-BDE4-4FE4-928D-6BD623A74684}"/>
    <hyperlink ref="E1465" r:id="rId104" display="https://www.genome.jp/entry/6.3.4.19" xr:uid="{5375460A-08BD-4F84-AB0E-7667A120163B}"/>
    <hyperlink ref="F1465" r:id="rId105" display="https://www.genome.jp/entry/R09597" xr:uid="{5E2EF542-B960-4C39-B3A6-0F11B4C57D06}"/>
    <hyperlink ref="E574" r:id="rId106" display="https://www.genome.jp/entry/2.4.2.8" xr:uid="{263582EF-4EB1-4B96-B1E6-1108004EF5B5}"/>
    <hyperlink ref="F574" r:id="rId107" display="https://www.genome.jp/entry/R01132/R01229/R02142/R08237/R08238/R08245" xr:uid="{5FA936B7-145C-46E5-B20C-740A8E859306}"/>
    <hyperlink ref="E1143" r:id="rId108" display="https://www.genome.jp/entry/3.5.4.16" xr:uid="{D77036F9-F994-4D05-986F-161B9E0306D4}"/>
    <hyperlink ref="F1143" r:id="rId109" display="https://www.genome.jp/entry/R00424/R00428/R04639/R05046/R05048" xr:uid="{D53FAF05-CAF2-4A5F-A03C-A0BC2E6FCAF0}"/>
    <hyperlink ref="E596" r:id="rId110" display="https://www.genome.jp/entry/2.5.1.15" xr:uid="{79FC5B43-686C-444B-8ACE-7F61A9AFD4B5}"/>
    <hyperlink ref="F596" r:id="rId111" display="https://www.genome.jp/entry/R03067/R03066" xr:uid="{53965C8D-9DD1-436A-BF24-88163A674C9A}"/>
    <hyperlink ref="E1233" r:id="rId112" display="https://www.genome.jp/entry/4.1.2.25" xr:uid="{102E694F-9ABD-4641-9989-41A7B45BC464}"/>
    <hyperlink ref="F1233" r:id="rId113" display="https://www.genome.jp/entry/R03504" xr:uid="{94898C8E-A26B-4EC7-8F57-4745D5F8450C}"/>
    <hyperlink ref="E772" r:id="rId114" display="https://www.genome.jp/entry/2.7.6.3" xr:uid="{C812E4F1-6DAA-4191-B67B-7BE58F89BCAD}"/>
    <hyperlink ref="F772" r:id="rId115" display="https://www.genome.jp/entry/R03503" xr:uid="{1402EB75-7553-4C14-914A-A8C7AC88C3D1}"/>
    <hyperlink ref="E1436" r:id="rId116" display="https://www.genome.jp/entry/6.3.2.1" xr:uid="{22394E43-81AD-48C3-9818-47AA0C6666B2}"/>
    <hyperlink ref="F1436" r:id="rId117" display="https://www.genome.jp/entry/R02473" xr:uid="{8752962F-3706-4082-8B08-FEC60FD2DE46}"/>
    <hyperlink ref="E1419" r:id="rId118" display="https://www.genome.jp/entry/6.1.1.6" xr:uid="{BF18BD55-AA42-4E86-9E18-7DCB2154B010}"/>
    <hyperlink ref="F1419" r:id="rId119" display="https://www.genome.jp/entry/R03658" xr:uid="{F9A182F2-45BF-4C23-9379-45FD9E13BBBD}"/>
    <hyperlink ref="E211" r:id="rId120" display="https://www.genome.jp/entry/1.2.1.64" xr:uid="{7EC5C3C7-5DDF-48B8-90DA-6F65A9E62917}"/>
    <hyperlink ref="E213" r:id="rId121" display="https://www.genome.jp/entry/1.2.1.67" xr:uid="{749B9675-2E4A-46C3-B09B-C9BDCF56633C}"/>
    <hyperlink ref="F213" r:id="rId122" display="https://www.genome.jp/entry/R05699" xr:uid="{E41EE106-ABF7-4977-B5FE-63FB41EE94A2}"/>
    <hyperlink ref="E216" r:id="rId123" display="https://www.genome.jp/entry/1.2.1.96" xr:uid="{7EE84931-B1CE-40B5-A86D-9E8A7748F000}"/>
    <hyperlink ref="E875" r:id="rId124" display="https://www.genome.jp/entry/2.7.7.85" xr:uid="{E84D8113-8165-482F-96DA-22A1DEC04AAD}"/>
    <hyperlink ref="F875" r:id="rId125" display="https://www.genome.jp/entry/R10342" xr:uid="{903A6400-DB31-451E-BB3E-098456FDB716}"/>
    <hyperlink ref="E727" r:id="rId126" display="https://www.genome.jp/entry/2.7.13.3" xr:uid="{9492833C-500F-41B9-ACB6-1810D4D893E9}"/>
    <hyperlink ref="E815" r:id="rId127" display="https://www.genome.jp/entry/2.7.7.60" xr:uid="{B19AEA83-FC84-491F-89E7-CB7685C1E244}"/>
    <hyperlink ref="F815" r:id="rId128" display="https://www.genome.jp/entry/R05633" xr:uid="{0EC21907-B5FD-460B-A754-9B753D579434}"/>
    <hyperlink ref="E1322" r:id="rId129" display="https://www.genome.jp/entry/4.6.1.12" xr:uid="{95608DCC-22FF-4228-A5CC-548AADED02CB}"/>
    <hyperlink ref="F1322" r:id="rId130" display="https://www.genome.jp/entry/R05637" xr:uid="{202E4DBE-222A-4234-B39D-C929B59709ED}"/>
    <hyperlink ref="F597" r:id="rId131" display="https://www.genome.jp/entry/R03067/R03066" xr:uid="{35A3D581-3A21-4BAD-AE81-42986D4A6DC8}"/>
    <hyperlink ref="E1335" r:id="rId132" display="https://www.genome.jp/entry/5.1.3.9" xr:uid="{B806EBF2-72CF-4292-ACA0-6A52DFDAEC8E}"/>
    <hyperlink ref="F1335" r:id="rId133" display="https://www.genome.jp/entry/R02770" xr:uid="{6C744AC9-AEEF-4246-85EB-7CA61BC6538F}"/>
    <hyperlink ref="F1336" r:id="rId134" display="https://www.genome.jp/entry/R02087" xr:uid="{40A7F43E-33C9-473A-98CD-C46C2C874416}"/>
    <hyperlink ref="E1118" r:id="rId135" display="https://www.genome.jp/entry/3.5.1.25" xr:uid="{01DC520A-7313-41F5-8505-C8932CE9B0FE}"/>
    <hyperlink ref="F1118" r:id="rId136" display="https://www.genome.jp/entry/R02059" xr:uid="{44BBD03F-0D9C-441E-9EFC-634824FB6C77}"/>
    <hyperlink ref="E1152" r:id="rId137" display="https://www.genome.jp/entry/3.5.99.6" xr:uid="{FB776BDC-E53E-47EE-8B18-FBFB642A82B8}"/>
    <hyperlink ref="F1152" r:id="rId138" display="https://www.genome.jp/entry/R00765" xr:uid="{7C8D041F-7472-4218-8903-F7B28DB39316}"/>
    <hyperlink ref="E683" r:id="rId139" display="https://www.genome.jp/entry/2.7.1.211" xr:uid="{2C093A72-2F21-476B-B218-876994FAA18C}"/>
    <hyperlink ref="F683" r:id="rId140" display="https://www.genome.jp/entry/R00811" xr:uid="{F8B3B1DF-367A-4857-AF7D-05B6F65450CA}"/>
    <hyperlink ref="E1409" r:id="rId141" display="https://www.genome.jp/entry/6.1.1.16" xr:uid="{36880C50-F982-4200-A84C-43D1A1DD1477}"/>
    <hyperlink ref="F1409" r:id="rId142" display="https://www.genome.jp/entry/R03650" xr:uid="{116C558C-1E76-432C-9A80-E9C5FCB9590E}"/>
    <hyperlink ref="E1006" r:id="rId143" display="https://www.genome.jp/entry/3.1.3.12" xr:uid="{ECAFD40E-7764-4AE8-A860-F8E89D095D59}"/>
    <hyperlink ref="F1006" r:id="rId144" display="https://www.genome.jp/entry/R02778" xr:uid="{6561C512-E1D7-4CA5-B4D2-B18E733A0C39}"/>
    <hyperlink ref="F1007" r:id="rId145" display="https://www.genome.jp/entry/R06228" xr:uid="{A2955338-F00F-422E-ADBF-987031599C2E}"/>
    <hyperlink ref="E537" r:id="rId146" display="https://www.genome.jp/entry/2.4.1.15" xr:uid="{5C4CC288-E16E-4834-9A29-AB44A5CCE282}"/>
    <hyperlink ref="F537" r:id="rId147" display="https://www.genome.jp/entry/R00836" xr:uid="{709D71A7-F144-40C3-8B7D-346A15741083}"/>
    <hyperlink ref="F538" r:id="rId148" display="https://www.genome.jp/entry/R06043" xr:uid="{32D7CBDA-CDC4-4FB6-9165-6D9BC2C752E1}"/>
    <hyperlink ref="F539" r:id="rId149" display="https://www.genome.jp/entry/R02737" xr:uid="{06199FC7-A0D4-43BA-BEEC-C4DB96F9E5E0}"/>
    <hyperlink ref="F540" r:id="rId150" display="https://www.genome.jp/entry/R06226" xr:uid="{6261CA75-9241-4257-A37B-2A61969F4743}"/>
    <hyperlink ref="E244" r:id="rId151" display="https://www.genome.jp/entry/1.4.1.16" xr:uid="{343C3CA3-CD07-4CE9-BBCA-BB05EBC9ACDA}"/>
    <hyperlink ref="F244" r:id="rId152" display="https://www.genome.jp/entry/R02755" xr:uid="{DBBB1BE4-72AA-40A7-8218-9E53A570B025}"/>
    <hyperlink ref="E726" r:id="rId153" display="https://www.genome.jp/entry/2.7.13.3" xr:uid="{D7523513-BA5B-429E-A98A-B8EA1E232044}"/>
    <hyperlink ref="E1456" r:id="rId154" display="https://www.genome.jp/entry/6.3.3.3" xr:uid="{AB1E0698-8D78-4394-A2F8-F85A965F59F5}"/>
    <hyperlink ref="F1456" r:id="rId155" display="https://www.genome.jp/entry/R03182" xr:uid="{64E61EB8-95AE-41FC-B530-1301CC639BE6}"/>
    <hyperlink ref="F1457" r:id="rId156" display="https://www.genome.jp/entry/R12933" xr:uid="{883E2A59-0835-4772-83DB-E5824920A621}"/>
    <hyperlink ref="F1458" r:id="rId157" display="https://www.genome.jp/entry/R12934" xr:uid="{EC3D29E2-67AB-47C9-A0D8-B1B3B82E2B6D}"/>
    <hyperlink ref="E661" r:id="rId158" display="https://www.genome.jp/entry/2.6.1.62" xr:uid="{D2C585AB-1A35-4F48-A3B3-924E118DB7FB}"/>
    <hyperlink ref="F661" r:id="rId159" display="https://www.genome.jp/entry/R03231" xr:uid="{A1F61C1A-CCE6-4963-B745-44FF798C581F}"/>
    <hyperlink ref="E1460" r:id="rId160" display="https://www.genome.jp/entry/6.3.4.13" xr:uid="{EE03F39B-2D1A-436D-8595-92D0272CAC6A}"/>
    <hyperlink ref="F1460" r:id="rId161" display="https://www.genome.jp/entry/R04144" xr:uid="{32C9D419-8F1D-4719-81BE-5B7B3D1B707E}"/>
    <hyperlink ref="E1306" r:id="rId162" display="https://www.genome.jp/entry/4.3.2.2" xr:uid="{D189785E-084B-4E2D-9F7B-10293CB01DD3}"/>
    <hyperlink ref="F1306" r:id="rId163" display="https://www.genome.jp/entry/R01083" xr:uid="{0A4C081E-671B-49B2-B36C-82B72B58347A}"/>
    <hyperlink ref="F1307" r:id="rId164" display="https://www.genome.jp/entry/R04559" xr:uid="{E4E9A459-5CDF-404E-9911-43C9CF555C41}"/>
    <hyperlink ref="F1308" r:id="rId165" display="https://www.genome.jp/entry/R12851" xr:uid="{A4246522-1EFD-4D5E-ABBE-AEAD39025ADA}"/>
    <hyperlink ref="E1451" r:id="rId166" display="https://www.genome.jp/entry/6.3.2.6" xr:uid="{F6C5DDC2-0E7C-405A-BEF6-7B5630030748}"/>
    <hyperlink ref="F1451" r:id="rId167" display="https://www.genome.jp/entry/R04591" xr:uid="{5C2F3A5E-AA44-4D24-A12D-9D703343D95B}"/>
    <hyperlink ref="E1477" r:id="rId168" display="https://www.genome.jp/entry/6.3.5.3" xr:uid="{CC2B9964-132F-40D3-B6EC-6D959DCF5729}"/>
    <hyperlink ref="F1477" r:id="rId169" display="https://www.genome.jp/entry/R04463" xr:uid="{DD70E18A-9BAD-48F4-AA6B-1A72CDCA68A1}"/>
    <hyperlink ref="E1115" r:id="rId170" display="https://www.genome.jp/entry/3.5.1.2" xr:uid="{09E7A26B-C39E-4E94-B349-076A9DCA6EDF}"/>
    <hyperlink ref="E1476" r:id="rId171" display="https://www.genome.jp/entry/6.3.5.3" xr:uid="{28908C0C-87E5-4F9B-A01A-501D308C54A1}"/>
    <hyperlink ref="F1476" r:id="rId172" display="https://www.genome.jp/entry/R04463" xr:uid="{5A86C628-9791-4850-919D-619D8655F334}"/>
    <hyperlink ref="F1115" r:id="rId173" display="https://www.genome.jp/entry/R00256" xr:uid="{3B3C3EE9-7043-49D7-A21E-1782EE8FC2E3}"/>
    <hyperlink ref="F1116" r:id="rId174" display="https://www.genome.jp/entry/R01579" xr:uid="{14EDB2C3-07E0-4644-B5FD-75FBEE563223}"/>
    <hyperlink ref="F1117" r:id="rId175" display="https://www.genome.jp/entry/R06134" xr:uid="{2F55529A-6BC0-455D-ADC7-F3DE25913C63}"/>
    <hyperlink ref="E1475" r:id="rId176" display="https://www.genome.jp/entry/6.3.5.3" xr:uid="{A64FF790-C0D8-4C95-9E3E-10252D96260F}"/>
    <hyperlink ref="F1475" r:id="rId177" display="https://www.genome.jp/entry/R04463" xr:uid="{F17FCC0F-8E4D-45B9-9AB5-5E39CDC3B371}"/>
    <hyperlink ref="E564" r:id="rId178" display="https://www.genome.jp/entry/2.4.2.14" xr:uid="{616E9CF9-0C56-4C73-941D-76672A4C026C}"/>
    <hyperlink ref="F564" r:id="rId179" display="https://www.genome.jp/entry/R01072" xr:uid="{CC8138B8-7594-49C2-A2D2-052A2E72DB5F}"/>
    <hyperlink ref="E1454" r:id="rId180" display="https://www.genome.jp/entry/6.3.3.1" xr:uid="{4A252F98-8C1D-4AA2-8970-DE67896CC388}"/>
    <hyperlink ref="F1454" r:id="rId181" display="https://www.genome.jp/entry/R04208" xr:uid="{5CF47644-093C-42C0-99A0-5599BDEE21D0}"/>
    <hyperlink ref="E1242" r:id="rId182" display="https://www.genome.jp/entry/4.1.3.38" xr:uid="{1D2C78EA-3401-4403-9806-40EEA4B516BB}"/>
    <hyperlink ref="F1242" r:id="rId183" display="https://www.genome.jp/entry/R05553" xr:uid="{97227D3F-322C-4A6C-91D4-A61286198823}"/>
    <hyperlink ref="E421" r:id="rId184" display="https://www.genome.jp/entry/2.3.1.189" xr:uid="{5745369D-D2F0-4D09-AFBB-343BA87ABCA9}"/>
    <hyperlink ref="F421" r:id="rId185" display="https://www.genome.jp/entry/R09622" xr:uid="{776BCF40-2779-4BD1-8979-1E8D6F333AC9}"/>
    <hyperlink ref="E1517" r:id="rId186" display="https://www.genome.jp/entry/7.3.2.1" xr:uid="{24C47C40-A0A1-427A-A89A-8628503696FD}"/>
    <hyperlink ref="E1427" r:id="rId187" display="https://www.genome.jp/entry/6.2.1.5" xr:uid="{4A307C14-3A93-468F-B4A9-F8C113ACC604}"/>
    <hyperlink ref="F1427" r:id="rId188" display="https://www.genome.jp/entry/R00405" xr:uid="{80B00720-5EF0-4573-B2FD-FB2ADFEF41BC}"/>
    <hyperlink ref="F1428" r:id="rId189" display="https://www.genome.jp/entry/R02404" xr:uid="{99D8CEDF-1B26-4D23-A74F-183CA81870B1}"/>
    <hyperlink ref="E1425" r:id="rId190" display="https://www.genome.jp/entry/6.2.1.5" xr:uid="{5ABA8810-B8FC-4584-8639-E422DF0604C0}"/>
    <hyperlink ref="F1425" r:id="rId191" display="https://www.genome.jp/entry/R00405" xr:uid="{47E13DDA-3522-4A15-944D-73055E3E7CF9}"/>
    <hyperlink ref="F1426" r:id="rId192" display="https://www.genome.jp/entry/R02404" xr:uid="{A4CB359D-0617-48FC-835B-BC37B6134BDF}"/>
    <hyperlink ref="E614" r:id="rId193" display="https://www.genome.jp/entry/2.5.1.47" xr:uid="{64E31CFA-DB8A-4E6F-8907-DE0915034A01}"/>
    <hyperlink ref="F614" r:id="rId194" display="https://www.genome.jp/entry/R00897" xr:uid="{3CDC990B-1BE8-40C5-A4BC-B4C1FD5E833D}"/>
    <hyperlink ref="F615" r:id="rId195" display="https://www.genome.jp/entry/R03601" xr:uid="{0AAE4CCE-123A-4423-BA62-FA088A62CF12}"/>
    <hyperlink ref="F616" r:id="rId196" display="https://www.genome.jp/entry/R04859" xr:uid="{8A4219DC-5392-4D3C-89B0-7AE3B1284FA0}"/>
    <hyperlink ref="F617" r:id="rId197" display="https://www.genome.jp/entry/R07274" xr:uid="{349424F9-3BAB-401B-859C-CE472926972A}"/>
    <hyperlink ref="E601" r:id="rId198" display="https://www.genome.jp/entry/2.5.1.17" xr:uid="{5536BE9F-16F9-49B5-896E-5BF2D0649CE5}"/>
    <hyperlink ref="F601" r:id="rId199" display="https://www.genome.jp/entry/R12183" xr:uid="{5C82D8FF-999D-4758-B058-AFBA99886809}"/>
    <hyperlink ref="F602" r:id="rId200" display="https://www.genome.jp/entry/R12184" xr:uid="{A88B10D2-3961-4571-A4D5-41491188796F}"/>
    <hyperlink ref="F603" r:id="rId201" display="https://www.genome.jp/entry/R01492" xr:uid="{9D15C8D6-4A7C-481B-9D4F-964EFC80A1A0}"/>
    <hyperlink ref="F604" r:id="rId202" display="https://www.genome.jp/entry/R05220" xr:uid="{836CEF23-72B4-41C8-B7E0-3A8B48036FBD}"/>
    <hyperlink ref="F605" r:id="rId203" display="https://www.genome.jp/entry/R07268" xr:uid="{8D270CD8-B505-48BC-A3CF-4087BAA13546}"/>
    <hyperlink ref="E632" r:id="rId204" display="https://www.genome.jp/entry/2.5.1.7" xr:uid="{86AC66E2-D25A-425B-8D87-696AB3DA1946}"/>
    <hyperlink ref="F632" r:id="rId205" display="https://www.genome.jp/entry/R00660" xr:uid="{D28A5412-C585-46CA-8343-A367B4923845}"/>
    <hyperlink ref="E1368" r:id="rId206" display="https://www.genome.jp/entry/5.4.2.2" xr:uid="{295002E9-32A9-47DA-AAAF-979ACA2F9BB3}"/>
    <hyperlink ref="F1368" r:id="rId207" display="https://www.genome.jp/entry/R08639" xr:uid="{1A237EF8-BDC8-4D8E-A976-35C098E554C9}"/>
    <hyperlink ref="F1369" r:id="rId208" display="https://www.genome.jp/entry/R00959" xr:uid="{511F983F-E9FB-4A70-A39B-FD2C4D76E43D}"/>
    <hyperlink ref="F1370" r:id="rId209" display="https://www.genome.jp/entry/R01057" xr:uid="{C132607D-2D71-45FD-BDD5-7B22C2FB9E07}"/>
    <hyperlink ref="F1371" r:id="rId210" display="https://www.genome.jp/entry/R03319" xr:uid="{17DCE01C-F37F-4A15-B2DC-1D0F6DF9F5AB}"/>
    <hyperlink ref="E1433" r:id="rId211" display="https://www.genome.jp/entry/6.3.1.5" xr:uid="{FEB7874F-E59E-4782-8D34-57CD718E7564}"/>
    <hyperlink ref="F1433" r:id="rId212" display="https://www.genome.jp/entry/R00189" xr:uid="{B92E7D2D-9A24-490D-B577-B9522D8AED78}"/>
    <hyperlink ref="E189" r:id="rId213" display="https://www.genome.jp/entry/1.17.4.1" xr:uid="{371EC829-5F27-47DE-A88B-5556B02EBA67}"/>
    <hyperlink ref="F189" r:id="rId214" display="https://www.genome.jp/entry/R04294" xr:uid="{24FED9AD-6D26-40B1-8D32-AF829A104916}"/>
    <hyperlink ref="F190" r:id="rId215" display="https://www.genome.jp/entry/R02017" xr:uid="{B2660E15-0B17-4CB0-9A62-C957C856F4AD}"/>
    <hyperlink ref="F191" r:id="rId216" display="https://www.genome.jp/entry/R02018" xr:uid="{342FD1EE-E2B9-4421-9522-9F2797846193}"/>
    <hyperlink ref="F192" r:id="rId217" display="https://www.genome.jp/entry/R02019" xr:uid="{12C139A8-8909-4DF7-A828-DFCA509BD183}"/>
    <hyperlink ref="F193" r:id="rId218" display="https://www.genome.jp/entry/R02024" xr:uid="{9FD280BB-96E1-45B2-B727-82F63CFE1797}"/>
    <hyperlink ref="F194" r:id="rId219" display="https://www.genome.jp/entry/R08363" xr:uid="{10F1D35A-B0F1-4464-9E0D-AB146568E688}"/>
    <hyperlink ref="F195" r:id="rId220" display="https://www.genome.jp/entry/R08364" xr:uid="{06CF7009-1528-4EAD-A828-4B5C04397498}"/>
    <hyperlink ref="F196" r:id="rId221" display="https://www.genome.jp/entry/R11893" xr:uid="{FADAA469-AA2E-4E56-8D87-19BABD437B03}"/>
    <hyperlink ref="F182" r:id="rId222" display="https://www.genome.jp/entry/R02017" xr:uid="{2A2F4DE3-91A4-4526-A28C-BA4D4F701093}"/>
    <hyperlink ref="F183" r:id="rId223" display="https://www.genome.jp/entry/R02018" xr:uid="{904619D0-DBA5-4B38-ABBC-99599921A891}"/>
    <hyperlink ref="F184" r:id="rId224" display="https://www.genome.jp/entry/R02019" xr:uid="{678F9CF6-38D1-4F59-8CE3-008C5278EDC6}"/>
    <hyperlink ref="F185" r:id="rId225" display="https://www.genome.jp/entry/R02024" xr:uid="{F3A6AC5C-CC06-40DC-84FB-24BF8D59D63D}"/>
    <hyperlink ref="F186" r:id="rId226" display="https://www.genome.jp/entry/R08363" xr:uid="{F3741F9F-2E4C-42AA-804E-F3B4CB307590}"/>
    <hyperlink ref="F187" r:id="rId227" display="https://www.genome.jp/entry/R08364" xr:uid="{2FA8B5FF-9904-48E1-8EEC-98EE278144C0}"/>
    <hyperlink ref="F188" r:id="rId228" display="https://www.genome.jp/entry/R11893" xr:uid="{96F8473E-1651-4A87-8D93-84B3E47DF768}"/>
    <hyperlink ref="E181" r:id="rId229" display="https://www.genome.jp/entry/1.17.4.1" xr:uid="{ECB49A72-3122-424E-9517-4BE6BFCBE2F1}"/>
    <hyperlink ref="F181" r:id="rId230" display="https://www.genome.jp/entry/R04294" xr:uid="{73592487-243D-4B52-B892-96F838D011E3}"/>
    <hyperlink ref="E1017" r:id="rId231" display="https://www.genome.jp/entry/3.1.3.3" xr:uid="{61D45467-B665-4C39-A777-DEE78FEEADF5}"/>
    <hyperlink ref="F1017" r:id="rId232" display="https://www.genome.jp/entry/R00582" xr:uid="{2404AEBA-9232-4607-B344-421583E215B3}"/>
    <hyperlink ref="F1018" r:id="rId233" display="https://www.genome.jp/entry/R02853" xr:uid="{90AF86F7-3E17-49C5-8BC2-F78FDA498FE5}"/>
    <hyperlink ref="E971" r:id="rId234" display="https://www.genome.jp/entry/3.1.1.29" xr:uid="{E2650FB8-A477-4421-BD06-4AD0FD5DE6A6}"/>
    <hyperlink ref="F971" r:id="rId235" display="https://www.genome.jp/entry/R04238" xr:uid="{99E32255-B127-42C8-AF4D-5F2111F88769}"/>
    <hyperlink ref="E1088" r:id="rId236" display="https://www.genome.jp/entry/3.4.21.105" xr:uid="{380AE5FC-43AF-4244-8814-C7203C70E8EF}"/>
    <hyperlink ref="E1328" r:id="rId237" display="https://www.genome.jp/entry/5.1.1.3" xr:uid="{19EF1AD3-9EA6-422F-8D97-7E32F9DD53FE}"/>
    <hyperlink ref="F1328" r:id="rId238" display="https://www.genome.jp/entry/R00260" xr:uid="{1B4B924E-6D32-46A0-AAB9-352606F5DAEF}"/>
    <hyperlink ref="E789" r:id="rId239" display="https://www.genome.jp/entry/2.7.7.56" xr:uid="{03465792-6F66-4F43-A546-2604F05554C6}"/>
    <hyperlink ref="F789" r:id="rId240" display="https://www.genome.jp/entry/R07285" xr:uid="{6F5FBFFE-AC16-4248-94C0-4A7269B60E38}"/>
    <hyperlink ref="E1170" r:id="rId241" display="https://www.genome.jp/entry/3.6.1.66" xr:uid="{6A823829-C879-4CF1-B0DD-0627789F2593}"/>
    <hyperlink ref="F1170" r:id="rId242" display="https://www.genome.jp/entry/R00720" xr:uid="{DEF94A50-B3D5-4BCC-B03D-B44B6EB1C0EC}"/>
    <hyperlink ref="F1171" r:id="rId243" display="https://www.genome.jp/entry/R02720" xr:uid="{8779C738-26BE-4992-900F-754609D19ADB}"/>
    <hyperlink ref="F1172" r:id="rId244" display="https://www.genome.jp/entry/R03531" xr:uid="{685A8251-6C12-4FAA-B7EC-702E6276E006}"/>
    <hyperlink ref="F1173" r:id="rId245" display="https://www.genome.jp/entry/R08243" xr:uid="{81BDB562-9C40-4AA5-B66A-50865C10A181}"/>
    <hyperlink ref="E464" r:id="rId246" display="https://www.genome.jp/entry/2.3.1.85" xr:uid="{59414C54-1928-445D-A4D7-93B37D9D5EFD}"/>
    <hyperlink ref="F464" r:id="rId247" display="https://www.genome.jp/entry/R05188" xr:uid="{D6E47FF1-D675-4844-AB85-C5FBC208B45D}"/>
    <hyperlink ref="F465" r:id="rId248" display="https://www.genome.jp/entry/R01624" xr:uid="{AF352BBF-D3D1-4938-B0AE-E21B163F13A4}"/>
    <hyperlink ref="F466" r:id="rId249" display="https://www.genome.jp/entry/R01626" xr:uid="{149AF588-5A7C-452A-B20F-860ABD740C2F}"/>
    <hyperlink ref="F467" r:id="rId250" display="https://www.genome.jp/entry/R01706" xr:uid="{06B66220-2B23-460A-9B2D-20E5CA3EB100}"/>
    <hyperlink ref="F468" r:id="rId251" display="https://www.genome.jp/entry/R04355" xr:uid="{6D255528-A2DE-4C28-AD01-ED3ACC801A0E}"/>
    <hyperlink ref="F469" r:id="rId252" display="https://www.genome.jp/entry/R04428" xr:uid="{34198C62-8AE4-4753-B584-505DB5AE9C83}"/>
    <hyperlink ref="F470" r:id="rId253" display="https://www.genome.jp/entry/R04430" xr:uid="{FAFFD2C3-E1A0-4890-80E3-0BC9659A923E}"/>
    <hyperlink ref="F471" r:id="rId254" display="https://www.genome.jp/entry/R04533" xr:uid="{4C5B7E6B-9CE5-4AFF-B24A-632A0C0DDF1B}"/>
    <hyperlink ref="F472" r:id="rId255" display="https://www.genome.jp/entry/R04534" xr:uid="{13A5A217-97CF-4B5C-88E9-3DA2EFB14095}"/>
    <hyperlink ref="F473" r:id="rId256" display="https://www.genome.jp/entry/R04535" xr:uid="{075DC02F-5437-467A-B3D1-69894BFB922B}"/>
    <hyperlink ref="F474" r:id="rId257" display="https://www.genome.jp/entry/R04536" xr:uid="{5D3C7FB1-A3B8-4F8C-9A3C-5F3998C24921}"/>
    <hyperlink ref="F475" r:id="rId258" display="https://www.genome.jp/entry/R04537" xr:uid="{107CB1ED-2C79-4609-9397-7A3A600CA4B3}"/>
    <hyperlink ref="F476" r:id="rId259" display="https://www.genome.jp/entry/R04543" xr:uid="{4A11FD14-AC05-4DEF-A8EA-CE63E8296FBF}"/>
    <hyperlink ref="F477" r:id="rId260" display="https://www.genome.jp/entry/R04544" xr:uid="{8887FA96-94E0-4A6B-92DF-B4B4E6F2AB6E}"/>
    <hyperlink ref="F478" r:id="rId261" display="https://www.genome.jp/entry/R04566" xr:uid="{F35CA826-F8BB-4489-8EC9-4DA69BB40069}"/>
    <hyperlink ref="F479" r:id="rId262" display="https://www.genome.jp/entry/R04568" xr:uid="{3FCECFC5-52E5-4EA2-B044-F481BC8AB3D3}"/>
    <hyperlink ref="F480" r:id="rId263" display="https://www.genome.jp/entry/R04725" xr:uid="{1AB275F4-7B1B-4322-96F9-F287008F0A46}"/>
    <hyperlink ref="F481" r:id="rId264" display="https://www.genome.jp/entry/R04726" xr:uid="{7B1A6176-7530-4494-928F-31FD567B2072}"/>
    <hyperlink ref="F482" r:id="rId265" display="https://www.genome.jp/entry/R04952" xr:uid="{FE20C45D-8C50-4510-8591-1CFB110A4721}"/>
    <hyperlink ref="F483" r:id="rId266" display="https://www.genome.jp/entry/R04953" xr:uid="{3CE09798-6AF5-4E7F-9EC7-E20368C0A062}"/>
    <hyperlink ref="F484" r:id="rId267" display="https://www.genome.jp/entry/R04954" xr:uid="{2618E78B-3C33-4DAE-88EC-3EDFFF92BEB9}"/>
    <hyperlink ref="F485" r:id="rId268" display="https://www.genome.jp/entry/R04956" xr:uid="{EA0108F9-6FBE-41CF-9411-C06C4DE3015D}"/>
    <hyperlink ref="F486" r:id="rId269" display="https://www.genome.jp/entry/R04957" xr:uid="{88CE95C5-0701-4CCD-908D-B778A2AE7EB6}"/>
    <hyperlink ref="F487" r:id="rId270" display="https://www.genome.jp/entry/R04959" xr:uid="{643E43A8-9D55-4E4E-97C6-B9FCB99BBF1E}"/>
    <hyperlink ref="F488" r:id="rId271" display="https://www.genome.jp/entry/R04960" xr:uid="{5241443C-5D24-4023-AB9E-3D40FA9D4A98}"/>
    <hyperlink ref="F489" r:id="rId272" display="https://www.genome.jp/entry/R04962" xr:uid="{D23C0727-CEDA-4EBD-9359-7610C0ACD62B}"/>
    <hyperlink ref="F490" r:id="rId273" display="https://www.genome.jp/entry/R04963" xr:uid="{13276CB4-F2DD-4814-BFFD-A3277076B1AB}"/>
    <hyperlink ref="F491" r:id="rId274" display="https://www.genome.jp/entry/R04964" xr:uid="{571A213E-6A4A-4045-B683-C9BAA489F637}"/>
    <hyperlink ref="F492" r:id="rId275" display="https://www.genome.jp/entry/R04965" xr:uid="{28FA48D2-C67B-49F4-8E96-979EB62821CE}"/>
    <hyperlink ref="F493" r:id="rId276" display="https://www.genome.jp/entry/R04967" xr:uid="{B7B2366B-C6D9-4697-BE4E-5A6A384B0EF2}"/>
    <hyperlink ref="F494" r:id="rId277" display="https://www.genome.jp/entry/R04968" xr:uid="{30EBD69F-0E31-4773-9ED1-567973E5815F}"/>
    <hyperlink ref="F495" r:id="rId278" display="https://www.genome.jp/entry/R04970" xr:uid="{F54DD32A-260F-4DB8-AEC8-27D0E444E1DE}"/>
    <hyperlink ref="E887" r:id="rId279" display="https://www.genome.jp/entry/2.7.8.7" xr:uid="{5FC66636-7F0E-4FEE-A166-4263A37F90BE}"/>
    <hyperlink ref="F887" r:id="rId280" display="https://www.genome.jp/entry/R01625" xr:uid="{97388C3C-9444-48D4-BF11-0F5276AEDA54}"/>
    <hyperlink ref="E134" r:id="rId281" display="https://www.genome.jp/entry/1.11.1.24" xr:uid="{D03923A0-776D-4944-A5AC-95222E67CB1F}"/>
    <hyperlink ref="F134" r:id="rId282" display="https://www.genome.jp/entry/R12570" xr:uid="{99B25443-2EB0-42F1-B685-384590F25405}"/>
    <hyperlink ref="E1346" r:id="rId283" display="https://www.genome.jp/entry/5.3.1.12" xr:uid="{35FA5C79-9527-4CDF-8441-92E608EB3A0D}"/>
    <hyperlink ref="F1346" r:id="rId284" display="https://www.genome.jp/entry/R01482" xr:uid="{3C80295C-690C-4AA8-9D61-610A370FC3CA}"/>
    <hyperlink ref="F1347" r:id="rId285" display="https://www.genome.jp/entry/R01983" xr:uid="{0EF39D9A-14BE-4E63-A301-A1D4DA4BC045}"/>
    <hyperlink ref="E1112" r:id="rId286" display="https://www.genome.jp/entry/3.5.1.2" xr:uid="{C5FD51E3-BC6D-4CEF-AE91-62C777F3DAA0}"/>
    <hyperlink ref="F1112" r:id="rId287" display="https://www.genome.jp/entry/R00256" xr:uid="{410DE4CC-0E01-4004-83C0-E52251818AFB}"/>
    <hyperlink ref="F1113" r:id="rId288" display="https://www.genome.jp/entry/R01579" xr:uid="{D895B06E-51A2-4B2A-8A73-FB1187C1FD84}"/>
    <hyperlink ref="F1114" r:id="rId289" display="https://www.genome.jp/entry/R06134" xr:uid="{CFC00FD8-3690-46D9-9D69-59D4065D7458}"/>
    <hyperlink ref="E1326" r:id="rId290" display="https://www.genome.jp/entry/4.99.1.12" xr:uid="{F343F853-0AFD-4D05-AE61-D7AD02491E3D}"/>
    <hyperlink ref="F1326" r:id="rId291" display="https://www.genome.jp/entry/R11921" xr:uid="{BE6C9FC0-6EDB-4A17-B1F0-C9CE008D5B7D}"/>
    <hyperlink ref="E998" r:id="rId292" display="https://www.genome.jp/entry/3.1.3.1" xr:uid="{A7747705-0DEB-4C3F-A75B-EFA9CFA571F7}"/>
    <hyperlink ref="F998" r:id="rId293" display="https://www.genome.jp/entry/R00626" xr:uid="{682159B0-7CDB-4A96-A207-BAE96165083D}"/>
    <hyperlink ref="F999" r:id="rId294" display="https://www.genome.jp/entry/R02135" xr:uid="{3DE7309B-0ED5-4F78-A079-90A72FC828F8}"/>
    <hyperlink ref="F1000" r:id="rId295" display="https://www.genome.jp/entry/R03024" xr:uid="{7D151762-1F02-46CC-81DA-28C01ABF1098}"/>
    <hyperlink ref="F1001" r:id="rId296" display="https://www.genome.jp/entry/R01010" xr:uid="{88E3C552-0B3C-46D7-A522-67E5D70ABEA8}"/>
    <hyperlink ref="F1002" r:id="rId297" display="https://www.genome.jp/entry/R04620" xr:uid="{9A0EB721-47E6-4EEE-B89C-4A935E16AC1E}"/>
    <hyperlink ref="E618" r:id="rId298" display="https://www.genome.jp/entry/2.5.1.48" xr:uid="{0203F239-900D-4C34-B7FC-FC5FA435BCB3}"/>
    <hyperlink ref="F618" r:id="rId299" display="https://www.genome.jp/entry/R03260" xr:uid="{817D1F4C-955F-41EC-BE17-D33FA5C88E66}"/>
    <hyperlink ref="F619" r:id="rId300" display="https://www.genome.jp/entry/R00999" xr:uid="{75454E8E-70DF-4216-AACC-EF16CB87E996}"/>
    <hyperlink ref="F620" r:id="rId301" display="https://www.genome.jp/entry/R01288" xr:uid="{98CB472D-4AF9-4129-8CB2-4AE3D3D9A3BF}"/>
    <hyperlink ref="F621" r:id="rId302" display="https://www.genome.jp/entry/R02508" xr:uid="{85D191A6-5F28-479F-9514-3455C0DCC2BA}"/>
    <hyperlink ref="F622" r:id="rId303" display="https://www.genome.jp/entry/R03217" xr:uid="{EBAE7783-BC78-4AC0-A9E2-96B9B962C958}"/>
    <hyperlink ref="F623" r:id="rId304" display="https://www.genome.jp/entry/R04944" xr:uid="{9293E818-7EE6-4A65-9981-50733280B080}"/>
    <hyperlink ref="F624" r:id="rId305" display="https://www.genome.jp/entry/R04945" xr:uid="{98FF5377-2723-4897-975B-B1EEB2979134}"/>
    <hyperlink ref="F625" r:id="rId306" display="https://www.genome.jp/entry/R04946" xr:uid="{28826AE2-1A96-4EB6-93FB-914ACFC36C5F}"/>
    <hyperlink ref="E1072" r:id="rId307" display="https://www.genome.jp/entry/3.4.11.2" xr:uid="{E1F40E13-D84F-4C70-BDD7-FB532CDD64CA}"/>
    <hyperlink ref="F1072" r:id="rId308" display="https://www.genome.jp/entry/R00899" xr:uid="{97A835EB-D8DE-483A-9ACE-D0EBB5197DB5}"/>
    <hyperlink ref="F1073" r:id="rId309" display="https://www.genome.jp/entry/R04951" xr:uid="{D279F64F-354F-4275-BAB7-7F78DF4C9EE4}"/>
    <hyperlink ref="E1352" r:id="rId310" display="https://www.genome.jp/entry/5.3.1.6" xr:uid="{C41F801D-2AA6-486B-A23D-0266494B3CE3}"/>
    <hyperlink ref="F1352" r:id="rId311" display="https://www.genome.jp/entry/R01056" xr:uid="{A5BF58F2-89FE-4846-940E-A0FD34F33FE9}"/>
    <hyperlink ref="F1353" r:id="rId312" display="https://www.genome.jp/entry/R09030" xr:uid="{74429EDC-B4F2-4298-BA47-C80042C0F4AA}"/>
    <hyperlink ref="F1342" r:id="rId313" display="https://www.genome.jp/entry/R04273" xr:uid="{1013C9AF-3377-4048-B0CF-B6A444A32E32}"/>
    <hyperlink ref="E1342" r:id="rId314" display="https://www.genome.jp/entry/5.2.1.8" xr:uid="{5199FBBC-8491-478F-B0E6-0CACA0D0AC80}"/>
    <hyperlink ref="E227" r:id="rId315" display="https://www.genome.jp/entry/1.3.1.25" xr:uid="{551CBDC3-DD6D-4784-999E-5F534FC518D3}"/>
    <hyperlink ref="F227" r:id="rId316" display="https://www.genome.jp/entry/R00813" xr:uid="{21C9F18C-8DFA-4311-B72E-2F78982FC6CE}"/>
    <hyperlink ref="F228" r:id="rId317" display="https://www.genome.jp/entry/R08111" xr:uid="{A21C5433-CA73-4344-9AC8-A03BDB7F6A0B}"/>
    <hyperlink ref="F229" r:id="rId318" display="https://www.genome.jp/entry/R08112" xr:uid="{82AE1638-774B-4988-8335-A217AE9D5B04}"/>
    <hyperlink ref="F230" r:id="rId319" display="https://www.genome.jp/entry/R08113" xr:uid="{60FCEDAA-CA03-4680-BC25-48A7E0FCA066}"/>
    <hyperlink ref="E162" r:id="rId320" display="https://www.genome.jp/entry/1.14.12.10" xr:uid="{A8071745-5990-4CFB-A0E8-5914EC94F43B}"/>
    <hyperlink ref="F162" r:id="rId321" display="https://www.genome.jp/entry/R07188" xr:uid="{11F2E741-20BB-4E48-856E-1E50E5BB1446}"/>
    <hyperlink ref="F163" r:id="rId322" display="https://www.genome.jp/entry/R05621" xr:uid="{4F2F392C-2285-4502-B0FB-9336D053745B}"/>
    <hyperlink ref="F164" r:id="rId323" display="https://www.genome.jp/entry/R05622" xr:uid="{254E8B0F-208B-436B-8256-77CAC2866BEC}"/>
    <hyperlink ref="F165" r:id="rId324" display="https://www.genome.jp/entry/R08100" xr:uid="{607E09A4-44CA-4771-B963-E936CD7F1727}"/>
    <hyperlink ref="F166" r:id="rId325" display="https://www.genome.jp/entry/R08101" xr:uid="{B54AE49E-A43D-4B75-BD8D-099AEB3B05E0}"/>
    <hyperlink ref="F167" r:id="rId326" display="https://www.genome.jp/entry/R08108" xr:uid="{4095C706-D1B5-4933-802E-88432ED519AE}"/>
    <hyperlink ref="F168" r:id="rId327" display="https://www.genome.jp/entry/R08109" xr:uid="{69A17E7D-9848-4719-A8A5-2F66F05D5B8C}"/>
    <hyperlink ref="F169" r:id="rId328" display="https://www.genome.jp/entry/R08110" xr:uid="{9B558166-E96C-48C0-94AB-CD2F90EE4413}"/>
    <hyperlink ref="F155" r:id="rId329" display="https://www.genome.jp/entry/R05621" xr:uid="{7F8E5BD4-20B7-4AB7-BE8E-BCE7052A0BC2}"/>
    <hyperlink ref="F156" r:id="rId330" display="https://www.genome.jp/entry/R05622" xr:uid="{8C4E99B5-8A5E-40AE-A572-78AFD9B1F737}"/>
    <hyperlink ref="F157" r:id="rId331" display="https://www.genome.jp/entry/R08100" xr:uid="{D7C0542F-F5AF-4144-99C0-0E412EF631FE}"/>
    <hyperlink ref="F158" r:id="rId332" display="https://www.genome.jp/entry/R08101" xr:uid="{1FC188BA-C1B4-4C89-B821-9D2F2655053F}"/>
    <hyperlink ref="F159" r:id="rId333" display="https://www.genome.jp/entry/R08108" xr:uid="{A3D2F475-D979-447B-868F-B1EB1FD6FB22}"/>
    <hyperlink ref="F160" r:id="rId334" display="https://www.genome.jp/entry/R08109" xr:uid="{45F15C7F-EB8C-476D-A101-6693DEE343CA}"/>
    <hyperlink ref="F161" r:id="rId335" display="https://www.genome.jp/entry/R08110" xr:uid="{C3B04D79-C271-4E60-AD0F-2804050E0E47}"/>
    <hyperlink ref="E154" r:id="rId336" display="https://www.genome.jp/entry/1.14.12.10" xr:uid="{1AC3B21C-7418-4B74-A75B-A1E009D0BC31}"/>
    <hyperlink ref="F154" r:id="rId337" display="https://www.genome.jp/entry/R07188" xr:uid="{FBE4FD9D-6407-4EA5-97D0-16DF795F7B6F}"/>
    <hyperlink ref="E139" r:id="rId338" display="https://www.genome.jp/entry/1.13.11.1" xr:uid="{9D707D2F-7E0F-471D-A127-C1ED46C10091}"/>
    <hyperlink ref="F139" r:id="rId339" display="https://www.genome.jp/entry/R00817" xr:uid="{89CEAB94-A3A4-4330-827F-B1F701421A1C}"/>
    <hyperlink ref="F140" r:id="rId340" display="https://www.genome.jp/entry/R04258" xr:uid="{19E647BE-6C96-4B66-AAF3-B57BD12513CF}"/>
    <hyperlink ref="F141" r:id="rId341" display="https://www.genome.jp/entry/R05299" xr:uid="{77E31385-C88B-4639-984C-CCAA42B3B86B}"/>
    <hyperlink ref="F142" r:id="rId342" display="https://www.genome.jp/entry/R08114" xr:uid="{0932242A-CBCB-42DB-AEBD-DA55ADCD26BE}"/>
    <hyperlink ref="F143" r:id="rId343" display="https://www.genome.jp/entry/R08115" xr:uid="{65211511-C6DE-4E30-A0F6-8794A521D84D}"/>
    <hyperlink ref="F144" r:id="rId344" display="https://www.genome.jp/entry/R09134" xr:uid="{61A298A8-B546-4561-96EC-B8C08F69B0A9}"/>
    <hyperlink ref="E1362" r:id="rId345" display="https://www.genome.jp/entry/5.3.3.4" xr:uid="{77675241-F798-4682-BABC-25779C43E2C2}"/>
    <hyperlink ref="F1362" r:id="rId346" display="https://www.genome.jp/entry/R06990" xr:uid="{A5615F53-9E56-4075-9BEB-1DACF035E2A9}"/>
    <hyperlink ref="F1363" r:id="rId347" display="https://www.genome.jp/entry/R04260" xr:uid="{F9BC3D98-A678-46F3-B850-0B6220C4683C}"/>
    <hyperlink ref="E147" r:id="rId348" display="https://www.genome.jp/entry/1.13.11.3" xr:uid="{32634FEE-0711-4BFA-B013-C7EA5279977E}"/>
    <hyperlink ref="F147" r:id="rId349" display="https://www.genome.jp/entry/R01631" xr:uid="{87B7D551-2C1C-48D7-876B-BAAAF37C5B24}"/>
    <hyperlink ref="F148" r:id="rId350" display="https://www.genome.jp/entry/R03549" xr:uid="{B24FBA77-FE83-4A63-91FA-DE64D9E4C7B1}"/>
    <hyperlink ref="E145" r:id="rId351" display="https://www.genome.jp/entry/1.13.11.3" xr:uid="{086DF0D8-8A28-46D7-A930-9FAC9F07E891}"/>
    <hyperlink ref="F145" r:id="rId352" display="https://www.genome.jp/entry/R01631" xr:uid="{581CB5D5-6DB9-4F2B-9CA6-784716F0708C}"/>
    <hyperlink ref="F146" r:id="rId353" display="https://www.genome.jp/entry/R03549" xr:uid="{566F2CF0-D09F-47BF-9E5C-C79BB4831514}"/>
    <hyperlink ref="E1388" r:id="rId354" display="https://www.genome.jp/entry/5.5.1.2" xr:uid="{D4113B57-F350-4FC3-85CB-86FC6F30407E}"/>
    <hyperlink ref="F1388" r:id="rId355" display="https://www.genome.jp/entry/R03307" xr:uid="{6536A8EB-A064-4FD3-83A3-FF38417E3AAE}"/>
    <hyperlink ref="E1226" r:id="rId356" display="https://www.genome.jp/entry/4.1.1.44" xr:uid="{2B847746-ADC8-417E-AD2B-34165EAAD8AA}"/>
    <hyperlink ref="F1226" r:id="rId357" display="https://www.genome.jp/entry/R03470" xr:uid="{E70708EE-E0DC-46A9-85C6-414B73C2037D}"/>
    <hyperlink ref="E968" r:id="rId358" display="https://www.genome.jp/entry/3.1.1.24" xr:uid="{D4733121-F0FE-42C6-8FD8-FAC35B354BDA}"/>
    <hyperlink ref="F968" r:id="rId359" display="https://www.genome.jp/entry/R02991" xr:uid="{8B31A54D-3425-45AD-9ADC-FA9209682A99}"/>
    <hyperlink ref="E496" r:id="rId360" display="https://www.genome.jp/entry/2.3.1.9" xr:uid="{D41AF755-EB32-44A3-B5E4-3699BF2EEF4B}"/>
    <hyperlink ref="F496" r:id="rId361" display="https://www.genome.jp/entry/R00238" xr:uid="{F28E13CA-29AB-4169-BEE9-2ABAD294164E}"/>
    <hyperlink ref="F497" r:id="rId362" display="https://www.genome.jp/entry/R00927" xr:uid="{3CA3CF94-360E-423C-8C66-B3020ECD9729}"/>
    <hyperlink ref="F498" r:id="rId363" display="https://www.genome.jp/entry/R01177" xr:uid="{1A2843FD-5B0D-4BEA-B840-ECFCA0F11940}"/>
    <hyperlink ref="E102" r:id="rId364" display="https://www.genome.jp/entry/1.1.1.37" xr:uid="{4982F9E9-A0D7-45F0-B69A-1F409B4AB4DC}"/>
    <hyperlink ref="F102" r:id="rId365" display="https://www.genome.jp/entry/R00342" xr:uid="{A4828D8E-026D-46C8-B77E-32DBAB3B689C}"/>
    <hyperlink ref="F103" r:id="rId366" display="https://www.genome.jp/entry/R03431" xr:uid="{0DF623D8-52AA-4E05-9F11-7AB9A82E049D}"/>
    <hyperlink ref="F104" r:id="rId367" display="https://www.genome.jp/entry/R07136" xr:uid="{6A7CB24C-74B1-43AB-BC1C-184B917391C7}"/>
    <hyperlink ref="E1421" r:id="rId368" display="https://www.genome.jp/entry/6.1.1.9" xr:uid="{815F2D02-D336-411E-A2DE-9C375A749247}"/>
    <hyperlink ref="F1421" r:id="rId369" display="https://www.genome.jp/entry/R03665" xr:uid="{F7527031-4B8E-41A0-AF92-B977409B8001}"/>
    <hyperlink ref="E1439" r:id="rId370" display="https://www.genome.jp/entry/6.3.2.12" xr:uid="{9DD4B399-2716-43A0-BE8F-EF3E4976F2CE}"/>
    <hyperlink ref="F1439" r:id="rId371" display="https://www.genome.jp/entry/R02237" xr:uid="{C1906C88-33C9-4E16-B776-F7B7AFC211B0}"/>
    <hyperlink ref="F1440" r:id="rId372" display="https://www.genome.jp/entry/R01654" xr:uid="{53228C46-4329-484D-A6A2-1C06C2D13535}"/>
    <hyperlink ref="E1443" r:id="rId373" display="https://www.genome.jp/entry/6.3.2.17" xr:uid="{D37B2B19-EEA2-49D3-833C-B86B666BF414}"/>
    <hyperlink ref="F1443" r:id="rId374" display="https://www.genome.jp/entry/R04241" xr:uid="{DA2F6939-6724-44E1-A8E9-25E519BED4DE}"/>
    <hyperlink ref="F1444" r:id="rId375" display="https://www.genome.jp/entry/R00942" xr:uid="{2DAB5F0F-51A5-4835-BBEC-AEE8672F51F8}"/>
    <hyperlink ref="F1445" r:id="rId376" display="https://www.genome.jp/entry/R01654" xr:uid="{0F1A8EF8-D187-4D8F-9F34-58EB49CED31D}"/>
    <hyperlink ref="F1446" r:id="rId377" display="https://www.genome.jp/entry/R02237" xr:uid="{83C33995-AC4B-4813-999D-2ADCCFAB4A10}"/>
    <hyperlink ref="F1447" r:id="rId378" display="https://www.genome.jp/entry/R05197" xr:uid="{D9A05E56-7E91-4488-B430-AD8BAE4ED8E6}"/>
    <hyperlink ref="E748" r:id="rId379" display="https://www.genome.jp/entry/2.7.4.6" xr:uid="{90A04EB8-2FCC-4E9A-8B40-8DCA5C234FEC}"/>
    <hyperlink ref="F748" r:id="rId380" display="https://www.genome.jp/entry/R00331" xr:uid="{8E81F2EA-9935-4883-899C-BAC1180E4879}"/>
    <hyperlink ref="F749" r:id="rId381" display="https://www.genome.jp/entry/R00124" xr:uid="{CE31B2EE-6BDA-4858-938D-B124724A89DB}"/>
    <hyperlink ref="F750" r:id="rId382" display="https://www.genome.jp/entry/R00139" xr:uid="{87A0231E-EF62-4925-B589-66186DBCBAA5}"/>
    <hyperlink ref="F751" r:id="rId383" display="https://www.genome.jp/entry/R00156" xr:uid="{6F166BCC-B210-4DA4-AD4C-EC08C74565C6}"/>
    <hyperlink ref="F752" r:id="rId384" display="https://www.genome.jp/entry/R00330" xr:uid="{ACE585F9-8FCA-49C3-8E3E-FD7A044AA489}"/>
    <hyperlink ref="F753" r:id="rId385" display="https://www.genome.jp/entry/R00570" xr:uid="{08542CAA-9479-4BD6-92EA-A1C368087602}"/>
    <hyperlink ref="F754" r:id="rId386" display="https://www.genome.jp/entry/R00722" xr:uid="{94E40EB9-D8E6-480A-B239-41C3CBA46245}"/>
    <hyperlink ref="F755" r:id="rId387" display="https://www.genome.jp/entry/R01137" xr:uid="{CE7843C8-5CE5-43D7-B44D-131EEFCCAC69}"/>
    <hyperlink ref="F756" r:id="rId388" display="https://www.genome.jp/entry/R01857" xr:uid="{6D600812-0331-4FC1-A1B2-4DC525D20C4D}"/>
    <hyperlink ref="F757" r:id="rId389" display="https://www.genome.jp/entry/R02093" xr:uid="{053C06E5-3D22-4564-B59C-26049E14B83B}"/>
    <hyperlink ref="F758" r:id="rId390" display="https://www.genome.jp/entry/R02326" xr:uid="{A5070B46-F668-4F1F-B557-B9E2B4D46BA9}"/>
    <hyperlink ref="F759" r:id="rId391" display="https://www.genome.jp/entry/R02331" xr:uid="{F995C37C-53B4-4A5B-9832-4DBF5B0C9228}"/>
    <hyperlink ref="F760" r:id="rId392" display="https://www.genome.jp/entry/R03530" xr:uid="{C7347153-813A-44FC-AD4B-DECCB73B8229}"/>
    <hyperlink ref="F761" r:id="rId393" display="https://www.genome.jp/entry/R12853" xr:uid="{F09D1183-5E99-40A7-95DB-9D6BAC94930F}"/>
    <hyperlink ref="F762" r:id="rId394" display="https://www.genome.jp/entry/R11894" xr:uid="{B5A0A1AC-5DC9-495C-B148-FFF8482A412E}"/>
    <hyperlink ref="F763" r:id="rId395" display="https://www.genome.jp/entry/R11895" xr:uid="{CC1A1379-2714-40F3-9EC1-39A9F9CD7205}"/>
    <hyperlink ref="E733" r:id="rId396" display="https://www.genome.jp/entry/2.7.2.11" xr:uid="{0EF2F521-F5C7-45B4-A444-E05B6F77C431}"/>
    <hyperlink ref="F733" r:id="rId397" display="https://www.genome.jp/entry/R00239" xr:uid="{42638276-5649-4676-8818-3F196734E5DC}"/>
    <hyperlink ref="E210" r:id="rId398" display="https://www.genome.jp/entry/1.2.1.41" xr:uid="{A182E09F-A698-4D44-8B26-28D9643A5BA5}"/>
    <hyperlink ref="F210" r:id="rId399" display="https://www.genome.jp/entry/R03313" xr:uid="{B72A7B4E-80F8-4B89-90F1-8A8981C4ABBA}"/>
    <hyperlink ref="E778" r:id="rId400" display="https://www.genome.jp/entry/2.7.7.18" xr:uid="{3FC77777-FAC6-4172-8DAF-0721D4AD91E7}"/>
    <hyperlink ref="F778" r:id="rId401" display="https://www.genome.jp/entry/R03005" xr:uid="{6BC7BA9A-2C8B-4360-B2A8-0ABCB8173450}"/>
    <hyperlink ref="F779" r:id="rId402" display="https://www.genome.jp/entry/R00137" xr:uid="{454C15F8-11E0-4CF4-A80F-B2CE59300451}"/>
    <hyperlink ref="E1235" r:id="rId403" display="https://www.genome.jp/entry/4.1.3.1" xr:uid="{DF1CF127-C2D4-4615-9409-22D0E3555F33}"/>
    <hyperlink ref="F1235" r:id="rId404" display="https://www.genome.jp/entry/R00479" xr:uid="{38DD8411-026E-4963-9A32-734B04D42A46}"/>
    <hyperlink ref="E517" r:id="rId405" display="https://www.genome.jp/entry/2.3.3.9" xr:uid="{6EEBBA0B-75D3-4708-BB97-A200E9605BC4}"/>
    <hyperlink ref="F517" r:id="rId406" display="https://www.genome.jp/entry/R00472" xr:uid="{76C70C96-F9DB-40A1-80AC-BDF486FA9428}"/>
    <hyperlink ref="E1331" r:id="rId407" display="https://www.genome.jp/entry/5.1.3.15" xr:uid="{9B8BDD2D-D9AE-40A8-B779-C684280501C5}"/>
    <hyperlink ref="F1331" r:id="rId408" display="https://www.genome.jp/entry/R02739" xr:uid="{3DBBBBDB-4D03-4007-B39A-556C28925769}"/>
    <hyperlink ref="E1314" r:id="rId409" display="https://www.genome.jp/entry/4.4.1.13" xr:uid="{2CB3BFD1-4423-42DF-8D83-9B8F5519E299}"/>
    <hyperlink ref="F1314" r:id="rId410" display="https://www.genome.jp/entry/R12188" xr:uid="{4F817D39-06CB-429D-8779-A805C1BA463F}"/>
    <hyperlink ref="F1315" r:id="rId411" display="https://www.genome.jp/entry/R01286" xr:uid="{E0B939BE-06B8-45D0-A5E0-B0DBBD5B502B}"/>
    <hyperlink ref="F1316" r:id="rId412" display="https://www.genome.jp/entry/R02408" xr:uid="{0FFD7290-B24D-4F33-8CDB-FB8A98F0A34A}"/>
    <hyperlink ref="F1317" r:id="rId413" display="https://www.genome.jp/entry/R02953" xr:uid="{C3575367-CBB6-4EE9-B0D8-0A9A39CB828B}"/>
    <hyperlink ref="F1318" r:id="rId414" display="https://www.genome.jp/entry/R03528" xr:uid="{182A04D8-3385-4949-97A2-2287C6137F68}"/>
    <hyperlink ref="F1319" r:id="rId415" display="https://www.genome.jp/entry/R00782" xr:uid="{DFB19A7D-1105-407D-971D-E4E2001F297E}"/>
    <hyperlink ref="F1320" r:id="rId416" display="https://www.genome.jp/entry/R04941" xr:uid="{58C5B591-CBA4-4921-B8CC-412915E5BF88}"/>
    <hyperlink ref="F1321" r:id="rId417" display="https://www.genome.jp/entry/R09366" xr:uid="{7983013C-1656-4FCA-9736-2CB0D1E39B25}"/>
    <hyperlink ref="E1361" r:id="rId418" display="https://www.genome.jp/entry/5.3.3.2" xr:uid="{6626C425-523B-404A-AEA6-44890110C0EC}"/>
    <hyperlink ref="F1361" r:id="rId419" display="https://www.genome.jp/entry/R01123" xr:uid="{F80781DC-088C-4581-98AA-D70E00C69DF3}"/>
    <hyperlink ref="E1378" r:id="rId420" display="https://www.genome.jp/entry/5.4.99.16" xr:uid="{EA27A923-7555-45BC-A81E-7D5A985C6832}"/>
    <hyperlink ref="F1378" r:id="rId421" display="https://www.genome.jp/entry/R01557" xr:uid="{00AB96BE-DF24-46FC-8A6C-6D5A773B2B7C}"/>
    <hyperlink ref="F1379" r:id="rId422" display="https://www.genome.jp/entry/R06218" xr:uid="{F9A5D9B5-9B2D-4E1E-981F-333681D155F7}"/>
    <hyperlink ref="E550" r:id="rId423" display="https://www.genome.jp/entry/2.4.1.25" xr:uid="{A8450BD7-DF0B-45D0-8D76-D523787DAD61}"/>
    <hyperlink ref="F550" r:id="rId424" display="https://www.genome.jp/entry/R05196" xr:uid="{C6F0D4F2-667D-4037-B9BC-49CD6B8A4015}"/>
    <hyperlink ref="F551" r:id="rId425" display="https://www.genome.jp/entry/R06069" xr:uid="{5CAB9389-F552-4E86-829E-6A311F0105A1}"/>
    <hyperlink ref="E345" r:id="rId426" display="https://www.genome.jp/entry/2.1.1.193" xr:uid="{6DADB8E5-963E-4B6E-B71E-BA16BDD6B1D7}"/>
    <hyperlink ref="E1407" r:id="rId427" display="https://www.genome.jp/entry/6.1.1.14" xr:uid="{A24891EB-390B-47EE-ADF8-5F0647CAB997}"/>
    <hyperlink ref="F1407" r:id="rId428" display="https://www.genome.jp/entry/R03654" xr:uid="{AA4258FE-F4B8-42AF-B3FD-A44E10360A41}"/>
    <hyperlink ref="E651" r:id="rId429" display="https://www.genome.jp/entry/2.6.1.16" xr:uid="{10FFF2E1-93D0-40F0-B812-E720A0AD9D01}"/>
    <hyperlink ref="F651" r:id="rId430" display="https://www.genome.jp/entry/R00768" xr:uid="{4260DF2C-F50B-4329-A27D-560710A32725}"/>
    <hyperlink ref="E218" r:id="rId431" display="https://www.genome.jp/entry/1.2.4.1" xr:uid="{A3AD0D8D-731B-47D5-9894-56A991901FFF}"/>
    <hyperlink ref="F218" r:id="rId432" display="https://www.genome.jp/entry/R01699" xr:uid="{DD035FB2-7CE1-4162-9C47-885734D17870}"/>
    <hyperlink ref="F219" r:id="rId433" display="https://www.genome.jp/entry/R00014" xr:uid="{ADD5B267-6069-457E-AB0C-FD3B35F0230B}"/>
    <hyperlink ref="F220" r:id="rId434" display="https://www.genome.jp/entry/R03270" xr:uid="{B9A15CD2-CA66-4D23-8A47-484084EA53FA}"/>
    <hyperlink ref="E1020" r:id="rId435" display="https://www.genome.jp/entry/3.1.3.48" xr:uid="{E780E341-B1D2-4932-8034-0433F0416935}"/>
    <hyperlink ref="F1020" r:id="rId436" display="https://www.genome.jp/entry/R02585" xr:uid="{95D89158-3E5C-42F5-935C-1CC96E30E30F}"/>
    <hyperlink ref="E1167" r:id="rId437" display="https://www.genome.jp/entry/3.6.1.25" xr:uid="{B1EC8C47-8C43-4A4F-B836-4E4B27F65099}"/>
    <hyperlink ref="F1167" r:id="rId438" display="https://www.genome.jp/entry/R00138" xr:uid="{EFAD127D-C2A0-471C-A1EB-FEC3A0C721F8}"/>
    <hyperlink ref="E788" r:id="rId439" display="https://www.genome.jp/entry/2.7.7.42" xr:uid="{078CBE9A-52D1-4E22-A4D4-C3B1E0C556B6}"/>
    <hyperlink ref="F788" r:id="rId440" display="https://www.genome.jp/entry/R03473" xr:uid="{8A83558E-0C2F-4571-8E2B-21B2D072E68C}"/>
    <hyperlink ref="E877" r:id="rId441" display="https://www.genome.jp/entry/2.7.7.89" xr:uid="{3767451B-A99A-4EFB-8A6D-40D5CB45B28C}"/>
    <hyperlink ref="F877" r:id="rId442" display="https://www.genome.jp/entry/R03474" xr:uid="{FAE2B96B-B861-46FD-895D-C566AAFFFAF3}"/>
    <hyperlink ref="E174" r:id="rId443" display="https://www.genome.jp/entry/1.14.14.18" xr:uid="{C0971638-0200-46F8-B9AB-285628D4973F}"/>
    <hyperlink ref="F174" r:id="rId444" display="https://www.genome.jp/entry/R00311" xr:uid="{B7AB25DF-874B-4967-AD8A-966EA6790F5F}"/>
    <hyperlink ref="E1280" r:id="rId445" display="https://www.genome.jp/entry/4.2.3.1" xr:uid="{3830BDBD-6D22-44A3-9CFD-DB714E5172B0}"/>
    <hyperlink ref="F1280" r:id="rId446" display="https://www.genome.jp/entry/R01466" xr:uid="{A9296D3B-508E-4A75-8B73-4A5E88CD5730}"/>
    <hyperlink ref="F1281" r:id="rId447" display="https://www.genome.jp/entry/R05086" xr:uid="{01A27CF2-D4AE-4611-9A50-57484F0F908E}"/>
    <hyperlink ref="E1432" r:id="rId448" display="https://www.genome.jp/entry/6.3.1.2" xr:uid="{AC2037B4-4E63-41F9-89B9-22420E836B16}"/>
    <hyperlink ref="F1432" r:id="rId449" display="https://www.genome.jp/entry/R00253" xr:uid="{957D0487-59DD-4252-9B1C-42729538FD0E}"/>
    <hyperlink ref="E898" r:id="rId450" display="https://www.genome.jp/entry/2.8.1.8" xr:uid="{6F6E3040-7F7F-47FC-8357-0627C4F03622}"/>
    <hyperlink ref="F898" r:id="rId451" display="https://www.genome.jp/entry/R07767" xr:uid="{59B1122E-3E1D-4E8E-95F2-8DB9444C8CF2}"/>
    <hyperlink ref="F899" r:id="rId452" display="https://www.genome.jp/entry/R12423" xr:uid="{300DE3E0-24A7-419B-BDB9-CF957F5D9FBC}"/>
    <hyperlink ref="F900" r:id="rId453" display="https://www.genome.jp/entry/R12424" xr:uid="{880F0EA0-959C-49A3-BD98-DD6BDEC1334F}"/>
    <hyperlink ref="E417" r:id="rId454" display="https://www.genome.jp/entry/2.3.1.181" xr:uid="{EE6C0079-D7EC-493A-8477-10E38462A9B9}"/>
    <hyperlink ref="F417" r:id="rId455" display="https://www.genome.jp/entry/R07766" xr:uid="{0F340C61-BAC0-4E42-8777-2C9FD8D72635}"/>
    <hyperlink ref="F418" r:id="rId456" display="https://www.genome.jp/entry/R12427" xr:uid="{9CA1D8F6-685D-47BF-83D9-8E99FF237CAE}"/>
    <hyperlink ref="F419" r:id="rId457" display="https://www.genome.jp/entry/R12428" xr:uid="{3D76DA8B-3D24-4481-8B75-0BA9246C12AC}"/>
    <hyperlink ref="F420" r:id="rId458" display="https://www.genome.jp/entry/R07769" xr:uid="{59DD8AD8-72C8-4A83-BFB0-E58568EC18C9}"/>
    <hyperlink ref="E1068" r:id="rId459" display="https://www.genome.jp/entry/3.4.11.1" xr:uid="{A982ED02-DFC6-4738-A7E4-1AFC4182A282}"/>
    <hyperlink ref="F1068" r:id="rId460" display="https://www.genome.jp/entry/R00899" xr:uid="{E23B3775-D09D-4843-AA19-D38E655F4A49}"/>
    <hyperlink ref="F1069" r:id="rId461" display="https://www.genome.jp/entry/R04951" xr:uid="{9F8C29DF-2CA0-4F32-98BD-29A37704F71C}"/>
    <hyperlink ref="E655" r:id="rId462" display="https://www.genome.jp/entry/2.6.1.42" xr:uid="{00E3572B-36FD-46DF-B8BB-948B3FCC9E83}"/>
    <hyperlink ref="F655" r:id="rId463" display="https://www.genome.jp/entry/R01090" xr:uid="{95A682B9-8742-4073-A958-660EBB0C8C28}"/>
    <hyperlink ref="F656" r:id="rId464" display="https://www.genome.jp/entry/R01214" xr:uid="{2D1E75D2-6557-4C2C-BBEB-19B2063AF289}"/>
    <hyperlink ref="F657" r:id="rId465" display="https://www.genome.jp/entry/R02199" xr:uid="{A123C71D-7661-4D4E-8C8D-8FF1B32F3A35}"/>
    <hyperlink ref="F658" r:id="rId466" display="https://www.genome.jp/entry/R10991" xr:uid="{7773C75F-3260-4314-AED9-362A4657B9CE}"/>
    <hyperlink ref="E883" r:id="rId467" display="https://www.genome.jp/entry/2.7.8.26" xr:uid="{0E1FFAF6-219E-4D8A-BDB8-707432B506CD}"/>
    <hyperlink ref="F883" r:id="rId468" display="https://www.genome.jp/entry/R05223" xr:uid="{D6212DF7-0C8D-4FFB-A7B3-55B47B4339AF}"/>
    <hyperlink ref="F884" r:id="rId469" display="https://www.genome.jp/entry/R11174" xr:uid="{42EA9C58-623C-4CB2-8F10-B67AC653769C}"/>
    <hyperlink ref="E568" r:id="rId470" display="https://www.genome.jp/entry/2.4.2.21" xr:uid="{CA8D430F-9403-48A0-8BDF-FBEE7CCF73AD}"/>
    <hyperlink ref="F568" r:id="rId471" display="https://www.genome.jp/entry/R04148" xr:uid="{93E4483E-5DF1-48C7-88E7-9C3447F4D48D}"/>
    <hyperlink ref="E677" r:id="rId472" display="https://www.genome.jp/entry/2.7.1.156" xr:uid="{F35C657A-A9F4-467B-9523-C19C8E52D5D1}"/>
    <hyperlink ref="F677" r:id="rId473" display="https://www.genome.jp/entry/R05221" xr:uid="{0D9FC377-6055-4F2B-AB75-0AA6E5F3BCA9}"/>
    <hyperlink ref="F678" r:id="rId474" display="https://www.genome.jp/entry/R06558" xr:uid="{646B6273-87AE-4A8B-888C-689579B1207E}"/>
    <hyperlink ref="E816" r:id="rId475" display="https://www.genome.jp/entry/2.7.7.62" xr:uid="{0AA05617-0BCE-4154-8263-3F23DD9058FB}"/>
    <hyperlink ref="F816" r:id="rId476" display="https://www.genome.jp/entry/R05222" xr:uid="{6A97E5DD-768A-487A-B36A-B22362536704}"/>
    <hyperlink ref="E1478" r:id="rId477" display="https://www.genome.jp/entry/6.3.5.4" xr:uid="{11C1EFEF-BA71-4E76-BA87-8B9B4AF697FF}"/>
    <hyperlink ref="F1478" r:id="rId478" display="https://www.genome.jp/entry/R00256" xr:uid="{E5CA9009-A840-44A0-BE53-071E572FA3F0}"/>
    <hyperlink ref="F1479" r:id="rId479" display="https://www.genome.jp/entry/R00483" xr:uid="{7C17FCBA-5A70-4CDE-AD49-D6E6F8F6D983}"/>
    <hyperlink ref="F1480" r:id="rId480" display="https://www.genome.jp/entry/R00578" xr:uid="{8397D3F2-963D-4B4F-A7B5-6F9B1178800B}"/>
    <hyperlink ref="E1507" r:id="rId481" display="https://www.genome.jp/entry/7.1.1.8" xr:uid="{FD832BB4-CF73-44B6-AD8D-23D705A80556}"/>
    <hyperlink ref="F1507" r:id="rId482" display="https://www.genome.jp/entry/R13224" xr:uid="{CBAE693C-19A0-46D4-9572-5D69F96ECA03}"/>
    <hyperlink ref="F1508" r:id="rId483" display="https://www.genome.jp/entry/R02161" xr:uid="{22963DED-8A25-4834-BA74-4FC8803AC5E6}"/>
    <hyperlink ref="E556" r:id="rId484" display="https://www.genome.jp/entry/2.4.1.346" xr:uid="{49325B76-969B-4708-8DC4-5F248933E855}"/>
    <hyperlink ref="F556" r:id="rId485" display="https://www.genome.jp/entry/R11703" xr:uid="{8C4076E5-AE73-4669-B00D-4CC1D6941FC6}"/>
    <hyperlink ref="F557" r:id="rId486" display="https://www.genome.jp/entry/R11704" xr:uid="{1C640BDF-8349-4AFD-BB0C-7A715C435A8B}"/>
    <hyperlink ref="F558" r:id="rId487" display="https://www.genome.jp/entry/R12040" xr:uid="{27FCC79F-DBFA-4FEE-B87F-C1AA0878C25A}"/>
    <hyperlink ref="F559" r:id="rId488" display="https://www.genome.jp/entry/R12041" xr:uid="{EFA76064-B233-49A5-AD23-4824C411BEDB}"/>
    <hyperlink ref="E680" r:id="rId489" display="https://www.genome.jp/entry/2.7.1.2" xr:uid="{908902E5-30D7-4833-96B1-042A20B77DC7}"/>
    <hyperlink ref="F680" r:id="rId490" display="https://www.genome.jp/entry/R00299" xr:uid="{AE352B2F-9B81-4D1B-B678-0123624D4075}"/>
    <hyperlink ref="F681" r:id="rId491" display="https://www.genome.jp/entry/R01600" xr:uid="{BF844B19-112D-4E2F-BAFE-893D3D243E4E}"/>
    <hyperlink ref="F682" r:id="rId492" display="https://www.genome.jp/entry/R01786" xr:uid="{EDC7EA8D-7BE2-415A-882A-0B80772721A4}"/>
    <hyperlink ref="E627" r:id="rId493" display="https://www.genome.jp/entry/2.5.1.54" xr:uid="{B3E616AF-3F4E-4FF5-AC7F-8351915D035B}"/>
    <hyperlink ref="F627" r:id="rId494" display="https://www.genome.jp/entry/R01826" xr:uid="{459842A2-87DA-4B73-AF13-4717933B6417}"/>
    <hyperlink ref="E258" r:id="rId495" display="https://www.genome.jp/entry/1.5.1.20" xr:uid="{004705A9-BC3A-46F3-B9DD-4BEE53EBC45D}"/>
    <hyperlink ref="F258" r:id="rId496" display="https://www.genome.jp/entry/R01224" xr:uid="{34121128-D0A2-4D87-B6BC-1B62D914AA9A}"/>
    <hyperlink ref="F259" r:id="rId497" display="https://www.genome.jp/entry/R07168" xr:uid="{E65B5CCC-8920-47FE-8FF2-54E70D04DE44}"/>
    <hyperlink ref="E347" r:id="rId498" display="https://www.genome.jp/entry/2.1.1.199" xr:uid="{EDA08E7E-F0F7-4086-9728-2541B7701CF3}"/>
    <hyperlink ref="E1075" r:id="rId499" display="https://www.genome.jp/entry/3.4.16.4" xr:uid="{A0A8855F-6572-4F1D-8825-18CD3C301660}"/>
    <hyperlink ref="E1442" r:id="rId500" display="https://www.genome.jp/entry/6.3.2.13" xr:uid="{2B5EF8DF-3091-46C2-9FAA-FF36B3C932AC}"/>
    <hyperlink ref="F1442" r:id="rId501" display="https://www.genome.jp/entry/R02788" xr:uid="{40CBE491-FFA1-4C34-BF79-390D59A376B8}"/>
    <hyperlink ref="E1437" r:id="rId502" display="https://www.genome.jp/entry/6.3.2.10" xr:uid="{F51E2AC5-DED7-4B0F-8BC4-E74BA604C7E4}"/>
    <hyperlink ref="F1437" r:id="rId503" display="https://www.genome.jp/entry/R04573" xr:uid="{6BBB5201-8BC9-4883-84DE-3A228D0A0793}"/>
    <hyperlink ref="F1438" r:id="rId504" display="https://www.genome.jp/entry/R04617" xr:uid="{E3F8ED8F-44E7-4F51-B6CB-B4225BE33E63}"/>
    <hyperlink ref="E881" r:id="rId505" display="https://www.genome.jp/entry/2.7.8.13" xr:uid="{40C67C20-DAA2-431E-B425-EC4475F4159D}"/>
    <hyperlink ref="F881" r:id="rId506" display="https://www.genome.jp/entry/R05629" xr:uid="{74168B54-D6BD-474C-B747-74493ADEA724}"/>
    <hyperlink ref="F882" r:id="rId507" display="https://www.genome.jp/entry/R05630" xr:uid="{68F61400-95C0-4D6A-8080-A0F31746DB6F}"/>
    <hyperlink ref="E1453" r:id="rId508" display="https://www.genome.jp/entry/6.3.2.9" xr:uid="{61AB874A-A33F-4CC0-B2E5-DE65625B8C2B}"/>
    <hyperlink ref="F1453" r:id="rId509" display="https://www.genome.jp/entry/R02783" xr:uid="{E1AA6B38-8EBF-4772-894F-1A73CA751F36}"/>
    <hyperlink ref="E545" r:id="rId510" display="https://www.genome.jp/entry/2.4.1.227" xr:uid="{ABA82128-24A3-4B2E-A500-3E64413D9F57}"/>
    <hyperlink ref="F545" r:id="rId511" display="https://www.genome.jp/entry/R05662" xr:uid="{0412EDC5-7FE0-4928-B2BA-588D7897C4AF}"/>
    <hyperlink ref="F546" r:id="rId512" display="https://www.genome.jp/entry/R06173" xr:uid="{E7C60D23-DA08-494D-8413-AF10E39A50CF}"/>
    <hyperlink ref="F547" r:id="rId513" display="https://www.genome.jp/entry/R05032" xr:uid="{80002D3C-8236-4393-BB3A-2583DAC0C083}"/>
    <hyperlink ref="F548" r:id="rId514" display="https://www.genome.jp/entry/R06172" xr:uid="{11283870-1104-4149-B08B-256D68D6499B}"/>
    <hyperlink ref="F549" r:id="rId515" display="https://www.genome.jp/entry/R06174" xr:uid="{BDB54770-C20D-414D-9C34-DB7B85718E28}"/>
    <hyperlink ref="E1452" r:id="rId516" display="https://www.genome.jp/entry/6.3.2.8" xr:uid="{8B83134B-F707-4DEE-8034-98D2DCE98F58}"/>
    <hyperlink ref="F1452" r:id="rId517" display="https://www.genome.jp/entry/R03193" xr:uid="{07344CB2-E44D-44F0-B1B4-957E8090B83F}"/>
    <hyperlink ref="E1418" r:id="rId518" display="https://www.genome.jp/entry/6.1.1.5" xr:uid="{99115120-B45E-4FEB-89EB-97BB0FD31017}"/>
    <hyperlink ref="F1418" r:id="rId519" display="https://www.genome.jp/entry/R03656" xr:uid="{84444422-13CC-47A5-B74F-57C67D8A364F}"/>
    <hyperlink ref="E859" r:id="rId520" display="https://www.genome.jp/entry/2.7.7.7" xr:uid="{CF851C9A-9B78-453A-B8B2-3F0099F72D36}"/>
    <hyperlink ref="F859" r:id="rId521" display="https://www.genome.jp/entry/R00379" xr:uid="{DCAB23D2-3FD8-4C55-B6EC-B654C5949F0E}"/>
    <hyperlink ref="F860" r:id="rId522" display="https://www.genome.jp/entry/R00375" xr:uid="{A3DB5497-7855-4CBA-885D-81C3D128EFCD}"/>
    <hyperlink ref="F861" r:id="rId523" display="https://www.genome.jp/entry/R00376" xr:uid="{15D40A5E-97E8-4FFF-BBD4-9D8BC9AA2B4C}"/>
    <hyperlink ref="F862" r:id="rId524" display="https://www.genome.jp/entry/R00377" xr:uid="{A55385B8-C901-4CAF-BB05-6B33EE5E5067}"/>
    <hyperlink ref="F863" r:id="rId525" display="https://www.genome.jp/entry/R00378" xr:uid="{C761B2C6-2EA1-42D0-A30E-25CD8F076D1F}"/>
    <hyperlink ref="F864" r:id="rId526" display="https://www.genome.jp/entry/R11029" xr:uid="{24D2E5A2-E048-4825-8BF6-01F2EE590393}"/>
    <hyperlink ref="E1091" r:id="rId527" display="https://www.genome.jp/entry/3.4.23.36" xr:uid="{2F649FF8-D1C1-4FBD-B965-8DD309F72292}"/>
    <hyperlink ref="E853" r:id="rId528" display="https://www.genome.jp/entry/2.7.7.7" xr:uid="{04819458-B567-4049-A1FF-847156FBFBCD}"/>
    <hyperlink ref="F853" r:id="rId529" display="https://www.genome.jp/entry/R00379" xr:uid="{180E8C31-CB22-4A82-85C4-1E4A36031B10}"/>
    <hyperlink ref="F854" r:id="rId530" display="https://www.genome.jp/entry/R00375" xr:uid="{ED00D107-F8C2-4AD6-933C-78A31A3DD6C7}"/>
    <hyperlink ref="F855" r:id="rId531" display="https://www.genome.jp/entry/R00376" xr:uid="{32FFA618-7215-4A26-BE41-CDF6858EAB87}"/>
    <hyperlink ref="F856" r:id="rId532" display="https://www.genome.jp/entry/R00377" xr:uid="{E510FB4E-9E41-4282-AE62-6FD9D982F6D3}"/>
    <hyperlink ref="F857" r:id="rId533" display="https://www.genome.jp/entry/R00378" xr:uid="{1E02B0E1-9A22-4338-9678-6A9E77DDE911}"/>
    <hyperlink ref="F858" r:id="rId534" display="https://www.genome.jp/entry/R11029" xr:uid="{2457C9D3-DA42-4189-9EB7-320ECC9B616F}"/>
    <hyperlink ref="E1294" r:id="rId535" display="https://www.genome.jp/entry/4.3.1.19" xr:uid="{732F8C44-CDB4-4C25-8D3C-CBEA89C9D924}"/>
    <hyperlink ref="F1294" r:id="rId536" display="https://www.genome.jp/entry/R00996" xr:uid="{8E115053-82D1-43DD-8CB0-5A7805960212}"/>
    <hyperlink ref="F1295" r:id="rId537" display="https://www.genome.jp/entry/R11098" xr:uid="{AA380A15-90AA-4727-ADAB-DFB6239751DC}"/>
    <hyperlink ref="F1296" r:id="rId538" display="https://www.genome.jp/entry/R11101" xr:uid="{81D245F3-CB4B-493E-9BC3-C81633342B22}"/>
    <hyperlink ref="F1297" r:id="rId539" display="https://www.genome.jp/entry/R00220" xr:uid="{22A95897-6E63-4B38-A09E-F600AC9C2D28}"/>
    <hyperlink ref="F1298" r:id="rId540" display="https://www.genome.jp/entry/R06131" xr:uid="{08DB8F2E-B76B-4DF6-A910-28EA63F06E80}"/>
    <hyperlink ref="E1044" r:id="rId541" display="https://www.genome.jp/entry/3.2.1.141" xr:uid="{87B46165-AEA9-403C-BDF2-2E40B6E590F9}"/>
    <hyperlink ref="F1044" r:id="rId542" display="https://www.genome.jp/entry/R11256" xr:uid="{ADC40743-0960-48A4-807E-FFC2EB154AFF}"/>
    <hyperlink ref="E775" r:id="rId543" display="https://www.genome.jp/entry/2.7.6.5" xr:uid="{62324F64-7DE5-4306-A0D8-16BA81973085}"/>
    <hyperlink ref="F775" r:id="rId544" display="https://www.genome.jp/entry/R00429" xr:uid="{964EE36A-1EE3-4324-8726-090A7AB6D2A4}"/>
    <hyperlink ref="E1376" r:id="rId545" display="https://www.genome.jp/entry/5.4.99.15" xr:uid="{7F1ECE91-CFA0-4291-8A94-453140E30B69}"/>
    <hyperlink ref="F1376" r:id="rId546" display="https://www.genome.jp/entry/R01824" xr:uid="{B0FE689D-CF2C-44F0-9A49-1491E99D2662}"/>
    <hyperlink ref="F1377" r:id="rId547" display="https://www.genome.jp/entry/R06243" xr:uid="{D6BF0EBD-1147-4763-889B-3AA2B7208CF9}"/>
    <hyperlink ref="E1045" r:id="rId548" display="https://www.genome.jp/entry/3.2.1.196" xr:uid="{EA5F0D9D-6796-457E-884A-2F309DAE70FA}"/>
    <hyperlink ref="E86" r:id="rId549" display="https://www.genome.jp/entry/1.1.1.23" xr:uid="{2AAE7C64-C068-429E-A2CF-0924D85F262D}"/>
    <hyperlink ref="F86" r:id="rId550" display="https://www.genome.jp/entry/R01158" xr:uid="{95746555-BCD8-435A-8046-CAAA1165018C}"/>
    <hyperlink ref="F87" r:id="rId551" display="https://www.genome.jp/entry/R01163" xr:uid="{7268D2B0-26A6-44BD-84AA-F737D22F4F33}"/>
    <hyperlink ref="F88" r:id="rId552" display="https://www.genome.jp/entry/R03012" xr:uid="{B1E0E0D2-CE1F-4225-AF53-F1737DD3CC98}"/>
    <hyperlink ref="E668" r:id="rId553" display="https://www.genome.jp/entry/2.6.1.9" xr:uid="{8423BDAB-2040-4D2A-9845-E29B845DFA28}"/>
    <hyperlink ref="F668" r:id="rId554" display="https://www.genome.jp/entry/R03243" xr:uid="{36B3CC07-623B-4E2E-9B9D-65B7E1CDFB08}"/>
    <hyperlink ref="F669" r:id="rId555" display="https://www.genome.jp/entry/R00694" xr:uid="{FE8E37B2-BDC6-4675-991A-90F5EC40DF70}"/>
    <hyperlink ref="F670" r:id="rId556" display="https://www.genome.jp/entry/R00734" xr:uid="{47CEFCAC-AF73-4430-B82F-DEB2E6E9E2E0}"/>
    <hyperlink ref="E1252" r:id="rId557" display="https://www.genome.jp/entry/4.2.1.19" xr:uid="{A9A3CDC9-1762-432C-AF5E-9F6EC6F962A9}"/>
    <hyperlink ref="F1252" r:id="rId558" display="https://www.genome.jp/entry/R03457" xr:uid="{1C60F53D-9E0C-4A35-AA8E-770611827326}"/>
    <hyperlink ref="E1303" r:id="rId559" display="https://www.genome.jp/entry/4.3.2.10" xr:uid="{50D215BF-2C00-4BF4-8CE8-35A949B40102}"/>
    <hyperlink ref="F1303" r:id="rId560" display="https://www.genome.jp/entry/R00256" xr:uid="{CF147978-6D4A-4B91-B39B-CD91D23CA094}"/>
    <hyperlink ref="F1304" r:id="rId561" display="https://www.genome.jp/entry/R04558" xr:uid="{9917231B-8FAC-4ACE-BCA4-FC9139B572E8}"/>
    <hyperlink ref="F1305" r:id="rId562" display="https://www.genome.jp/entry/R12152" xr:uid="{19E212F7-95C5-49DF-A96B-C48C74B19263}"/>
    <hyperlink ref="E1348" r:id="rId563" display="https://www.genome.jp/entry/5.3.1.16" xr:uid="{0968AFA1-CAF0-4681-8534-DEE7B0E531C8}"/>
    <hyperlink ref="F1348" r:id="rId564" display="https://www.genome.jp/entry/R04640" xr:uid="{E109C779-69CB-4306-B978-B6A8CFD771D6}"/>
    <hyperlink ref="E1349" r:id="rId565" display="https://www.genome.jp/entry/5.3.1.24" xr:uid="{7E7AD5B5-2927-4D16-A478-AD56C96AF05D}"/>
    <hyperlink ref="F1349" r:id="rId566" display="https://www.genome.jp/entry/R03509" xr:uid="{3425BA51-79F3-402A-B744-7B151DE12FE4}"/>
    <hyperlink ref="F1302" r:id="rId567" display="https://www.genome.jp/entry/R12152" xr:uid="{A38DB66A-13F1-49F0-A163-C251DE5F0D86}"/>
    <hyperlink ref="F1301" r:id="rId568" display="https://www.genome.jp/entry/R04558" xr:uid="{21EF831D-1D29-4378-B71F-FB7A192D78FC}"/>
    <hyperlink ref="F1300" r:id="rId569" display="https://www.genome.jp/entry/R00256" xr:uid="{930538AC-3FFF-4013-9B3C-BC6C1440773C}"/>
    <hyperlink ref="E1300" r:id="rId570" display="https://www.genome.jp/entry/4.3.2.10" xr:uid="{53287A83-6E5B-4950-963E-833297FBEAA9}"/>
    <hyperlink ref="E1148" r:id="rId571" display="https://www.genome.jp/entry/3.5.4.19" xr:uid="{1B783931-5FBC-41AB-85D9-D852B424EA88}"/>
    <hyperlink ref="F1148" r:id="rId572" display="https://www.genome.jp/entry/R04037" xr:uid="{6B21691B-BB76-4D5A-9972-27D81E7C2679}"/>
    <hyperlink ref="E593" r:id="rId573" display="https://www.genome.jp/entry/2.5.1.145" xr:uid="{3B7EDA92-3425-4529-98A6-4813A0946C93}"/>
    <hyperlink ref="E696" r:id="rId574" display="https://www.genome.jp/entry/2.7.1.40" xr:uid="{221C0E57-0320-4589-840B-2FCA4506D41B}"/>
    <hyperlink ref="F696" r:id="rId575" display="https://www.genome.jp/entry/R00200" xr:uid="{2E1F1F71-EEF8-475F-8066-B8A5F7800EB9}"/>
    <hyperlink ref="F697" r:id="rId576" display="https://www.genome.jp/entry/R00430" xr:uid="{ED1D400A-8E8B-4D1A-B397-162796B3D98E}"/>
    <hyperlink ref="F698" r:id="rId577" display="https://www.genome.jp/entry/R00572" xr:uid="{29272FAB-9991-4FB8-AF95-27A1345F6299}"/>
    <hyperlink ref="F699" r:id="rId578" display="https://www.genome.jp/entry/R00659" xr:uid="{51B6C981-0E41-4B45-82ED-45E2458525B8}"/>
    <hyperlink ref="F700" r:id="rId579" display="https://www.genome.jp/entry/R00724" xr:uid="{2A129DD7-E4B0-41C0-AF42-BDD129463AAF}"/>
    <hyperlink ref="F701" r:id="rId580" display="https://www.genome.jp/entry/R01138" xr:uid="{99109B9F-76CA-471A-B1E7-33C9233D072F}"/>
    <hyperlink ref="F702" r:id="rId581" display="https://www.genome.jp/entry/R01858" xr:uid="{3838390F-85D8-409E-8954-A51D1FA8666F}"/>
    <hyperlink ref="F703" r:id="rId582" display="https://www.genome.jp/entry/R02320" xr:uid="{D553A420-18FA-4A51-A595-2B739CA32B16}"/>
    <hyperlink ref="E688" r:id="rId583" display="https://www.genome.jp/entry/2.7.1.31" xr:uid="{A1524B47-AB60-4D56-9C9E-7C2AC5FD5A3D}"/>
    <hyperlink ref="F688" r:id="rId584" display="https://www.genome.jp/entry/R01514" xr:uid="{8168E55D-FAED-465D-8DC2-EE5C5EFD24E4}"/>
    <hyperlink ref="E245" r:id="rId585" display="https://www.genome.jp/entry/1.4.1.4" xr:uid="{1B1406F6-A46B-45B8-83EF-E260544076FF}"/>
    <hyperlink ref="F245" r:id="rId586" display="https://www.genome.jp/entry/R00248" xr:uid="{F864179F-212F-4ECE-83B7-21803C77BCC8}"/>
    <hyperlink ref="F246" r:id="rId587" display="https://www.genome.jp/entry/R00145" xr:uid="{CEB5CE80-6920-4529-A7F0-B0B477E87AE0}"/>
    <hyperlink ref="F247" r:id="rId588" display="https://www.genome.jp/entry/R00146" xr:uid="{428FA794-2C6C-4CD4-8059-6CAB085A0CA9}"/>
    <hyperlink ref="E1516" r:id="rId589" display="https://www.genome.jp/entry/7.1.2.2" xr:uid="{29C26BFF-6351-4133-9CCD-0D4EE250F2EA}"/>
    <hyperlink ref="F1516" r:id="rId590" display="https://www.genome.jp/entry/R00086" xr:uid="{E9C3EE58-9887-453E-9401-416339090408}"/>
    <hyperlink ref="E990" r:id="rId591" display="https://www.genome.jp/entry/3.1.26.3" xr:uid="{42FFAAF8-5BC0-4A24-85A7-D6FD6EA84FAC}"/>
    <hyperlink ref="E1053" r:id="rId592" display="https://www.genome.jp/entry/3.2.2.23" xr:uid="{59CEEB6C-E78F-4135-8DA9-2224C709EE7C}"/>
    <hyperlink ref="E1287" r:id="rId593" display="https://www.genome.jp/entry/4.2.99.18" xr:uid="{F6006DDC-4B70-4086-856A-8A52C784D5EF}"/>
    <hyperlink ref="E1174" r:id="rId594" display="https://www.genome.jp/entry/3.6.1.7" xr:uid="{5A5EC249-89B4-45EB-9780-D772ACB5A5E4}"/>
    <hyperlink ref="F1174" r:id="rId595" display="https://www.genome.jp/entry/R00539" xr:uid="{28EC27EB-2CEA-4B0F-ABDB-2AD5FBCB6A0D}"/>
    <hyperlink ref="F1175" r:id="rId596" display="https://www.genome.jp/entry/R00317" xr:uid="{699AEC85-3B81-4E6C-8E2B-24290711C429}"/>
    <hyperlink ref="F1176" r:id="rId597" display="https://www.genome.jp/entry/R01421" xr:uid="{7EFFEDA4-DD57-4717-B0D1-95C7A1B6A143}"/>
    <hyperlink ref="F1177" r:id="rId598" display="https://www.genome.jp/entry/R01515" xr:uid="{817402A3-3F96-46EB-8922-126008E0D4E1}"/>
    <hyperlink ref="E790" r:id="rId599" display="https://www.genome.jp/entry/2.7.7.59" xr:uid="{EC7A94A2-6DEC-4516-AB8D-8F3C8351D988}"/>
    <hyperlink ref="F790" r:id="rId600" display="https://www.genome.jp/entry/R04733" xr:uid="{60ABC03A-3211-4A0D-ADD8-48F03073FFB7}"/>
    <hyperlink ref="E349" r:id="rId601" display="https://www.genome.jp/entry/2.1.1.228" xr:uid="{9D2697C3-2B84-47D5-BB6F-6BA7AD939BBB}"/>
    <hyperlink ref="F349" r:id="rId602" display="https://www.genome.jp/entry/R00597" xr:uid="{698F453E-29CD-42AA-A72B-E79A7897F69B}"/>
    <hyperlink ref="E1387" r:id="rId603" display="https://www.genome.jp/entry/5.5.1.2" xr:uid="{92557201-A71F-41F9-A08B-DC1EED99FDD8}"/>
    <hyperlink ref="F1387" r:id="rId604" display="https://www.genome.jp/entry/R03307" xr:uid="{97FA80FA-4C5A-4729-A53A-901D208BF1B5}"/>
    <hyperlink ref="E891" r:id="rId605" display="https://www.genome.jp/entry/2.8.1.10" xr:uid="{2081B3A6-3B29-4763-B60C-9B7D0DE0A928}"/>
    <hyperlink ref="F891" r:id="rId606" display="https://www.genome.jp/entry/R10247" xr:uid="{3DED1C69-07A3-46D4-8027-0FCA52965EFD}"/>
    <hyperlink ref="E248" r:id="rId607" display="https://www.genome.jp/entry/1.4.3.19" xr:uid="{99746636-971D-454D-84AA-D89A15602249}"/>
    <hyperlink ref="F248" r:id="rId608" display="https://www.genome.jp/entry/R00366" xr:uid="{54EC81D7-1D79-4943-9698-624839F20555}"/>
    <hyperlink ref="F249" r:id="rId609" display="https://www.genome.jp/entry/R07463" xr:uid="{F804B997-7E24-44F9-AD4D-E37B62727277}"/>
    <hyperlink ref="F250" r:id="rId610" display="https://www.genome.jp/entry/R10245" xr:uid="{74F902F3-527D-46AD-9321-0166F8FD91D6}"/>
    <hyperlink ref="F251" r:id="rId611" display="https://www.genome.jp/entry/R05861" xr:uid="{DAFD1821-5898-4DE9-96F9-B92413516A2F}"/>
    <hyperlink ref="F252" r:id="rId612" display="https://www.genome.jp/entry/R05862" xr:uid="{24CE899B-C0A9-412B-8E10-05E50990EAFB}"/>
    <hyperlink ref="F253" r:id="rId613" display="https://www.genome.jp/entry/R05863" xr:uid="{85C0478F-F8E7-468F-8364-272F57FF2B78}"/>
    <hyperlink ref="E607" r:id="rId614" display="https://www.genome.jp/entry/2.5.1.3" xr:uid="{F3CE20CB-FB60-4B0A-B66E-C7A552A55175}"/>
    <hyperlink ref="F607" r:id="rId615" display="https://www.genome.jp/entry/R03223" xr:uid="{DBC49FE6-230C-44B5-B743-37817C87D51B}"/>
    <hyperlink ref="F608" r:id="rId616" display="https://www.genome.jp/entry/R10712" xr:uid="{BA2C17B5-8EBC-4BF1-9673-261613EBCE88}"/>
    <hyperlink ref="F609" r:id="rId617" display="https://www.genome.jp/entry/R11312" xr:uid="{893F9723-6A69-48D9-AF47-1766EC196CC9}"/>
    <hyperlink ref="E1090" r:id="rId618" display="https://www.genome.jp/entry/3.4.21.89" xr:uid="{B28B091B-C14E-43E1-9FBA-1B71C876D67A}"/>
    <hyperlink ref="E991" r:id="rId619" display="https://www.genome.jp/entry/3.1.26.4" xr:uid="{9514845D-7AD2-40DE-8095-5A7929711893}"/>
    <hyperlink ref="E742" r:id="rId620" display="https://www.genome.jp/entry/2.7.4.22" xr:uid="{B0459447-EDA0-4A38-B8EB-39157DA82202}"/>
    <hyperlink ref="F742" r:id="rId621" display="https://www.genome.jp/entry/R00158" xr:uid="{52BF6EA7-F8D5-4DAD-BFBD-1189990D0F67}"/>
    <hyperlink ref="E787" r:id="rId622" display="https://www.genome.jp/entry/2.7.7.41" xr:uid="{3D926026-7D05-478F-99A5-0338593D5236}"/>
    <hyperlink ref="F787" r:id="rId623" display="https://www.genome.jp/entry/R01799" xr:uid="{F088A5C3-5B6E-41B6-A85F-E2EE84683408}"/>
    <hyperlink ref="E344" r:id="rId624" display="https://www.genome.jp/entry/2.1.1.192" xr:uid="{830A5348-C032-442C-8880-5D60CF57EEFD}"/>
    <hyperlink ref="E91" r:id="rId625" display="https://www.genome.jp/entry/1.1.1.267" xr:uid="{66E84561-49E4-42E2-95C6-32FF74D7F5BA}"/>
    <hyperlink ref="F91" r:id="rId626" display="https://www.genome.jp/entry/R05688" xr:uid="{BE58AC2D-5947-4895-8781-0818BFBD89B4}"/>
    <hyperlink ref="E197" r:id="rId627" display="https://www.genome.jp/entry/1.17.7.1" xr:uid="{52D2F444-DE6E-4ABE-ABAF-DDA2392E789C}"/>
    <hyperlink ref="F197" r:id="rId628" display="https://www.genome.jp/entry/R08689" xr:uid="{1D5B0FDD-8A91-4250-A211-F64AC92647F9}"/>
    <hyperlink ref="E725" r:id="rId629" display="https://www.genome.jp/entry/2.7.13.3" xr:uid="{39E960F9-B1B4-4F2B-BB9D-E5A4D7BBFD85}"/>
    <hyperlink ref="E1071" r:id="rId630" display="https://www.genome.jp/entry/3.4.11.18" xr:uid="{6CAEA50C-CEA4-4D95-8A9B-BAC8CDB5C68A}"/>
    <hyperlink ref="E284" r:id="rId631" display="https://www.genome.jp/entry/1.8.1.15" xr:uid="{57CB91DE-8704-4892-BE8D-B503077E4095}"/>
    <hyperlink ref="F284" r:id="rId632" display="https://www.genome.jp/entry/R05715" xr:uid="{558C3226-D5A9-4481-8F3A-136FDC3B6836}"/>
    <hyperlink ref="F285" r:id="rId633" display="https://www.genome.jp/entry/R05716" xr:uid="{D3DEE54F-4C2D-4101-9074-5DF697E08F32}"/>
    <hyperlink ref="F286" r:id="rId634" display="https://www.genome.jp/entry/R06289" xr:uid="{2D66EEE2-DF43-4A21-8FF8-F01C968FD031}"/>
    <hyperlink ref="F287" r:id="rId635" display="https://www.genome.jp/entry/R06290" xr:uid="{D7E49658-097C-45E2-AE90-5007A191FE60}"/>
    <hyperlink ref="E127" r:id="rId636" display="https://www.genome.jp/entry/1.1.5.4" xr:uid="{67E7B69C-321C-4820-9A10-E4A728C6AD1D}"/>
    <hyperlink ref="F127" r:id="rId637" display="https://www.genome.jp/entry/R00361" xr:uid="{5B7A3789-A3E8-43AE-AF91-C23F7473A3D2}"/>
    <hyperlink ref="F128" r:id="rId638" display="https://www.genome.jp/entry/R00360" xr:uid="{B9D6DEBD-A333-4BC5-9C50-BEFE4E3D74DA}"/>
    <hyperlink ref="F129" r:id="rId639" display="https://www.genome.jp/entry/R01257" xr:uid="{5D645E07-328C-4639-93AE-0955147794DF}"/>
    <hyperlink ref="E776" r:id="rId640" display="https://www.genome.jp/entry/2.7.7.108" xr:uid="{40CDB563-3DBC-48D9-91AE-6824EFBAF669}"/>
    <hyperlink ref="E331" r:id="rId641" display="https://www.genome.jp/entry/2.1.1.107" xr:uid="{5444EC91-8B8B-4127-8E6D-D70AACF0E074}"/>
    <hyperlink ref="F331" r:id="rId642" display="https://www.genome.jp/entry/R03194" xr:uid="{2C4EA7B1-F937-4E68-883E-DC1E0C32723A}"/>
    <hyperlink ref="F332" r:id="rId643" display="https://www.genome.jp/entry/R07237" xr:uid="{69DDAE7A-D638-4717-85BD-D79D9F80E083}"/>
    <hyperlink ref="F333" r:id="rId644" display="https://www.genome.jp/entry/R07238" xr:uid="{FBEBDE41-36CA-4AFA-9A28-AC1E67244B0E}"/>
    <hyperlink ref="F334" r:id="rId645" display="https://www.genome.jp/entry/R03950" xr:uid="{E555D0F5-5206-4CFA-B805-37E6F31D1D92}"/>
    <hyperlink ref="E1408" r:id="rId646" display="https://www.genome.jp/entry/6.1.1.15" xr:uid="{9AE62CC5-3DBE-4D22-890A-7E01DA4528EF}"/>
    <hyperlink ref="F1408" r:id="rId647" display="https://www.genome.jp/entry/R03661" xr:uid="{30084B11-1BBF-4381-A327-CADEAFA9E8EE}"/>
    <hyperlink ref="E886" r:id="rId648" display="https://www.genome.jp/entry/2.7.8.7" xr:uid="{24D7BC00-385F-4749-B361-5EBDB3A02195}"/>
    <hyperlink ref="F886" r:id="rId649" display="https://www.genome.jp/entry/R01625" xr:uid="{C59DC1EE-03EC-49C5-AF6A-48BA153E9DED}"/>
    <hyperlink ref="E1382" r:id="rId650" display="https://www.genome.jp/entry/5.4.99.25" xr:uid="{72886885-5111-4709-B2A0-7F4F4A52E8AF}"/>
    <hyperlink ref="E686" r:id="rId651" display="https://www.genome.jp/entry/2.7.1.26" xr:uid="{48FC1EA0-566B-4C95-AA07-7A74DE8EB813}"/>
    <hyperlink ref="F686" r:id="rId652" display="https://www.genome.jp/entry/R00549" xr:uid="{545D56F9-AC06-40FD-8E97-3E74E4F9C309}"/>
    <hyperlink ref="E780" r:id="rId653" display="https://www.genome.jp/entry/2.7.7.2" xr:uid="{8EB883A2-05DD-4332-8429-E760F164CA8A}"/>
    <hyperlink ref="F780" r:id="rId654" display="https://www.genome.jp/entry/R00161" xr:uid="{C76FF107-831A-4CC6-AA73-ED0391CE4F1C}"/>
    <hyperlink ref="E870" r:id="rId655" display="https://www.genome.jp/entry/2.7.7.8" xr:uid="{D81C8348-F9D5-457A-8523-F0C8429D24A8}"/>
    <hyperlink ref="F870" r:id="rId656" display="https://www.genome.jp/entry/R07282" xr:uid="{2E83AE1F-7D0C-4B56-A904-10BB8CB4741E}"/>
    <hyperlink ref="F871" r:id="rId657" display="https://www.genome.jp/entry/R00437" xr:uid="{0D7A19ED-4DA3-4AB4-85D7-044B88B4EFAD}"/>
    <hyperlink ref="F872" r:id="rId658" display="https://www.genome.jp/entry/R00438" xr:uid="{D0FEA2BF-B5D6-43E9-AEDE-9D581FBD15D3}"/>
    <hyperlink ref="F873" r:id="rId659" display="https://www.genome.jp/entry/R00439" xr:uid="{4A690E19-2F08-415A-BCBF-1EC8698B6947}"/>
    <hyperlink ref="F874" r:id="rId660" display="https://www.genome.jp/entry/R00440" xr:uid="{068FB874-98B6-40EE-926D-AC57D8A164C1}"/>
    <hyperlink ref="E179" r:id="rId661" display="https://www.genome.jp/entry/1.17.1.8" xr:uid="{37DBFB8F-0B13-4F25-8FC2-05D6EAF82ADC}"/>
    <hyperlink ref="F179" r:id="rId662" display="https://www.genome.jp/entry/R04198" xr:uid="{CA253CA9-0401-4305-82DE-86407558FF39}"/>
    <hyperlink ref="F180" r:id="rId663" display="https://www.genome.jp/entry/R04199" xr:uid="{3B3EF6FF-8CB2-4CF0-BBDC-48E3BFCFA09C}"/>
    <hyperlink ref="E339" r:id="rId664" display="https://www.genome.jp/entry/2.1.1.148" xr:uid="{E584D281-F942-4B91-A61D-6FE51C10FF02}"/>
    <hyperlink ref="F339" r:id="rId665" display="https://www.genome.jp/entry/R06613" xr:uid="{054FE4B9-7788-434C-9C45-D281A13362FD}"/>
    <hyperlink ref="E1313" r:id="rId666" display="https://www.genome.jp/entry/4.3.3.7" xr:uid="{53655E92-4C04-463D-8662-F0F2F1EEDF0E}"/>
    <hyperlink ref="F1313" r:id="rId667" display="https://www.genome.jp/entry/R10147" xr:uid="{1E032C7D-FE03-42A1-8177-3220F2D2C156}"/>
    <hyperlink ref="E885" r:id="rId668" display="https://www.genome.jp/entry/2.7.8.5" xr:uid="{6459E9E2-4FED-4F22-B6AB-FA00EAF3B2D1}"/>
    <hyperlink ref="F885" r:id="rId669" display="https://www.genome.jp/entry/R01801" xr:uid="{5CAC52FD-4F34-40BB-9F2C-6A6C54BF01BF}"/>
    <hyperlink ref="E904" r:id="rId670" display="https://www.genome.jp/entry/2.8.4.3" xr:uid="{FE5FCFCC-A572-4CB7-B7F9-6C4021AF4183}"/>
    <hyperlink ref="F904" r:id="rId671" display="https://www.genome.jp/entry/R10645" xr:uid="{5C1B5BE8-D3E8-4115-B183-2C8C9B74A41B}"/>
    <hyperlink ref="F905" r:id="rId672" display="https://www.genome.jp/entry/R10646" xr:uid="{1AAB8F28-5332-4342-A6AC-E75AE4AF043D}"/>
    <hyperlink ref="F906" r:id="rId673" display="https://www.genome.jp/entry/R10647" xr:uid="{E9A7B7CB-DF5C-4B6C-B751-DB9EAAE2DB67}"/>
    <hyperlink ref="E635" r:id="rId674" display="https://www.genome.jp/entry/2.5.1.75" xr:uid="{4B3F232A-12AA-420D-93C7-6D50552D8060}"/>
    <hyperlink ref="F635" r:id="rId675" display="https://www.genome.jp/entry/R01122" xr:uid="{BE764873-C29A-4D8E-A9C2-BB701BC877DC}"/>
    <hyperlink ref="E1329" r:id="rId676" display="https://www.genome.jp/entry/5.1.1.7" xr:uid="{D2DA6E1B-FD3F-439C-BCC6-53D204A880B8}"/>
    <hyperlink ref="F1329" r:id="rId677" display="https://www.genome.jp/entry/R02735" xr:uid="{AE741349-2481-4CEB-9951-6F686A5F681F}"/>
    <hyperlink ref="E707" r:id="rId678" display="https://www.genome.jp/entry/2.7.1.56" xr:uid="{7807581A-4861-41B9-9E2D-8EFF2361F067}"/>
    <hyperlink ref="F707" r:id="rId679" display="https://www.genome.jp/entry/R13203" xr:uid="{486E4818-036E-4D8E-B523-6AFF98011696}"/>
    <hyperlink ref="F708" r:id="rId680" display="https://www.genome.jp/entry/R02071" xr:uid="{03A7E505-34E7-4F46-8343-FBA2B2A51ABE}"/>
    <hyperlink ref="F709" r:id="rId681" display="https://www.genome.jp/entry/R03236" xr:uid="{E327579E-5C3E-4453-97F8-DD089DB573EE}"/>
    <hyperlink ref="E737" r:id="rId682" display="https://www.genome.jp/entry/2.7.3.9" xr:uid="{17DD9679-243E-4CBC-A39E-DA30059E6F6E}"/>
    <hyperlink ref="F737" r:id="rId683" display="https://www.genome.jp/entry/R02628" xr:uid="{2A761736-9E6D-42E2-8782-8D7D5ED6F3D4}"/>
    <hyperlink ref="E1089" r:id="rId684" display="https://www.genome.jp/entry/3.4.21.88" xr:uid="{9E27E029-B061-4D4A-B920-FF4D49F1ADF5}"/>
    <hyperlink ref="E1211" r:id="rId685" display="https://www.genome.jp/entry/3.6.4.13" xr:uid="{B4C2FA5A-E755-4136-915A-87A540900C60}"/>
    <hyperlink ref="E1332" r:id="rId686" display="https://www.genome.jp/entry/5.1.3.2" xr:uid="{0760BA2E-E2D5-4AFE-A3E6-82C0EF6CC401}"/>
    <hyperlink ref="F1332" r:id="rId687" display="https://www.genome.jp/entry/R00291" xr:uid="{AB008569-5DEE-4D05-B960-1E9CD55CEDBF}"/>
    <hyperlink ref="F1333" r:id="rId688" display="https://www.genome.jp/entry/R00418" xr:uid="{10B5A0B7-DFB7-45DA-98AE-D9D55E44F8E9}"/>
    <hyperlink ref="F1334" r:id="rId689" display="https://www.genome.jp/entry/R02984" xr:uid="{1E088CA5-0892-496C-9790-295FEA57AF2F}"/>
    <hyperlink ref="E973" r:id="rId690" display="https://www.genome.jp/entry/3.1.1.96" xr:uid="{20AE8B20-0EFC-4735-8C1B-17255AB00B4C}"/>
    <hyperlink ref="E710" r:id="rId691" display="https://www.genome.jp/entry/2.7.1.63" xr:uid="{27ED71F1-6A9C-470A-B0B9-3AF895DA1ADB}"/>
    <hyperlink ref="F710" r:id="rId692" display="https://www.genome.jp/entry/R02185" xr:uid="{084E1507-AD88-48D8-A4FC-757AA5DD68CA}"/>
    <hyperlink ref="F711" r:id="rId693" display="https://www.genome.jp/entry/R02187" xr:uid="{D4743E51-8D72-4CD6-9B8A-3DA9BE7583AC}"/>
    <hyperlink ref="F712" r:id="rId694" display="https://www.genome.jp/entry/R02189" xr:uid="{4299A0D4-A5F1-457E-87DF-D4D5D3D06274}"/>
    <hyperlink ref="E1165" r:id="rId695" display="https://www.genome.jp/entry/3.6.1.23" xr:uid="{8FB46B56-220C-4A13-84EF-DF543A214E7A}"/>
    <hyperlink ref="F1165" r:id="rId696" display="https://www.genome.jp/entry/R02100" xr:uid="{B6E7FCC7-E002-49F6-AC36-A90938DC04AC}"/>
    <hyperlink ref="F1166" r:id="rId697" display="https://www.genome.jp/entry/R11896" xr:uid="{5BB79A1C-5ADC-44A1-8A2C-F2CFB9EA39C1}"/>
    <hyperlink ref="E386" r:id="rId698" display="https://www.genome.jp/entry/2.2.1.7" xr:uid="{4973FA87-101D-44D3-A3CF-C516CD44C6F1}"/>
    <hyperlink ref="F386" r:id="rId699" display="https://www.genome.jp/entry/R05636" xr:uid="{12876B62-8BA5-456E-945A-283007231F1C}"/>
    <hyperlink ref="E979" r:id="rId700" display="https://www.genome.jp/entry/3.1.13.5" xr:uid="{259DB4A6-92F3-49AF-8326-EB7822696D80}"/>
    <hyperlink ref="E238" r:id="rId701" display="https://www.genome.jp/entry/1.3.98.5" xr:uid="{90590345-DEEF-49FE-9FE2-F3281DF65640}"/>
    <hyperlink ref="F238" r:id="rId702" display="https://www.genome.jp/entry/R11522" xr:uid="{E5130CC0-BCE6-4A47-AF8C-EC39644324DB}"/>
    <hyperlink ref="F239" r:id="rId703" display="https://www.genome.jp/entry/R12454" xr:uid="{014809B9-46BD-4DEB-9997-81A02BAD72B5}"/>
    <hyperlink ref="F240" r:id="rId704" display="https://www.genome.jp/entry/R12455" xr:uid="{9C27F60C-DD73-45EA-AE40-D9BEA9EBD4A8}"/>
    <hyperlink ref="E298" r:id="rId705" display="https://www.genome.jp/entry/1.8.4.12" xr:uid="{243E15D4-B265-48BE-AC7E-F9B298A0C28B}"/>
    <hyperlink ref="F298" r:id="rId706" display="https://www.genome.jp/entry/R07607" xr:uid="{8E842B02-D815-4106-9ECB-0FEDAE24BC80}"/>
    <hyperlink ref="E571" r:id="rId707" display="https://www.genome.jp/entry/2.4.2.47" xr:uid="{628B5BD3-5390-42FB-8F5A-1117A909EFB2}"/>
    <hyperlink ref="E352" r:id="rId708" display="https://www.genome.jp/entry/2.1.1.37" xr:uid="{0CDBA994-8348-447D-B232-26F071BB3A32}"/>
    <hyperlink ref="F352" r:id="rId709" display="https://www.genome.jp/entry/R00380" xr:uid="{FC7DAB21-0423-43F5-BCC4-5C6F3DB204BE}"/>
    <hyperlink ref="F353" r:id="rId710" display="https://www.genome.jp/entry/R04858" xr:uid="{8A75FE3F-2E28-4E98-A90D-6D99C10BC1B0}"/>
    <hyperlink ref="E1010" r:id="rId711" display="https://www.genome.jp/entry/3.1.3.16" xr:uid="{D052CE8A-00A9-4404-A5EF-61EA600A8040}"/>
    <hyperlink ref="F1010" r:id="rId712" display="https://www.genome.jp/entry/R00164" xr:uid="{86297B12-3BEB-455F-955E-1B1EF40A7237}"/>
    <hyperlink ref="E1019" r:id="rId713" display="https://www.genome.jp/entry/3.1.3.48" xr:uid="{3B9C276C-0F15-4F81-9E38-585755F961EB}"/>
    <hyperlink ref="F1019" r:id="rId714" display="https://www.genome.jp/entry/R02585" xr:uid="{61C5348A-9233-44F6-8EC8-1DC886F64CF1}"/>
    <hyperlink ref="E1416" r:id="rId715" display="https://www.genome.jp/entry/6.1.1.3" xr:uid="{925C6DAF-F398-4D4D-B5D7-9622BF94895A}"/>
    <hyperlink ref="F1416" r:id="rId716" display="https://www.genome.jp/entry/R03663" xr:uid="{8F08CC01-21CB-4A0A-8D7D-5956B4532692}"/>
    <hyperlink ref="E986" r:id="rId717" display="https://www.genome.jp/entry/3.1.21.10" xr:uid="{F6E9C401-CCAE-473B-87C0-6A7340EF1675}"/>
    <hyperlink ref="E1207" r:id="rId718" display="https://www.genome.jp/entry/3.6.4.12" xr:uid="{74B7CB57-6C4F-4497-BF23-E28491A906C0}"/>
    <hyperlink ref="E1206" r:id="rId719" display="https://www.genome.jp/entry/3.6.4.12" xr:uid="{35923915-0299-4BE3-8628-E317FCCDDEE7}"/>
    <hyperlink ref="E572" r:id="rId720" display="https://www.genome.jp/entry/2.4.2.7" xr:uid="{A02BA6D9-1FD7-46B8-9CD3-97C57C685D6D}"/>
    <hyperlink ref="F572" r:id="rId721" display="https://www.genome.jp/entry/R00190" xr:uid="{7B953401-A1C2-4398-A2A3-A947F8E6BD32}"/>
    <hyperlink ref="F573" r:id="rId722" display="https://www.genome.jp/entry/R04378" xr:uid="{2734304E-46B6-4CE5-8CF6-513F0AB3F8A6}"/>
    <hyperlink ref="E774" r:id="rId723" display="https://www.genome.jp/entry/2.7.6.5" xr:uid="{2B34F607-CFF7-4CD1-B1B1-177D2EA2C8EE}"/>
    <hyperlink ref="F774" r:id="rId724" display="https://www.genome.jp/entry/R00429" xr:uid="{95F035C1-73B3-44D7-A9E6-04A44DE9B075}"/>
    <hyperlink ref="E1341" r:id="rId725" display="https://www.genome.jp/entry/5.2.1.8" xr:uid="{0FDDD762-9C93-44EF-A321-0DC13C174AC2}"/>
    <hyperlink ref="F1341" r:id="rId726" display="https://www.genome.jp/entry/R04273" xr:uid="{85CE5724-F0F5-4732-8A2D-15624FDAB964}"/>
    <hyperlink ref="E1415" r:id="rId727" display="https://www.genome.jp/entry/6.1.1.21" xr:uid="{72C5752C-6AD5-47C5-AE1B-F45B5651EB6F}"/>
    <hyperlink ref="F1415" r:id="rId728" display="https://www.genome.jp/entry/R03655" xr:uid="{DEAFC761-1657-4D6B-B003-A50ECA159F81}"/>
    <hyperlink ref="E1289" r:id="rId729" display="https://www.genome.jp/entry/4.3.1.17" xr:uid="{BFDB15D8-8A8B-48D5-B4F9-83B8C37D951E}"/>
    <hyperlink ref="F1289" r:id="rId730" display="https://www.genome.jp/entry/R00220" xr:uid="{5A02CAFA-B3DC-455D-8730-F87D618B0E57}"/>
    <hyperlink ref="F1290" r:id="rId731" display="https://www.genome.jp/entry/R00590" xr:uid="{8FB59BC6-E1EA-4912-A280-9929C032C6B2}"/>
    <hyperlink ref="F1291" r:id="rId732" display="https://www.genome.jp/entry/R11099" xr:uid="{5411B572-C091-482F-BA00-55B5020B9A5A}"/>
    <hyperlink ref="F1292" r:id="rId733" display="https://www.genome.jp/entry/R11100" xr:uid="{D502E7CB-14C7-4FE0-B361-FFCB0B0192CE}"/>
    <hyperlink ref="F1293" r:id="rId734" display="https://www.genome.jp/entry/R06131" xr:uid="{56F87BE4-8E91-490C-BC8C-7C68F877715B}"/>
    <hyperlink ref="E1406" r:id="rId735" display="https://www.genome.jp/entry/6.1.1.12" xr:uid="{9F307DFF-7D14-4939-A6A9-96A7CF3A6390}"/>
    <hyperlink ref="F1406" r:id="rId736" display="https://www.genome.jp/entry/R05577" xr:uid="{A098B4E0-0EB1-4BA4-A8EE-B5BDF63E13B0}"/>
    <hyperlink ref="E1420" r:id="rId737" display="https://www.genome.jp/entry/6.1.1.7" xr:uid="{B65AE275-0982-4700-918D-978557FAE107}"/>
    <hyperlink ref="F1420" r:id="rId738" display="https://www.genome.jp/entry/R03038" xr:uid="{5DE77311-E6BF-4522-A956-EB929A7490EE}"/>
    <hyperlink ref="E985" r:id="rId739" display="https://www.genome.jp/entry/3.1.21.10" xr:uid="{5CBEA0FC-7274-4F51-B4AA-40148BD72CE6}"/>
    <hyperlink ref="E89" r:id="rId740" display="https://www.genome.jp/entry/1.1.1.25" xr:uid="{302B3A3D-89EE-40F9-854D-35F68830422A}"/>
    <hyperlink ref="F89" r:id="rId741" display="https://www.genome.jp/entry/R02413" xr:uid="{14F9E710-25CE-462F-B5E8-D5E49840F194}"/>
    <hyperlink ref="F90" r:id="rId742" display="https://www.genome.jp/entry/R12885" xr:uid="{EBA958FB-BF7E-426F-BE49-CC3881A32221}"/>
    <hyperlink ref="E1092" r:id="rId743" display="https://www.genome.jp/entry/3.4.23.43" xr:uid="{1AD5483C-3CFD-4B27-8B42-0FC650C169B8}"/>
    <hyperlink ref="E1283" r:id="rId744" display="https://www.genome.jp/entry/4.2.3.5" xr:uid="{AF99ACBE-2D67-4EC9-B3F9-696636B5A72A}"/>
    <hyperlink ref="F1283" r:id="rId745" display="https://www.genome.jp/entry/R01714" xr:uid="{BE8FCC94-5DAE-4022-A07D-3B765EFC463B}"/>
    <hyperlink ref="E713" r:id="rId746" display="https://www.genome.jp/entry/2.7.1.71" xr:uid="{66BEF17E-AAEB-4C87-A1A6-3A658A8BB2E3}"/>
    <hyperlink ref="F713" r:id="rId747" display="https://www.genome.jp/entry/R02412" xr:uid="{E6E0F6A9-2D80-4ED3-91FD-34CA0A01EA51}"/>
    <hyperlink ref="E1282" r:id="rId748" display="https://www.genome.jp/entry/4.2.3.4" xr:uid="{83D10C19-E6BD-4252-B6CD-9A38FC446866}"/>
    <hyperlink ref="F1282" r:id="rId749" display="https://www.genome.jp/entry/R03083" xr:uid="{24503AC0-8A44-4D02-B3E9-F7DFAC52AEEF}"/>
    <hyperlink ref="E1074" r:id="rId750" display="https://www.genome.jp/entry/3.4.11.9" xr:uid="{EC0A64C0-D7AC-4EAD-8EC5-F5D712A09558}"/>
    <hyperlink ref="E581" r:id="rId751" display="https://www.genome.jp/entry/2.4.2.9" xr:uid="{671456F1-8305-448B-BC0D-9F79FD682851}"/>
    <hyperlink ref="F581" r:id="rId752" display="https://www.genome.jp/entry/R00966" xr:uid="{278DF051-2848-4446-A5C8-7CE2174483F9}"/>
    <hyperlink ref="E368" r:id="rId753" display="https://www.genome.jp/entry/2.1.3.2" xr:uid="{32D810E0-3634-41E4-8DDF-94E035B626B6}"/>
    <hyperlink ref="F368" r:id="rId754" display="https://www.genome.jp/entry/R01397" xr:uid="{279AF083-0937-4BE2-B636-5A0BC81E4791}"/>
    <hyperlink ref="E1138" r:id="rId755" display="https://www.genome.jp/entry/3.5.2.3" xr:uid="{CCABEEFF-3EDB-44D7-9147-116EFE4AEE08}"/>
    <hyperlink ref="F1138" r:id="rId756" display="https://www.genome.jp/entry/R01993" xr:uid="{F4742631-6318-4BF2-AF8C-D4A46E3870A5}"/>
    <hyperlink ref="E1487" r:id="rId757" display="https://www.genome.jp/entry/6.3.5.5" xr:uid="{34473438-8F46-4D55-A837-DEC3A5CC5DC7}"/>
    <hyperlink ref="F1487" r:id="rId758" display="https://www.genome.jp/entry/R00256" xr:uid="{75D39569-2097-44E4-BB22-8365A3F5FECA}"/>
    <hyperlink ref="F1488" r:id="rId759" display="https://www.genome.jp/entry/R00575" xr:uid="{53044C27-A5CA-4A44-8789-407955BE8BF7}"/>
    <hyperlink ref="F1489" r:id="rId760" display="https://www.genome.jp/entry/R01395" xr:uid="{E25636FA-7983-4D46-A7B4-3DFCD341C8F1}"/>
    <hyperlink ref="F1490" r:id="rId761" display="https://www.genome.jp/entry/R10948" xr:uid="{A56C2C6F-E7B6-48DA-B8AC-422A9C89CD03}"/>
    <hyperlink ref="F1491" r:id="rId762" display="https://www.genome.jp/entry/R10949" xr:uid="{F74FC193-9F1E-4A81-927D-70A0285B28B0}"/>
    <hyperlink ref="F1492" r:id="rId763" display="https://www.genome.jp/entry/R07641" xr:uid="{4EFE431E-218A-4082-8F1C-AE74587766F1}"/>
    <hyperlink ref="E1481" r:id="rId764" display="https://www.genome.jp/entry/6.3.5.5" xr:uid="{DD3D98CA-70AC-4D19-B198-84890FC6A7F9}"/>
    <hyperlink ref="F1481" r:id="rId765" display="https://www.genome.jp/entry/R00256" xr:uid="{9734CB68-F33A-438E-B081-4BE1DE49A0B4}"/>
    <hyperlink ref="F1482" r:id="rId766" display="https://www.genome.jp/entry/R00575" xr:uid="{75797A6D-D4FF-46D5-A981-75BA91B174FE}"/>
    <hyperlink ref="F1483" r:id="rId767" display="https://www.genome.jp/entry/R01395" xr:uid="{6AEAAE4A-5768-4E95-A315-E096BF05F7CF}"/>
    <hyperlink ref="F1484" r:id="rId768" display="https://www.genome.jp/entry/R10948" xr:uid="{BB2CA570-F70A-49AD-BF8C-7DCB004DA490}"/>
    <hyperlink ref="F1485" r:id="rId769" display="https://www.genome.jp/entry/R10949" xr:uid="{C9505E2D-2D34-4B57-8AB1-FB3E19277A6F}"/>
    <hyperlink ref="F1486" r:id="rId770" display="https://www.genome.jp/entry/R07641" xr:uid="{E73BD986-B930-429F-B191-F213AB909BF4}"/>
    <hyperlink ref="E1220" r:id="rId771" display="https://www.genome.jp/entry/4.1.1.23" xr:uid="{ACD40EC1-94F1-4385-8C43-007DF75F9AF1}"/>
    <hyperlink ref="F1220" r:id="rId772" display="https://www.genome.jp/entry/R00965" xr:uid="{428171A4-7E4C-4E3F-A09F-726975E4CD46}"/>
    <hyperlink ref="E766" r:id="rId773" display="https://www.genome.jp/entry/2.7.4.8" xr:uid="{58958825-0B62-4C05-8A51-1FB3247ACECD}"/>
    <hyperlink ref="F766" r:id="rId774" display="https://www.genome.jp/entry/R00332" xr:uid="{A26846BD-6C44-4E79-B61E-F1499717DAF5}"/>
    <hyperlink ref="F767" r:id="rId775" display="https://www.genome.jp/entry/R02090" xr:uid="{BAEF155A-C047-43AC-B31F-8DF6C2783410}"/>
    <hyperlink ref="F768" r:id="rId776" display="https://www.genome.jp/entry/R12852" xr:uid="{ED035942-5758-4919-818D-118D56BD1A9D}"/>
    <hyperlink ref="E809" r:id="rId777" display="https://www.genome.jp/entry/2.7.7.6" xr:uid="{3090021B-D84B-4C55-A63F-2D114810998A}"/>
    <hyperlink ref="F809" r:id="rId778" display="https://www.genome.jp/entry/R00444" xr:uid="{6956B611-3B8D-4BFA-800C-C0D5FAC15ABF}"/>
    <hyperlink ref="F810" r:id="rId779" display="https://www.genome.jp/entry/R00435" xr:uid="{FE45DC97-E19F-47D8-8209-CFABDC39C830}"/>
    <hyperlink ref="F811" r:id="rId780" display="https://www.genome.jp/entry/R00441" xr:uid="{E8D2CAC6-EC78-44AB-9831-4FB388B8A4F7}"/>
    <hyperlink ref="F812" r:id="rId781" display="https://www.genome.jp/entry/R00442" xr:uid="{B352B643-0093-40CB-A761-09CA98F8D869}"/>
    <hyperlink ref="F813" r:id="rId782" display="https://www.genome.jp/entry/R00443" xr:uid="{FBF43D41-A8ED-4742-8A47-4FB2FEE02E97}"/>
    <hyperlink ref="F814" r:id="rId783" display="https://www.genome.jp/entry/R10813" xr:uid="{E549FC04-4BBE-4207-8E7D-39411CFB0DE4}"/>
    <hyperlink ref="E1223" r:id="rId784" display="https://www.genome.jp/entry/4.1.1.36" xr:uid="{4DEF1993-FA6B-45F5-A6A0-0F0CCB68AED2}"/>
    <hyperlink ref="F1223" r:id="rId785" display="https://www.genome.jp/entry/R03269" xr:uid="{4504AB92-F085-42EE-AE6C-AB98FF181A17}"/>
    <hyperlink ref="E1450" r:id="rId786" display="https://www.genome.jp/entry/6.3.2.5" xr:uid="{7048F81F-6C19-4905-875D-C78DE5B2C581}"/>
    <hyperlink ref="F1450" r:id="rId787" display="https://www.genome.jp/entry/R04231" xr:uid="{EFB78196-5E9A-4DE4-A4A8-4AE9E5ADA73F}"/>
    <hyperlink ref="E628" r:id="rId788" display="https://www.genome.jp/entry/2.5.1.6" xr:uid="{6BAC5765-A082-4502-9133-42E865FA5DC7}"/>
    <hyperlink ref="F628" r:id="rId789" display="https://www.genome.jp/entry/R00177" xr:uid="{2D323B6E-51A4-4E90-981D-23E1323DE53F}"/>
    <hyperlink ref="F629" r:id="rId790" display="https://www.genome.jp/entry/R04771" xr:uid="{9255D274-AFF0-4268-8F98-3C146F98933D}"/>
    <hyperlink ref="E1134" r:id="rId791" display="https://www.genome.jp/entry/3.5.1.88" xr:uid="{1148557D-6BC1-427D-9576-A478897E8313}"/>
    <hyperlink ref="F1134" r:id="rId792" display="https://www.genome.jp/entry/R05635" xr:uid="{763A72D9-B7D0-4DA4-88D1-F876A36B4D00}"/>
    <hyperlink ref="F1135" r:id="rId793" display="https://www.genome.jp/entry/R04268" xr:uid="{B17B6453-24FC-4BE3-B607-5B82A146CCA4}"/>
    <hyperlink ref="E366" r:id="rId794" display="https://www.genome.jp/entry/2.1.2.9" xr:uid="{BB7C2593-D9D5-4E65-962D-8D429713F3E3}"/>
    <hyperlink ref="F366" r:id="rId795" display="https://www.genome.jp/entry/R03940" xr:uid="{18AD1C76-D0DA-434A-8A84-15412AAA2169}"/>
    <hyperlink ref="E1330" r:id="rId796" display="https://www.genome.jp/entry/5.1.3.1" xr:uid="{CFB3D903-2BA0-4C08-BE5D-A3D66760FD0B}"/>
    <hyperlink ref="F1330" r:id="rId797" display="https://www.genome.jp/entry/R01529" xr:uid="{30554A6E-42FA-4403-B0F5-50F0B5453741}"/>
    <hyperlink ref="E83" r:id="rId798" display="https://www.genome.jp/entry/1.1.1.193" xr:uid="{37E5F613-D4B6-47F2-95F9-1B7895A637AC}"/>
    <hyperlink ref="F83" r:id="rId799" display="https://www.genome.jp/entry/R03458" xr:uid="{D4A5ADD9-0E65-4160-BB94-A99667BE78C5}"/>
    <hyperlink ref="E1150" r:id="rId800" display="https://www.genome.jp/entry/3.5.4.26" xr:uid="{D95BAA90-92FE-418D-9421-3BF35EA4C078}"/>
    <hyperlink ref="F1150" r:id="rId801" display="https://www.genome.jp/entry/R03459" xr:uid="{33069075-075A-4B48-8E57-D687435E9071}"/>
    <hyperlink ref="E637" r:id="rId802" display="https://www.genome.jp/entry/2.5.1.9" xr:uid="{7C549D48-DA42-4106-9C35-C3441D905006}"/>
    <hyperlink ref="F637" r:id="rId803" display="https://www.genome.jp/entry/R00066" xr:uid="{1CF25715-22D8-4A59-AE27-54E1CB5F89C2}"/>
    <hyperlink ref="E1149" r:id="rId804" display="https://www.genome.jp/entry/3.5.4.25" xr:uid="{FAAD165C-38AB-457E-B5BF-B31EC2539971}"/>
    <hyperlink ref="F1149" r:id="rId805" display="https://www.genome.jp/entry/R00425" xr:uid="{FCA11AD1-3A5C-44BD-8537-15FDF95A56D5}"/>
    <hyperlink ref="E1243" r:id="rId806" display="https://www.genome.jp/entry/4.1.99.12" xr:uid="{4067E869-9493-4472-BB47-3BC61F74A6EE}"/>
    <hyperlink ref="F1243" r:id="rId807" display="https://www.genome.jp/entry/R07281" xr:uid="{0C313701-3E7E-494F-BB0C-45AD60A8C380}"/>
    <hyperlink ref="E636" r:id="rId808" display="https://www.genome.jp/entry/2.5.1.78" xr:uid="{087A2B65-1861-45D5-BBB8-D9A8D7B5E02B}"/>
    <hyperlink ref="F636" r:id="rId809" display="https://www.genome.jp/entry/R04457" xr:uid="{45F5AF2A-D5CD-4A26-B651-0A7569E5F16A}"/>
    <hyperlink ref="E734" r:id="rId810" display="https://www.genome.jp/entry/2.7.2.3" xr:uid="{2C4432C2-5EAB-4737-8A91-BD2AE1677245}"/>
    <hyperlink ref="F734" r:id="rId811" display="https://www.genome.jp/entry/R01512" xr:uid="{BD3EC06D-2C39-423B-BD19-19C173C5BDF0}"/>
    <hyperlink ref="E1345" r:id="rId812" display="https://www.genome.jp/entry/5.3.1.1" xr:uid="{34CF3947-DDEB-4B7F-84CB-B0E9103ABB13}"/>
    <hyperlink ref="F1345" r:id="rId813" display="https://www.genome.jp/entry/R01015" xr:uid="{0E68F021-E99D-4663-A813-D886699493B5}"/>
    <hyperlink ref="E1221" r:id="rId814" display="https://www.genome.jp/entry/4.1.1.31" xr:uid="{5D72C7A6-F30D-4D02-9AB1-80593A2CEEEB}"/>
    <hyperlink ref="F1221" r:id="rId815" display="https://www.genome.jp/entry/R00345" xr:uid="{AC74EFB7-DF8E-4664-ABE3-599F12C34F1D}"/>
    <hyperlink ref="E972" r:id="rId816" display="https://www.genome.jp/entry/3.1.1.31" xr:uid="{E10610F4-CEB3-4DEC-BD2C-1A1893F37F9A}"/>
    <hyperlink ref="F972" r:id="rId817" display="https://www.genome.jp/entry/R02035" xr:uid="{7C8F3B27-11B3-4228-9EDF-CBE8058157AC}"/>
    <hyperlink ref="E111" r:id="rId818" display="https://www.genome.jp/entry/1.1.1.49" xr:uid="{A860CD4B-1583-48F3-8205-D917C5D9A0D6}"/>
    <hyperlink ref="F111" r:id="rId819" display="https://www.genome.jp/entry/R00835" xr:uid="{F3A791A6-4D81-42BD-B893-85FCED09F68F}"/>
    <hyperlink ref="F112" r:id="rId820" display="https://www.genome.jp/entry/R02736" xr:uid="{556B7A47-97E0-4D8A-A997-8DFDE5D90B06}"/>
    <hyperlink ref="E377" r:id="rId821" display="https://www.genome.jp/entry/2.2.1.2" xr:uid="{91E3E87C-848C-489D-9B90-21C4D24DDC7A}"/>
    <hyperlink ref="F377" r:id="rId822" display="https://www.genome.jp/entry/R08575" xr:uid="{FE819944-B198-431A-9013-2E2D397E6F01}"/>
    <hyperlink ref="F378" r:id="rId823" display="https://www.genome.jp/entry/R01827" xr:uid="{95221821-E5BE-409C-AC43-AE92309BFAAD}"/>
    <hyperlink ref="E371" r:id="rId824" display="https://www.genome.jp/entry/2.2.1.1" xr:uid="{1CFA6DED-2DC1-425E-B4F9-C1D7D44CF77B}"/>
    <hyperlink ref="F371" r:id="rId825" display="https://www.genome.jp/entry/R01641" xr:uid="{E4365688-D44F-43D0-8FAF-435135A137A5}"/>
    <hyperlink ref="F372" r:id="rId826" display="https://www.genome.jp/entry/R01067" xr:uid="{30F731FE-C115-465D-AFF4-1E0C050C5805}"/>
    <hyperlink ref="F373" r:id="rId827" display="https://www.genome.jp/entry/R01830" xr:uid="{AA1A66C8-025B-4DF5-8329-BE0F14B4196D}"/>
    <hyperlink ref="F374" r:id="rId828" display="https://www.genome.jp/entry/R06590" xr:uid="{99B4301B-33DB-4412-9378-2E866D850EE7}"/>
    <hyperlink ref="F375" r:id="rId829" display="https://www.genome.jp/entry/R06861" xr:uid="{C4F4E52B-CDBE-4221-AA68-1304546E0000}"/>
    <hyperlink ref="F376" r:id="rId830" display="https://www.genome.jp/entry/R06863" xr:uid="{BA38A299-2279-4E75-8B2B-FC79FA1A4390}"/>
    <hyperlink ref="E591" r:id="rId831" display="https://www.genome.jp/entry/2.5.1.141" xr:uid="{65A61BE9-FD41-451E-9C91-556019B46B77}"/>
    <hyperlink ref="F591" r:id="rId832" display="https://www.genome.jp/entry/R07411" xr:uid="{8850FA48-9748-40F4-BA8B-93C8A8B5314B}"/>
    <hyperlink ref="E200" r:id="rId833" display="https://www.genome.jp/entry/1.17.99.9" xr:uid="{B7B5979B-D4F8-484C-9781-D137C95C3D99}"/>
    <hyperlink ref="F200" r:id="rId834" display="https://www.genome.jp/entry/R07412" xr:uid="{4B9B0BBC-1346-4D0C-B8BF-D71DDA198B27}"/>
    <hyperlink ref="F201" r:id="rId835" display="https://www.genome.jp/entry/R12682" xr:uid="{E868A43E-E5E9-4A81-A2E7-6C3293C78C94}"/>
    <hyperlink ref="F202" r:id="rId836" display="https://www.genome.jp/entry/R12683" xr:uid="{35731F7A-2BF6-4941-9343-7F2C549E47AA}"/>
    <hyperlink ref="E895" r:id="rId837" display="https://www.genome.jp/entry/2.8.1.7" xr:uid="{4EDADC25-AC85-4021-85B2-C0BAA8B3C589}"/>
    <hyperlink ref="F895" r:id="rId838" display="https://www.genome.jp/entry/R07460" xr:uid="{5E1902B7-6945-482D-A284-45115DB3E522}"/>
    <hyperlink ref="F896" r:id="rId839" display="https://www.genome.jp/entry/R11528" xr:uid="{57B0A351-7A41-49CD-A25D-A89553DBBACE}"/>
    <hyperlink ref="F897" r:id="rId840" display="https://www.genome.jp/entry/R11529" xr:uid="{DF3D0DFD-7603-4277-99C1-81175D932E21}"/>
    <hyperlink ref="E1324" r:id="rId841" display="https://www.genome.jp/entry/4.98.1.1" xr:uid="{07DC8272-C00C-4B74-AD05-06727D7F11F7}"/>
    <hyperlink ref="F1324" r:id="rId842" display="https://www.genome.jp/entry/R00310" xr:uid="{DDC4FD3A-DCB5-427B-9DFB-008EFC377436}"/>
    <hyperlink ref="E1381" r:id="rId843" display="https://www.genome.jp/entry/5.4.99.2" xr:uid="{254A694D-3EE4-4713-9F79-473DDFC6EF4E}"/>
    <hyperlink ref="F1381" r:id="rId844" display="https://www.genome.jp/entry/R00833" xr:uid="{2F44F254-62F6-4250-A28B-0D1DA24BD2A7}"/>
    <hyperlink ref="E237" r:id="rId845" display="https://www.genome.jp/entry/1.3.5.2" xr:uid="{D6DEAD79-1E56-48B6-8BF4-FDA39648B4E1}"/>
    <hyperlink ref="F237" r:id="rId846" display="https://www.genome.jp/entry/R01868" xr:uid="{48298ED9-19E0-46D2-9E8D-AB2DD233C800}"/>
    <hyperlink ref="E1168" r:id="rId847" display="https://www.genome.jp/entry/3.6.1.27" xr:uid="{221BABB0-0B45-4ABB-8A3B-2336D1B9A523}"/>
    <hyperlink ref="F1168" r:id="rId848" display="https://www.genome.jp/entry/R05627" xr:uid="{2FC32DA6-DAC6-4D3E-A028-091DCD669CF4}"/>
    <hyperlink ref="E1430" r:id="rId849" display="https://www.genome.jp/entry/6.3.1.13" xr:uid="{D2CEEAD8-F126-48A5-AF17-7E87F8CC30FD}"/>
    <hyperlink ref="F1430" r:id="rId850" display="https://www.genome.jp/entry/R09591" xr:uid="{5F296B6C-7F35-47AB-B588-1C3553912A71}"/>
    <hyperlink ref="E222" r:id="rId851" display="https://www.genome.jp/entry/1.20.4.4" xr:uid="{528DE63D-47A1-4A6E-879F-3DAF0F43E5D5}"/>
    <hyperlink ref="F222" r:id="rId852" display="https://www.genome.jp/entry/R10927" xr:uid="{FA4585F5-5BA2-4A89-A1EB-D4DF44A810BA}"/>
    <hyperlink ref="E903" r:id="rId853" display="https://www.genome.jp/entry/2.8.4.2" xr:uid="{8E31B769-C3E5-43FB-A93C-F61E274072CE}"/>
    <hyperlink ref="E335" r:id="rId854" display="https://www.genome.jp/entry/2.1.1.13" xr:uid="{5EE645FE-A009-41D0-9877-43D850F63E00}"/>
    <hyperlink ref="F335" r:id="rId855" display="https://www.genome.jp/entry/R00946" xr:uid="{896F87AF-4427-4253-A8E4-32B2C7FBFF1B}"/>
    <hyperlink ref="F336" r:id="rId856" display="https://www.genome.jp/entry/R09365" xr:uid="{9F723DF5-35E1-4904-BAE7-A761017424BF}"/>
    <hyperlink ref="E1169" r:id="rId857" display="https://www.genome.jp/entry/3.6.1.31" xr:uid="{95E6B0DE-EBEC-4F61-98BD-F8020136571D}"/>
    <hyperlink ref="F1169" r:id="rId858" display="https://www.genome.jp/entry/R04035" xr:uid="{D14E4F48-8D1A-4B9D-A3D3-EC8802D9DA67}"/>
    <hyperlink ref="E565" r:id="rId859" display="https://www.genome.jp/entry/2.4.2.17" xr:uid="{B9DAA3D8-B69A-4AD2-9B62-7C880C247BA1}"/>
    <hyperlink ref="F565" r:id="rId860" display="https://www.genome.jp/entry/R01071" xr:uid="{F9369773-9924-4466-B32A-365DE912C1F7}"/>
    <hyperlink ref="E1288" r:id="rId861" display="https://www.genome.jp/entry/4.3.1.1" xr:uid="{7B4ABCD4-11A7-4FEC-A293-061AA50D4547}"/>
    <hyperlink ref="F1288" r:id="rId862" display="https://www.genome.jp/entry/R00490" xr:uid="{F803EB4E-9588-4C90-97C5-779D37C68C80}"/>
    <hyperlink ref="E1390" r:id="rId863" display="https://www.genome.jp/entry/5.6.1.5" xr:uid="{4DEA48DF-633C-4E95-8FFC-636638BD24F1}"/>
    <hyperlink ref="E1106" r:id="rId864" display="https://www.genome.jp/entry/3.5.1.119" xr:uid="{EAAF66F1-C654-447E-A431-6C1887B8A907}"/>
    <hyperlink ref="F1106" r:id="rId865" display="https://www.genome.jp/entry/R11209" xr:uid="{359D6771-0C85-4ED1-88BC-134FF84CA83A}"/>
    <hyperlink ref="F1107" r:id="rId866" display="https://www.genome.jp/entry/R11208" xr:uid="{BC9C2C70-A725-406B-943A-28B469D141C7}"/>
    <hyperlink ref="E1431" r:id="rId867" display="https://www.genome.jp/entry/6.3.1.19" xr:uid="{DDF4FF62-7C38-4AEE-A2C6-5BD854386D06}"/>
    <hyperlink ref="F1431" r:id="rId868" display="https://www.genome.jp/entry/R11207" xr:uid="{082AC960-6CF6-4D38-A7B5-F039F9675400}"/>
    <hyperlink ref="E301" r:id="rId869" display="https://www.genome.jp/entry/1.8.7.1" xr:uid="{EEF8BEAC-4936-45FC-8EC8-DE1D4A1BF513}"/>
    <hyperlink ref="F301" r:id="rId870" display="https://www.genome.jp/entry/R00859" xr:uid="{D2D56617-FE2F-4B53-A7DD-F814A79BC910}"/>
    <hyperlink ref="F302" r:id="rId871" display="https://www.genome.jp/entry/R03600" xr:uid="{940BDE86-88FE-413F-B57E-8211BDEAAECC}"/>
    <hyperlink ref="E425" r:id="rId872" display="https://www.genome.jp/entry/2.3.1.269" xr:uid="{544F8818-DE82-4984-A387-E387F884BEC7}"/>
    <hyperlink ref="E706" r:id="rId873" display="https://www.genome.jp/entry/2.7.1.50" xr:uid="{5E087BBA-8CE7-41FE-BF5C-0024AFC62017}"/>
    <hyperlink ref="F706" r:id="rId874" display="https://www.genome.jp/entry/R04448" xr:uid="{9FE64138-BEEE-4C97-BFE8-B428C60AEB2F}"/>
    <hyperlink ref="E704" r:id="rId875" display="https://www.genome.jp/entry/2.7.1.49" xr:uid="{C8FF4A97-99CE-4205-89A4-E8BF2AC85A22}"/>
    <hyperlink ref="F704" r:id="rId876" display="https://www.genome.jp/entry/R03471" xr:uid="{CD1B620B-1C4D-43AB-836C-325F0BEA9785}"/>
    <hyperlink ref="E764" r:id="rId877" display="https://www.genome.jp/entry/2.7.4.7" xr:uid="{FAF864FE-72AC-49BA-B714-28BCDE7F3CD7}"/>
    <hyperlink ref="F764" r:id="rId878" display="https://www.genome.jp/entry/R04509" xr:uid="{9A8F3612-9A02-4E65-8D3A-F901036C8628}"/>
    <hyperlink ref="E1520" r:id="rId879" display="https://www.genome.jp/entry/7.3.2.2" xr:uid="{DDC574EC-3B37-4703-B108-52EFB27E0BD7}"/>
    <hyperlink ref="E1519" r:id="rId880" display="https://www.genome.jp/entry/7.3.2.2" xr:uid="{216D867C-D220-4588-A590-7DBEFE07FCCC}"/>
    <hyperlink ref="E1518" r:id="rId881" display="https://www.genome.jp/entry/7.3.2.2" xr:uid="{C81296DD-66B0-4AD3-A9CD-D7C1ED6B4F51}"/>
    <hyperlink ref="E110" r:id="rId882" display="https://www.genome.jp/entry/1.1.1.44" xr:uid="{0862F258-F133-45D4-8906-62C2DD70D6D6}"/>
    <hyperlink ref="F110" r:id="rId883" display="https://www.genome.jp/entry/R01528" xr:uid="{59EEBD75-6928-41F4-9224-4FC0C892A253}"/>
    <hyperlink ref="E743" r:id="rId884" display="https://www.genome.jp/entry/2.7.4.25" xr:uid="{F01FD105-C2FB-4E9C-82EF-49D6F841EF31}"/>
    <hyperlink ref="F743" r:id="rId885" display="https://www.genome.jp/entry/R00512" xr:uid="{77BE5CCC-C85D-49AF-B3CB-DBD663539BA7}"/>
    <hyperlink ref="F744" r:id="rId886" display="https://www.genome.jp/entry/R01665" xr:uid="{A594A85C-1049-4207-83C8-210FCE817169}"/>
    <hyperlink ref="E1466" r:id="rId887" display="https://www.genome.jp/entry/6.3.4.2" xr:uid="{9AEAE0FB-54D4-4CAF-9829-4DFD7A82CD3E}"/>
    <hyperlink ref="F1466" r:id="rId888" display="https://www.genome.jp/entry/R00256" xr:uid="{365DF226-DE1A-457F-811B-52D2D8F007BF}"/>
    <hyperlink ref="F1467" r:id="rId889" display="https://www.genome.jp/entry/R00571" xr:uid="{CCEAB868-5148-47EE-9C12-CEC40B042564}"/>
    <hyperlink ref="F1468" r:id="rId890" display="https://www.genome.jp/entry/R00573" xr:uid="{5F8A948C-9EBE-4CD0-82F7-3F74EEFAC3CF}"/>
    <hyperlink ref="E684" r:id="rId891" display="https://www.genome.jp/entry/2.7.1.23" xr:uid="{DFC42B71-441B-461E-8F13-61D3E82E4A2A}"/>
    <hyperlink ref="F684" r:id="rId892" display="https://www.genome.jp/entry/R00104" xr:uid="{F9E58B62-438C-4F85-A858-E68B921DBEBA}"/>
    <hyperlink ref="E1401" r:id="rId893" display="https://www.genome.jp/entry/6.1.1.1" xr:uid="{1DFC6484-6B70-4E25-BF7E-E13865625BE9}"/>
    <hyperlink ref="F1401" r:id="rId894" display="https://www.genome.jp/entry/R02918" xr:uid="{7EB81AAD-DA3D-4E0B-937B-45F98CE57567}"/>
    <hyperlink ref="E1299" r:id="rId895" display="https://www.genome.jp/entry/4.3.2.1" xr:uid="{52F8FD16-0205-49E6-9890-97AD7F7F3B2E}"/>
    <hyperlink ref="F1299" r:id="rId896" display="https://www.genome.jp/entry/R01086" xr:uid="{17420EE9-128D-434C-8602-E4EF62DE3EE5}"/>
    <hyperlink ref="E1470" r:id="rId897" display="https://www.genome.jp/entry/6.3.4.5" xr:uid="{DB1616B7-DD88-4A91-8554-FCD684430F3E}"/>
    <hyperlink ref="F1470" r:id="rId898" display="https://www.genome.jp/entry/R01954" xr:uid="{FA7E5FFF-B608-417E-A46F-4B6E6D474FB7}"/>
    <hyperlink ref="E370" r:id="rId899" display="https://www.genome.jp/entry/2.1.3.3" xr:uid="{8F55E773-4912-44C4-BA63-C584B5D85121}"/>
    <hyperlink ref="F370" r:id="rId900" display="https://www.genome.jp/entry/R01398" xr:uid="{D862928F-65DE-4B6F-9FCB-A45C13CDD44F}"/>
    <hyperlink ref="E650" r:id="rId901" display="https://www.genome.jp/entry/2.6.1.11" xr:uid="{5CE507CF-517D-47F4-B4F4-EFE8ED0AE661}"/>
    <hyperlink ref="F650" r:id="rId902" display="https://www.genome.jp/entry/R02283" xr:uid="{49BF49E9-5821-47EB-8397-8486F984B12D}"/>
    <hyperlink ref="E736" r:id="rId903" display="https://www.genome.jp/entry/2.7.2.8" xr:uid="{989DCDD3-36ED-4ABE-B1F9-DCE12F6B787A}"/>
    <hyperlink ref="F736" r:id="rId904" display="https://www.genome.jp/entry/R02649" xr:uid="{1AA67838-2377-4998-9BB7-EC199A3EA662}"/>
    <hyperlink ref="E414" r:id="rId905" display="https://www.genome.jp/entry/2.3.1.1" xr:uid="{50521315-85DC-41B8-826C-0E8B4DCD8045}"/>
    <hyperlink ref="F414" r:id="rId906" display="https://www.genome.jp/entry/R00259" xr:uid="{369186FA-472B-4256-AD25-81896D08E9DC}"/>
    <hyperlink ref="E429" r:id="rId907" display="https://www.genome.jp/entry/2.3.1.35" xr:uid="{A534A5DD-4BC6-495F-8773-2A9B0E4587A3}"/>
    <hyperlink ref="F429" r:id="rId908" display="https://www.genome.jp/entry/R02282" xr:uid="{974AA183-787B-40AC-A564-D2F0C3A1E599}"/>
    <hyperlink ref="E209" r:id="rId909" display="https://www.genome.jp/entry/1.2.1.38" xr:uid="{D21F40AD-36FA-4C91-978C-6E9C0D216D94}"/>
    <hyperlink ref="F209" r:id="rId910" display="https://www.genome.jp/entry/R03443" xr:uid="{CF613E79-22F3-4A9E-B542-2AECF494D671}"/>
    <hyperlink ref="E1414" r:id="rId911" display="https://www.genome.jp/entry/6.1.1.20" xr:uid="{4C2415EF-525E-4FC8-9F55-E969AD6E6C53}"/>
    <hyperlink ref="F1414" r:id="rId912" display="https://www.genome.jp/entry/R03660" xr:uid="{0FB000B2-2905-4DD2-BD45-94DB814AF7A1}"/>
    <hyperlink ref="E1413" r:id="rId913" display="https://www.genome.jp/entry/6.1.1.20" xr:uid="{83C3783B-005D-47A7-BEDA-7EE7615D9893}"/>
    <hyperlink ref="F1413" r:id="rId914" display="https://www.genome.jp/entry/R03660" xr:uid="{C37F6819-7B71-4C4B-833E-9FAA3191DAF7}"/>
    <hyperlink ref="E275" r:id="rId915" display="https://www.genome.jp/entry/1.6.5.2" xr:uid="{076CDFC1-22AE-49BD-8F58-EB7FA83EE99F}"/>
    <hyperlink ref="F275" r:id="rId916" display="https://www.genome.jp/entry/R07358" xr:uid="{F4B27387-D0DA-4597-84C1-7BACFEA750BE}"/>
    <hyperlink ref="F276" r:id="rId917" display="https://www.genome.jp/entry/R02964" xr:uid="{29A18099-B49E-461C-A616-870FD1FD65DA}"/>
    <hyperlink ref="F277" r:id="rId918" display="https://www.genome.jp/entry/R03643" xr:uid="{28E06297-D40F-4400-B200-C23597A41EA6}"/>
    <hyperlink ref="F278" r:id="rId919" display="https://www.genome.jp/entry/R03816" xr:uid="{FE6613AC-548F-47B7-A5E3-284CA45127C8}"/>
    <hyperlink ref="F279" r:id="rId920" display="https://www.genome.jp/entry/R07359" xr:uid="{A9A70CDB-954F-4ECB-9011-9221CD566B13}"/>
    <hyperlink ref="E685" r:id="rId921" display="https://www.genome.jp/entry/2.7.1.24" xr:uid="{C6CFFBF4-457B-445A-845F-F001A790FD0F}"/>
    <hyperlink ref="F685" r:id="rId922" display="https://www.genome.jp/entry/R00130" xr:uid="{630AC4BD-4500-417C-8239-4BC73C042E7F}"/>
    <hyperlink ref="E847" r:id="rId923" display="https://www.genome.jp/entry/2.7.7.7" xr:uid="{872D3532-47A8-4212-AAD0-89ECACA92870}"/>
    <hyperlink ref="F847" r:id="rId924" display="https://www.genome.jp/entry/R00379" xr:uid="{00112C4D-2822-49DF-AD18-B49BA55EC1AE}"/>
    <hyperlink ref="F848" r:id="rId925" display="https://www.genome.jp/entry/R00375" xr:uid="{A81BA794-14BD-47C4-8E3D-216340EA99FF}"/>
    <hyperlink ref="F849" r:id="rId926" display="https://www.genome.jp/entry/R00376" xr:uid="{B8C631BA-DF78-4BAF-BF0A-8C67455202D5}"/>
    <hyperlink ref="F850" r:id="rId927" display="https://www.genome.jp/entry/R00377" xr:uid="{F7F95603-35A8-4F44-B71B-0CB3FE82139D}"/>
    <hyperlink ref="F851" r:id="rId928" display="https://www.genome.jp/entry/R00378" xr:uid="{DFED6527-939B-4113-A97A-A5011585AA7B}"/>
    <hyperlink ref="F852" r:id="rId929" display="https://www.genome.jp/entry/R11029" xr:uid="{5E61264E-F8C7-487D-B752-77B9F482B660}"/>
    <hyperlink ref="E784" r:id="rId930" display="https://www.genome.jp/entry/2.7.7.3" xr:uid="{7E9F3406-AD62-4643-99A6-45096D7FFDE8}"/>
    <hyperlink ref="F784" r:id="rId931" display="https://www.genome.jp/entry/R03035" xr:uid="{CAC5BE25-F482-4CE0-BF7D-9BDA344A3529}"/>
    <hyperlink ref="E342" r:id="rId932" display="https://www.genome.jp/entry/2.1.1.171" xr:uid="{3574AEC7-B5C2-4897-88F7-A91A3D29CAA2}"/>
    <hyperlink ref="F342" r:id="rId933" display="https://www.genome.jp/entry/R07234" xr:uid="{7E6A8F3F-2F92-4689-B0C4-F58C0805BED0}"/>
    <hyperlink ref="E1205" r:id="rId934" display="https://www.genome.jp/entry/3.6.4.12" xr:uid="{6AEF2B4F-46CD-44EE-8AC5-7E090ACB00DB}"/>
    <hyperlink ref="E1054" r:id="rId935" display="https://www.genome.jp/entry/3.2.2.27" xr:uid="{8BC7448E-9FCD-4C1E-95C9-E0F628A23793}"/>
    <hyperlink ref="E741" r:id="rId936" display="https://www.genome.jp/entry/2.7.4.16" xr:uid="{1F7C3141-A324-4A3E-AFD2-159AB1A3BAE6}"/>
    <hyperlink ref="F741" r:id="rId937" display="https://www.genome.jp/entry/R00617" xr:uid="{F568E87D-A45A-4B40-A692-F5C02F58EC86}"/>
    <hyperlink ref="E123" r:id="rId938" display="https://www.genome.jp/entry/1.1.1.94" xr:uid="{9D84D242-4229-4B6D-AC3A-1D4AEE9D967A}"/>
    <hyperlink ref="F123" r:id="rId939" display="https://www.genome.jp/entry/R00842" xr:uid="{E5076224-D628-4B7A-9A1F-C84597942B80}"/>
    <hyperlink ref="F124" r:id="rId940" display="https://www.genome.jp/entry/R00844" xr:uid="{FF89EA1C-8C4D-4131-91E2-14D058FCE7E2}"/>
    <hyperlink ref="E1267" r:id="rId941" display="https://www.genome.jp/entry/4.2.1.33" xr:uid="{46F3DF5F-BB87-49CE-AD32-0A7F1856D39B}"/>
    <hyperlink ref="F1267" r:id="rId942" display="https://www.genome.jp/entry/R03968" xr:uid="{DC960183-BCF7-4CF0-9081-5D553093BE9D}"/>
    <hyperlink ref="F1268" r:id="rId943" display="https://www.genome.jp/entry/R04001" xr:uid="{05805689-798E-4892-99BC-46C6412F2CDC}"/>
    <hyperlink ref="F1269" r:id="rId944" display="https://www.genome.jp/entry/R10170" xr:uid="{DE44A610-9BAA-4E78-87C0-B78F7C1FF29D}"/>
    <hyperlink ref="E1264" r:id="rId945" display="https://www.genome.jp/entry/4.2.1.33" xr:uid="{57CE9E35-D014-4C00-A6F1-789F9F24CDD8}"/>
    <hyperlink ref="F1264" r:id="rId946" display="https://www.genome.jp/entry/R03968" xr:uid="{3CA87CC8-F9CC-48C1-9896-0B0F318BD0E4}"/>
    <hyperlink ref="F1265" r:id="rId947" display="https://www.genome.jp/entry/R04001" xr:uid="{D558B664-0E83-454E-A739-025A933C4E0A}"/>
    <hyperlink ref="F1266" r:id="rId948" display="https://www.genome.jp/entry/R10170" xr:uid="{EDD32FA9-0882-4D82-A4BC-5D0DA6D07EF6}"/>
    <hyperlink ref="E1244" r:id="rId949" display="https://www.genome.jp/entry/4.1.99.17" xr:uid="{3F1E85B0-33A3-4EBB-B950-76A007A68071}"/>
    <hyperlink ref="F1244" r:id="rId950" display="https://www.genome.jp/entry/R03472" xr:uid="{701427A4-C1C0-44AA-9025-0C3E6AB897CA}"/>
    <hyperlink ref="E1410" r:id="rId951" display="https://www.genome.jp/entry/6.1.1.17" xr:uid="{D30B06B2-98D0-4E06-B368-EAF941683DFD}"/>
    <hyperlink ref="F1410" r:id="rId952" display="https://www.genome.jp/entry/R05578" xr:uid="{F5001998-8F1D-4D2F-A58D-AEBAD79DB474}"/>
    <hyperlink ref="E1373" r:id="rId953" display="https://www.genome.jp/entry/5.4.4.2" xr:uid="{D524BE75-8B2E-4F7A-B7AA-4980D9704211}"/>
    <hyperlink ref="F1373" r:id="rId954" display="https://www.genome.jp/entry/R01717" xr:uid="{D70219DC-A3F7-45A3-9D16-136C0ADC30ED}"/>
    <hyperlink ref="E113" r:id="rId955" display="https://www.genome.jp/entry/1.1.1.85" xr:uid="{52153C6E-7172-4610-9791-4B5C262D93C9}"/>
    <hyperlink ref="F113" r:id="rId956" display="https://www.genome.jp/entry/R01652" xr:uid="{76669528-DA58-4886-A97C-0A4518BF8675}"/>
    <hyperlink ref="F114" r:id="rId957" display="https://www.genome.jp/entry/R04426" xr:uid="{C0C51496-3993-48DC-B80A-C3916497B9E6}"/>
    <hyperlink ref="F115" r:id="rId958" display="https://www.genome.jp/entry/R10052" xr:uid="{9FD3C13D-A4A8-4454-B385-B0BFD98DB2CD}"/>
    <hyperlink ref="F116" r:id="rId959" display="https://www.genome.jp/entry/R00994" xr:uid="{933989FB-6583-47F7-924C-4690719696AA}"/>
    <hyperlink ref="E125" r:id="rId960" display="https://www.genome.jp/entry/1.1.1.95" xr:uid="{6B3C1477-0DFA-477F-A030-69177FE34957}"/>
    <hyperlink ref="F125" r:id="rId961" display="https://www.genome.jp/entry/R01513" xr:uid="{5A3F8014-3E4E-4347-9383-8841972750E5}"/>
    <hyperlink ref="F126" r:id="rId962" display="https://www.genome.jp/entry/R08198" xr:uid="{8D9D0556-DF0E-4D5E-A98A-5DFE26A74687}"/>
    <hyperlink ref="E117" r:id="rId963" display="https://www.genome.jp/entry/1.1.1.86" xr:uid="{5B295166-49BA-4133-81EB-7B8C4F8E532D}"/>
    <hyperlink ref="F117" r:id="rId964" display="https://www.genome.jp/entry/R04439" xr:uid="{66ACCA51-D4EB-499B-A5E2-2E4AC0FE42DC}"/>
    <hyperlink ref="F118" r:id="rId965" display="https://www.genome.jp/entry/R03051" xr:uid="{8CB377FE-45C7-4364-A2FC-CC1D546A7E10}"/>
    <hyperlink ref="F119" r:id="rId966" display="https://www.genome.jp/entry/R04440" xr:uid="{BE019070-65F6-487F-8F3A-F1E5E5459C1E}"/>
    <hyperlink ref="F120" r:id="rId967" display="https://www.genome.jp/entry/R05068" xr:uid="{3219C819-8365-485D-9BEF-FA02844D6427}"/>
    <hyperlink ref="F121" r:id="rId968" display="https://www.genome.jp/entry/R05069" xr:uid="{D3A5521B-7C10-4D4A-BC1D-ED7FCC848299}"/>
    <hyperlink ref="F122" r:id="rId969" display="https://www.genome.jp/entry/R05071" xr:uid="{A6BA0C57-834E-48E7-8B76-78D223907F22}"/>
    <hyperlink ref="E379" r:id="rId970" display="https://www.genome.jp/entry/2.2.1.6" xr:uid="{D274DA32-478F-46B3-AE8A-0F76C5FE0230}"/>
    <hyperlink ref="F379" r:id="rId971" display="https://www.genome.jp/entry/R00006" xr:uid="{C1CD384D-BE13-4F3F-936D-F71247C518E2}"/>
    <hyperlink ref="F380" r:id="rId972" display="https://www.genome.jp/entry/R00226" xr:uid="{1A69D7EC-AFD2-40D9-9F2D-BAA2DBB09997}"/>
    <hyperlink ref="F381" r:id="rId973" display="https://www.genome.jp/entry/R00014" xr:uid="{D3EA12AA-419C-44DF-8185-6CB95D1E35E0}"/>
    <hyperlink ref="F382" r:id="rId974" display="https://www.genome.jp/entry/R03050" xr:uid="{19D7C1D0-50C5-406D-A254-7C63739C1D32}"/>
    <hyperlink ref="F383" r:id="rId975" display="https://www.genome.jp/entry/R04672" xr:uid="{680EDA09-ABE6-4472-8794-D22A204D570A}"/>
    <hyperlink ref="F384" r:id="rId976" display="https://www.genome.jp/entry/R04673" xr:uid="{EC37F6E7-3E8B-4CE5-A72D-0504C90D3ED0}"/>
    <hyperlink ref="F385" r:id="rId977" display="https://www.genome.jp/entry/R08648" xr:uid="{DB982EB7-6FBD-46B0-95AD-22161E265C35}"/>
    <hyperlink ref="E1276" r:id="rId978" display="https://www.genome.jp/entry/4.2.1.9" xr:uid="{F3DAE120-4001-4B35-BC29-C46966E5BBD1}"/>
    <hyperlink ref="F1276" r:id="rId979" display="https://www.genome.jp/entry/R01209" xr:uid="{7723EA4B-2CDB-47F2-83D8-323812735860}"/>
    <hyperlink ref="F1277" r:id="rId980" display="https://www.genome.jp/entry/R04441" xr:uid="{13423044-32FE-4FB7-BEC0-49FC4ABDB766}"/>
    <hyperlink ref="F1278" r:id="rId981" display="https://www.genome.jp/entry/R05070" xr:uid="{4FB8651F-A59A-4BB8-84A1-B64596DD14BB}"/>
    <hyperlink ref="E1384" r:id="rId982" display="https://www.genome.jp/entry/5.4.99.62" xr:uid="{3F8F244C-DF0E-4307-8ED7-6686641B3328}"/>
    <hyperlink ref="F1384" r:id="rId983" display="https://www.genome.jp/entry/R08247" xr:uid="{FF492A5E-7C05-436F-9E8C-C4553AE51837}"/>
    <hyperlink ref="E1495" r:id="rId984" display="https://www.genome.jp/entry/6.5.1.2" xr:uid="{2424339D-CD1B-4147-8FF4-2D15D67A7D64}"/>
    <hyperlink ref="F1495" r:id="rId985" display="https://www.genome.jp/entry/R00382" xr:uid="{9BBB47E8-C9D6-43AD-977C-FDBFE9E94A27}"/>
    <hyperlink ref="E598" r:id="rId986" display="https://www.genome.jp/entry/2.5.1.16" xr:uid="{9AEFC8FA-9048-4561-9CAD-BD7A9C0DFABE}"/>
    <hyperlink ref="F598" r:id="rId987" display="https://www.genome.jp/entry/R01920/R08359" xr:uid="{134C39D8-3B1C-4918-96A7-7A05EA98F38A}"/>
    <hyperlink ref="E717" r:id="rId988" display="https://www.genome.jp/entry/2.7.11.1" xr:uid="{4199AE21-E725-4066-B335-23DF7D9EE6C1}"/>
    <hyperlink ref="F717" r:id="rId989" display="https://www.genome.jp/entry/R00162/R03632" xr:uid="{22556ACE-8383-44BB-BB99-5EE4BF348BB2}"/>
    <hyperlink ref="E582" r:id="rId990" display="https://www.genome.jp/entry/2.4.99.16" xr:uid="{4F9C8075-2422-4DB8-90CE-5A3710C79847}"/>
    <hyperlink ref="F582" r:id="rId991" display="https://www.genome.jp/entry/R09994" xr:uid="{2004E405-84E5-4E69-914B-951A0555E8AC}"/>
    <hyperlink ref="E541" r:id="rId992" display="https://www.genome.jp/entry/2.4.1.18" xr:uid="{0AC91C13-99E9-4CA2-9353-DF2BCEC3D319}"/>
    <hyperlink ref="F541" r:id="rId993" display="https://www.genome.jp/entry/R02110" xr:uid="{7D959E91-C15E-4DDA-A6C4-88DD66764B2C}"/>
    <hyperlink ref="F542" r:id="rId994" display="https://www.genome.jp/entry/R06186" xr:uid="{2A602CD2-102D-4954-9FC9-AEAC7995C704}"/>
    <hyperlink ref="E1337" r:id="rId995" display="https://www.genome.jp/entry/5.1.99.1" xr:uid="{E25495B5-6730-428E-95AB-86790FA720EA}"/>
    <hyperlink ref="F1337" r:id="rId996" display="https://www.genome.jp/entry/R02765" xr:uid="{7C55CD54-4054-48C9-B141-BB1227DCE357}"/>
    <hyperlink ref="F1338" r:id="rId997" display="https://www.genome.jp/entry/R09979" xr:uid="{778EF165-C37F-4B64-899A-DB6A0D757736}"/>
    <hyperlink ref="E1515" r:id="rId998" display="https://www.genome.jp/entry/7.1.2.2" xr:uid="{08B4B4A5-3902-447F-963D-97A2E844AA71}"/>
    <hyperlink ref="F1515" r:id="rId999" display="https://www.genome.jp/entry/R00086" xr:uid="{42E63D14-55E5-42A3-9345-EF44761D4264}"/>
    <hyperlink ref="E1514" r:id="rId1000" display="https://www.genome.jp/entry/7.1.2.2" xr:uid="{6FD32B9D-70CA-4419-89C9-15B7A7A57A3C}"/>
    <hyperlink ref="F1514" r:id="rId1001" display="https://www.genome.jp/entry/R00086" xr:uid="{30BF00DE-BC6D-4716-A4E1-B7A7A5B3276A}"/>
    <hyperlink ref="E1513" r:id="rId1002" display="https://www.genome.jp/entry/7.1.2.2" xr:uid="{5BED8558-758B-4E92-A6EF-6C7FDA68EFEB}"/>
    <hyperlink ref="F1513" r:id="rId1003" display="https://www.genome.jp/entry/R00086" xr:uid="{FF18BAC3-C1D8-43D5-A2AC-2F16B8B1D02C}"/>
    <hyperlink ref="E1512" r:id="rId1004" display="https://www.genome.jp/entry/7.1.2.2" xr:uid="{5845DA59-DA73-48FA-82EC-0093897F801E}"/>
    <hyperlink ref="F1512" r:id="rId1005" display="https://www.genome.jp/entry/R00086" xr:uid="{2208B542-5D04-4940-BC6C-BBE017E46B76}"/>
    <hyperlink ref="E1511" r:id="rId1006" display="https://www.genome.jp/entry/7.1.2.2" xr:uid="{664B45BF-EAC5-4C1B-BAD5-0CF13C3DDF96}"/>
    <hyperlink ref="F1511" r:id="rId1007" display="https://www.genome.jp/entry/R00086" xr:uid="{ABFB4AA5-CD95-4CB8-8055-17FAE28A065C}"/>
    <hyperlink ref="E1510" r:id="rId1008" display="https://www.genome.jp/entry/7.1.2.2" xr:uid="{3D6E43D5-C6BA-4050-997B-5E6DF21DBA5A}"/>
    <hyperlink ref="F1510" r:id="rId1009" display="https://www.genome.jp/entry/R00086" xr:uid="{1C92835F-E58F-4212-847A-64C4E57B3D6D}"/>
    <hyperlink ref="E1509" r:id="rId1010" display="https://www.genome.jp/entry/7.1.2.2" xr:uid="{625157E5-7A49-4425-930E-4B08FDB0F0CD}"/>
    <hyperlink ref="F1509" r:id="rId1011" display="https://www.genome.jp/entry/R00086" xr:uid="{0CBA8A39-18F6-4D22-9912-788623C606BB}"/>
    <hyperlink ref="E876" r:id="rId1012" display="https://www.genome.jp/entry/2.7.7.87" xr:uid="{A057166C-15A9-41CE-9AA8-F1E9A1698A52}"/>
    <hyperlink ref="F876" r:id="rId1013" display="https://www.genome.jp/entry/R10463" xr:uid="{3DA21B23-4EAE-46B4-8756-B3B27F596640}"/>
    <hyperlink ref="E350" r:id="rId1014" display="https://www.genome.jp/entry/2.1.1.297" xr:uid="{A7F3137F-C47B-4D04-8517-49ABE0BF9FC2}"/>
    <hyperlink ref="F350" r:id="rId1015" display="https://www.genome.jp/entry/R10806" xr:uid="{74334B71-1AA2-4D96-9466-565B56544973}"/>
    <hyperlink ref="E1245" r:id="rId1016" display="https://www.genome.jp/entry/4.1.99.22" xr:uid="{583534C7-77E5-44A2-B96F-5D8C3D05FE75}"/>
    <hyperlink ref="F1245" r:id="rId1017" display="https://www.genome.jp/entry/R09394" xr:uid="{29402093-2CD6-4EBE-A5F6-AD1FEA56915E}"/>
    <hyperlink ref="E869" r:id="rId1018" display="https://www.genome.jp/entry/2.7.7.77" xr:uid="{A6A4AA0D-554B-4E4B-B49C-EDF0EC74C206}"/>
    <hyperlink ref="F869" r:id="rId1019" display="https://www.genome.jp/entry/R11581" xr:uid="{EABE44CF-20EA-4EC0-850A-CB9A5B78C55E}"/>
    <hyperlink ref="E1011" r:id="rId1020" display="https://www.genome.jp/entry/3.1.3.2" xr:uid="{2677F714-209C-4DEA-AA6C-DBE0C51D8A44}"/>
    <hyperlink ref="F1011" r:id="rId1021" display="https://www.genome.jp/entry/R00626" xr:uid="{F3C4370F-C4B2-4910-B4AD-71A63897A867}"/>
    <hyperlink ref="F1012" r:id="rId1022" display="https://www.genome.jp/entry/R00548" xr:uid="{9A1D247E-7E96-4F83-9FAC-26A572CEA19B}"/>
    <hyperlink ref="F1013" r:id="rId1023" display="https://www.genome.jp/entry/R02135" xr:uid="{F52162B8-13FD-4E3F-8D24-850D7A40E07A}"/>
    <hyperlink ref="F1014" r:id="rId1024" display="https://www.genome.jp/entry/R03024" xr:uid="{72EBE76D-8154-4226-A713-0A8B807B4533}"/>
    <hyperlink ref="F1015" r:id="rId1025" display="https://www.genome.jp/entry/R11527" xr:uid="{2896650B-2FCB-4611-8A72-2E3CCF712BB0}"/>
    <hyperlink ref="F1016" r:id="rId1026" display="https://www.genome.jp/entry/R01010" xr:uid="{E36EEEDD-4352-40DA-A91E-C4C99AE2CF4E}"/>
    <hyperlink ref="E695" r:id="rId1027" display="https://www.genome.jp/entry/2.7.1.39" xr:uid="{CA89657B-D806-4615-9B85-305F8A90C010}"/>
    <hyperlink ref="F695" r:id="rId1028" display="https://www.genome.jp/entry/R01771" xr:uid="{F6263C4F-233D-42FC-8A9F-0B0A64645182}"/>
    <hyperlink ref="E97" r:id="rId1029" display="https://www.genome.jp/entry/1.1.1.3" xr:uid="{75A8550B-0083-46F0-9558-F89574001B7D}"/>
    <hyperlink ref="F97" r:id="rId1030" display="https://www.genome.jp/entry/R01773" xr:uid="{9FA970A9-F8DE-476E-86F7-FA07F5A1B938}"/>
    <hyperlink ref="F98" r:id="rId1031" display="https://www.genome.jp/entry/R01775" xr:uid="{1533A949-848C-498A-B5B4-886902DD0167}"/>
    <hyperlink ref="E1218" r:id="rId1032" display="https://www.genome.jp/entry/4.1.1.20" xr:uid="{B8CB760E-C0F0-41F7-BBB9-4EF5398DF546}"/>
    <hyperlink ref="F1218" r:id="rId1033" display="https://www.genome.jp/entry/R00451" xr:uid="{60A9A8EC-126A-4686-8258-6A72EAE5F80B}"/>
    <hyperlink ref="E1411" r:id="rId1034" display="https://www.genome.jp/entry/6.1.1.19" xr:uid="{414C9579-9BCE-456F-9B05-7326040A64F6}"/>
    <hyperlink ref="F1411" r:id="rId1035" display="https://www.genome.jp/entry/R03646" xr:uid="{B3E05930-2B49-47FD-8462-69CC9C85AA99}"/>
    <hyperlink ref="E773" r:id="rId1036" display="https://www.genome.jp/entry/2.7.6.5" xr:uid="{DF4B704D-D72B-4E6A-9924-6A02478ACD86}"/>
    <hyperlink ref="F773" r:id="rId1037" display="https://www.genome.jp/entry/R00429" xr:uid="{1D601EAE-6733-44C8-BC5D-DFE7AAAD177A}"/>
    <hyperlink ref="E171" r:id="rId1038" display="https://www.genome.jp/entry/1.14.13.127" xr:uid="{06590DBD-6C1A-4D36-A7E8-1027B937A64C}"/>
    <hyperlink ref="F171" r:id="rId1039" display="https://www.genome.jp/entry/R06786" xr:uid="{C2DA7224-A85B-4702-B452-3F2F9574CC87}"/>
    <hyperlink ref="F172" r:id="rId1040" display="https://www.genome.jp/entry/R06787" xr:uid="{F2D2419C-8C3B-4A14-84E6-41D193BC6472}"/>
    <hyperlink ref="E337" r:id="rId1041" display="https://www.genome.jp/entry/2.1.1.14" xr:uid="{25D997AB-DF88-49DC-82D3-55876058877B}"/>
    <hyperlink ref="F337" r:id="rId1042" display="https://www.genome.jp/entry/R04405" xr:uid="{7525A12D-2DDB-4F63-8CBF-E4ADAEBFD653}"/>
    <hyperlink ref="F338" r:id="rId1043" display="https://www.genome.jp/entry/R09365" xr:uid="{095A9490-AD40-43AA-81F4-14A6AB14AB64}"/>
    <hyperlink ref="E1228" r:id="rId1044" display="https://www.genome.jp/entry/4.1.1.71" xr:uid="{01BCA470-C5DD-4B01-AA23-0E5940C3D7C7}"/>
    <hyperlink ref="F1228" r:id="rId1045" display="https://www.genome.jp/entry/R00272" xr:uid="{2F07C06C-99C3-47A5-BAE2-0485E2D6B4E7}"/>
    <hyperlink ref="E783" r:id="rId1046" display="https://www.genome.jp/entry/2.7.7.27" xr:uid="{4FC7DC95-1571-4447-BEFB-2D74F3C8AFB8}"/>
    <hyperlink ref="F783" r:id="rId1047" display="https://www.genome.jp/entry/R00948" xr:uid="{A799C5D3-DB1D-48CF-98C1-36275888BAA6}"/>
    <hyperlink ref="E543" r:id="rId1048" display="https://www.genome.jp/entry/2.4.1.21" xr:uid="{7488D9DD-1E07-4369-A8A9-74A9041EE38C}"/>
    <hyperlink ref="F543" r:id="rId1049" display="https://www.genome.jp/entry/R02421" xr:uid="{9C42132B-0EB8-4F77-9588-292B72ECEE3D}"/>
    <hyperlink ref="F544" r:id="rId1050" display="https://www.genome.jp/entry/R06049" xr:uid="{4ED35D66-83B2-4364-BA36-35D7B15BE753}"/>
    <hyperlink ref="E553" r:id="rId1051" display="https://www.genome.jp/entry/2.4.1.266" xr:uid="{C7F349B4-9F88-4C04-9F6F-A0C7EB11E6B9}"/>
    <hyperlink ref="F553" r:id="rId1052" display="https://www.genome.jp/entry/R09663" xr:uid="{DAD9A3C0-7B6E-4177-8DB9-A3FBD44B043D}"/>
    <hyperlink ref="E594" r:id="rId1053" display="https://www.genome.jp/entry/2.5.1.15" xr:uid="{EA5AA3E5-C9C8-4EAD-83C4-29578C6936E3}"/>
    <hyperlink ref="F594" r:id="rId1054" display="https://www.genome.jp/entry/R03067/R03066" xr:uid="{49FA58C2-F69C-41F0-BF3F-FBB3D4433F5E}"/>
    <hyperlink ref="F595" r:id="rId1055" display="https://www.genome.jp/entry/R03067/R03066" xr:uid="{6BA280D2-B5A6-45F3-8ED3-B4FEB05E6568}"/>
    <hyperlink ref="E1108" r:id="rId1056" display="https://www.genome.jp/entry/3.5.1.18" xr:uid="{3B26B4B9-5168-465A-A57D-0313C76BD236}"/>
    <hyperlink ref="F1108" r:id="rId1057" display="https://www.genome.jp/entry/R02734" xr:uid="{24516820-16D2-4634-AFB4-304BD84A2831}"/>
    <hyperlink ref="E416" r:id="rId1058" display="https://www.genome.jp/entry/2.3.1.117" xr:uid="{3603A442-0C9C-4966-9349-707A94E11C2F}"/>
    <hyperlink ref="F416" r:id="rId1059" display="https://www.genome.jp/entry/R04365" xr:uid="{9B8D2F72-279E-4397-99E2-A6F9B34FCFD6}"/>
    <hyperlink ref="E652" r:id="rId1060" display="https://www.genome.jp/entry/2.6.1.17" xr:uid="{8954A33C-4596-4D55-8F2B-1ECAE4D712F1}"/>
    <hyperlink ref="F652" r:id="rId1061" display="https://www.genome.jp/entry/R04475" xr:uid="{5D57457E-BECC-41E5-AD37-6B6C389E18D0}"/>
    <hyperlink ref="E1105" r:id="rId1062" display="https://www.genome.jp/entry/3.5.1.103" xr:uid="{6AF6DA3E-468C-48CC-AA4E-CF2F95AA144A}"/>
    <hyperlink ref="F1105" r:id="rId1063" display="https://www.genome.jp/entry/R09651" xr:uid="{6CF6958B-B097-40CF-BF61-EC455B886548}"/>
    <hyperlink ref="E221" r:id="rId1064" display="https://www.genome.jp/entry/1.20.4.1" xr:uid="{1A4ACA63-024C-4925-A8BA-619EEEC4F7B5}"/>
    <hyperlink ref="F221" r:id="rId1065" display="https://www.genome.jp/entry/R05747" xr:uid="{AA6269D3-FA09-4C95-A5E0-8E66DC932954}"/>
    <hyperlink ref="E81" r:id="rId1066" display="https://www.genome.jp/entry/1.1.1.169" xr:uid="{2E6FA297-792A-4FCC-9EE2-5BA7E3170C29}"/>
    <hyperlink ref="F81" r:id="rId1067" display="https://www.genome.jp/entry/R02472" xr:uid="{B9BD2B52-6909-4B66-AC20-41BE9F90E00C}"/>
    <hyperlink ref="E633" r:id="rId1068" display="https://www.genome.jp/entry/2.5.1.72" xr:uid="{E237619D-2320-4186-9671-94BADD604237}"/>
    <hyperlink ref="F633" r:id="rId1069" display="https://www.genome.jp/entry/R04292" xr:uid="{5B7B24D7-DC65-405B-A73E-44728D4F4AF6}"/>
    <hyperlink ref="E567" r:id="rId1070" display="https://www.genome.jp/entry/2.4.2.19" xr:uid="{56AD206E-57B0-4ECB-BBFD-0DD3C7AB2373}"/>
    <hyperlink ref="F567" r:id="rId1071" display="https://www.genome.jp/entry/R03348" xr:uid="{CEE252E2-5981-4E9D-A70B-364EC864B6BE}"/>
    <hyperlink ref="E369" r:id="rId1072" display="https://www.genome.jp/entry/2.1.3.3" xr:uid="{2A79CE42-3331-4433-8ABD-9EDB98E032D4}"/>
    <hyperlink ref="F369" r:id="rId1073" display="https://www.genome.jp/entry/R01398" xr:uid="{195D7384-F30D-4689-8111-74747EF00B6A}"/>
    <hyperlink ref="E198" r:id="rId1074" display="https://www.genome.jp/entry/1.17.7.4" xr:uid="{BCF9246C-0A3B-4872-865C-069A5B5A4F1B}"/>
    <hyperlink ref="F198" r:id="rId1075" display="https://www.genome.jp/entry/R05884" xr:uid="{F14E8EC7-0E51-46E6-B79E-03F6DB74967E}"/>
    <hyperlink ref="F199" r:id="rId1076" display="https://www.genome.jp/entry/R08210" xr:uid="{70ACF7E8-7BC5-4F2B-9110-13889A954EF5}"/>
    <hyperlink ref="E978" r:id="rId1077" display="https://www.genome.jp/entry/3.1.11.6" xr:uid="{056819DF-1DDD-426C-9AA8-FFA820CA40CF}"/>
    <hyperlink ref="E977" r:id="rId1078" display="https://www.genome.jp/entry/3.1.11.6" xr:uid="{BE96771E-969A-4E11-A07E-BB46E334907F}"/>
    <hyperlink ref="E1003" r:id="rId1079" display="https://www.genome.jp/entry/3.1.3.11" xr:uid="{22C50097-049C-4099-A9C7-3F12121984AD}"/>
    <hyperlink ref="F1003" r:id="rId1080" display="https://www.genome.jp/entry/R00762" xr:uid="{D5DEC519-9E66-49DA-8705-55767E8BBF98}"/>
    <hyperlink ref="F1004" r:id="rId1081" display="https://www.genome.jp/entry/R04780" xr:uid="{55312A7B-4BD9-4C90-86DE-DD9857798F01}"/>
    <hyperlink ref="F1005" r:id="rId1082" display="https://www.genome.jp/entry/R01845" xr:uid="{C4FD7F83-B709-4BD8-8FB9-B7C6C635D904}"/>
    <hyperlink ref="E1253" r:id="rId1083" display="https://www.genome.jp/entry/4.2.1.2" xr:uid="{C4D46FC0-BB0E-4737-9F87-AF06BB91D7D4}"/>
    <hyperlink ref="F1253" r:id="rId1084" display="https://www.genome.jp/entry/R01082" xr:uid="{7F701862-99CD-44F1-83D8-B4DC11779DB0}"/>
    <hyperlink ref="E1139" r:id="rId1085" display="https://www.genome.jp/entry/3.5.2.9" xr:uid="{E1A403E7-455E-46B2-A6B8-A90CE33DDED5}"/>
    <hyperlink ref="F1139" r:id="rId1086" display="https://www.genome.jp/entry/R00251" xr:uid="{7C892B0A-DD36-40B1-8639-9F207D553C04}"/>
    <hyperlink ref="E662" r:id="rId1087" display="https://www.genome.jp/entry/2.6.1.85" xr:uid="{8CA230B9-0909-4E1C-B420-9750DF21F50D}"/>
    <hyperlink ref="F662" r:id="rId1088" display="https://www.genome.jp/entry/R00256" xr:uid="{0DC4439B-F44F-48D4-9B4B-4DB455BC1C78}"/>
    <hyperlink ref="F663" r:id="rId1089" display="https://www.genome.jp/entry/R01716" xr:uid="{F652B4B6-A9DE-45C4-8812-F3CACB3B5CCE}"/>
    <hyperlink ref="F664" r:id="rId1090" display="https://www.genome.jp/entry/R05552" xr:uid="{7CC10F17-EAD4-4EE3-A9DC-3FCB9D78D87C}"/>
    <hyperlink ref="E359" r:id="rId1091" display="https://www.genome.jp/entry/2.1.2.1" xr:uid="{9C7C472B-D7EB-4F3C-938D-7601F67227FC}"/>
    <hyperlink ref="F359" r:id="rId1092" display="https://www.genome.jp/entry/R00945" xr:uid="{08CD0517-F886-4F2F-B5CD-6753E27683D7}"/>
    <hyperlink ref="F360" r:id="rId1093" display="https://www.genome.jp/entry/R09099" xr:uid="{C9CD54CE-F9D0-44DE-9729-A73128C7BA67}"/>
    <hyperlink ref="E689" r:id="rId1094" display="https://www.genome.jp/entry/2.7.1.33" xr:uid="{027D8603-AFEE-437A-9CAB-58E43EF8B89A}"/>
    <hyperlink ref="F689" r:id="rId1095" display="https://www.genome.jp/entry/R03018" xr:uid="{469570AE-AA5E-4594-A3E3-3BBC60FE97A6}"/>
    <hyperlink ref="F690" r:id="rId1096" display="https://www.genome.jp/entry/R02971" xr:uid="{35441C78-4617-4C67-A090-C873A7A756F7}"/>
    <hyperlink ref="F691" r:id="rId1097" display="https://www.genome.jp/entry/R04391" xr:uid="{2D22D5FE-4DB9-4B0C-8299-16C7030076F0}"/>
    <hyperlink ref="E626" r:id="rId1098" display="https://www.genome.jp/entry/2.5.1.54" xr:uid="{88689281-B5B3-4350-B098-CC89B7712181}"/>
    <hyperlink ref="F626" r:id="rId1099" display="https://www.genome.jp/entry/R01826" xr:uid="{82DB2B87-30B2-433F-8A72-D89CED52E7B8}"/>
    <hyperlink ref="E1248" r:id="rId1100" display="https://www.genome.jp/entry/4.2.1.11" xr:uid="{714DDCB3-EA67-481B-A6E7-DCEBC333413F}"/>
    <hyperlink ref="F1248" r:id="rId1101" display="https://www.genome.jp/entry/R00658" xr:uid="{BE7BC23E-78EF-46C3-B4D1-E662B967D76F}"/>
    <hyperlink ref="F1249" r:id="rId1102" display="https://www.genome.jp/entry/R04206" xr:uid="{01A26384-C1DB-4072-A263-292D099DDFDC}"/>
    <hyperlink ref="E501" r:id="rId1103" display="https://www.genome.jp/entry/2.3.2.2" xr:uid="{31FD1A37-A4B9-46FA-895F-3446CD0025C9}"/>
    <hyperlink ref="F501" r:id="rId1104" display="https://www.genome.jp/entry/R04159" xr:uid="{3BEFB4D6-6F91-4364-A782-CC0E00FD0F97}"/>
    <hyperlink ref="F502" r:id="rId1105" display="https://www.genome.jp/entry/R01262" xr:uid="{8F54228D-A59F-4724-B51A-714601BE289A}"/>
    <hyperlink ref="F503" r:id="rId1106" display="https://www.genome.jp/entry/R01687" xr:uid="{B2526B7E-93E8-45A7-AF76-9DBFEA63C5FD}"/>
    <hyperlink ref="F504" r:id="rId1107" display="https://www.genome.jp/entry/R03867" xr:uid="{BB5E20BB-B717-4323-9306-440DFCD4E5D6}"/>
    <hyperlink ref="F505" r:id="rId1108" display="https://www.genome.jp/entry/R04935" xr:uid="{C5FA1D46-E024-4EF0-BC1F-7339DABD415A}"/>
    <hyperlink ref="F506" r:id="rId1109" display="https://www.genome.jp/entry/R03916" xr:uid="{9C39235F-E6A3-4619-8B93-C8E68510513B}"/>
    <hyperlink ref="F507" r:id="rId1110" display="https://www.genome.jp/entry/R03970" xr:uid="{C3F9CACD-DD49-4BB0-A0E1-A2E6B5ED7AB5}"/>
    <hyperlink ref="F508" r:id="rId1111" display="https://www.genome.jp/entry/R03971" xr:uid="{DFF75B68-2F36-4E30-AE00-975E80411AA2}"/>
    <hyperlink ref="E724" r:id="rId1112" display="https://www.genome.jp/entry/2.7.13.3" xr:uid="{26AAE048-A09F-44E7-9C30-F7F61F21C4C5}"/>
    <hyperlink ref="E781" r:id="rId1113" display="https://www.genome.jp/entry/2.7.7.23" xr:uid="{98569E86-CD7B-4B2E-832C-0236A03DA1B6}"/>
    <hyperlink ref="F781" r:id="rId1114" display="https://www.genome.jp/entry/R00416" xr:uid="{E85092B7-A747-4813-ADAD-9D69FC457A5E}"/>
    <hyperlink ref="E771" r:id="rId1115" display="https://www.genome.jp/entry/2.7.6.1" xr:uid="{E4AB54FD-3EC1-4B5E-BA70-4637E90FC6A0}"/>
    <hyperlink ref="F771" r:id="rId1116" display="https://www.genome.jp/entry/R01049" xr:uid="{E4EC3A2D-40B9-455C-9EA6-84EDA5A80789}"/>
    <hyperlink ref="E970" r:id="rId1117" display="https://www.genome.jp/entry/3.1.1.29" xr:uid="{7CA52A5A-F2FD-4430-93C1-996D500B6574}"/>
    <hyperlink ref="F970" r:id="rId1118" display="https://www.genome.jp/entry/R04238" xr:uid="{8358E64B-5DB3-4302-B210-EF02D5FBB72B}"/>
    <hyperlink ref="E208" r:id="rId1119" display="https://www.genome.jp/entry/1.2.1.12" xr:uid="{29200CF9-892B-4574-9E47-97DF919263C4}"/>
    <hyperlink ref="F208" r:id="rId1120" display="https://www.genome.jp/entry/R01061" xr:uid="{12CF0C15-59DE-4DD1-BF26-BDCA26815B1F}"/>
    <hyperlink ref="E149" r:id="rId1121" display="https://www.genome.jp/entry/1.13.12.16" xr:uid="{1805CE28-0EA2-4689-9182-4C025B536ED4}"/>
    <hyperlink ref="F149" r:id="rId1122" display="https://www.genome.jp/entry/R00025" xr:uid="{BF75E10A-AF03-4AE6-913E-2540E7439111}"/>
    <hyperlink ref="E969" r:id="rId1123" display="https://www.genome.jp/entry/3.1.1.29" xr:uid="{58706DAA-EADD-4350-86C2-45165DA4D55D}"/>
    <hyperlink ref="F969" r:id="rId1124" display="https://www.genome.jp/entry/R04238" xr:uid="{8DEC6CED-E9BA-4978-A0EB-81A48586AE53}"/>
    <hyperlink ref="E739" r:id="rId1125" display="https://www.genome.jp/entry/2.7.4.1" xr:uid="{8D626231-6B08-4AF9-87A0-86D9B1C14B47}"/>
    <hyperlink ref="F739" r:id="rId1126" display="https://www.genome.jp/entry/R02184" xr:uid="{FBAA71E0-517E-4317-92F5-7D6B6966FE23}"/>
    <hyperlink ref="E692" r:id="rId1127" display="https://www.genome.jp/entry/2.7.1.35" xr:uid="{1B09296D-D5B2-4DB4-9CBB-A818CA1717E3}"/>
    <hyperlink ref="F692" r:id="rId1128" display="https://www.genome.jp/entry/R00174" xr:uid="{E5229A74-F732-4314-A291-26B5556ABC4E}"/>
    <hyperlink ref="F693" r:id="rId1129" display="https://www.genome.jp/entry/R01909" xr:uid="{182088F3-63B0-4A84-8D13-E10D030AA39A}"/>
    <hyperlink ref="F694" r:id="rId1130" display="https://www.genome.jp/entry/R02493" xr:uid="{52587B51-5757-4426-A9A3-5BBE4460F713}"/>
    <hyperlink ref="E676" r:id="rId1131" display="https://www.genome.jp/entry/2.7.1.148" xr:uid="{5CB1FD01-A216-41F9-9959-753275FEBCB1}"/>
    <hyperlink ref="F676" r:id="rId1132" display="https://www.genome.jp/entry/R05634" xr:uid="{52B3B5D2-8A3F-44DA-B978-8D544834CA00}"/>
    <hyperlink ref="E343" r:id="rId1133" display="https://www.genome.jp/entry/2.1.1.182" xr:uid="{DB6F0FF0-F8AB-4DE8-B909-07E6C6224BDB}"/>
    <hyperlink ref="F343" r:id="rId1134" display="https://www.genome.jp/entry/R10716" xr:uid="{99E9DA0B-CD73-4BA3-B7AC-B738D42E5ABB}"/>
    <hyperlink ref="E95" r:id="rId1135" display="https://www.genome.jp/entry/1.1.1.28" xr:uid="{54F2EC14-3CF3-41D1-A5A9-E0DA5552A4B1}"/>
    <hyperlink ref="F95" r:id="rId1136" display="https://www.genome.jp/entry/R00704" xr:uid="{44A598BB-FE47-4BFB-9F09-5D3FE551209F}"/>
    <hyperlink ref="E1399" r:id="rId1137" display="https://www.genome.jp/entry/5.6.2.4" xr:uid="{0295BAB8-BA46-41A2-9C39-4D640871F965}"/>
    <hyperlink ref="E1402" r:id="rId1138" display="https://www.genome.jp/entry/6.1.1.10" xr:uid="{9A1E7E40-D6B3-4DF9-ACC1-B44B643C3F43}"/>
    <hyperlink ref="F1402" r:id="rId1139" display="https://www.genome.jp/entry/R03659" xr:uid="{A5A1BCB9-89D4-4CB2-88F3-6567DF0D48A0}"/>
    <hyperlink ref="F1403" r:id="rId1140" display="https://www.genome.jp/entry/R04773" xr:uid="{B8E77B9E-9B70-4342-8022-5D763B4EB975}"/>
    <hyperlink ref="E346" r:id="rId1141" display="https://www.genome.jp/entry/2.1.1.198" xr:uid="{DE05CF13-C43B-450B-B883-433667221ADC}"/>
    <hyperlink ref="E534" r:id="rId1142" display="https://www.genome.jp/entry/2.4.1.109" xr:uid="{C0949A1C-5A04-4D77-A0E6-B547B36A58B1}"/>
    <hyperlink ref="F534" r:id="rId1143" display="https://www.genome.jp/entry/R04072" xr:uid="{23E32F5E-10FB-45F2-982C-E76D71858DAD}"/>
    <hyperlink ref="F535" r:id="rId1144" display="https://www.genome.jp/entry/R07620" xr:uid="{12A5B228-22D9-4FE0-A53C-E73511D80F07}"/>
    <hyperlink ref="F536" r:id="rId1145" display="https://www.genome.jp/entry/R11399" xr:uid="{01BE7628-93B7-49C8-8AB7-A07A962DC9DD}"/>
    <hyperlink ref="E879" r:id="rId1146" display="https://www.genome.jp/entry/2.7.7.9" xr:uid="{D9C33ECA-122C-4AA9-8F1F-C5A658672652}"/>
    <hyperlink ref="F879" r:id="rId1147" display="https://www.genome.jp/entry/R00289" xr:uid="{60538EA4-87D5-4B3C-8BCC-EE2FAF5B80F9}"/>
    <hyperlink ref="E1455" r:id="rId1148" display="https://www.genome.jp/entry/6.3.3.2" xr:uid="{1FF7252B-6EDB-46AA-AC26-4CC91C851046}"/>
    <hyperlink ref="F1455" r:id="rId1149" display="https://www.genome.jp/entry/R02301" xr:uid="{27699D31-66DB-4F2D-9CB2-4DB771F4F384}"/>
    <hyperlink ref="E723" r:id="rId1150" display="https://www.genome.jp/entry/2.7.13.3" xr:uid="{D4AE805B-DFC7-4503-8909-10892C472312}"/>
    <hyperlink ref="E365" r:id="rId1151" display="https://www.genome.jp/entry/2.1.2.3" xr:uid="{E0D63AA6-1865-4924-9B93-8C1876C552FA}"/>
    <hyperlink ref="F365" r:id="rId1152" display="https://www.genome.jp/entry/R04560" xr:uid="{E8201BAB-9F27-4402-AC4F-2A2B61021B8A}"/>
    <hyperlink ref="E1141" r:id="rId1153" display="https://www.genome.jp/entry/3.5.4.10" xr:uid="{61BCE2B8-23F9-4E13-A087-6D61E1E5DB7D}"/>
    <hyperlink ref="F1141" r:id="rId1154" display="https://www.genome.jp/entry/R01127" xr:uid="{EFDAC91E-903A-48A3-A82F-4C4574BFAF67}"/>
    <hyperlink ref="E363" r:id="rId1155" display="https://www.genome.jp/entry/2.1.2.2" xr:uid="{84F1A4B1-AF21-43F1-A302-3E53896D3574}"/>
    <hyperlink ref="F363" r:id="rId1156" display="https://www.genome.jp/entry/R04325" xr:uid="{C5CB0A9E-F599-464E-8D04-1FCF6B14EE9A}"/>
    <hyperlink ref="F364" r:id="rId1157" display="https://www.genome.jp/entry/R04326" xr:uid="{517EB4E5-A0ED-4B41-BFDD-FF79009E45A6}"/>
    <hyperlink ref="E1204" r:id="rId1158" display="https://www.genome.jp/entry/3.6.4.12" xr:uid="{242EDC33-7A60-420A-AA9A-9D52FFF28CA6}"/>
    <hyperlink ref="E1383" r:id="rId1159" display="https://www.genome.jp/entry/5.4.99.5" xr:uid="{53959512-64D6-4731-A5E1-A91F7930D7D7}"/>
    <hyperlink ref="F1383" r:id="rId1160" display="https://www.genome.jp/entry/R01715" xr:uid="{8A18F106-A697-4E5C-8098-3C8374BD0D8A}"/>
    <hyperlink ref="E1356" r:id="rId1161" display="https://www.genome.jp/entry/5.3.1.9" xr:uid="{A6F201CF-5621-47E2-86FF-7A7A8CECFA3E}"/>
    <hyperlink ref="F1356" r:id="rId1162" display="https://www.genome.jp/entry/R02740" xr:uid="{3FCC25A7-595F-411F-8787-AEE8B59B1FB0}"/>
    <hyperlink ref="F1357" r:id="rId1163" display="https://www.genome.jp/entry/R00771" xr:uid="{7A06FB24-DEF4-408E-8CA2-089E5B073FC7}"/>
    <hyperlink ref="F1358" r:id="rId1164" display="https://www.genome.jp/entry/R02739" xr:uid="{F29CBF9C-F95C-430E-ADF2-6E2E9A933DEF}"/>
    <hyperlink ref="F1359" r:id="rId1165" display="https://www.genome.jp/entry/R03321" xr:uid="{5B6ECFED-81B9-4FC9-B066-90B48CA4349A}"/>
    <hyperlink ref="F1360" r:id="rId1166" display="https://www.genome.jp/entry/R13199" xr:uid="{E4DDA74A-3475-4948-A777-98C4362B09A0}"/>
    <hyperlink ref="E1036" r:id="rId1167" display="https://www.genome.jp/entry/3.1.3.7" xr:uid="{E1F66E19-101F-41FB-B4BC-A84ACED35778}"/>
    <hyperlink ref="F1036" r:id="rId1168" display="https://www.genome.jp/entry/R00188" xr:uid="{86CA7804-419E-4163-AB1B-3D2392818B94}"/>
    <hyperlink ref="F1037" r:id="rId1169" display="https://www.genome.jp/entry/R00508" xr:uid="{C99D9690-C6C3-40D6-A928-85897E005EFC}"/>
    <hyperlink ref="E354" r:id="rId1170" display="https://www.genome.jp/entry/2.1.1.45" xr:uid="{ACC86CB2-5F08-46F2-96AD-2D333E582A72}"/>
    <hyperlink ref="F354" r:id="rId1171" display="https://www.genome.jp/entry/R02101" xr:uid="{78B0E766-B14F-4866-A39E-8209CA1BBAC6}"/>
    <hyperlink ref="E267" r:id="rId1172" display="https://www.genome.jp/entry/1.5.1.3" xr:uid="{E0A1C782-F50E-493D-A9C7-86070BE99F04}"/>
    <hyperlink ref="F267" r:id="rId1173" display="https://www.genome.jp/entry/R00939" xr:uid="{06A6AA1B-46ED-474F-9841-1F80808BDCE9}"/>
    <hyperlink ref="F268" r:id="rId1174" display="https://www.genome.jp/entry/R00936" xr:uid="{78166A5C-B9BA-4122-8B48-BD28335605EB}"/>
    <hyperlink ref="F269" r:id="rId1175" display="https://www.genome.jp/entry/R00937" xr:uid="{9C71D268-CFFA-41A3-8D63-DE3729AA8D40}"/>
    <hyperlink ref="F270" r:id="rId1176" display="https://www.genome.jp/entry/R00940" xr:uid="{BD347E20-B292-42D8-8080-EC887A30675A}"/>
    <hyperlink ref="F271" r:id="rId1177" display="https://www.genome.jp/entry/R02235" xr:uid="{D9C599A2-1758-4785-AC5A-F29D8D61A244}"/>
    <hyperlink ref="F272" r:id="rId1178" display="https://www.genome.jp/entry/R02236" xr:uid="{E4B7702E-4473-424D-B130-6A2791FA5392}"/>
    <hyperlink ref="F273" r:id="rId1179" display="https://www.genome.jp/entry/R11765" xr:uid="{D9DC3975-1907-4E4A-A9DB-0481566B30EE}"/>
    <hyperlink ref="F433" r:id="rId1180" display="https://www.genome.jp/entry/R01624" xr:uid="{19D9B633-A4A9-4C7D-BDB8-47333745E167}"/>
    <hyperlink ref="F434" r:id="rId1181" display="https://www.genome.jp/entry/R01626" xr:uid="{6763BAA5-7A99-45C9-9427-4121E6787D93}"/>
    <hyperlink ref="F435" r:id="rId1182" display="https://www.genome.jp/entry/R01706" xr:uid="{B6E245F5-A498-4DB9-8343-00AFF60409D4}"/>
    <hyperlink ref="F436" r:id="rId1183" display="https://www.genome.jp/entry/R04355" xr:uid="{73355B68-4183-41BE-8F20-7223FF9A5C69}"/>
    <hyperlink ref="F437" r:id="rId1184" display="https://www.genome.jp/entry/R04428" xr:uid="{FF47F6E0-9587-4BBB-8177-5E2229642DE0}"/>
    <hyperlink ref="F438" r:id="rId1185" display="https://www.genome.jp/entry/R04430" xr:uid="{1B27DAFC-CB47-4A78-90CC-44E2BD424350}"/>
    <hyperlink ref="F439" r:id="rId1186" display="https://www.genome.jp/entry/R04533" xr:uid="{301363F0-EB33-4510-9F50-AC50D2C4CDCA}"/>
    <hyperlink ref="F440" r:id="rId1187" display="https://www.genome.jp/entry/R04534" xr:uid="{1E6F5422-22E7-48CF-98C6-265E9B4E01C9}"/>
    <hyperlink ref="F441" r:id="rId1188" display="https://www.genome.jp/entry/R04535" xr:uid="{E52CD951-1128-4846-A52C-0DD24F3970B2}"/>
    <hyperlink ref="F442" r:id="rId1189" display="https://www.genome.jp/entry/R04536" xr:uid="{4261D3DE-8987-4758-886E-3F2E53B523FA}"/>
    <hyperlink ref="F443" r:id="rId1190" display="https://www.genome.jp/entry/R04537" xr:uid="{D64BA541-7403-43FC-A45E-7B57523C8AB1}"/>
    <hyperlink ref="F444" r:id="rId1191" display="https://www.genome.jp/entry/R04543" xr:uid="{68A1E0CC-6211-44CD-BD2A-575A79599FF8}"/>
    <hyperlink ref="F445" r:id="rId1192" display="https://www.genome.jp/entry/R04544" xr:uid="{87D44DF6-131C-45AF-B756-9E2BEB7C24A5}"/>
    <hyperlink ref="F446" r:id="rId1193" display="https://www.genome.jp/entry/R04566" xr:uid="{FB4592FF-1ECC-469D-959C-73EEBD87376C}"/>
    <hyperlink ref="F447" r:id="rId1194" display="https://www.genome.jp/entry/R04568" xr:uid="{7B506922-2337-47AB-920E-9A0E6D2D89F2}"/>
    <hyperlink ref="F448" r:id="rId1195" display="https://www.genome.jp/entry/R04725" xr:uid="{AB217C5D-3DA9-47DA-B945-BDDC2CB610E9}"/>
    <hyperlink ref="F449" r:id="rId1196" display="https://www.genome.jp/entry/R04726" xr:uid="{3469E40A-7EEC-4B48-B139-41155E9E88D1}"/>
    <hyperlink ref="F450" r:id="rId1197" display="https://www.genome.jp/entry/R04952" xr:uid="{00083AB2-D78C-4F4C-B62C-87DFB0B7F18F}"/>
    <hyperlink ref="F451" r:id="rId1198" display="https://www.genome.jp/entry/R04953" xr:uid="{A7D15F8B-AA54-47EB-93C2-F3BB4FBC48CC}"/>
    <hyperlink ref="F452" r:id="rId1199" display="https://www.genome.jp/entry/R04954" xr:uid="{FAE17093-B9E8-480F-94F8-0817C31B8CCB}"/>
    <hyperlink ref="F453" r:id="rId1200" display="https://www.genome.jp/entry/R04956" xr:uid="{CE4656E4-BD3D-41FF-88C3-CF09A55718B7}"/>
    <hyperlink ref="F454" r:id="rId1201" display="https://www.genome.jp/entry/R04957" xr:uid="{8028D9BE-1D1D-4434-890D-485C5548E4CD}"/>
    <hyperlink ref="F455" r:id="rId1202" display="https://www.genome.jp/entry/R04959" xr:uid="{303692B3-B62D-4E54-A53B-56C48E8E8CDA}"/>
    <hyperlink ref="F456" r:id="rId1203" display="https://www.genome.jp/entry/R04960" xr:uid="{95CF4B5D-B48D-4759-9FD4-837AA0C61FC3}"/>
    <hyperlink ref="F457" r:id="rId1204" display="https://www.genome.jp/entry/R04962" xr:uid="{4F13BA53-EEB9-40F9-9D93-1BBD5D3659CD}"/>
    <hyperlink ref="F458" r:id="rId1205" display="https://www.genome.jp/entry/R04963" xr:uid="{CC0D6292-D32D-4F5C-A466-FA5A60C6325B}"/>
    <hyperlink ref="F459" r:id="rId1206" display="https://www.genome.jp/entry/R04964" xr:uid="{571BD672-07F4-4307-B39E-F1BC311B5D21}"/>
    <hyperlink ref="F460" r:id="rId1207" display="https://www.genome.jp/entry/R04965" xr:uid="{3889AD08-B165-4574-B099-84F86DA0F1CD}"/>
    <hyperlink ref="F461" r:id="rId1208" display="https://www.genome.jp/entry/R04967" xr:uid="{2E0F051E-2607-41B7-816B-7899901B03A4}"/>
    <hyperlink ref="F462" r:id="rId1209" display="https://www.genome.jp/entry/R04968" xr:uid="{A1EC224B-61E7-4320-9167-B0CE464E7DF5}"/>
    <hyperlink ref="F463" r:id="rId1210" display="https://www.genome.jp/entry/R04970" xr:uid="{58027A30-4AE4-4C3E-A669-DF53AAD37A8B}"/>
    <hyperlink ref="E432" r:id="rId1211" display="https://www.genome.jp/entry/2.3.1.85" xr:uid="{AA1FD144-4057-4D64-AB2B-CF106EA73C65}"/>
    <hyperlink ref="F432" r:id="rId1212" display="https://www.genome.jp/entry/R05188" xr:uid="{709C8E06-51F6-4649-AD12-ED754782763C}"/>
    <hyperlink ref="E367" r:id="rId1213" display="https://www.genome.jp/entry/2.1.3.15" xr:uid="{BCB54A57-98F2-411B-9FB0-7E39D62AB7D0}"/>
    <hyperlink ref="F367" r:id="rId1214" display="https://www.genome.jp/entry/R04386" xr:uid="{71BC8F69-5F38-4632-8831-F129498E175D}"/>
    <hyperlink ref="E512" r:id="rId1215" display="https://www.genome.jp/entry/2.3.3.16" xr:uid="{14B092FB-DEAC-47B0-8C1F-3DC7AA68CF11}"/>
    <hyperlink ref="F512" r:id="rId1216" display="https://www.genome.jp/entry/R00351" xr:uid="{5E633711-1FE6-4526-A20A-351EF9083541}"/>
    <hyperlink ref="E659" r:id="rId1217" display="https://www.genome.jp/entry/2.6.1.52" xr:uid="{AB375371-9363-45CD-8BD5-A2BD66CDF5E0}"/>
    <hyperlink ref="F659" r:id="rId1218" display="https://www.genome.jp/entry/R04173" xr:uid="{64AF1ED4-65DB-440D-A427-1F1366100C3F}"/>
    <hyperlink ref="F660" r:id="rId1219" display="https://www.genome.jp/entry/R05085" xr:uid="{1FD87FA3-A6E6-4125-8362-BD9084D5134F}"/>
    <hyperlink ref="E1008" r:id="rId1220" display="https://www.genome.jp/entry/3.1.3.15" xr:uid="{5F7BF39C-8E6A-4515-8AD6-7F1373F2344E}"/>
    <hyperlink ref="F1008" r:id="rId1221" display="https://www.genome.jp/entry/R03013" xr:uid="{96E82943-B547-4AA3-8781-3C3AA1F14523}"/>
    <hyperlink ref="F1110" r:id="rId1222" display="https://www.genome.jp/entry/R01579" xr:uid="{B40A4AF5-7364-4A6B-B5A3-97E2F4ABB17F}"/>
    <hyperlink ref="F1111" r:id="rId1223" display="https://www.genome.jp/entry/R06134" xr:uid="{7E81D898-5F2F-4737-B36C-B2A159E40E3E}"/>
    <hyperlink ref="E1109" r:id="rId1224" display="https://www.genome.jp/entry/3.5.1.2" xr:uid="{443232A1-6AFA-415D-84F4-F2C4F10C2815}"/>
    <hyperlink ref="F1109" r:id="rId1225" display="https://www.genome.jp/entry/R00256" xr:uid="{76B6C5CC-54E5-40CA-A154-20F23B0BCF87}"/>
    <hyperlink ref="E1309" r:id="rId1226" display="https://www.genome.jp/entry/4.3.3.6" xr:uid="{031844E4-693B-4D14-8FBF-C6F341BF3488}"/>
    <hyperlink ref="F1309" r:id="rId1227" display="https://www.genome.jp/entry/R00256" xr:uid="{801F5748-C26D-4701-8F39-2CFD6A144867}"/>
    <hyperlink ref="F1310" r:id="rId1228" display="https://www.genome.jp/entry/R10088" xr:uid="{9161580F-F94B-40A8-9F46-6B02DF3EC7CB}"/>
    <hyperlink ref="F1311" r:id="rId1229" display="https://www.genome.jp/entry/R10089" xr:uid="{D8B3389C-0F3C-4A68-A618-2CB2517E1518}"/>
    <hyperlink ref="F1312" r:id="rId1230" display="https://www.genome.jp/entry/R07456" xr:uid="{1BE20291-3927-423E-A154-2F251E85A092}"/>
    <hyperlink ref="E1398" r:id="rId1231" display="https://www.genome.jp/entry/5.6.2.4" xr:uid="{A7322E2C-AB64-4803-B215-F115650D75FC}"/>
    <hyperlink ref="E1397" r:id="rId1232" display="https://www.genome.jp/entry/5.6.2.4" xr:uid="{F0EF5E36-DF5E-4170-9ED4-0915B38DF665}"/>
    <hyperlink ref="E1396" r:id="rId1233" display="https://www.genome.jp/entry/5.6.2.4" xr:uid="{4388CCEF-AE16-4E7A-98DB-14781573B233}"/>
    <hyperlink ref="E606" r:id="rId1234" display="https://www.genome.jp/entry/2.5.1.19" xr:uid="{B38D5764-C5CD-41D1-B2D7-45AD1D635134}"/>
    <hyperlink ref="F606" r:id="rId1235" display="https://www.genome.jp/entry/R03460" xr:uid="{D220534A-BD5A-4C58-BB68-237805997082}"/>
    <hyperlink ref="E769" r:id="rId1236" display="https://www.genome.jp/entry/2.7.4.9" xr:uid="{A16A16D3-72BC-4903-B293-85C2CB0BD24C}"/>
    <hyperlink ref="F769" r:id="rId1237" display="https://www.genome.jp/entry/R02094" xr:uid="{DDE73E98-CAD7-46B0-A672-DCAEE240543F}"/>
    <hyperlink ref="F770" r:id="rId1238" display="https://www.genome.jp/entry/R02098" xr:uid="{5DC51526-CBAE-441C-A5D7-773202BE0CAE}"/>
    <hyperlink ref="E1039" r:id="rId1239" display="https://www.genome.jp/entry/3.13.2.1" xr:uid="{9E92C410-5317-4D80-B1D5-87A799536C6F}"/>
    <hyperlink ref="F1039" r:id="rId1240" display="https://www.genome.jp/entry/R00192" xr:uid="{ED51EBDD-3F18-42C9-952A-E12971C23599}"/>
    <hyperlink ref="E592" r:id="rId1241" display="https://www.genome.jp/entry/2.5.1.145" xr:uid="{D85CBBE3-26EF-45CD-9DEC-947C748FC398}"/>
    <hyperlink ref="E1354" r:id="rId1242" display="https://www.genome.jp/entry/5.3.1.8" xr:uid="{36D73560-83B5-4668-8A69-98E38ED2077F}"/>
    <hyperlink ref="F1354" r:id="rId1243" display="https://www.genome.jp/entry/R00772" xr:uid="{FF2FDB8B-B6C9-4C6D-B6DC-4B91E20E76C1}"/>
    <hyperlink ref="F1355" r:id="rId1244" display="https://www.genome.jp/entry/R01819" xr:uid="{232DE4C2-54FE-49AB-9635-86C61194FC9B}"/>
    <hyperlink ref="E777" r:id="rId1245" display="https://www.genome.jp/entry/2.7.7.13" xr:uid="{53954278-4F1D-4185-ABA9-B6273D4B4A08}"/>
    <hyperlink ref="F777" r:id="rId1246" display="https://www.genome.jp/entry/R00885" xr:uid="{CD5D6A66-7D54-4ACB-9349-50690CC4EA78}"/>
    <hyperlink ref="F261" r:id="rId1247" display="https://www.genome.jp/entry/R00936" xr:uid="{C4F3C30D-F908-422D-AE81-035BA224EA0D}"/>
    <hyperlink ref="F262" r:id="rId1248" display="https://www.genome.jp/entry/R00937" xr:uid="{E8626FDA-2BAF-47E1-ADCB-EDE4FB2528F0}"/>
    <hyperlink ref="F263" r:id="rId1249" display="https://www.genome.jp/entry/R00940" xr:uid="{C1A09DCC-F140-450D-BCA2-E454CD0E1BFD}"/>
    <hyperlink ref="F264" r:id="rId1250" display="https://www.genome.jp/entry/R02235" xr:uid="{08C6E76D-4BD3-4C44-93AC-57D7F2C78093}"/>
    <hyperlink ref="F265" r:id="rId1251" display="https://www.genome.jp/entry/R02236" xr:uid="{11B7FBDE-45FA-42B8-93A9-74CB33D9D4D5}"/>
    <hyperlink ref="F266" r:id="rId1252" display="https://www.genome.jp/entry/R11765" xr:uid="{701257E3-3608-4EA9-8B40-03F2F1566067}"/>
    <hyperlink ref="E260" r:id="rId1253" display="https://www.genome.jp/entry/1.5.1.3" xr:uid="{9299CB8A-3236-42BF-95B8-3C37E26379C9}"/>
    <hyperlink ref="F260" r:id="rId1254" display="https://www.genome.jp/entry/R00939" xr:uid="{015F4697-6D89-4BBC-B80A-E0D5650826E9}"/>
    <hyperlink ref="E70" r:id="rId1255" display="https://www.genome.jp/entry/1.1.1.100" xr:uid="{B010AD2C-9ACF-404E-85EB-55ED1057F399}"/>
    <hyperlink ref="F70" r:id="rId1256" display="https://www.genome.jp/entry/R02767" xr:uid="{39660CA3-9430-425E-BA22-4DEAA7B653E4}"/>
    <hyperlink ref="F71" r:id="rId1257" display="https://www.genome.jp/entry/R04533" xr:uid="{E910A9F3-48F9-4158-9D55-3367113121A4}"/>
    <hyperlink ref="F72" r:id="rId1258" display="https://www.genome.jp/entry/R04534" xr:uid="{D20334D7-2BA5-4415-9BE3-E102DB702068}"/>
    <hyperlink ref="F73" r:id="rId1259" display="https://www.genome.jp/entry/R04536" xr:uid="{CEB43529-80A5-40C2-A8CE-43EE36853777}"/>
    <hyperlink ref="F74" r:id="rId1260" display="https://www.genome.jp/entry/R04543" xr:uid="{5C169D34-62C3-4275-8070-CE491725111C}"/>
    <hyperlink ref="F75" r:id="rId1261" display="https://www.genome.jp/entry/R04566" xr:uid="{4665C68A-63EA-43D9-A95C-3ADF68A675BE}"/>
    <hyperlink ref="F76" r:id="rId1262" display="https://www.genome.jp/entry/R04953" xr:uid="{BD8026AA-1CE4-463E-93E7-679E39FBA148}"/>
    <hyperlink ref="F77" r:id="rId1263" display="https://www.genome.jp/entry/R04964" xr:uid="{7DBEB467-A88D-4529-91C0-7C76B085F23C}"/>
    <hyperlink ref="F78" r:id="rId1264" display="https://www.genome.jp/entry/R07763" xr:uid="{86912DF7-FC02-46A3-A7E3-DFEDED8452F3}"/>
    <hyperlink ref="F79" r:id="rId1265" display="https://www.genome.jp/entry/R10116" xr:uid="{BD6C1956-3C5A-4C66-8F4A-207925D16123}"/>
    <hyperlink ref="F80" r:id="rId1266" display="https://www.genome.jp/entry/R10120" xr:uid="{3AADB4DC-34F6-42C5-B771-B66471C485EA}"/>
    <hyperlink ref="E1219" r:id="rId1267" display="https://www.genome.jp/entry/4.1.1.21" xr:uid="{08B4CC74-D705-4946-A401-3B80C1310806}"/>
    <hyperlink ref="F1219" r:id="rId1268" display="https://www.genome.jp/entry/R04209" xr:uid="{5AF1EF5D-281F-4F43-AFDC-E7960337089F}"/>
    <hyperlink ref="E1380" r:id="rId1269" display="https://www.genome.jp/entry/5.4.99.18" xr:uid="{11A0E905-EA9E-441E-88F1-812D5F318AF4}"/>
    <hyperlink ref="F1380" r:id="rId1270" display="https://www.genome.jp/entry/R07405" xr:uid="{7507D68B-0674-424A-B304-A63A6FEEA9BC}"/>
    <hyperlink ref="E1464" r:id="rId1271" display="https://www.genome.jp/entry/6.3.4.18" xr:uid="{63872DFB-0E99-49FA-8274-6399F7F2BFAA}"/>
    <hyperlink ref="F1464" r:id="rId1272" display="https://www.genome.jp/entry/R07404" xr:uid="{80FE302B-7133-4920-9413-1758571FCC07}"/>
    <hyperlink ref="E1461" r:id="rId1273" display="https://www.genome.jp/entry/6.3.4.15" xr:uid="{697BAFA0-9B6A-4A1E-8442-89860EC95BEB}"/>
    <hyperlink ref="F1461" r:id="rId1274" display="https://www.genome.jp/entry/R04562" xr:uid="{DCC3A695-B3FB-4444-A93F-5E59BFD3575C}"/>
    <hyperlink ref="F1462" r:id="rId1275" display="https://www.genome.jp/entry/R01074" xr:uid="{A204CE1A-8BC6-49D7-A06B-EC4739C5C9FA}"/>
    <hyperlink ref="F1463" r:id="rId1276" display="https://www.genome.jp/entry/R05145" xr:uid="{2FE545FE-A15B-4D78-B591-D101EF460B53}"/>
    <hyperlink ref="E1178" r:id="rId1277" display="https://www.genome.jp/entry/3.6.1.9" xr:uid="{312B394A-2C72-4102-B17B-90C9E7D3A16C}"/>
    <hyperlink ref="F1178" r:id="rId1278" display="https://www.genome.jp/entry/R01532" xr:uid="{AE639C16-F8C9-4C5C-8D2B-565CE745AF1D}"/>
    <hyperlink ref="F1179" r:id="rId1279" display="https://www.genome.jp/entry/R00087" xr:uid="{A0D57BC3-C9F6-46F2-81F1-2A127F69DA39}"/>
    <hyperlink ref="F1180" r:id="rId1280" display="https://www.genome.jp/entry/R00426" xr:uid="{02476E96-1E65-45CA-A456-570EAF3D145E}"/>
    <hyperlink ref="F1181" r:id="rId1281" display="https://www.genome.jp/entry/R00515" xr:uid="{C0807E66-0E67-41BF-81A0-65EAB8B3882F}"/>
    <hyperlink ref="F1182" r:id="rId1282" display="https://www.genome.jp/entry/R00662" xr:uid="{FE192293-B1D3-43C7-A3A5-4B9C01C694FE}"/>
    <hyperlink ref="F1183" r:id="rId1283" display="https://www.genome.jp/entry/R11323" xr:uid="{101612E8-0389-4D62-B38F-F4B0993FC2C6}"/>
    <hyperlink ref="F1184" r:id="rId1284" display="https://www.genome.jp/entry/R00103" xr:uid="{80BDA363-E530-4450-B101-ECB5DDEC73B7}"/>
    <hyperlink ref="F1185" r:id="rId1285" display="https://www.genome.jp/entry/R00160" xr:uid="{A1022760-E63F-4A4D-B199-E582A962F9C6}"/>
    <hyperlink ref="F1186" r:id="rId1286" display="https://www.genome.jp/entry/R00287" xr:uid="{BC21A0C9-A741-4956-8108-0516D8EFE76F}"/>
    <hyperlink ref="F1187" r:id="rId1287" display="https://www.genome.jp/entry/R03004" xr:uid="{85B1A79F-9546-45A8-A5EC-35F354DB80F5}"/>
    <hyperlink ref="F1188" r:id="rId1288" display="https://www.genome.jp/entry/R03036" xr:uid="{2B1626B9-2039-4661-B174-6D1DC21E9CDA}"/>
    <hyperlink ref="E511" r:id="rId1289" display="https://www.genome.jp/entry/2.3.3.16" xr:uid="{7156BBC6-44D2-46BC-A25B-96AE7E03DD10}"/>
    <hyperlink ref="F511" r:id="rId1290" display="https://www.genome.jp/entry/R00351" xr:uid="{72AA36EC-B20F-450C-9D52-671E7F27B91E}"/>
    <hyperlink ref="E515" r:id="rId1291" display="https://www.genome.jp/entry/2.3.3.5" xr:uid="{6F799471-08D0-498D-94F6-75B459E5BA1C}"/>
    <hyperlink ref="F515" r:id="rId1292" display="https://www.genome.jp/entry/R00931" xr:uid="{A87F2145-B3CF-49AB-8A7D-DEF22ADFBE5F}"/>
    <hyperlink ref="F516" r:id="rId1293" display="https://www.genome.jp/entry/R00351" xr:uid="{30AC6B8E-7486-4428-9865-9E1DD0AE1978}"/>
    <hyperlink ref="E1239" r:id="rId1294" display="https://www.genome.jp/entry/4.1.3.30" xr:uid="{E2C13D75-FB10-4839-A868-0B1E1549F1D1}"/>
    <hyperlink ref="F1239" r:id="rId1295" display="https://www.genome.jp/entry/R00409" xr:uid="{958C20FC-AC74-44C1-AA72-C3188AD5E8F1}"/>
    <hyperlink ref="E1261" r:id="rId1296" display="https://www.genome.jp/entry/4.2.1.3" xr:uid="{95DA490A-1CED-4569-BCE3-16060CA2E4D8}"/>
    <hyperlink ref="F1261" r:id="rId1297" display="https://www.genome.jp/entry/R01324" xr:uid="{36865259-FE5B-480E-BDE7-CE6DF74146CC}"/>
    <hyperlink ref="F1262" r:id="rId1298" display="https://www.genome.jp/entry/R01325" xr:uid="{677EB128-8F1E-4762-BE57-F8CDA221933A}"/>
    <hyperlink ref="F1263" r:id="rId1299" display="https://www.genome.jp/entry/R01900" xr:uid="{CF8BF68E-9CC9-4827-9395-116F1A3B0D31}"/>
    <hyperlink ref="E1275" r:id="rId1300" display="https://www.genome.jp/entry/4.2.1.79" xr:uid="{8D00F3FF-637F-455B-A8CD-552A404C2789}"/>
    <hyperlink ref="F1275" r:id="rId1301" display="https://www.genome.jp/entry/R04424" xr:uid="{A514F128-66A5-42E6-87F4-6321B815ACC6}"/>
    <hyperlink ref="E1494" r:id="rId1302" display="https://www.genome.jp/entry/6.4.1.1" xr:uid="{E061FDBC-33DA-472E-93D1-E5B3DA7C2D8B}"/>
    <hyperlink ref="F1494" r:id="rId1303" display="https://www.genome.jp/entry/R00344" xr:uid="{0C292079-C02C-4FBD-8C17-D9AD30767F26}"/>
    <hyperlink ref="E580" r:id="rId1304" display="https://www.genome.jp/entry/2.4.2.9" xr:uid="{729034FB-D6A3-4989-B5DC-79E4C6E0696D}"/>
    <hyperlink ref="F580" r:id="rId1305" display="https://www.genome.jp/entry/R00966" xr:uid="{2BDB8FAB-5CF9-4162-8412-158EC102E52F}"/>
    <hyperlink ref="E1412" r:id="rId1306" display="https://www.genome.jp/entry/6.1.1.2" xr:uid="{874CBE53-0494-4283-85C5-4BBF047FBD28}"/>
    <hyperlink ref="F1412" r:id="rId1307" display="https://www.genome.jp/entry/R03664" xr:uid="{95724CA5-98C0-49C4-9BB5-52DFA85BB468}"/>
    <hyperlink ref="E975" r:id="rId1308" display="https://www.genome.jp/entry/3.1.11.2" xr:uid="{A803B68C-615B-4B20-9F5C-2449145B09B2}"/>
    <hyperlink ref="E107" r:id="rId1309" display="https://www.genome.jp/entry/1.1.1.42" xr:uid="{D3F7D498-1D52-4787-8501-8966C72A6236}"/>
    <hyperlink ref="F107" r:id="rId1310" display="https://www.genome.jp/entry/R00267" xr:uid="{B5C0543C-D356-4C60-8E0C-5443D299AA59}"/>
    <hyperlink ref="F108" r:id="rId1311" display="https://www.genome.jp/entry/R00268" xr:uid="{89814956-55E3-49CB-8BD9-DE039CAF327C}"/>
    <hyperlink ref="F109" r:id="rId1312" display="https://www.genome.jp/entry/R01899" xr:uid="{6A42A958-DE66-4A5D-8D0C-5AABFB387DBA}"/>
    <hyperlink ref="E510" r:id="rId1313" display="https://www.genome.jp/entry/2.3.3.16" xr:uid="{02258765-48F6-4B1D-AA0C-F23ABC0FA83C}"/>
    <hyperlink ref="F510" r:id="rId1314" display="https://www.genome.jp/entry/R00351" xr:uid="{023FC7EE-9E42-48BC-B0FE-46648244DCCE}"/>
    <hyperlink ref="E513" r:id="rId1315" display="https://www.genome.jp/entry/2.3.3.5" xr:uid="{3554F544-19F8-4F84-B07E-BF5C8781E49A}"/>
    <hyperlink ref="F513" r:id="rId1316" display="https://www.genome.jp/entry/R00931" xr:uid="{3EFE76E9-57DE-4338-9A1E-0E5C2BFF80C7}"/>
    <hyperlink ref="F514" r:id="rId1317" display="https://www.genome.jp/entry/R00351" xr:uid="{36F8E5CE-5BD1-4F9C-B477-1B693A61CF18}"/>
    <hyperlink ref="E1238" r:id="rId1318" display="https://www.genome.jp/entry/4.1.3.30" xr:uid="{20C20CA9-5BF1-4FDA-A105-979DB29E432E}"/>
    <hyperlink ref="F1238" r:id="rId1319" display="https://www.genome.jp/entry/R00409" xr:uid="{A97CF4F6-B7B4-40DF-8DA0-B5FF67A489DC}"/>
    <hyperlink ref="E610" r:id="rId1320" display="https://www.genome.jp/entry/2.5.1.47" xr:uid="{19939BDF-9A3B-4959-B779-2C769F08D86B}"/>
    <hyperlink ref="F610" r:id="rId1321" display="https://www.genome.jp/entry/R00897" xr:uid="{E6CC8D35-C317-4DEF-BBD3-B5D0AC610D80}"/>
    <hyperlink ref="F611" r:id="rId1322" display="https://www.genome.jp/entry/R03601" xr:uid="{A2636986-FF51-4D33-BD55-A3E1A2D17D37}"/>
    <hyperlink ref="F612" r:id="rId1323" display="https://www.genome.jp/entry/R04859" xr:uid="{8283D800-CC80-46CE-9130-BC274CC08ADD}"/>
    <hyperlink ref="F613" r:id="rId1324" display="https://www.genome.jp/entry/R07274" xr:uid="{28583D9F-616D-48B4-9780-3C7F1B85707A}"/>
    <hyperlink ref="E428" r:id="rId1325" display="https://www.genome.jp/entry/2.3.1.31" xr:uid="{A143B95C-E68C-416D-BC83-DA846183E523}"/>
    <hyperlink ref="F428" r:id="rId1326" display="https://www.genome.jp/entry/R01776" xr:uid="{B8C98271-EDB3-4336-A315-308D860CD087}"/>
    <hyperlink ref="E348" r:id="rId1327" display="https://www.genome.jp/entry/2.1.1.207" xr:uid="{3BE4FE37-D7AA-4D9E-A592-7E23D0B0D3C9}"/>
    <hyperlink ref="E817" r:id="rId1328" display="https://www.genome.jp/entry/2.7.7.7" xr:uid="{90F814CA-2485-4ECD-976A-E9A54F5DC2CB}"/>
    <hyperlink ref="F817" r:id="rId1329" display="https://www.genome.jp/entry/R00379" xr:uid="{B4E707BE-AED0-4BC5-BC87-D9416F928A5B}"/>
    <hyperlink ref="F818" r:id="rId1330" display="https://www.genome.jp/entry/R00375" xr:uid="{6A783AFB-F66B-4C63-BDEA-5FE1C0CA1DAE}"/>
    <hyperlink ref="F819" r:id="rId1331" display="https://www.genome.jp/entry/R00376" xr:uid="{4216ACC8-5CF9-496F-A8B5-C434105EBA85}"/>
    <hyperlink ref="F820" r:id="rId1332" display="https://www.genome.jp/entry/R00377" xr:uid="{4D9706BB-6439-4A8B-ADA8-787E4AB93291}"/>
    <hyperlink ref="F821" r:id="rId1333" display="https://www.genome.jp/entry/R00378" xr:uid="{78103540-0787-40A2-A10D-BEBD23ED85DD}"/>
    <hyperlink ref="F822" r:id="rId1334" display="https://www.genome.jp/entry/R11029" xr:uid="{B57E35C6-7CE4-431E-BEFF-BB47883F4B40}"/>
    <hyperlink ref="E841" r:id="rId1335" display="https://www.genome.jp/entry/2.7.7.7" xr:uid="{21D2A9B7-8A0D-4270-8682-0AFDD83D605D}"/>
    <hyperlink ref="F841" r:id="rId1336" display="https://www.genome.jp/entry/R00379" xr:uid="{8BD5DE67-9D97-496C-A46D-44F6543842ED}"/>
    <hyperlink ref="F842" r:id="rId1337" display="https://www.genome.jp/entry/R00375" xr:uid="{46E95E26-0DFC-4068-9E5C-AC796BF77EDB}"/>
    <hyperlink ref="F843" r:id="rId1338" display="https://www.genome.jp/entry/R00376" xr:uid="{C7022D05-EB07-4B50-A6DC-D60729484F01}"/>
    <hyperlink ref="F844" r:id="rId1339" display="https://www.genome.jp/entry/R00377" xr:uid="{482FFC21-98BB-4C8A-A2CA-7B8FEC9A00D4}"/>
    <hyperlink ref="F845" r:id="rId1340" display="https://www.genome.jp/entry/R00378" xr:uid="{80804497-7E6D-4689-B097-4BB4AB3E13EC}"/>
    <hyperlink ref="F846" r:id="rId1341" display="https://www.genome.jp/entry/R11029" xr:uid="{4A890AC8-00F3-4A44-96CD-278CBA21B84A}"/>
    <hyperlink ref="E1525" r:id="rId1342" display="https://www.genome.jp/entry/7.4.2.11" xr:uid="{3F49FB4E-DE14-46A0-B320-74404A3BF214}"/>
    <hyperlink ref="E1524" r:id="rId1343" display="https://www.genome.jp/entry/7.4.2.11" xr:uid="{1B32C503-9E14-4F2A-B77B-5EEA11863AE1}"/>
    <hyperlink ref="E835" r:id="rId1344" display="https://www.genome.jp/entry/2.7.7.7" xr:uid="{7FDBA1B9-B041-4734-BF2C-BBE823EA10AA}"/>
    <hyperlink ref="F835" r:id="rId1345" display="https://www.genome.jp/entry/R00379" xr:uid="{352B1930-1382-4A54-9453-4148631CE0A5}"/>
    <hyperlink ref="F836" r:id="rId1346" display="https://www.genome.jp/entry/R00375" xr:uid="{287B5A4F-FC44-47C1-A1FF-3C4415043DAC}"/>
    <hyperlink ref="F837" r:id="rId1347" display="https://www.genome.jp/entry/R00376" xr:uid="{47F81FEB-F803-4F5A-8E45-ECBAF2D1131D}"/>
    <hyperlink ref="F838" r:id="rId1348" display="https://www.genome.jp/entry/R00377" xr:uid="{1C86A97D-1183-4BF4-93CF-9C2DE8827915}"/>
    <hyperlink ref="F839" r:id="rId1349" display="https://www.genome.jp/entry/R00378" xr:uid="{EE1BDB76-E83F-4EF8-ABC0-A8969F6DA396}"/>
    <hyperlink ref="F840" r:id="rId1350" display="https://www.genome.jp/entry/R11029" xr:uid="{E299EE87-4386-4810-8DDF-045B5F79B422}"/>
    <hyperlink ref="E1471" r:id="rId1351" display="https://www.genome.jp/entry/6.3.5.2" xr:uid="{88F554E5-C56C-4E27-8C3C-535ECAA52A82}"/>
    <hyperlink ref="F1471" r:id="rId1352" display="https://www.genome.jp/entry/R00256" xr:uid="{C6C12228-9ED3-41CB-A958-C221FA91B7E0}"/>
    <hyperlink ref="F1472" r:id="rId1353" display="https://www.genome.jp/entry/R01230" xr:uid="{91A3A1A8-AC79-4BA4-AEF2-7B845C539613}"/>
    <hyperlink ref="F1473" r:id="rId1354" display="https://www.genome.jp/entry/R01231" xr:uid="{6FCA3D0A-26A7-4839-9551-132C13203544}"/>
    <hyperlink ref="F1474" r:id="rId1355" display="https://www.genome.jp/entry/R08244" xr:uid="{1AA35DE1-D484-4F9C-B1D0-FD1478A397E0}"/>
    <hyperlink ref="E84" r:id="rId1356" display="https://www.genome.jp/entry/1.1.1.205" xr:uid="{56422E93-A946-47DD-B582-B46090A73415}"/>
    <hyperlink ref="F84" r:id="rId1357" display="https://www.genome.jp/entry/R01130" xr:uid="{0FBE3908-569A-4FFA-9C06-B888A5FC6BE0}"/>
    <hyperlink ref="F85" r:id="rId1358" display="https://www.genome.jp/entry/R08240" xr:uid="{B3361FB5-2B05-43CE-A1A7-6AC06EAD94B4}"/>
    <hyperlink ref="E423" r:id="rId1359" display="https://www.genome.jp/entry/2.3.1.234" xr:uid="{6033B981-C5DB-49E4-A34A-BB714E8BC461}"/>
    <hyperlink ref="F423" r:id="rId1360" display="https://www.genome.jp/entry/R10648" xr:uid="{D16225AA-FE9F-426C-BEE2-04D70F871862}"/>
    <hyperlink ref="E424" r:id="rId1361" display="https://www.genome.jp/entry/2.3.1.266" xr:uid="{208A1B6A-7763-4944-BDDD-4D95C377FE1A}"/>
    <hyperlink ref="F424" r:id="rId1362" display="https://www.genome.jp/entry/R04316" xr:uid="{6FAFDCA9-ED8C-4586-9570-45F6F5B570F3}"/>
    <hyperlink ref="E422" r:id="rId1363" display="https://www.genome.jp/entry/2.3.1.234" xr:uid="{F96749E0-1AEF-4916-BBB5-40684B13C591}"/>
    <hyperlink ref="F422" r:id="rId1364" display="https://www.genome.jp/entry/R10648" xr:uid="{EE0FE8A7-463B-438C-B053-62A2BD9F5787}"/>
    <hyperlink ref="E1327" r:id="rId1365" display="https://www.genome.jp/entry/5.1.1.1" xr:uid="{705FF1B7-2BE4-4312-9097-AA968F629852}"/>
    <hyperlink ref="F1327" r:id="rId1366" display="https://www.genome.jp/entry/R00401" xr:uid="{7F54866F-4AE9-4720-AE7B-4441029FC440}"/>
    <hyperlink ref="E1365" r:id="rId1367" display="https://www.genome.jp/entry/5.4.2.10" xr:uid="{EC9E5955-9281-4C03-B429-84198BAA3E33}"/>
    <hyperlink ref="F1365" r:id="rId1368" display="https://www.genome.jp/entry/R02060" xr:uid="{C662CE0F-8A6A-45C0-B290-CD74A9E7F625}"/>
    <hyperlink ref="E1375" r:id="rId1369" display="https://www.genome.jp/entry/5.4.99.12" xr:uid="{AC0878E5-C38D-4C73-9E25-C58EEA5718E4}"/>
    <hyperlink ref="F1375" r:id="rId1370" display="https://www.genome.jp/entry/R03020" xr:uid="{A200CCA2-EC0E-4F91-AA49-F8FD466C16FA}"/>
    <hyperlink ref="E803" r:id="rId1371" display="https://www.genome.jp/entry/2.7.7.6" xr:uid="{21F9C615-6F94-48AC-8DA8-C31C91DCB33E}"/>
    <hyperlink ref="F803" r:id="rId1372" display="https://www.genome.jp/entry/R00444" xr:uid="{67B9CFBB-F3A3-41E2-AE25-CE34F72CE57D}"/>
    <hyperlink ref="F804" r:id="rId1373" display="https://www.genome.jp/entry/R00435" xr:uid="{E0B588C8-B696-44B7-8D91-F9C0B1EE254D}"/>
    <hyperlink ref="F805" r:id="rId1374" display="https://www.genome.jp/entry/R00441" xr:uid="{C3254A9B-FC08-46A0-B8C7-6AEE3B33243B}"/>
    <hyperlink ref="F806" r:id="rId1375" display="https://www.genome.jp/entry/R00442" xr:uid="{04B79DD4-4779-42CE-9BEB-AD2DF6DAD3A9}"/>
    <hyperlink ref="F807" r:id="rId1376" display="https://www.genome.jp/entry/R00443" xr:uid="{F1A6DFC2-0F4A-4CF1-87BC-7F296059B7DE}"/>
    <hyperlink ref="F808" r:id="rId1377" display="https://www.genome.jp/entry/R10813" xr:uid="{D16E6FD8-545E-4CF7-AE81-9B085F70A5F9}"/>
    <hyperlink ref="E1070" r:id="rId1378" display="https://www.genome.jp/entry/3.4.11.18" xr:uid="{094EA71B-3BD5-4BE7-9E6E-11F4B8F0AAA2}"/>
    <hyperlink ref="E745" r:id="rId1379" display="https://www.genome.jp/entry/2.7.4.3" xr:uid="{4F5B9378-611E-4C7A-A534-35BBA650E5E2}"/>
    <hyperlink ref="F745" r:id="rId1380" display="https://www.genome.jp/entry/R00127" xr:uid="{E6DD4272-CD27-4B1C-9A0D-3861C81297A2}"/>
    <hyperlink ref="F746" r:id="rId1381" display="https://www.genome.jp/entry/R01547" xr:uid="{7D89E161-03BC-4FD6-8658-EBDCB26464BF}"/>
    <hyperlink ref="F747" r:id="rId1382" display="https://www.genome.jp/entry/R11319" xr:uid="{D500B7F6-FFAE-440D-98CD-B5A734E1E127}"/>
    <hyperlink ref="E797" r:id="rId1383" display="https://www.genome.jp/entry/2.7.7.6" xr:uid="{A156FE5A-D2C0-4545-9B8B-C21C5654410C}"/>
    <hyperlink ref="F797" r:id="rId1384" display="https://www.genome.jp/entry/R00444" xr:uid="{1B867654-1792-43EC-9D37-24E3219CE976}"/>
    <hyperlink ref="F798" r:id="rId1385" display="https://www.genome.jp/entry/R00435" xr:uid="{BA75FB95-6BD0-473A-87FB-B07CE736E8A9}"/>
    <hyperlink ref="F799" r:id="rId1386" display="https://www.genome.jp/entry/R00441" xr:uid="{7C86510B-4825-437A-BDDE-09B2039CC68F}"/>
    <hyperlink ref="F800" r:id="rId1387" display="https://www.genome.jp/entry/R00442" xr:uid="{1F9B75A1-FA87-431F-B74E-D7DA5E924B0F}"/>
    <hyperlink ref="F801" r:id="rId1388" display="https://www.genome.jp/entry/R00443" xr:uid="{9AA4F5FF-5923-47F7-B21C-8402AE875FE4}"/>
    <hyperlink ref="F802" r:id="rId1389" display="https://www.genome.jp/entry/R10813" xr:uid="{126C450E-522F-430A-B7B8-5E08EFAEAD3E}"/>
    <hyperlink ref="E791" r:id="rId1390" display="https://www.genome.jp/entry/2.7.7.6" xr:uid="{09020742-690B-4182-BA53-85BCFCEF8F42}"/>
    <hyperlink ref="F791" r:id="rId1391" display="https://www.genome.jp/entry/R00444" xr:uid="{35BB498C-C27D-46F1-B9AA-8C81CACBABFE}"/>
    <hyperlink ref="F792" r:id="rId1392" display="https://www.genome.jp/entry/R00435" xr:uid="{0175603A-5BA3-4F7B-AA36-B39CBDDB2AE5}"/>
    <hyperlink ref="F793" r:id="rId1393" display="https://www.genome.jp/entry/R00441" xr:uid="{3B990758-40DD-45DE-B8C3-5678A5402D37}"/>
    <hyperlink ref="F794" r:id="rId1394" display="https://www.genome.jp/entry/R00442" xr:uid="{EE08683E-AA79-4178-95A1-3193FA861E46}"/>
    <hyperlink ref="F795" r:id="rId1395" display="https://www.genome.jp/entry/R00443" xr:uid="{0A77E1AC-1B4B-40E3-9540-EBC8D2D417D3}"/>
    <hyperlink ref="F796" r:id="rId1396" display="https://www.genome.jp/entry/R10813" xr:uid="{F0247AFD-1330-442A-A928-8730F3C41A02}"/>
    <hyperlink ref="E653" r:id="rId1397" display="https://www.genome.jp/entry/2.6.1.19" xr:uid="{C71D292D-9CFE-47F6-8509-1B4F6217CEB5}"/>
    <hyperlink ref="F653" r:id="rId1398" display="https://www.genome.jp/entry/R01648" xr:uid="{F5B61C95-4761-4271-9892-C601EC2AB926}"/>
    <hyperlink ref="F654" r:id="rId1399" display="https://www.genome.jp/entry/R00908" xr:uid="{EE78327E-40D2-4020-8293-63B7D9361A69}"/>
    <hyperlink ref="E231" r:id="rId1400" display="https://www.genome.jp/entry/1.3.1.83" xr:uid="{2F7CBE88-3912-4522-BD1B-5B0F5CAE8A85}"/>
    <hyperlink ref="F231" r:id="rId1401" display="https://www.genome.jp/entry/R02063" xr:uid="{6421FF05-F734-4D3E-B0F4-4BFDC1A9888D}"/>
    <hyperlink ref="E340" r:id="rId1402" display="https://www.genome.jp/entry/2.1.1.163" xr:uid="{6A7CAC4A-E341-41D8-AD9E-9A24819FB0A7}"/>
    <hyperlink ref="F340" r:id="rId1403" display="https://www.genome.jp/entry/R09736" xr:uid="{B7C5D5C3-8C82-4FC9-AFD8-E10B746357ED}"/>
    <hyperlink ref="E387" r:id="rId1404" display="https://www.genome.jp/entry/2.2.1.9" xr:uid="{D833C1A4-1B10-4EAC-AE40-C1A16DDD5CDF}"/>
    <hyperlink ref="F387" r:id="rId1405" display="https://www.genome.jp/entry/R08165" xr:uid="{EDFEBF76-2537-447D-B753-ABBF648B041A}"/>
    <hyperlink ref="E1250" r:id="rId1406" display="https://www.genome.jp/entry/4.2.1.113" xr:uid="{D52594A5-6CA4-43E2-AC75-5EF26A7D2F30}"/>
    <hyperlink ref="F1250" r:id="rId1407" display="https://www.genome.jp/entry/R04031" xr:uid="{4687170B-8C32-478C-9F0B-C4B59D062C02}"/>
    <hyperlink ref="E1279" r:id="rId1408" display="https://www.genome.jp/entry/4.2.1.96" xr:uid="{DAB1F97F-2BF6-4CE4-BDE4-3EEEEE1C9F15}"/>
    <hyperlink ref="F1279" r:id="rId1409" display="https://www.genome.jp/entry/R04734" xr:uid="{953EF7C8-7C6F-4288-983C-3EC753D836DF}"/>
    <hyperlink ref="E1240" r:id="rId1410" display="https://www.genome.jp/entry/4.1.3.36" xr:uid="{522B5722-68A3-4F24-AD43-6C44215A2731}"/>
    <hyperlink ref="F1240" r:id="rId1411" display="https://www.genome.jp/entry/R04150" xr:uid="{2E09495B-830C-41A9-A564-A8FA6195813F}"/>
    <hyperlink ref="F1241" r:id="rId1412" display="https://www.genome.jp/entry/R07263" xr:uid="{D76E3399-0830-4985-8D6E-7D5C72CBEAB9}"/>
    <hyperlink ref="E1424" r:id="rId1413" display="https://www.genome.jp/entry/6.2.1.26" xr:uid="{E4DEB619-B2E4-4605-9222-E7A28F73C141}"/>
    <hyperlink ref="F1424" r:id="rId1414" display="https://www.genome.jp/entry/R04030" xr:uid="{27C283E1-92C4-4ED2-A966-1C5B411F02FE}"/>
    <hyperlink ref="E634" r:id="rId1415" display="https://www.genome.jp/entry/2.5.1.74" xr:uid="{99A962DD-C689-4B42-88C8-7A884D85D0D3}"/>
    <hyperlink ref="F634" r:id="rId1416" display="https://www.genome.jp/entry/R10757" xr:uid="{E6C852AF-2984-484C-91B0-BAEFEBD23480}"/>
    <hyperlink ref="E1372" r:id="rId1417" display="https://www.genome.jp/entry/5.4.3.8" xr:uid="{F9A8C988-9EDA-4480-B17A-4184FAD9F0DA}"/>
    <hyperlink ref="F1372" r:id="rId1418" display="https://www.genome.jp/entry/R02272" xr:uid="{C206D13B-3318-47C3-9D49-C7053B13F538}"/>
    <hyperlink ref="E236" r:id="rId1419" display="https://www.genome.jp/entry/1.3.3.4" xr:uid="{9D936727-FBE5-4A92-BDFC-4D87564209C0}"/>
    <hyperlink ref="F236" r:id="rId1420" display="https://www.genome.jp/entry/R03222" xr:uid="{01D4A4A9-3EB5-4E59-AEE3-EE29F5462A51}"/>
    <hyperlink ref="E1224" r:id="rId1421" display="https://www.genome.jp/entry/4.1.1.37" xr:uid="{600A392C-8A97-45E9-A700-31E54A24D25C}"/>
    <hyperlink ref="F1224" r:id="rId1422" display="https://www.genome.jp/entry/R03197" xr:uid="{751D524A-A534-4625-A8B8-B12E3DABEAA4}"/>
    <hyperlink ref="F1225" r:id="rId1423" display="https://www.genome.jp/entry/R04972" xr:uid="{75BB882C-6B9B-4A34-B99E-90914EE7639B}"/>
    <hyperlink ref="E1260" r:id="rId1424" display="https://www.genome.jp/entry/4.2.1.24" xr:uid="{99FA5A55-FC9F-413F-A485-B1D753DB0A8F}"/>
    <hyperlink ref="F1260" r:id="rId1425" display="https://www.genome.jp/entry/R00036" xr:uid="{A93A9F46-CE94-44E5-93AF-367172DD3EB9}"/>
    <hyperlink ref="E327" r:id="rId1426" display="https://www.genome.jp/entry/2.1.1.107" xr:uid="{E5F34349-DA1A-4057-9979-DCAD0F2BB2A7}"/>
    <hyperlink ref="F327" r:id="rId1427" display="https://www.genome.jp/entry/R03194" xr:uid="{81029DCA-080A-4F76-8C97-2AABACDB7134}"/>
    <hyperlink ref="F328" r:id="rId1428" display="https://www.genome.jp/entry/R07237" xr:uid="{56EF7FA8-335B-403B-88BF-123A18D8A080}"/>
    <hyperlink ref="F329" r:id="rId1429" display="https://www.genome.jp/entry/R07238" xr:uid="{67B23BB2-7270-4170-A9CE-B12692F98D8E}"/>
    <hyperlink ref="F330" r:id="rId1430" display="https://www.genome.jp/entry/R03950" xr:uid="{B72EA73B-38A4-4E9C-9EE4-8F88EF1ACA77}"/>
    <hyperlink ref="E1274" r:id="rId1431" display="https://www.genome.jp/entry/4.2.1.75" xr:uid="{DBC0F06E-60AD-4D9C-9289-42E9397CB41B}"/>
    <hyperlink ref="F1274" r:id="rId1432" display="https://www.genome.jp/entry/R03165" xr:uid="{B3F5D0F4-C0F5-451F-937D-22377A8E4495}"/>
    <hyperlink ref="E1247" r:id="rId1433" display="https://www.genome.jp/entry/4.2.1.10" xr:uid="{C1AB9EC0-E824-4041-9667-5CAA1D4F4E62}"/>
    <hyperlink ref="F1247" r:id="rId1434" display="https://www.genome.jp/entry/R03084" xr:uid="{BFCDB406-71DA-484C-B734-401B950F8CF8}"/>
    <hyperlink ref="E1251" r:id="rId1435" display="https://www.genome.jp/entry/4.2.1.118" xr:uid="{A1BBEAA2-9FB4-42C8-A5E4-23EBD403AB5C}"/>
    <hyperlink ref="F1251" r:id="rId1436" display="https://www.genome.jp/entry/R01627" xr:uid="{31039CF4-CB8F-4AA9-9108-6E5F64E722F9}"/>
    <hyperlink ref="E630" r:id="rId1437" display="https://www.genome.jp/entry/2.5.1.61" xr:uid="{01FC8896-B33E-4EF8-A818-4171CF25619D}"/>
    <hyperlink ref="F630" r:id="rId1438" display="https://www.genome.jp/entry/R00084" xr:uid="{97CEBEE2-2725-44DD-BF67-87FE09D97850}"/>
    <hyperlink ref="E214" r:id="rId1439" display="https://www.genome.jp/entry/1.2.1.70" xr:uid="{024CBCCE-6332-402E-808E-F3F8A66F1E0F}"/>
    <hyperlink ref="F214" r:id="rId1440" display="https://www.genome.jp/entry/R04109" xr:uid="{2826A45E-FE88-46D0-9DED-D1892DDBF5DF}"/>
    <hyperlink ref="E254" r:id="rId1441" display="https://www.genome.jp/entry/1.5.1.2" xr:uid="{A4756615-24B4-487D-9179-444A101B40F8}"/>
    <hyperlink ref="F254" r:id="rId1442" display="https://www.genome.jp/entry/R01248" xr:uid="{A48D97F1-DA68-4253-9B74-43FDB0A6B0F8}"/>
    <hyperlink ref="F255" r:id="rId1443" display="https://www.genome.jp/entry/R01251" xr:uid="{2DF6B0C4-723B-45C0-8EA9-7C5C97BD5F3E}"/>
    <hyperlink ref="F256" r:id="rId1444" display="https://www.genome.jp/entry/R03291" xr:uid="{78823113-05B5-42DD-9654-63FAB582E0CA}"/>
    <hyperlink ref="F257" r:id="rId1445" display="https://www.genome.jp/entry/R03293" xr:uid="{0D64C5B6-F160-48B7-9B95-C92FA11EB9F5}"/>
    <hyperlink ref="E722" r:id="rId1446" display="https://www.genome.jp/entry/2.7.13.3" xr:uid="{5E8FEAE8-999B-4A3D-A2E7-EEADCE421608}"/>
    <hyperlink ref="E1366" r:id="rId1447" display="https://www.genome.jp/entry/5.4.2.11" xr:uid="{8E62FC55-1621-4E17-A919-D434FAC6A409}"/>
    <hyperlink ref="F1366" r:id="rId1448" display="https://www.genome.jp/entry/R01516" xr:uid="{D4FFCE98-613F-48C1-ACB5-DD7E18EF3D4E}"/>
    <hyperlink ref="F1367" r:id="rId1449" display="https://www.genome.jp/entry/R01518" xr:uid="{5D8A281E-5C17-403E-94EE-4F5474546B1C}"/>
    <hyperlink ref="E552" r:id="rId1450" display="https://www.genome.jp/entry/2.4.1.250" xr:uid="{1532721B-F86B-4F6D-A51B-3E61D8303DF8}"/>
    <hyperlink ref="F552" r:id="rId1451" display="https://www.genome.jp/entry/R09634" xr:uid="{16F0B42B-A4DE-42A3-8E33-6AE610B5630F}"/>
    <hyperlink ref="E234" r:id="rId1452" display="https://www.genome.jp/entry/1.3.1.98" xr:uid="{9ED59695-14F9-4D02-A6DA-A06E9D38E302}"/>
    <hyperlink ref="F234" r:id="rId1453" display="https://www.genome.jp/entry/R03192" xr:uid="{8DB328C6-BA5D-4CD3-8DC7-64BC34D2D2F9}"/>
    <hyperlink ref="F235" r:id="rId1454" display="https://www.genome.jp/entry/R03191" xr:uid="{1A2DAB3D-4C91-41D0-98A0-A622BA1A9C2E}"/>
    <hyperlink ref="E1234" r:id="rId1455" display="https://www.genome.jp/entry/4.1.2.4" xr:uid="{1F28EDA3-E50A-4B98-9F15-29FA27CD5C69}"/>
    <hyperlink ref="F1234" r:id="rId1456" display="https://www.genome.jp/entry/R01066" xr:uid="{CCE3A66B-320F-4162-B187-CDF5ACE2B2A4}"/>
    <hyperlink ref="E1104" r:id="rId1457" display="https://www.genome.jp/entry/3.5.1.10" xr:uid="{FAB3201A-7F32-42C1-9415-A516495559C0}"/>
    <hyperlink ref="F1104" r:id="rId1458" display="https://www.genome.jp/entry/R00944" xr:uid="{A2B985DF-E1FC-44E7-B8D9-8D9EA20FC3CB}"/>
    <hyperlink ref="E878" r:id="rId1459" display="https://www.genome.jp/entry/2.7.7.9" xr:uid="{96C52C26-09EC-4D6D-8A02-E83684809358}"/>
    <hyperlink ref="F878" r:id="rId1460" display="https://www.genome.jp/entry/R00289" xr:uid="{D2A169B5-9E6E-435A-B07F-D1643D596589}"/>
    <hyperlink ref="E288" r:id="rId1461" display="https://www.genome.jp/entry/1.8.1.4" xr:uid="{CB409338-AEA0-4C48-BADD-1B2BC3FC3646}"/>
    <hyperlink ref="F288" r:id="rId1462" display="https://www.genome.jp/entry/R08550" xr:uid="{5EDC03ED-8892-42D0-9E77-406AAF4C8043}"/>
    <hyperlink ref="F289" r:id="rId1463" display="https://www.genome.jp/entry/R03815" xr:uid="{F7F0E34D-0C2F-43D1-ABED-3079A1B0BBE9}"/>
    <hyperlink ref="F290" r:id="rId1464" display="https://www.genome.jp/entry/R07618" xr:uid="{8EF1F096-61AE-4DE4-AB26-A2EE46C6EBCA}"/>
    <hyperlink ref="F291" r:id="rId1465" display="https://www.genome.jp/entry/R01698" xr:uid="{23F0D636-1487-40F3-BE60-74E68D5A2C21}"/>
    <hyperlink ref="E232" r:id="rId1466" display="https://www.genome.jp/entry/1.3.1.98" xr:uid="{65231744-BDBB-407D-A71A-0E4C3239D213}"/>
    <hyperlink ref="F232" r:id="rId1467" display="https://www.genome.jp/entry/R03192" xr:uid="{2B35DB85-FD90-4825-A171-DF1B4E362B01}"/>
    <hyperlink ref="F233" r:id="rId1468" display="https://www.genome.jp/entry/R03191" xr:uid="{8BC479FB-7248-4793-9098-FEEF60BC92D3}"/>
    <hyperlink ref="E631" r:id="rId1469" display="https://www.genome.jp/entry/2.5.1.7" xr:uid="{7DFFB869-35FD-4723-8CA3-4489568CF1DD}"/>
    <hyperlink ref="F631" r:id="rId1470" display="https://www.genome.jp/entry/R00660" xr:uid="{6B3A7DB6-5379-4112-8788-265B58BE4374}"/>
    <hyperlink ref="E1270" r:id="rId1471" display="https://www.genome.jp/entry/4.2.1.46" xr:uid="{A1566D21-65EB-48F2-9499-7F36BFF7FBC8}"/>
    <hyperlink ref="F1270" r:id="rId1472" display="https://www.genome.jp/entry/R06513" xr:uid="{E49140B1-93C4-4B71-8AD5-25AE2DB116A7}"/>
    <hyperlink ref="E782" r:id="rId1473" display="https://www.genome.jp/entry/2.7.7.24" xr:uid="{B45C93E3-4F53-4790-855F-163858741375}"/>
    <hyperlink ref="F782" r:id="rId1474" display="https://www.genome.jp/entry/R02328" xr:uid="{8F8AE15F-085A-4AEB-B822-F8A376D480F7}"/>
    <hyperlink ref="E1021" r:id="rId1475" display="https://www.genome.jp/entry/3.1.3.5" xr:uid="{A2E94749-41D6-4B33-AAA9-F200F6C7581A}"/>
    <hyperlink ref="F1021" r:id="rId1476" display="https://www.genome.jp/entry/R07297" xr:uid="{41516120-F133-405F-8EF7-F6986508275A}"/>
    <hyperlink ref="F1022" r:id="rId1477" display="https://www.genome.jp/entry/R00183" xr:uid="{E16E01EB-2A1C-403F-8096-B1BA0DE1F0EB}"/>
    <hyperlink ref="F1023" r:id="rId1478" display="https://www.genome.jp/entry/R00511" xr:uid="{F2BB328E-8311-44A7-9296-D7B93F6F4B33}"/>
    <hyperlink ref="F1024" r:id="rId1479" display="https://www.genome.jp/entry/R00963" xr:uid="{A271B5D2-1468-4469-90EF-7B4D0D1D3333}"/>
    <hyperlink ref="F1025" r:id="rId1480" display="https://www.genome.jp/entry/R01126" xr:uid="{BE7D686C-4078-4225-9201-670EAC59AC90}"/>
    <hyperlink ref="F1026" r:id="rId1481" display="https://www.genome.jp/entry/R01227" xr:uid="{B167CAF4-4956-45D7-B3C4-9435B28C94AF}"/>
    <hyperlink ref="F1027" r:id="rId1482" display="https://www.genome.jp/entry/R02323" xr:uid="{D27AF0FF-18ED-4C92-9D0B-E01FD38697B6}"/>
    <hyperlink ref="F1028" r:id="rId1483" display="https://www.genome.jp/entry/R02719" xr:uid="{6E88D520-7898-4E4D-9B3A-374C9961C7B8}"/>
    <hyperlink ref="F1029" r:id="rId1484" display="https://www.genome.jp/entry/R03346" xr:uid="{167D939C-5BA2-4B7A-8BF5-4F5FC1ABEC28}"/>
    <hyperlink ref="F1030" r:id="rId1485" display="https://www.genome.jp/entry/R01569" xr:uid="{02D3C3E4-25EF-4E30-880E-71535356FEA1}"/>
    <hyperlink ref="F1031" r:id="rId1486" display="https://www.genome.jp/entry/R01664" xr:uid="{41F5AD3E-4A03-4256-8BDC-1956C53D0C48}"/>
    <hyperlink ref="F1032" r:id="rId1487" display="https://www.genome.jp/entry/R01968" xr:uid="{E2FF4566-4EC7-4CFC-ABF9-C491FD2F2639}"/>
    <hyperlink ref="F1033" r:id="rId1488" display="https://www.genome.jp/entry/R02088" xr:uid="{07EB5F64-53E7-4D55-B52F-BA109BB68F06}"/>
    <hyperlink ref="F1034" r:id="rId1489" display="https://www.genome.jp/entry/R02102" xr:uid="{7CBA8528-499C-43FE-8272-686E28B5CD78}"/>
    <hyperlink ref="F1035" r:id="rId1490" display="https://www.genome.jp/entry/R12958" xr:uid="{DFFBBF70-638E-4CB7-85BA-AAE205D57B98}"/>
    <hyperlink ref="E1271" r:id="rId1491" display="https://www.genome.jp/entry/4.2.1.47" xr:uid="{E2EE4E2F-3908-4C82-B104-E36469B77FB4}"/>
    <hyperlink ref="F1271" r:id="rId1492" display="https://www.genome.jp/entry/R00888" xr:uid="{60FB8C79-863D-4A7E-9147-C493754073F3}"/>
    <hyperlink ref="E99" r:id="rId1493" display="https://www.genome.jp/entry/1.1.1.306" xr:uid="{6E93186C-9589-47BC-855C-1544E73171A3}"/>
    <hyperlink ref="F99" r:id="rId1494" display="https://www.genome.jp/entry/R09129" xr:uid="{E4189A24-A757-4923-B3D3-7594F4CF8628}"/>
    <hyperlink ref="F100" r:id="rId1495" display="https://www.genome.jp/entry/R10301" xr:uid="{1E948023-DB8A-4372-A673-B582E3F4E5C5}"/>
    <hyperlink ref="E829" r:id="rId1496" display="https://www.genome.jp/entry/2.7.7.7" xr:uid="{7E771A00-25F4-412A-AA03-27794706043D}"/>
    <hyperlink ref="F829" r:id="rId1497" display="https://www.genome.jp/entry/R00379" xr:uid="{CC782833-77C4-4829-A812-02223BA2EECF}"/>
    <hyperlink ref="F830" r:id="rId1498" display="https://www.genome.jp/entry/R00375" xr:uid="{8B0FB0AE-AE75-40FF-A1F2-53F1D767E754}"/>
    <hyperlink ref="F831" r:id="rId1499" display="https://www.genome.jp/entry/R00376" xr:uid="{74BCC508-9BD5-4237-B1DF-E4B8D0F88A31}"/>
    <hyperlink ref="F832" r:id="rId1500" display="https://www.genome.jp/entry/R00377" xr:uid="{76A57FA1-34C6-43AD-8CF0-EE40CAC517C4}"/>
    <hyperlink ref="F833" r:id="rId1501" display="https://www.genome.jp/entry/R00378" xr:uid="{6198FAB2-C044-4E5E-9D6A-34D2E7E89CA3}"/>
    <hyperlink ref="F834" r:id="rId1502" display="https://www.genome.jp/entry/R11029" xr:uid="{35585CDE-9165-4558-B296-DA0537F5141C}"/>
    <hyperlink ref="E1056" r:id="rId1503" display="https://www.genome.jp/entry/3.3.2.2" xr:uid="{2225DFDE-469B-449F-ACCD-2C09F3A4B7BA}"/>
    <hyperlink ref="F1056" r:id="rId1504" display="https://www.genome.jp/entry/R02745" xr:uid="{DCFCCBF6-B2A4-4E8F-8CED-4FD36A0F8B16}"/>
    <hyperlink ref="F1057" r:id="rId1505" display="https://www.genome.jp/entry/R03415" xr:uid="{B0E3A525-649E-4C10-8821-EB3A13C2EB42}"/>
    <hyperlink ref="E1392" r:id="rId1506" display="https://www.genome.jp/entry/5.6.2.1" xr:uid="{FCE63884-90EF-4D15-940A-0660250DA28C}"/>
    <hyperlink ref="E1286" r:id="rId1507" display="https://www.genome.jp/entry/4.2.99.18" xr:uid="{D9AADD03-EB03-4891-B3EB-537BA25AD463}"/>
    <hyperlink ref="E721" r:id="rId1508" display="https://www.genome.jp/entry/2.7.13.3" xr:uid="{CB24EA0F-2D76-4653-AF33-EF165E11AE98}"/>
    <hyperlink ref="E902" r:id="rId1509" display="https://www.genome.jp/entry/2.8.4.2" xr:uid="{B68B00CD-53E2-42A9-8C30-7C5B9C54CB53}"/>
    <hyperlink ref="E135" r:id="rId1510" display="https://www.genome.jp/entry/1.11.1.6" xr:uid="{3AAB75D1-BA46-48E9-B31B-154761C4F8AD}"/>
    <hyperlink ref="F135" r:id="rId1511" display="https://www.genome.jp/entry/R00009" xr:uid="{AEE2BE42-015F-4BB6-8585-31ABA0F3D487}"/>
    <hyperlink ref="F136" r:id="rId1512" display="https://www.genome.jp/entry/R00602" xr:uid="{57A92224-B895-444F-B1A3-8FA8DEAE376D}"/>
    <hyperlink ref="F137" r:id="rId1513" display="https://www.genome.jp/entry/R02670" xr:uid="{482E9551-8E1C-4F92-B25A-3F8AAE270DA5}"/>
    <hyperlink ref="E207" r:id="rId1514" display="https://www.genome.jp/entry/1.2.1.11" xr:uid="{2BF00824-16EC-4045-BA9E-E35383FCB403}"/>
    <hyperlink ref="F207" r:id="rId1515" display="https://www.genome.jp/entry/R02291" xr:uid="{BA499ACE-25E1-46D8-B1BC-16E6B84E2E31}"/>
    <hyperlink ref="E735" r:id="rId1516" display="https://www.genome.jp/entry/2.7.2.4" xr:uid="{970F607E-2058-4AC2-A246-82353C5530F5}"/>
    <hyperlink ref="F735" r:id="rId1517" display="https://www.genome.jp/entry/R00480" xr:uid="{391E65E9-3BF2-42C2-9E91-1FB563363594}"/>
    <hyperlink ref="E509" r:id="rId1518" display="https://www.genome.jp/entry/2.3.3.13" xr:uid="{4691CC4A-113D-4450-B194-E4A542E604E6}"/>
    <hyperlink ref="F509" r:id="rId1519" display="https://www.genome.jp/entry/R01213" xr:uid="{59AD197E-43DD-42A6-8241-07C01C177D68}"/>
    <hyperlink ref="E1441" r:id="rId1520" display="https://www.genome.jp/entry/6.3.2.13" xr:uid="{458DFBB2-EE0A-4214-A4D9-CF1BA5EB98CB}"/>
    <hyperlink ref="F1441" r:id="rId1521" display="https://www.genome.jp/entry/R02788" xr:uid="{31BB5C06-8954-4625-9F70-B6015BB033FF}"/>
    <hyperlink ref="E823" r:id="rId1522" display="https://www.genome.jp/entry/2.7.7.7" xr:uid="{BDB9C3D8-A501-4638-B509-ADEEBE1D68A0}"/>
    <hyperlink ref="F823" r:id="rId1523" display="https://www.genome.jp/entry/R00379" xr:uid="{EE744073-3527-4095-9EC5-40E6AD68E454}"/>
    <hyperlink ref="F824" r:id="rId1524" display="https://www.genome.jp/entry/R00375" xr:uid="{9F397800-4C47-4E9B-B43C-9D0ABEB83E5D}"/>
    <hyperlink ref="F825" r:id="rId1525" display="https://www.genome.jp/entry/R00376" xr:uid="{4B7AA16E-475A-4B80-90C4-CCDAEB6A9E5C}"/>
    <hyperlink ref="F826" r:id="rId1526" display="https://www.genome.jp/entry/R00377" xr:uid="{83695D8C-90C0-4FAB-9D3D-B27A5CB68DB5}"/>
    <hyperlink ref="F827" r:id="rId1527" display="https://www.genome.jp/entry/R00378" xr:uid="{35E3BA98-AFA1-4933-A18C-38C581B6F262}"/>
    <hyperlink ref="F828" r:id="rId1528" display="https://www.genome.jp/entry/R11029" xr:uid="{6DE3B079-6CDC-446B-A612-F1EE96573A19}"/>
    <hyperlink ref="E569" r:id="rId1529" display="https://www.genome.jp/entry/2.4.2.29" xr:uid="{A01A0BEB-48D1-4D3E-A8B0-6711C875F618}"/>
    <hyperlink ref="F569" r:id="rId1530" display="https://www.genome.jp/entry/R10209" xr:uid="{D639AECD-117F-474E-BD42-DAD16B40CE5A}"/>
    <hyperlink ref="E1151" r:id="rId1531" display="https://www.genome.jp/entry/3.5.4.33" xr:uid="{10CED417-3105-493E-89C5-0CB0EF367844}"/>
    <hyperlink ref="F1151" r:id="rId1532" display="https://www.genome.jp/entry/R10223" xr:uid="{AA577E9F-4CAD-4600-A23D-12210BD4A777}"/>
    <hyperlink ref="E226" r:id="rId1533" display="https://www.genome.jp/entry/1.3.1.12" xr:uid="{8204EB82-C4FE-4265-962D-363BF45AD75A}"/>
    <hyperlink ref="F226" r:id="rId1534" display="https://www.genome.jp/entry/R01728" xr:uid="{506033D7-DB3D-44EE-8845-2A4DB83FBBFC}"/>
    <hyperlink ref="E665" r:id="rId1535" display="https://www.genome.jp/entry/2.6.1.9" xr:uid="{D746525A-D244-4C7F-9BDE-38056D84D305}"/>
    <hyperlink ref="F665" r:id="rId1536" display="https://www.genome.jp/entry/R03243" xr:uid="{09621CB0-85AA-49F4-AE56-979D1657FABA}"/>
    <hyperlink ref="F666" r:id="rId1537" display="https://www.genome.jp/entry/R00694" xr:uid="{D7621ACE-FDFB-437A-BCC7-D48DCB9047BE}"/>
    <hyperlink ref="F667" r:id="rId1538" display="https://www.genome.jp/entry/R00734" xr:uid="{EE63E021-7269-434B-B6BC-D1EF86C0FEED}"/>
    <hyperlink ref="E1323" r:id="rId1539" display="https://www.genome.jp/entry/4.6.1.17" xr:uid="{9586B115-AFA1-47D7-BCF0-332041319799}"/>
    <hyperlink ref="F1323" r:id="rId1540" display="https://www.genome.jp/entry/R11372" xr:uid="{79040936-53C3-487A-B527-82DABB4EF4D3}"/>
    <hyperlink ref="E892" r:id="rId1541" display="https://www.genome.jp/entry/2.8.1.12" xr:uid="{BD6E9A1E-7F2D-4DB9-88CE-1EA8761928D4}"/>
    <hyperlink ref="F892" r:id="rId1542" display="https://www.genome.jp/entry/R09395" xr:uid="{8890066C-8E87-4818-9F40-9F61A40A3801}"/>
    <hyperlink ref="E280" r:id="rId1543" display="https://www.genome.jp/entry/1.6.5.5" xr:uid="{53EB33F9-1357-4F5D-96D1-092B97A345D7}"/>
    <hyperlink ref="F280" r:id="rId1544" display="https://www.genome.jp/entry/R02364" xr:uid="{D93A3B0B-EA47-4891-BAB1-D04C405EB8F6}"/>
    <hyperlink ref="E554" r:id="rId1545" display="https://www.genome.jp/entry/2.4.1.287" xr:uid="{77DC9C8B-F85F-4E82-9E6F-5ADDFD3434EB}"/>
    <hyperlink ref="F554" r:id="rId1546" display="https://www.genome.jp/entry/R12078" xr:uid="{3C03F913-7206-4555-941F-B3B94FB6A78D}"/>
    <hyperlink ref="F555" r:id="rId1547" display="https://www.genome.jp/entry/R12079" xr:uid="{2FF0F550-B83C-439E-A883-1103F8BC1EA2}"/>
    <hyperlink ref="E101" r:id="rId1548" display="https://www.genome.jp/entry/1.1.1.333" xr:uid="{BE3F8F50-2915-4922-8BF2-1332ABE778D2}"/>
    <hyperlink ref="F101" r:id="rId1549" display="https://www.genome.jp/entry/R10113" xr:uid="{48F225CD-22D3-45C5-86A4-B7127790AE97}"/>
    <hyperlink ref="E241" r:id="rId1550" display="https://www.genome.jp/entry/1.4.1.13" xr:uid="{38F53E0C-8A97-4941-B43B-661E79F4B628}"/>
    <hyperlink ref="F241" r:id="rId1551" display="https://www.genome.jp/entry/R00114" xr:uid="{BFFDE500-6FA9-457C-A7E3-BEAC96062AC3}"/>
    <hyperlink ref="F242" r:id="rId1552" display="https://www.genome.jp/entry/R00248" xr:uid="{C56EFAD5-3D75-43AD-AA78-4DC539DCD0E6}"/>
    <hyperlink ref="F243" r:id="rId1553" display="https://www.genome.jp/entry/R00256" xr:uid="{F85521AD-916E-4492-90D5-82208CD4096E}"/>
    <hyperlink ref="E1215" r:id="rId1554" display="https://www.genome.jp/entry/3.7.1.22" xr:uid="{73FF5F6D-935F-49E2-AF5A-F3CAA09F6F6F}"/>
    <hyperlink ref="F1215" r:id="rId1555" display="https://www.genome.jp/entry/R08603" xr:uid="{8418C974-6A53-429D-A186-B27EE9B9240E}"/>
    <hyperlink ref="E1351" r:id="rId1556" display="https://www.genome.jp/entry/5.3.1.30" xr:uid="{7FDD32F4-3FAD-4274-9528-605FBB7D7C4F}"/>
    <hyperlink ref="F1351" r:id="rId1557" display="https://www.genome.jp/entry/R08503" xr:uid="{EA133396-687E-4FDC-BC53-524AD2C76983}"/>
    <hyperlink ref="E714" r:id="rId1558" display="https://www.genome.jp/entry/2.7.1.92" xr:uid="{007E7310-B6F4-4471-A6A2-491064199370}"/>
    <hyperlink ref="F714" r:id="rId1559" display="https://www.genome.jp/entry/R05661" xr:uid="{A9E75B10-E1D3-4AEB-AE61-509C48BFD4A8}"/>
    <hyperlink ref="E355" r:id="rId1560" display="https://www.genome.jp/entry/2.1.1.63" xr:uid="{1BDB204B-9268-414D-B050-437DE3139603}"/>
    <hyperlink ref="F355" r:id="rId1561" display="https://www.genome.jp/entry/R04314" xr:uid="{BDB1DB30-3034-4645-91CD-E1706893641D}"/>
    <hyperlink ref="E1051" r:id="rId1562" display="https://www.genome.jp/entry/3.2.2.20" xr:uid="{D9E5377F-F450-4E2B-9124-BAC2B6DE4C45}"/>
    <hyperlink ref="E1210" r:id="rId1563" display="https://www.genome.jp/entry/3.6.4.13" xr:uid="{EE5629A2-1DD7-4C7F-97B0-185E8C837BC8}"/>
    <hyperlink ref="E1217" r:id="rId1564" display="https://www.genome.jp/entry/4.1.1.11" xr:uid="{4B6709F5-DF58-462D-8CFC-794EA77BF44C}"/>
    <hyperlink ref="F1217" r:id="rId1565" display="https://www.genome.jp/entry/R00489" xr:uid="{F1417D79-0F0A-4065-8FEF-BB9D2CF534C1}"/>
    <hyperlink ref="E361" r:id="rId1566" display="https://www.genome.jp/entry/2.1.2.11" xr:uid="{CAC4B1DB-C79E-4EA3-A0DB-B6CAFA16BB83}"/>
    <hyperlink ref="F361" r:id="rId1567" display="https://www.genome.jp/entry/R01226" xr:uid="{99C53A17-B843-481E-AE44-F253FDD75674}"/>
    <hyperlink ref="F362" r:id="rId1568" display="https://www.genome.jp/entry/R01216" xr:uid="{945625B4-5DAC-40EF-AB2C-F4EA8223C5AA}"/>
    <hyperlink ref="E1435" r:id="rId1569" display="https://www.genome.jp/entry/6.3.2.1" xr:uid="{065F1439-66A8-4C62-8AA3-D5BC3A96AC39}"/>
    <hyperlink ref="F1435" r:id="rId1570" display="https://www.genome.jp/entry/R02473" xr:uid="{A564D9CA-0464-4DE8-937C-089A83B1D010}"/>
    <hyperlink ref="E679" r:id="rId1571" display="https://www.genome.jp/entry/2.7.1.17" xr:uid="{6E0D55F8-8039-4211-ABEC-C13773EAFB58}"/>
    <hyperlink ref="F679" r:id="rId1572" display="https://www.genome.jp/entry/R01639" xr:uid="{92A85173-7A1C-4E39-87A0-398006B55E9F}"/>
    <hyperlink ref="E1055" r:id="rId1573" display="https://www.genome.jp/entry/3.2.2.4" xr:uid="{4422040E-4372-4C25-AB0B-646835399397}"/>
    <hyperlink ref="F1055" r:id="rId1574" display="https://www.genome.jp/entry/R00182" xr:uid="{3F4B4F3E-D684-47A4-BB4D-729488D732B4}"/>
    <hyperlink ref="E1129" r:id="rId1575" display="https://www.genome.jp/entry/3.5.1.5" xr:uid="{BB47F5D4-0062-48B7-BE32-4FE6F5E6051F}"/>
    <hyperlink ref="F1129" r:id="rId1576" display="https://www.genome.jp/entry/R12185" xr:uid="{9AE4A6A1-45A6-4CD6-BAC1-ED502FC29D1F}"/>
    <hyperlink ref="F1130" r:id="rId1577" display="https://www.genome.jp/entry/R13420" xr:uid="{90EF6A9D-9018-4E44-A0D5-A75A76D8BF41}"/>
    <hyperlink ref="F1131" r:id="rId1578" display="https://www.genome.jp/entry/R13421" xr:uid="{E545D44D-BCFB-406E-84D1-A25BA5CECBDC}"/>
    <hyperlink ref="F1132" r:id="rId1579" display="https://www.genome.jp/entry/R00131" xr:uid="{97D2CF88-1227-4908-B77B-D43FCD27F9A2}"/>
    <hyperlink ref="F1133" r:id="rId1580" display="https://www.genome.jp/entry/R06134" xr:uid="{3955E192-FA25-41EA-A715-6B5EB4E63F33}"/>
    <hyperlink ref="E1124" r:id="rId1581" display="https://www.genome.jp/entry/3.5.1.5" xr:uid="{10C1D2CB-3EDF-49A0-8739-3BE1DE89A950}"/>
    <hyperlink ref="F1124" r:id="rId1582" display="https://www.genome.jp/entry/R12185" xr:uid="{D240F535-00AC-4F09-AC09-A7945EAF066C}"/>
    <hyperlink ref="F1125" r:id="rId1583" display="https://www.genome.jp/entry/R13420" xr:uid="{902B0F10-CB87-4A65-850E-A31AB32C84B4}"/>
    <hyperlink ref="F1126" r:id="rId1584" display="https://www.genome.jp/entry/R13421" xr:uid="{72310836-3AE7-4B5F-A969-C15B942F9B92}"/>
    <hyperlink ref="F1127" r:id="rId1585" display="https://www.genome.jp/entry/R00131" xr:uid="{B0423BF0-B498-48FE-92D5-BB3A4F1AFD73}"/>
    <hyperlink ref="F1128" r:id="rId1586" display="https://www.genome.jp/entry/R06134" xr:uid="{25D25F89-0A12-4FD7-836A-D3CDEEBC6D34}"/>
    <hyperlink ref="F1120" r:id="rId1587" display="https://www.genome.jp/entry/R13420" xr:uid="{68F1431A-C666-4051-B403-EFCBAFEC820E}"/>
    <hyperlink ref="F1121" r:id="rId1588" display="https://www.genome.jp/entry/R13421" xr:uid="{CB5EE2A4-6896-4C8D-956F-BE43AA65A3F9}"/>
    <hyperlink ref="F1122" r:id="rId1589" display="https://www.genome.jp/entry/R00131" xr:uid="{10A0C65A-45C1-4C11-A3F2-3F111BF9955C}"/>
    <hyperlink ref="F1123" r:id="rId1590" display="https://www.genome.jp/entry/R06134" xr:uid="{1F427158-5E66-48E9-A448-D4FF8D047742}"/>
    <hyperlink ref="E1119" r:id="rId1591" display="https://www.genome.jp/entry/3.5.1.5" xr:uid="{C8709FC8-043E-4798-928A-6C4833816B31}"/>
    <hyperlink ref="F1119" r:id="rId1592" display="https://www.genome.jp/entry/R12185" xr:uid="{0F62FBB0-86C9-46D0-99F0-4ADCC43D3A41}"/>
    <hyperlink ref="E426" r:id="rId1593" display="https://www.genome.jp/entry/2.3.1.286" xr:uid="{1B0BCC97-1916-4E8F-AC48-3FF9F679394D}"/>
    <hyperlink ref="F426" r:id="rId1594" display="https://www.genome.jp/entry/R10634" xr:uid="{AADACA92-7DC7-40AF-ABDB-8A8F506936D3}"/>
    <hyperlink ref="F427" r:id="rId1595" display="https://www.genome.jp/entry/R10633" xr:uid="{BAC901EE-4EC0-49C5-AA29-5989697CF8B7}"/>
    <hyperlink ref="E894" r:id="rId1596" display="https://www.genome.jp/entry/2.8.1.6" xr:uid="{76D2FECB-F891-4F4B-9848-B75024FFDE1E}"/>
    <hyperlink ref="F894" r:id="rId1597" display="https://www.genome.jp/entry/R01078" xr:uid="{35F318D0-F943-4B88-B51B-F40D39AE5F68}"/>
    <hyperlink ref="E720" r:id="rId1598" display="https://www.genome.jp/entry/2.7.13.3" xr:uid="{B0F73E1A-A05C-428C-A7C1-22973B27A823}"/>
    <hyperlink ref="E1009" r:id="rId1599" display="https://www.genome.jp/entry/3.1.3.16" xr:uid="{515FE24E-DE26-4D8F-8FAC-9ECF70EB2E91}"/>
    <hyperlink ref="F1009" r:id="rId1600" display="https://www.genome.jp/entry/R00164" xr:uid="{7FBFD144-DDAC-4F68-A94E-CA66B43720AC}"/>
    <hyperlink ref="E583" r:id="rId1601" display="https://www.genome.jp/entry/2.4.99.28" xr:uid="{DD9EEBA6-B745-4136-8AAE-55004E155910}"/>
    <hyperlink ref="F584" r:id="rId1602" display="https://www.genome.jp/entry/R06179" xr:uid="{12C52742-791E-427A-A0C4-7350A898123E}"/>
    <hyperlink ref="F585" r:id="rId1603" display="https://www.genome.jp/entry/R04519" xr:uid="{9186E76E-9877-4DB2-B7FC-382372746857}"/>
    <hyperlink ref="F586" r:id="rId1604" display="https://www.genome.jp/entry/R06177" xr:uid="{F9A1B9E5-F9EB-4C44-A62B-9E8CE9D5E442}"/>
    <hyperlink ref="E1087" r:id="rId1605" display="https://www.genome.jp/entry/3.4.21.105" xr:uid="{5E8050BB-78E2-45BA-841E-15797806379C}"/>
    <hyperlink ref="E1340" r:id="rId1606" display="https://www.genome.jp/entry/5.2.1.8" xr:uid="{FCBB6B0D-03E2-4A78-891E-DB3777703B06}"/>
    <hyperlink ref="F1340" r:id="rId1607" display="https://www.genome.jp/entry/R04273" xr:uid="{F14FCE84-E1BD-4B0D-ACD5-A16D026DF14B}"/>
    <hyperlink ref="E1394" r:id="rId1608" display="https://www.genome.jp/entry/5.6.2.2" xr:uid="{01B19AAC-640F-4A76-8E40-0F8B58B54DD4}"/>
    <hyperlink ref="E1393" r:id="rId1609" display="https://www.genome.jp/entry/5.6.2.2" xr:uid="{A2DDBDCC-D5DB-442C-84F2-421506813458}"/>
    <hyperlink ref="E992" r:id="rId1610" xr:uid="{0674E5C6-8C17-435E-8EB0-997967540CEE}"/>
    <hyperlink ref="E341" r:id="rId1611" display="https://www.genome.jp/entry/2.1.1.170" xr:uid="{752C81B7-5BCC-4A8C-ABD3-0E8A07A4F638}"/>
    <hyperlink ref="F293" r:id="rId1612" display="https://www.genome.jp/entry/R00900" xr:uid="{977BE36F-426F-4F3B-A593-9974EAFC6FD9}"/>
    <hyperlink ref="F294" r:id="rId1613" display="https://www.genome.jp/entry/R03596" xr:uid="{4567E23A-ED4B-46C1-8590-15A3C4864971}"/>
    <hyperlink ref="F295" r:id="rId1614" display="https://www.genome.jp/entry/R09372" xr:uid="{0569ACFA-7494-4494-A1F4-D787555047E7}"/>
    <hyperlink ref="F866" r:id="rId1615" display="https://www.genome.jp/entry/R09383" xr:uid="{44B145FA-7A9C-4F52-8ADC-894EB6EDA5A5}"/>
    <hyperlink ref="F867" r:id="rId1616" display="https://www.genome.jp/entry/R09384" xr:uid="{5E417F89-1C8A-4A4A-AF78-9BCC8044595E}"/>
    <hyperlink ref="F868" r:id="rId1617" display="https://www.genome.jp/entry/R09386" xr:uid="{A1823F0F-0824-4F52-B3EE-5DB15146C8DF}"/>
    <hyperlink ref="F1258" r:id="rId1618" display="https://www.genome.jp/entry/R02340" xr:uid="{7A0F6BE6-E092-4C9B-9887-866D804F4E8E}"/>
    <hyperlink ref="F1259" r:id="rId1619" display="https://www.genome.jp/entry/R02722" xr:uid="{3E66551D-6013-4F70-9CBA-2285D6CDB7C8}"/>
    <hyperlink ref="F1255" r:id="rId1620" display="https://www.genome.jp/entry/R02340" xr:uid="{A279F75A-EFAF-469E-992C-689C1156A37E}"/>
    <hyperlink ref="F1256" r:id="rId1621" display="https://www.genome.jp/entry/R02722" xr:uid="{7A3294BC-939A-4BD7-B015-3D302EC5BABE}"/>
    <hyperlink ref="F106" r:id="rId1622" display="https://www.genome.jp/entry/R00217" xr:uid="{7C653E71-D1D3-4642-9887-B6AD5E252686}"/>
    <hyperlink ref="F297" r:id="rId1623" display="https://www.genome.jp/entry/R07606" xr:uid="{51D87918-CFBB-4C57-930F-D74ABABCEDF7}"/>
    <hyperlink ref="E297" r:id="rId1624" display="https://www.genome.jp/entry/1.8.4.11" xr:uid="{CE234201-9F23-4898-8D28-1B53C5E8E187}"/>
    <hyperlink ref="E106" r:id="rId1625" display="https://www.genome.jp/entry/1.1.1.40" xr:uid="{925C5C66-A8F1-42AB-B2C7-AAABE7008D88}"/>
    <hyperlink ref="E1237" r:id="rId1626" display="https://www.genome.jp/entry/4.1.3.27" xr:uid="{A7218156-39D6-4728-A9CC-CB35C9658ACE}"/>
    <hyperlink ref="E1255" r:id="rId1627" display="https://www.genome.jp/entry/4.2.1.20" xr:uid="{92C13E3A-106E-44D2-9692-96651CB208CA}"/>
    <hyperlink ref="E1256" r:id="rId1628" display="https://www.genome.jp/entry/4.2.1.20" xr:uid="{B996ACC0-220D-404C-B9C3-D1E9FF9A2A78}"/>
    <hyperlink ref="E1258" r:id="rId1629" display="https://www.genome.jp/entry/4.2.1.20" xr:uid="{F24E407B-AECA-43A1-9AD5-B55746BC0F14}"/>
    <hyperlink ref="E1259" r:id="rId1630" display="https://www.genome.jp/entry/4.2.1.20" xr:uid="{912CAF58-1912-4B49-BF3E-9F9CCF0A2055}"/>
    <hyperlink ref="E866" r:id="rId1631" display="KEGG ENZYME: 3.1.26.5" xr:uid="{D6F9B6FB-B8C3-4F99-A5AD-07C4A336D20C}"/>
    <hyperlink ref="E867" r:id="rId1632" display="KEGG ENZYME: 3.1.26.5" xr:uid="{403A7AAF-3AEA-4101-A053-2FA67D47C432}"/>
    <hyperlink ref="E868" r:id="rId1633" display="KEGG ENZYME: 3.1.26.5" xr:uid="{97574E99-A20C-4B66-94BF-D21A92E36036}"/>
    <hyperlink ref="E293" r:id="rId1634" display="KEGG ENZYME: 3.1.26.5" xr:uid="{8325AAEF-F7B4-4A6D-BCB6-ACFD8D8564B7}"/>
    <hyperlink ref="E294" r:id="rId1635" display="KEGG ENZYME: 3.1.26.5" xr:uid="{ECF5A2FE-4C99-468E-85E7-3CF1F69DCEB9}"/>
    <hyperlink ref="E295" r:id="rId1636" display="KEGG ENZYME: 3.1.26.5" xr:uid="{A3BCFD76-15A4-4BE8-9771-5B852080439C}"/>
    <hyperlink ref="F93" r:id="rId1637" display="https://www.genome.jp/entry/R01000" xr:uid="{EFC59999-ED8F-4FD0-889F-B2D2EB5F1E27}"/>
    <hyperlink ref="F94" r:id="rId1638" display="https://www.genome.jp/entry/R03104" xr:uid="{6711AA5D-5D61-41AE-94D6-C07A004BBF3F}"/>
    <hyperlink ref="E93" r:id="rId1639" display="https://www.genome.jp/entry/1.1.1.27" xr:uid="{2D58C611-31C0-46AA-87A6-12CC05FB897F}"/>
    <hyperlink ref="E94" r:id="rId1640" display="https://www.genome.jp/entry/1.1.1.27" xr:uid="{0B0E62F1-22E2-4A9F-A619-D17AC4CC38EE}"/>
    <hyperlink ref="F1273" r:id="rId1641" display="https://www.genome.jp/entry/R00691" xr:uid="{DA6B22D2-F10A-47A5-A2D5-F4CE4BD30246}"/>
    <hyperlink ref="E1273" r:id="rId1642" display="https://www.genome.jp/entry/4.2.1.51" xr:uid="{E5784A35-1D1F-4D0E-89DB-E7AEA4C7EADC}"/>
    <hyperlink ref="F1405" r:id="rId1643" display="https://www.genome.jp/entry/R08218" xr:uid="{98C51566-C138-4301-A571-460C6EA6C81D}"/>
    <hyperlink ref="E1405" r:id="rId1644" display="https://www.genome.jp/entry/6.1.1.11" xr:uid="{A22D9212-B853-4CCC-9051-C4F618F7D172}"/>
    <hyperlink ref="F1386" r:id="rId1645" display="https://www.genome.jp/entry/R09009" xr:uid="{280D001A-E8F6-4287-A01E-A359EBD1F368}"/>
    <hyperlink ref="E1386" r:id="rId1646" display="https://www.genome.jp/entry/5.4.99.9" xr:uid="{9718544A-EAA5-4AF1-8912-7FB41279956F}"/>
    <hyperlink ref="F786" r:id="rId1647" display="https://www.genome.jp/entry/R04929" xr:uid="{6F9DD02E-9CDB-4086-8EA6-DD6E15E79DAB}"/>
    <hyperlink ref="E786" r:id="rId1648" display="https://www.genome.jp/entry/2.7.7.4" xr:uid="{D9CC38F5-516B-410A-98D1-1B921FC47C93}"/>
    <hyperlink ref="F52" r:id="rId1649" display="https://www.genome.jp/entry/R00754" xr:uid="{AA22495D-A1A8-401F-B84D-3844E716A4B5}"/>
    <hyperlink ref="F53" r:id="rId1650" display="https://www.genome.jp/entry/R02124" xr:uid="{688E607A-9079-4A48-849F-65EB2367BC47}"/>
    <hyperlink ref="F54" r:id="rId1651" display="https://www.genome.jp/entry/R02878" xr:uid="{F031112A-D9FA-4772-A6A1-237D60A15807}"/>
    <hyperlink ref="F55" r:id="rId1652" display="https://www.genome.jp/entry/R04805" xr:uid="{3A460A02-80F1-49BE-AA2C-B7F5DE4F6A51}"/>
    <hyperlink ref="F56" r:id="rId1653" display="https://www.genome.jp/entry/R04880" xr:uid="{3A933906-4AD2-4214-9649-163AFA46E867}"/>
    <hyperlink ref="F57" r:id="rId1654" display="https://www.genome.jp/entry/R05233" xr:uid="{5E211DC9-1DA2-43AB-9BA7-864CCACB4236}"/>
    <hyperlink ref="F58" r:id="rId1655" display="https://www.genome.jp/entry/R05234" xr:uid="{FB4E2F54-B9D9-4560-A80B-C0F6A11D1F2C}"/>
    <hyperlink ref="F59" r:id="rId1656" display="https://www.genome.jp/entry/R06917" xr:uid="{8E11C1AA-47E5-4EE8-8DDC-3555B7E1B777}"/>
    <hyperlink ref="F60" r:id="rId1657" display="https://www.genome.jp/entry/R06927" xr:uid="{A141F9C8-598A-4A22-BB7D-5BC4FEFAA52C}"/>
    <hyperlink ref="F61" r:id="rId1658" display="https://www.genome.jp/entry/R08281" xr:uid="{531BCB91-B2C1-4DD6-A24B-51156F77C842}"/>
    <hyperlink ref="F62" r:id="rId1659" display="https://www.genome.jp/entry/R08306" xr:uid="{4D06C05E-7CE9-42F2-9AA9-7E0DDF37131F}"/>
    <hyperlink ref="F63" r:id="rId1660" display="https://www.genome.jp/entry/R08557" xr:uid="{2596C4F0-218B-486A-8CC0-D9F152BF162A}"/>
    <hyperlink ref="F64" r:id="rId1661" display="https://www.genome.jp/entry/R08558" xr:uid="{78C29E52-0DEE-4D23-A8F3-BED9AB83E735}"/>
    <hyperlink ref="F65" r:id="rId1662" display="https://www.genome.jp/entry/R10783" xr:uid="{64511DFD-2D62-437B-89EE-84D2D5D7C965}"/>
    <hyperlink ref="F66" r:id="rId1663" display="https://www.genome.jp/entry/R00624" xr:uid="{AF5B65A7-D2F7-42E3-9DA3-6E153E3115E7}"/>
    <hyperlink ref="F67" r:id="rId1664" display="https://www.genome.jp/entry/R08310" xr:uid="{C40CF57D-87CD-464B-9325-48D1F057BF54}"/>
    <hyperlink ref="F68" r:id="rId1665" display="https://www.genome.jp/entry/R02246" xr:uid="{8E572772-E5B5-4491-82FE-F78169F5D07B}"/>
    <hyperlink ref="F69" r:id="rId1666" display="https://www.genome.jp/entry/R07105" xr:uid="{EE740359-1B9D-4AAB-89B2-43A448BD3D1E}"/>
    <hyperlink ref="E52" r:id="rId1667" display="https://www.genome.jp/entry/1.1.1.1" xr:uid="{38BCCC18-A806-4CF5-9634-B39CF62C7243}"/>
    <hyperlink ref="E53" r:id="rId1668" display="https://www.genome.jp/entry/1.1.1.1" xr:uid="{ABF3858C-080C-40FA-9716-2E1C1D0A1084}"/>
    <hyperlink ref="E54" r:id="rId1669" display="https://www.genome.jp/entry/1.1.1.1" xr:uid="{8E27F83B-2C8E-4DFD-86F7-5B79DF51F4D6}"/>
    <hyperlink ref="E55" r:id="rId1670" display="https://www.genome.jp/entry/1.1.1.1" xr:uid="{02524F75-742E-4E31-A193-BA6AFFB206B8}"/>
    <hyperlink ref="E56" r:id="rId1671" display="https://www.genome.jp/entry/1.1.1.1" xr:uid="{128712BC-7150-4315-9D0D-53E448D93981}"/>
    <hyperlink ref="E57" r:id="rId1672" display="https://www.genome.jp/entry/1.1.1.1" xr:uid="{D2010A3F-F9B6-402D-8428-D884EE93F162}"/>
    <hyperlink ref="E58" r:id="rId1673" display="https://www.genome.jp/entry/1.1.1.1" xr:uid="{07984C57-06DB-460B-8790-FB820D90E9B4}"/>
    <hyperlink ref="E59" r:id="rId1674" display="https://www.genome.jp/entry/1.1.1.1" xr:uid="{8EC3F21C-B17C-4797-BC62-C87C51AC6460}"/>
    <hyperlink ref="E60" r:id="rId1675" display="https://www.genome.jp/entry/1.1.1.1" xr:uid="{369EB785-1822-43CD-966F-469F6C88D489}"/>
    <hyperlink ref="E61" r:id="rId1676" display="https://www.genome.jp/entry/1.1.1.1" xr:uid="{5E120178-2575-4E22-A2BC-BA57C8C47336}"/>
    <hyperlink ref="E62" r:id="rId1677" display="https://www.genome.jp/entry/1.1.1.1" xr:uid="{C1203099-31AF-4171-9030-E152CC50200F}"/>
    <hyperlink ref="E63" r:id="rId1678" display="https://www.genome.jp/entry/1.1.1.1" xr:uid="{1B8DB797-D4DD-4F09-A374-38248CCE780B}"/>
    <hyperlink ref="E64" r:id="rId1679" display="https://www.genome.jp/entry/1.1.1.1" xr:uid="{B9221F0F-677A-41FA-8D9C-AE8C5E5308D8}"/>
    <hyperlink ref="E65" r:id="rId1680" display="https://www.genome.jp/entry/1.1.1.1" xr:uid="{B060D716-FF71-4EEA-B705-ECFD18EA40D9}"/>
    <hyperlink ref="E66" r:id="rId1681" display="https://www.genome.jp/entry/1.1.1.1" xr:uid="{6EE4D865-16C9-4B9E-B7E0-DC5834B9EB3C}"/>
    <hyperlink ref="E67" r:id="rId1682" display="https://www.genome.jp/entry/1.1.1.1" xr:uid="{13E155ED-EC01-4E1A-9007-0A793E86D720}"/>
    <hyperlink ref="E68" r:id="rId1683" display="https://www.genome.jp/entry/1.1.1.1" xr:uid="{BA6BCDE9-AD51-4079-90BD-F796EE92FBEF}"/>
    <hyperlink ref="E69" r:id="rId1684" display="https://www.genome.jp/entry/1.1.1.1" xr:uid="{6A5FAEAC-30C2-4C83-ADD7-5862FF24A581}"/>
    <hyperlink ref="F563" r:id="rId1685" display="https://www.genome.jp/entry/R08231" xr:uid="{42A7B4F9-6625-4533-9265-BA7ED751035C}"/>
    <hyperlink ref="E563" r:id="rId1686" display="https://www.genome.jp/entry/2.4.2.10" xr:uid="{02B32CB9-5A79-4F92-AD93-A7207CE76EC8}"/>
    <hyperlink ref="F1229" r:id="rId1687" display="https://www.genome.jp/entry/R01068" xr:uid="{C4584FEE-57B1-47D3-B74D-953019D8D5E8}"/>
    <hyperlink ref="F1230" r:id="rId1688" display="https://www.genome.jp/entry/R01070" xr:uid="{3978872F-0499-4EA7-8118-AC440221F622}"/>
    <hyperlink ref="F1231" r:id="rId1689" display="https://www.genome.jp/entry/R01829" xr:uid="{5AC99825-E56D-4BCB-BD74-A7275062830B}"/>
    <hyperlink ref="F1232" r:id="rId1690" display="https://www.genome.jp/entry/R02568" xr:uid="{E79A0121-C321-4511-8210-063DC8808EE9}"/>
    <hyperlink ref="E1230" r:id="rId1691" display="https://www.genome.jp/entry/4.1.2.13" xr:uid="{AADF5243-C4CE-4FAB-9B70-A4787DE8764B}"/>
    <hyperlink ref="E1231" r:id="rId1692" display="https://www.genome.jp/entry/4.1.2.13" xr:uid="{2CA8A148-A702-4214-8C9C-26A5F0007BAF}"/>
    <hyperlink ref="E1232" r:id="rId1693" display="https://www.genome.jp/entry/4.1.2.13" xr:uid="{CFFB4540-A5EF-445F-AC4C-0D8D403546C1}"/>
    <hyperlink ref="F431" r:id="rId1694" display="https://www.genome.jp/entry/R00921" xr:uid="{FF192CC7-1F2F-4393-B1EC-D55FB283C421}"/>
    <hyperlink ref="E431" r:id="rId1695" display="https://www.genome.jp/entry/2.3.1.8" xr:uid="{46DFF324-6C90-4FE1-A5B1-9DEA22B6165E}"/>
    <hyperlink ref="F732" r:id="rId1696" display="https://www.genome.jp/entry/R01353" xr:uid="{91D3F4E6-DBB8-444E-80F4-A8DACB1C2580}"/>
    <hyperlink ref="E732" r:id="rId1697" display="https://www.genome.jp/entry/2.7.2.1" xr:uid="{A543F86F-BD25-4FC3-B952-0A050D98F248}"/>
    <hyperlink ref="F719" r:id="rId1698" display="https://www.genome.jp/entry/R03632" xr:uid="{9CDB38D4-22E5-4558-81AE-D54BEA6724D8}"/>
    <hyperlink ref="E719" r:id="rId1699" display="https://www.genome.jp/entry/2.7.11.1" xr:uid="{7C31FCDE-2C01-406B-B485-5E1C6708CD11}"/>
    <hyperlink ref="F1137" r:id="rId1700" display="https://www.genome.jp/entry/R04268" xr:uid="{7EB8DB7F-5B4D-4FD0-A952-D26102DD376C}"/>
    <hyperlink ref="E1137" r:id="rId1701" display="https://www.genome.jp/entry/3.5.1.88" xr:uid="{C7AA1FA7-4081-4FFB-B0B5-8691BB350603}"/>
    <hyperlink ref="F1449" r:id="rId1702" display="https://www.genome.jp/entry/R10993" xr:uid="{5E8D665B-90F3-4D8F-A8E1-5D3E526B08C3}"/>
    <hyperlink ref="E1449" r:id="rId1703" display="https://www.genome.jp/entry/6.3.2.2" xr:uid="{2683E99C-5E7B-4D41-9952-F0F65EAA0686}"/>
    <hyperlink ref="F600" r:id="rId1704" display="https://www.genome.jp/entry/R08359" xr:uid="{EB3F4D13-E2F2-4BBB-8F7B-9ED25E4FB5F6}"/>
    <hyperlink ref="E600" r:id="rId1705" display="https://www.genome.jp/entry/2.5.1.16" xr:uid="{424E7F93-11D9-469F-A570-DF8829C90A42}"/>
    <hyperlink ref="F575" r:id="rId1706" display="https://www.genome.jp/entry/R01229" xr:uid="{61241BBE-A969-4019-A6A7-C4B50892F597}"/>
    <hyperlink ref="F576" r:id="rId1707" display="https://www.genome.jp/entry/R02142" xr:uid="{0690CD42-AC14-436C-AF5A-1A7C877001AB}"/>
    <hyperlink ref="F577" r:id="rId1708" display="https://www.genome.jp/entry/R08237" xr:uid="{7457F3DE-1014-4CCC-9B4A-0C97609AA6DB}"/>
    <hyperlink ref="F578" r:id="rId1709" display="https://www.genome.jp/entry/R08238" xr:uid="{E60C18DC-8C42-48C6-AD79-1BFECBFF7FD8}"/>
    <hyperlink ref="F579" r:id="rId1710" display="https://www.genome.jp/entry/R08245" xr:uid="{8F507F6B-CBA1-44F1-82F3-66CF5526D09D}"/>
    <hyperlink ref="E575" r:id="rId1711" display="https://www.genome.jp/entry/2.4.2.8" xr:uid="{DE8B777E-3722-45A8-9EFF-5EE6A62F64AD}"/>
    <hyperlink ref="E576" r:id="rId1712" display="https://www.genome.jp/entry/2.4.2.8" xr:uid="{F588D5EF-A3B6-4497-AC58-07E2B363E64C}"/>
    <hyperlink ref="E577" r:id="rId1713" display="https://www.genome.jp/entry/2.4.2.8" xr:uid="{C60A64DC-B209-4E6E-92EF-4195D8801631}"/>
    <hyperlink ref="E578" r:id="rId1714" display="https://www.genome.jp/entry/2.4.2.8" xr:uid="{B6449A89-BD7D-4A4C-BD15-897C73CF531C}"/>
    <hyperlink ref="E579" r:id="rId1715" display="https://www.genome.jp/entry/2.4.2.8" xr:uid="{CA8A3566-5F22-46FE-9A49-62EC07F0B225}"/>
    <hyperlink ref="F1144" r:id="rId1716" display="https://www.genome.jp/entry/R00428" xr:uid="{9DEC8A8A-F2D3-4F75-8091-6931E2D20CA3}"/>
    <hyperlink ref="F1145" r:id="rId1717" display="https://www.genome.jp/entry/R04639" xr:uid="{0E3A7490-6BD7-4655-AD0F-97BF40C05B12}"/>
    <hyperlink ref="F1146" r:id="rId1718" display="https://www.genome.jp/entry/R05046" xr:uid="{82904F71-C0CF-45B4-9B28-482EC39D3119}"/>
    <hyperlink ref="F1147" r:id="rId1719" display="https://www.genome.jp/entry/R05048" xr:uid="{A9C0BEF9-BF0B-4ED0-AD08-C010DADB079D}"/>
    <hyperlink ref="E1144" r:id="rId1720" display="https://www.genome.jp/entry/3.5.4.16" xr:uid="{9C6E4B78-ACC1-4F39-8454-384078B7737B}"/>
    <hyperlink ref="E1145" r:id="rId1721" display="https://www.genome.jp/entry/3.5.4.16" xr:uid="{E54ACB89-BD97-4C82-BCBF-84AB3A18384F}"/>
    <hyperlink ref="E1146" r:id="rId1722" display="https://www.genome.jp/entry/3.5.4.16" xr:uid="{FFB80FF6-CD1A-4F25-B136-B0D4CC3635EA}"/>
    <hyperlink ref="E1147" r:id="rId1723" display="https://www.genome.jp/entry/3.5.4.16" xr:uid="{4F30EC76-9A55-4048-877F-872678BCCB81}"/>
    <hyperlink ref="E597" r:id="rId1724" display="https://www.genome.jp/entry/2.5.1.15" xr:uid="{7776B282-A3BB-47F4-9D82-884A529C94AD}"/>
    <hyperlink ref="F211" r:id="rId1725" display="https://www.genome.jp/entry/R01293" xr:uid="{E2B38E37-0D8D-4175-BC1E-5C4458C283AF}"/>
    <hyperlink ref="F212" r:id="rId1726" display="https://www.genome.jp/entry/R07667" xr:uid="{E68BA3C0-1584-4FEF-88CE-72696FA35421}"/>
    <hyperlink ref="F216" r:id="rId1727" display="https://www.genome.jp/entry/R01294" xr:uid="{9EAAC4B7-EECC-47A8-A0A2-FC3E65A7E9FB}"/>
    <hyperlink ref="F217" r:id="rId1728" display="https://www.genome.jp/entry/R11195" xr:uid="{CFDD5481-07E5-4760-89F1-5F277F30F8AF}"/>
    <hyperlink ref="E212" r:id="rId1729" display="https://www.genome.jp/entry/1.2.1.64" xr:uid="{A3A059E8-1924-4E79-8AEC-DD79AB75C184}"/>
    <hyperlink ref="E217" r:id="rId1730" display="https://www.genome.jp/entry/1.2.1.96" xr:uid="{6F39D6B9-1474-4915-9F0E-A51FAB584715}"/>
    <hyperlink ref="E1336" r:id="rId1731" display="https://www.genome.jp/entry/5.1.3.9" xr:uid="{B263D133-C3EA-4BA4-866E-04C5523D5359}"/>
    <hyperlink ref="E538" r:id="rId1732" display="https://www.genome.jp/entry/2.4.1.15" xr:uid="{4C1D3C34-7B30-44C5-89CC-7F44F869E3CC}"/>
    <hyperlink ref="E539" r:id="rId1733" display="https://www.genome.jp/entry/2.4.1.15" xr:uid="{37E956E4-6EF9-4767-A920-58083C20F319}"/>
    <hyperlink ref="E540" r:id="rId1734" display="https://www.genome.jp/entry/2.4.1.15" xr:uid="{C90725F5-1C55-4CCE-9509-9BA283F91DBD}"/>
    <hyperlink ref="E1007" r:id="rId1735" display="https://www.genome.jp/entry/3.1.3.12" xr:uid="{E80D2476-ADD0-49C7-BD63-99DD77C02934}"/>
    <hyperlink ref="E1457" r:id="rId1736" display="https://www.genome.jp/entry/6.3.3.3" xr:uid="{4DBF19C8-4A3C-4A96-B32B-524000844D22}"/>
    <hyperlink ref="E1458" r:id="rId1737" display="https://www.genome.jp/entry/6.3.3.3" xr:uid="{E8EB47B9-A700-47CE-BE19-30ADEAEDBCA7}"/>
    <hyperlink ref="E1307" r:id="rId1738" display="https://www.genome.jp/entry/4.3.2.2" xr:uid="{A478706C-6720-4A6C-8C39-79ECF59979CB}"/>
    <hyperlink ref="E1308" r:id="rId1739" display="https://www.genome.jp/entry/4.3.2.2" xr:uid="{8D32045C-0CE9-4878-940C-CFA859911ADB}"/>
    <hyperlink ref="E1116" r:id="rId1740" display="https://www.genome.jp/entry/3.5.1.2" xr:uid="{6018D77B-D25F-4A44-926C-A57C35E37EA6}"/>
    <hyperlink ref="E1117" r:id="rId1741" display="https://www.genome.jp/entry/3.5.1.2" xr:uid="{9EA41905-51B9-498D-9D1F-7BA6BCA9DA59}"/>
    <hyperlink ref="E1428" r:id="rId1742" display="https://www.genome.jp/entry/6.2.1.5" xr:uid="{D00A5C93-128D-4D85-92A1-548A774BF401}"/>
    <hyperlink ref="E1426" r:id="rId1743" display="https://www.genome.jp/entry/6.2.1.5" xr:uid="{F742A081-EEC0-4CFF-A22D-DE77ADDB314C}"/>
    <hyperlink ref="E615" r:id="rId1744" display="https://www.genome.jp/entry/2.5.1.47" xr:uid="{390C074A-4110-4182-8C5B-51E6AACA6080}"/>
    <hyperlink ref="E616" r:id="rId1745" display="https://www.genome.jp/entry/2.5.1.47" xr:uid="{942F9DB8-04DE-4388-98A4-25A843CDFC97}"/>
    <hyperlink ref="E617" r:id="rId1746" display="https://www.genome.jp/entry/2.5.1.47" xr:uid="{901075AA-9032-45E1-AA9F-C6945B80FB3C}"/>
    <hyperlink ref="E602" r:id="rId1747" display="https://www.genome.jp/entry/2.5.1.17" xr:uid="{348BE838-FA41-4467-8F3D-CAAB3478CDD4}"/>
    <hyperlink ref="E603" r:id="rId1748" display="https://www.genome.jp/entry/2.5.1.17" xr:uid="{92DF5A9D-15BA-4B1A-889E-9C190DDB866C}"/>
    <hyperlink ref="E604" r:id="rId1749" display="https://www.genome.jp/entry/2.5.1.17" xr:uid="{9976A6A8-FCFF-439C-9C31-45AB6506EAF9}"/>
    <hyperlink ref="E605" r:id="rId1750" display="https://www.genome.jp/entry/2.5.1.17" xr:uid="{29343C16-C3ED-4B20-8E1A-BD0915B3E4DC}"/>
    <hyperlink ref="E1369" r:id="rId1751" display="https://www.genome.jp/entry/5.4.2.2" xr:uid="{9349D9C3-677A-4C55-9C32-F9F924D59A1B}"/>
    <hyperlink ref="E1370" r:id="rId1752" display="https://www.genome.jp/entry/5.4.2.2" xr:uid="{B8C8839F-2B20-45EA-8EE3-5179BE7EBD83}"/>
    <hyperlink ref="E1371" r:id="rId1753" display="https://www.genome.jp/entry/5.4.2.2" xr:uid="{032F604E-16BC-4678-8FB5-72D3F116081F}"/>
    <hyperlink ref="E190" r:id="rId1754" display="https://www.genome.jp/entry/1.17.4.1" xr:uid="{40B39A9E-2ACF-4B8F-833E-44E455AD66C3}"/>
    <hyperlink ref="E191" r:id="rId1755" display="https://www.genome.jp/entry/1.17.4.1" xr:uid="{8232203D-7A5B-40BA-9EA4-F3BFE3080FDA}"/>
    <hyperlink ref="E192" r:id="rId1756" display="https://www.genome.jp/entry/1.17.4.1" xr:uid="{8CE8F445-9087-4A70-9412-62666DD7CDDC}"/>
    <hyperlink ref="E193" r:id="rId1757" display="https://www.genome.jp/entry/1.17.4.1" xr:uid="{C22F576D-CE69-4EE0-AE42-1EB18DD12707}"/>
    <hyperlink ref="E194" r:id="rId1758" display="https://www.genome.jp/entry/1.17.4.1" xr:uid="{323E3EBA-CC6F-4254-AEDC-A4BE8B531C93}"/>
    <hyperlink ref="E195" r:id="rId1759" display="https://www.genome.jp/entry/1.17.4.1" xr:uid="{6EEF8AB4-89AC-4B05-99F4-6E1014FB8769}"/>
    <hyperlink ref="E196" r:id="rId1760" display="https://www.genome.jp/entry/1.17.4.1" xr:uid="{112B2C1F-04FD-4658-B119-50893CFAB3CB}"/>
    <hyperlink ref="E182" r:id="rId1761" display="https://www.genome.jp/entry/1.17.4.1" xr:uid="{6BF71587-5831-4973-9DF6-977C4A894182}"/>
    <hyperlink ref="E183" r:id="rId1762" display="https://www.genome.jp/entry/1.17.4.1" xr:uid="{C7CE008B-55B6-4E4B-B891-531E22B944B3}"/>
    <hyperlink ref="E184" r:id="rId1763" display="https://www.genome.jp/entry/1.17.4.1" xr:uid="{1826C61F-5BEA-4474-93FA-59C5CBE0AD62}"/>
    <hyperlink ref="E185" r:id="rId1764" display="https://www.genome.jp/entry/1.17.4.1" xr:uid="{57DF216E-0C5A-4B88-AF19-5AE933ACFCB8}"/>
    <hyperlink ref="E186" r:id="rId1765" display="https://www.genome.jp/entry/1.17.4.1" xr:uid="{9219C3D6-AE46-4FE0-94A2-E0A593F2492D}"/>
    <hyperlink ref="E187" r:id="rId1766" display="https://www.genome.jp/entry/1.17.4.1" xr:uid="{8BD40631-C92A-4755-BF1E-1380694BE9B4}"/>
    <hyperlink ref="E188" r:id="rId1767" display="https://www.genome.jp/entry/1.17.4.1" xr:uid="{584EAF3C-917F-4BB7-B4AD-72F07089CC3D}"/>
    <hyperlink ref="E1018" r:id="rId1768" display="https://www.genome.jp/entry/3.1.3.3" xr:uid="{35CC557B-A9B2-411B-A2D8-8745F84F2868}"/>
    <hyperlink ref="E1208" r:id="rId1769" display="https://www.genome.jp/entry/5.6.2.3" xr:uid="{0AB2851D-1E66-4E83-9CFF-3CC4E038C4C3}"/>
    <hyperlink ref="E1209" r:id="rId1770" display="https://www.genome.jp/entry/5.6.2.4" xr:uid="{760301A8-B42A-4FBC-BE3D-F3E7E5A3C1CE}"/>
    <hyperlink ref="E1171" r:id="rId1771" display="https://www.genome.jp/entry/3.6.1.66" xr:uid="{40D1F3E4-D5FD-497A-B92E-B5755A0110A1}"/>
    <hyperlink ref="E1172" r:id="rId1772" display="https://www.genome.jp/entry/3.6.1.66" xr:uid="{9248BAF2-22F5-40C0-A7F0-58AB5CE2C224}"/>
    <hyperlink ref="E1173" r:id="rId1773" display="https://www.genome.jp/entry/3.6.1.66" xr:uid="{50ED40D6-D165-4D4C-B23A-8695E613B940}"/>
    <hyperlink ref="E465" r:id="rId1774" display="https://www.genome.jp/entry/2.3.1.85" xr:uid="{C6D0C508-4850-47CB-A2A9-CF325503696F}"/>
    <hyperlink ref="E466" r:id="rId1775" display="https://www.genome.jp/entry/2.3.1.85" xr:uid="{27145670-53AD-4823-897B-E021D111311C}"/>
    <hyperlink ref="E467" r:id="rId1776" display="https://www.genome.jp/entry/2.3.1.85" xr:uid="{6084BB96-5C7F-46DC-9F9E-256D0623538D}"/>
    <hyperlink ref="E468" r:id="rId1777" display="https://www.genome.jp/entry/2.3.1.85" xr:uid="{F0F994E2-6720-4142-97F7-597D25179AD5}"/>
    <hyperlink ref="E469" r:id="rId1778" display="https://www.genome.jp/entry/2.3.1.85" xr:uid="{7567151A-DB23-402F-A6A7-5E6DCA052DFA}"/>
    <hyperlink ref="E470" r:id="rId1779" display="https://www.genome.jp/entry/2.3.1.85" xr:uid="{3347FDF1-DA0E-4DE9-BBFB-6B84B379D314}"/>
    <hyperlink ref="E471" r:id="rId1780" display="https://www.genome.jp/entry/2.3.1.85" xr:uid="{E8B8B414-2A19-4B20-B9F5-08CC9D8E50F2}"/>
    <hyperlink ref="E472" r:id="rId1781" display="https://www.genome.jp/entry/2.3.1.85" xr:uid="{BE82DFF0-E68F-4A04-8590-FEC311BCA36B}"/>
    <hyperlink ref="E473" r:id="rId1782" display="https://www.genome.jp/entry/2.3.1.85" xr:uid="{10681B35-280E-4C26-9E3C-8AEF6B5873EE}"/>
    <hyperlink ref="E474" r:id="rId1783" display="https://www.genome.jp/entry/2.3.1.85" xr:uid="{B2ECBE47-98F3-43EA-97B5-FD25D896C0A0}"/>
    <hyperlink ref="E475" r:id="rId1784" display="https://www.genome.jp/entry/2.3.1.85" xr:uid="{049AACEF-D877-4425-B54F-A6BC424C67F5}"/>
    <hyperlink ref="E476" r:id="rId1785" display="https://www.genome.jp/entry/2.3.1.85" xr:uid="{8A9BF6F0-0378-4FBD-8D83-9154533E166D}"/>
    <hyperlink ref="E477" r:id="rId1786" display="https://www.genome.jp/entry/2.3.1.85" xr:uid="{0A0B04A5-ED06-48BE-8E0F-D16F564ADC66}"/>
    <hyperlink ref="E478" r:id="rId1787" display="https://www.genome.jp/entry/2.3.1.85" xr:uid="{810381FB-5F27-46A9-9F06-C37222E29C02}"/>
    <hyperlink ref="E479" r:id="rId1788" display="https://www.genome.jp/entry/2.3.1.85" xr:uid="{5397B7F4-3C1C-418A-BBFA-80A6FFA3DE3B}"/>
    <hyperlink ref="E480" r:id="rId1789" display="https://www.genome.jp/entry/2.3.1.85" xr:uid="{401574D5-2A5E-4549-8251-16DA2E157645}"/>
    <hyperlink ref="E481" r:id="rId1790" display="https://www.genome.jp/entry/2.3.1.85" xr:uid="{C7FB4585-5782-48CE-9C85-0E99C24AAC44}"/>
    <hyperlink ref="E482" r:id="rId1791" display="https://www.genome.jp/entry/2.3.1.85" xr:uid="{AA21D372-BC8D-4C37-9AF6-02C267C004F0}"/>
    <hyperlink ref="E483" r:id="rId1792" display="https://www.genome.jp/entry/2.3.1.85" xr:uid="{3B4C8E7F-ECA8-4625-B7C5-C6DB5C4C3C75}"/>
    <hyperlink ref="E484" r:id="rId1793" display="https://www.genome.jp/entry/2.3.1.85" xr:uid="{9450D045-C886-4FD4-B55A-03B2A9652167}"/>
    <hyperlink ref="E485" r:id="rId1794" display="https://www.genome.jp/entry/2.3.1.85" xr:uid="{9070E2E8-D502-44C2-ADD9-E50179DFA8B4}"/>
    <hyperlink ref="E486" r:id="rId1795" display="https://www.genome.jp/entry/2.3.1.85" xr:uid="{98F7B77C-951D-4FE8-9637-AE8434F992E1}"/>
    <hyperlink ref="E487" r:id="rId1796" display="https://www.genome.jp/entry/2.3.1.85" xr:uid="{61E18E14-888D-4B55-A70D-BC5744873C5E}"/>
    <hyperlink ref="E488" r:id="rId1797" display="https://www.genome.jp/entry/2.3.1.85" xr:uid="{524ABC5A-08C6-40D0-829C-6368073418C6}"/>
    <hyperlink ref="E489" r:id="rId1798" display="https://www.genome.jp/entry/2.3.1.85" xr:uid="{86A87D05-EE5B-4C6E-B42C-075D9B328E8C}"/>
    <hyperlink ref="E490" r:id="rId1799" display="https://www.genome.jp/entry/2.3.1.85" xr:uid="{116EECEC-7800-42B9-9040-D74401CE80E5}"/>
    <hyperlink ref="E491" r:id="rId1800" display="https://www.genome.jp/entry/2.3.1.85" xr:uid="{4FC5CDCF-6D0B-4790-B83E-D0AE731A8770}"/>
    <hyperlink ref="E492" r:id="rId1801" display="https://www.genome.jp/entry/2.3.1.85" xr:uid="{DC857517-3D2A-46DE-9AEC-E365BC0F6287}"/>
    <hyperlink ref="E493" r:id="rId1802" display="https://www.genome.jp/entry/2.3.1.85" xr:uid="{97399712-2CB5-40E9-94CC-024AFB721748}"/>
    <hyperlink ref="E494" r:id="rId1803" display="https://www.genome.jp/entry/2.3.1.85" xr:uid="{FF24A772-3AC6-4AD0-99EF-8FEC23FF70EC}"/>
    <hyperlink ref="E495" r:id="rId1804" display="https://www.genome.jp/entry/2.3.1.85" xr:uid="{F44832C8-53FE-4D74-9ADB-B920F5CDDEBE}"/>
    <hyperlink ref="E1347" r:id="rId1805" display="https://www.genome.jp/entry/5.3.1.12" xr:uid="{682803A6-AC5E-4C7A-99AB-C751D578D62D}"/>
    <hyperlink ref="E1113" r:id="rId1806" display="https://www.genome.jp/entry/3.5.1.2" xr:uid="{55E0EC22-F1AA-4F7F-9D75-0354F4F1EB69}"/>
    <hyperlink ref="E1114" r:id="rId1807" display="https://www.genome.jp/entry/3.5.1.2" xr:uid="{0BD0DF53-0A59-41AD-96EA-FF8CD5D07D40}"/>
    <hyperlink ref="E999" r:id="rId1808" display="https://www.genome.jp/entry/3.1.3.1" xr:uid="{515FCBA6-DED7-4612-8F6E-A8D052E1C440}"/>
    <hyperlink ref="E1000" r:id="rId1809" display="https://www.genome.jp/entry/3.1.3.1" xr:uid="{31A545F3-1BCD-4430-B2F0-26F4E2D9339F}"/>
    <hyperlink ref="E1001" r:id="rId1810" display="https://www.genome.jp/entry/3.1.3.1" xr:uid="{B29E973E-CA65-4CBA-A249-25EC85036344}"/>
    <hyperlink ref="E1002" r:id="rId1811" display="https://www.genome.jp/entry/3.1.3.1" xr:uid="{42FB2682-EBF7-4F70-B6EF-3630CB3305A2}"/>
    <hyperlink ref="E619" r:id="rId1812" display="https://www.genome.jp/entry/2.5.1.48" xr:uid="{0B3C9CA0-670D-4792-B7AD-3AC88806197B}"/>
    <hyperlink ref="E620" r:id="rId1813" display="https://www.genome.jp/entry/2.5.1.48" xr:uid="{E2176DEE-F766-454B-9954-0FE1CEF1E7EF}"/>
    <hyperlink ref="E621" r:id="rId1814" display="https://www.genome.jp/entry/2.5.1.48" xr:uid="{B4758C99-F78E-40AA-87B5-D90FA3765C10}"/>
    <hyperlink ref="E622" r:id="rId1815" display="https://www.genome.jp/entry/2.5.1.48" xr:uid="{01659AD4-2087-4711-A7AA-119C93374CED}"/>
    <hyperlink ref="E623" r:id="rId1816" display="https://www.genome.jp/entry/2.5.1.48" xr:uid="{E3A014F8-1065-4B3D-A15E-D742911551C8}"/>
    <hyperlink ref="E624" r:id="rId1817" display="https://www.genome.jp/entry/2.5.1.48" xr:uid="{7310B1D4-DF93-427D-BC97-5D3D0BE4B413}"/>
    <hyperlink ref="E625" r:id="rId1818" display="https://www.genome.jp/entry/2.5.1.48" xr:uid="{77F80D8E-5AB4-4D86-A79E-8189D81AF9C5}"/>
    <hyperlink ref="E1073" r:id="rId1819" display="https://www.genome.jp/entry/3.4.11.2" xr:uid="{8EE3C970-FDC6-41D5-AD37-F7F80B00BAF3}"/>
    <hyperlink ref="E1353" r:id="rId1820" display="https://www.genome.jp/entry/5.3.1.6" xr:uid="{F12BFAE9-23D8-4585-9D34-D3DA1D7E6CA9}"/>
    <hyperlink ref="E228" r:id="rId1821" display="https://www.genome.jp/entry/1.3.1.25" xr:uid="{4782C17A-13DE-45F6-81E6-6A3B8D02DD29}"/>
    <hyperlink ref="E229" r:id="rId1822" display="https://www.genome.jp/entry/1.3.1.25" xr:uid="{ABDD0A1F-CA5C-4D13-921E-4C9A0460C99E}"/>
    <hyperlink ref="E230" r:id="rId1823" display="https://www.genome.jp/entry/1.3.1.25" xr:uid="{E5E71DAE-A19D-4B32-B2A1-1C7A3A38569D}"/>
    <hyperlink ref="E163" r:id="rId1824" display="https://www.genome.jp/entry/1.14.12.10" xr:uid="{A1B94DBE-95E4-47E6-8E66-8861222653DE}"/>
    <hyperlink ref="E164" r:id="rId1825" display="https://www.genome.jp/entry/1.14.12.10" xr:uid="{BF970102-520D-4B96-851D-6D94C6030EDE}"/>
    <hyperlink ref="E165" r:id="rId1826" display="https://www.genome.jp/entry/1.14.12.10" xr:uid="{DBDCAC90-3754-400E-AD15-5ABE09143D19}"/>
    <hyperlink ref="E166" r:id="rId1827" display="https://www.genome.jp/entry/1.14.12.10" xr:uid="{398194B0-0621-48B0-9ADF-B22338D474DD}"/>
    <hyperlink ref="E167" r:id="rId1828" display="https://www.genome.jp/entry/1.14.12.10" xr:uid="{5D0E4412-B078-49FD-A6BF-924C52BD8962}"/>
    <hyperlink ref="E168" r:id="rId1829" display="https://www.genome.jp/entry/1.14.12.10" xr:uid="{BD99128C-AFC8-4B0D-870B-17D74589CD62}"/>
    <hyperlink ref="E169" r:id="rId1830" display="https://www.genome.jp/entry/1.14.12.10" xr:uid="{4BCBF961-28E3-4CF5-8376-2F595CAC26C7}"/>
    <hyperlink ref="E155" r:id="rId1831" display="https://www.genome.jp/entry/1.14.12.10" xr:uid="{0191A3A8-0EE4-4348-8220-74C24A0D5E1D}"/>
    <hyperlink ref="E156" r:id="rId1832" display="https://www.genome.jp/entry/1.14.12.10" xr:uid="{5B4ABADD-157A-4069-8EB4-2011811AEB07}"/>
    <hyperlink ref="E157" r:id="rId1833" display="https://www.genome.jp/entry/1.14.12.10" xr:uid="{0C575063-7A35-477F-B12D-E67D9EB95FD4}"/>
    <hyperlink ref="E158" r:id="rId1834" display="https://www.genome.jp/entry/1.14.12.10" xr:uid="{1926335B-4E54-4E8D-B63B-2C39B666CF4E}"/>
    <hyperlink ref="E159" r:id="rId1835" display="https://www.genome.jp/entry/1.14.12.10" xr:uid="{2934AC9F-6540-48EC-BCC2-BA58ADF7AF17}"/>
    <hyperlink ref="E160" r:id="rId1836" display="https://www.genome.jp/entry/1.14.12.10" xr:uid="{6BAE422A-0AB3-4723-8947-94F6D5AE9B5C}"/>
    <hyperlink ref="E161" r:id="rId1837" display="https://www.genome.jp/entry/1.14.12.10" xr:uid="{2639FCD6-01BC-4847-B6B8-2A23B36C2CCF}"/>
    <hyperlink ref="E140" r:id="rId1838" display="https://www.genome.jp/entry/1.13.11.1" xr:uid="{A0B1BA05-AB57-413F-B925-B9616BD4F007}"/>
    <hyperlink ref="E141" r:id="rId1839" display="https://www.genome.jp/entry/1.13.11.1" xr:uid="{4CA9F183-3FD6-42B0-BC43-3471767E47E9}"/>
    <hyperlink ref="E142" r:id="rId1840" display="https://www.genome.jp/entry/1.13.11.1" xr:uid="{7DD1130B-191F-442D-A666-73AD136462B6}"/>
    <hyperlink ref="E143" r:id="rId1841" display="https://www.genome.jp/entry/1.13.11.1" xr:uid="{238EFAC9-F193-4A5A-83FD-E7B86BDD636B}"/>
    <hyperlink ref="E144" r:id="rId1842" display="https://www.genome.jp/entry/1.13.11.1" xr:uid="{D34ACD56-F4E9-4F6F-BD99-B145B86C488F}"/>
    <hyperlink ref="E1363" r:id="rId1843" display="https://www.genome.jp/entry/5.3.3.4" xr:uid="{9DC4E5B8-BEB2-4845-A409-8F4B68E69BB2}"/>
    <hyperlink ref="E148" r:id="rId1844" display="https://www.genome.jp/entry/1.13.11.3" xr:uid="{7992B95B-3F30-4049-BBC7-EB652A762C8A}"/>
    <hyperlink ref="E146" r:id="rId1845" display="https://www.genome.jp/entry/1.13.11.3" xr:uid="{1D3D5432-2129-4899-81A4-79FCF28BA731}"/>
    <hyperlink ref="E497" r:id="rId1846" display="https://www.genome.jp/entry/2.3.1.9" xr:uid="{B5C753F7-E315-4684-8D58-595C023C32A4}"/>
    <hyperlink ref="E498" r:id="rId1847" display="https://www.genome.jp/entry/2.3.1.9" xr:uid="{B2C00657-A191-4DA7-A81A-1BBF59DD1A81}"/>
    <hyperlink ref="E103" r:id="rId1848" display="https://www.genome.jp/entry/1.1.1.37" xr:uid="{D21F3808-B02E-4497-BB4D-D09AF9E7165C}"/>
    <hyperlink ref="E104" r:id="rId1849" display="https://www.genome.jp/entry/1.1.1.37" xr:uid="{A675474B-C68A-44B6-BD7C-1823243EDE29}"/>
    <hyperlink ref="E1440" r:id="rId1850" display="https://www.genome.jp/entry/6.3.2.12" xr:uid="{014D2A7A-67E0-431D-B340-BA6DF3332EC1}"/>
    <hyperlink ref="E1444" r:id="rId1851" display="https://www.genome.jp/entry/6.3.2.17" xr:uid="{C698E341-0333-4665-B3A7-37565DB596D8}"/>
    <hyperlink ref="E1445" r:id="rId1852" display="https://www.genome.jp/entry/6.3.2.17" xr:uid="{743DF7C5-06D6-4F8F-B8FA-908533802895}"/>
    <hyperlink ref="E1446" r:id="rId1853" display="https://www.genome.jp/entry/6.3.2.17" xr:uid="{D4B9CE89-5EE8-466E-81DA-C5BB6FEE2F84}"/>
    <hyperlink ref="E1447" r:id="rId1854" display="https://www.genome.jp/entry/6.3.2.17" xr:uid="{08CE6BF2-505C-44DE-B458-9717037A93AF}"/>
    <hyperlink ref="E749" r:id="rId1855" display="https://www.genome.jp/entry/2.7.4.6" xr:uid="{DC7F3150-9C00-40E6-B30F-006EC470EAE8}"/>
    <hyperlink ref="E750" r:id="rId1856" display="https://www.genome.jp/entry/2.7.4.6" xr:uid="{9E9EAE18-3B47-45BF-8D63-923B636A7EDE}"/>
    <hyperlink ref="E751" r:id="rId1857" display="https://www.genome.jp/entry/2.7.4.6" xr:uid="{80952ACC-8296-455C-8500-C81A34E307AE}"/>
    <hyperlink ref="E752" r:id="rId1858" display="https://www.genome.jp/entry/2.7.4.6" xr:uid="{CB35170F-7E59-4D5F-BF0E-CD9A1D49D091}"/>
    <hyperlink ref="E753" r:id="rId1859" display="https://www.genome.jp/entry/2.7.4.6" xr:uid="{91AF990E-0F6B-4C08-B882-BEA51FDC0D5C}"/>
    <hyperlink ref="E754" r:id="rId1860" display="https://www.genome.jp/entry/2.7.4.6" xr:uid="{53AE0FBE-C71C-46AA-8D3F-6EFD91395E77}"/>
    <hyperlink ref="E755" r:id="rId1861" display="https://www.genome.jp/entry/2.7.4.6" xr:uid="{01802789-D0AE-4C28-9030-4B4161EFB5FD}"/>
    <hyperlink ref="E756" r:id="rId1862" display="https://www.genome.jp/entry/2.7.4.6" xr:uid="{F37C9783-3B6D-44FD-B581-569E6F50FAC5}"/>
    <hyperlink ref="E757" r:id="rId1863" display="https://www.genome.jp/entry/2.7.4.6" xr:uid="{2C09E552-06FC-414E-835A-891CFE40F9FE}"/>
    <hyperlink ref="E758" r:id="rId1864" display="https://www.genome.jp/entry/2.7.4.6" xr:uid="{B92D4251-BFA6-45BF-981A-D24B8B40F15F}"/>
    <hyperlink ref="E759" r:id="rId1865" display="https://www.genome.jp/entry/2.7.4.6" xr:uid="{5F70180C-2B2F-4506-8055-6327981DAE7F}"/>
    <hyperlink ref="E760" r:id="rId1866" display="https://www.genome.jp/entry/2.7.4.6" xr:uid="{D55DDBD3-12D1-425B-BC22-A752CAB6CC10}"/>
    <hyperlink ref="E761" r:id="rId1867" display="https://www.genome.jp/entry/2.7.4.6" xr:uid="{C441C06B-C24D-4A4D-8C77-33E263808BA9}"/>
    <hyperlink ref="E762" r:id="rId1868" display="https://www.genome.jp/entry/2.7.4.6" xr:uid="{3F5AE266-8C53-4D09-9A3C-EC62FFE5C303}"/>
    <hyperlink ref="E763" r:id="rId1869" display="https://www.genome.jp/entry/2.7.4.6" xr:uid="{DBCDA3A4-9219-4612-9FDA-A4F6CB081B76}"/>
    <hyperlink ref="E779" r:id="rId1870" display="https://www.genome.jp/entry/2.7.7.18" xr:uid="{0698FCB5-1A45-4D76-91C5-39F925908AEE}"/>
    <hyperlink ref="E1315" r:id="rId1871" display="https://www.genome.jp/entry/4.4.1.13" xr:uid="{D94F2836-1DC4-4BEF-9F2A-A89576E1A95C}"/>
    <hyperlink ref="E1316" r:id="rId1872" display="https://www.genome.jp/entry/4.4.1.13" xr:uid="{3207EEE3-6C6C-44E8-958D-39A3B79E4181}"/>
    <hyperlink ref="E1317" r:id="rId1873" display="https://www.genome.jp/entry/4.4.1.13" xr:uid="{1C8E3968-1CAC-45E7-8CBB-846A1726F5D0}"/>
    <hyperlink ref="E1318" r:id="rId1874" display="https://www.genome.jp/entry/4.4.1.13" xr:uid="{1A0B61D7-4448-478E-84E7-5B9F71BBB02C}"/>
    <hyperlink ref="E1319" r:id="rId1875" display="https://www.genome.jp/entry/4.4.1.13" xr:uid="{40AB88F1-7664-4EB6-B604-427392274B67}"/>
    <hyperlink ref="E1320" r:id="rId1876" display="https://www.genome.jp/entry/4.4.1.13" xr:uid="{DFE4E6FB-7221-495E-B7FD-326F95152AF8}"/>
    <hyperlink ref="E1321" r:id="rId1877" display="https://www.genome.jp/entry/4.4.1.13" xr:uid="{62D97ADF-3B48-43AF-9F33-51A084269AFB}"/>
    <hyperlink ref="E1379" r:id="rId1878" display="https://www.genome.jp/entry/5.4.99.16" xr:uid="{FE96825A-F9FE-47A2-96F0-72901D3129E1}"/>
    <hyperlink ref="E551" r:id="rId1879" display="https://www.genome.jp/entry/2.4.1.25" xr:uid="{1F46E006-8C4F-4256-9D5C-4B0DFBC49B60}"/>
    <hyperlink ref="E219" r:id="rId1880" display="https://www.genome.jp/entry/1.2.4.1" xr:uid="{CAF21D5C-4F93-45F1-9B3F-F00A0A610A83}"/>
    <hyperlink ref="E220" r:id="rId1881" display="https://www.genome.jp/entry/1.2.4.1" xr:uid="{849EC09E-247B-4718-8F76-DD35D835CEC2}"/>
    <hyperlink ref="E1281" r:id="rId1882" display="https://www.genome.jp/entry/4.2.3.1" xr:uid="{93AE6DCF-9E00-4155-A218-34156EA322CD}"/>
    <hyperlink ref="E899" r:id="rId1883" display="https://www.genome.jp/entry/2.8.1.8" xr:uid="{5510CD0A-6B8E-4F4E-9C55-752B33B93508}"/>
    <hyperlink ref="E900" r:id="rId1884" display="https://www.genome.jp/entry/2.8.1.8" xr:uid="{3533BCCF-17AD-495D-BBC3-504A48FBC80B}"/>
    <hyperlink ref="E418" r:id="rId1885" display="https://www.genome.jp/entry/2.3.1.181" xr:uid="{ED71FCB4-0872-4BB0-A7BE-55A397BF4052}"/>
    <hyperlink ref="E419" r:id="rId1886" display="https://www.genome.jp/entry/2.3.1.181" xr:uid="{21226748-E823-4EFA-98A8-998CB5934ABE}"/>
    <hyperlink ref="E420" r:id="rId1887" display="https://www.genome.jp/entry/2.3.1.181" xr:uid="{0C998D68-FB49-415E-B93D-EA317FD96140}"/>
    <hyperlink ref="E1069" r:id="rId1888" display="https://www.genome.jp/entry/3.4.11.1" xr:uid="{73B11951-BE51-4EF4-BE36-02B1BC099253}"/>
    <hyperlink ref="E656" r:id="rId1889" display="https://www.genome.jp/entry/2.6.1.42" xr:uid="{31D7B142-D334-4221-926E-7C547F590E38}"/>
    <hyperlink ref="E657" r:id="rId1890" display="https://www.genome.jp/entry/2.6.1.42" xr:uid="{975EA138-D066-4830-B63B-5B264E82181B}"/>
    <hyperlink ref="E658" r:id="rId1891" display="https://www.genome.jp/entry/2.6.1.42" xr:uid="{75FEC3F0-F8A4-4056-A3F0-9697E0BCAD3E}"/>
    <hyperlink ref="E678" r:id="rId1892" display="https://www.genome.jp/entry/2.7.1.156" xr:uid="{CD43D34D-2101-466C-90EA-1D9FE5A8816C}"/>
    <hyperlink ref="E884" r:id="rId1893" display="https://www.genome.jp/entry/2.7.8.26" xr:uid="{4A52AA66-0A56-4CE3-9EEF-BEF8A996960E}"/>
    <hyperlink ref="E1479" r:id="rId1894" display="https://www.genome.jp/entry/6.3.5.4" xr:uid="{19F969CD-A8C0-4475-9BCC-5783BD99D4A3}"/>
    <hyperlink ref="E1480" r:id="rId1895" display="https://www.genome.jp/entry/6.3.5.4" xr:uid="{C41DD84C-5A6F-4D6C-882D-83C248BCCA56}"/>
    <hyperlink ref="E1508" r:id="rId1896" display="https://www.genome.jp/entry/7.1.1.8" xr:uid="{0218BF04-3C09-4A11-8441-A76FBB14F197}"/>
    <hyperlink ref="E557" r:id="rId1897" display="https://www.genome.jp/entry/2.4.1.346" xr:uid="{835C0DFC-7209-4EBB-A7A3-570025E96538}"/>
    <hyperlink ref="E558" r:id="rId1898" display="https://www.genome.jp/entry/2.4.1.346" xr:uid="{2DDCC182-0A6E-4355-9C75-5218A99FD023}"/>
    <hyperlink ref="E559" r:id="rId1899" display="https://www.genome.jp/entry/2.4.1.346" xr:uid="{88E884C5-B863-4112-AD51-FE8D3E1F63DF}"/>
    <hyperlink ref="E681" r:id="rId1900" display="https://www.genome.jp/entry/2.7.1.2" xr:uid="{CB562EEB-CA59-4978-9955-B39EEBDA0F44}"/>
    <hyperlink ref="E682" r:id="rId1901" display="https://www.genome.jp/entry/2.7.1.2" xr:uid="{95B2B028-82B5-455D-A8D2-41A3A8D69D9B}"/>
    <hyperlink ref="E259" r:id="rId1902" display="https://www.genome.jp/entry/1.5.1.20" xr:uid="{F6F34610-AA35-4C05-9817-07A2B0423E47}"/>
    <hyperlink ref="E1438" r:id="rId1903" display="https://www.genome.jp/entry/6.3.2.10" xr:uid="{CEF0285F-2817-4F11-821D-58A435EE60AE}"/>
    <hyperlink ref="E882" r:id="rId1904" display="https://www.genome.jp/entry/2.7.8.13" xr:uid="{D10945DF-E1DB-40D0-94E7-AA1D5906C615}"/>
    <hyperlink ref="E546" r:id="rId1905" display="https://www.genome.jp/entry/2.4.1.227" xr:uid="{F8BD958B-04F2-4067-986E-3AAC61779650}"/>
    <hyperlink ref="E547" r:id="rId1906" display="https://www.genome.jp/entry/2.4.1.227" xr:uid="{B424BD28-0ED9-4461-A0D5-AD1CAEC3AE49}"/>
    <hyperlink ref="E548" r:id="rId1907" display="https://www.genome.jp/entry/2.4.1.227" xr:uid="{DF486AFC-F602-4503-894A-97741C352A53}"/>
    <hyperlink ref="E549" r:id="rId1908" display="https://www.genome.jp/entry/2.4.1.227" xr:uid="{82F66872-0959-4D05-944F-CB9233105725}"/>
    <hyperlink ref="E860" r:id="rId1909" display="https://www.genome.jp/entry/2.7.7.7" xr:uid="{418E7BC0-D9E1-4598-A263-2B08B073BB28}"/>
    <hyperlink ref="E861" r:id="rId1910" display="https://www.genome.jp/entry/2.7.7.7" xr:uid="{0CF62A07-340D-4397-B784-B847D17C5580}"/>
    <hyperlink ref="E862" r:id="rId1911" display="https://www.genome.jp/entry/2.7.7.7" xr:uid="{3DBF9C2A-56A2-474F-B285-80D9EE82CDD2}"/>
    <hyperlink ref="E863" r:id="rId1912" display="https://www.genome.jp/entry/2.7.7.7" xr:uid="{5DFED0B6-1D8C-46A7-8D3B-4B7ECADF96AB}"/>
    <hyperlink ref="E864" r:id="rId1913" display="https://www.genome.jp/entry/2.7.7.7" xr:uid="{891D6033-1E54-4F1E-AEBE-242AB62D1010}"/>
    <hyperlink ref="E854" r:id="rId1914" display="https://www.genome.jp/entry/2.7.7.7" xr:uid="{1BD18C6B-335B-42F3-AE67-FDD228A2CCC9}"/>
    <hyperlink ref="E855" r:id="rId1915" display="https://www.genome.jp/entry/2.7.7.7" xr:uid="{E6ACCFF5-9A57-4A57-8F98-77F4D9F515A9}"/>
    <hyperlink ref="E856" r:id="rId1916" display="https://www.genome.jp/entry/2.7.7.7" xr:uid="{72A2B2B6-3FF8-4E3B-AC52-25645034BCC5}"/>
    <hyperlink ref="E857" r:id="rId1917" display="https://www.genome.jp/entry/2.7.7.7" xr:uid="{48FA8BCA-05CC-40B7-B0B5-725D4B771DF7}"/>
    <hyperlink ref="E858" r:id="rId1918" display="https://www.genome.jp/entry/2.7.7.7" xr:uid="{D79AFFFF-E67D-48E4-A919-55D74171819E}"/>
    <hyperlink ref="E1295" r:id="rId1919" display="https://www.genome.jp/entry/4.3.1.19" xr:uid="{6B164609-5418-41AA-96D2-CE9F12FDBFC9}"/>
    <hyperlink ref="E1296" r:id="rId1920" display="https://www.genome.jp/entry/4.3.1.19" xr:uid="{9039189D-B356-4291-BD67-235041D01FBE}"/>
    <hyperlink ref="E1297" r:id="rId1921" display="https://www.genome.jp/entry/4.3.1.19" xr:uid="{D3C2D92E-5A82-4AE6-863C-94402A333EE2}"/>
    <hyperlink ref="E1298" r:id="rId1922" display="https://www.genome.jp/entry/4.3.1.19" xr:uid="{3E121C64-68F1-4BED-9C6B-D04E79F4951B}"/>
    <hyperlink ref="E1377" r:id="rId1923" display="https://www.genome.jp/entry/5.4.99.15" xr:uid="{7FC2AFC7-7332-4EF8-9A24-BEB3728D4EAD}"/>
    <hyperlink ref="E87" r:id="rId1924" display="https://www.genome.jp/entry/1.1.1.23" xr:uid="{57B33DB5-FD4A-42A9-9492-D3D1BEFC01DC}"/>
    <hyperlink ref="E88" r:id="rId1925" display="https://www.genome.jp/entry/1.1.1.23" xr:uid="{C5B0043A-362E-4035-B0B8-852F086429F3}"/>
    <hyperlink ref="E669" r:id="rId1926" display="https://www.genome.jp/entry/2.6.1.9" xr:uid="{6A706411-76B9-4F28-B1F4-646DEF08FDDA}"/>
    <hyperlink ref="E670" r:id="rId1927" display="https://www.genome.jp/entry/2.6.1.9" xr:uid="{DD96C471-19CD-4B9A-BAFA-ABEFBCD4767F}"/>
    <hyperlink ref="E1304" r:id="rId1928" display="https://www.genome.jp/entry/4.3.2.10" xr:uid="{413BB0BA-3C98-4E9E-BCF9-C1B4B25FB4A4}"/>
    <hyperlink ref="E1305" r:id="rId1929" display="https://www.genome.jp/entry/4.3.2.10" xr:uid="{0E0DBE1F-5735-4A16-8D89-2900D865A3A5}"/>
    <hyperlink ref="E1301" r:id="rId1930" display="https://www.genome.jp/entry/4.3.2.10" xr:uid="{2677D33D-7649-4480-AF74-A5112C47316D}"/>
    <hyperlink ref="E1302" r:id="rId1931" display="https://www.genome.jp/entry/4.3.2.10" xr:uid="{7B972FE3-30A9-4A81-A28E-0CFBA6ECB30A}"/>
    <hyperlink ref="E697" r:id="rId1932" display="https://www.genome.jp/entry/2.7.1.40" xr:uid="{4663761D-4CDE-4266-BD9E-0C45B5860529}"/>
    <hyperlink ref="E698" r:id="rId1933" display="https://www.genome.jp/entry/2.7.1.40" xr:uid="{0DC01F07-9525-46E4-B27C-2AA0AE0769D4}"/>
    <hyperlink ref="E699" r:id="rId1934" display="https://www.genome.jp/entry/2.7.1.40" xr:uid="{A88F2A4C-88DC-4D3F-96DD-1EFFF6C5CE78}"/>
    <hyperlink ref="E700" r:id="rId1935" display="https://www.genome.jp/entry/2.7.1.40" xr:uid="{DBF8836C-D27D-41D2-8E89-1E4569BE8A63}"/>
    <hyperlink ref="E701" r:id="rId1936" display="https://www.genome.jp/entry/2.7.1.40" xr:uid="{F4383BFC-15B0-4FC0-8C25-C7B10A99AF6F}"/>
    <hyperlink ref="E702" r:id="rId1937" display="https://www.genome.jp/entry/2.7.1.40" xr:uid="{791A8C5C-A017-4E9B-BE6B-F44481E50493}"/>
    <hyperlink ref="E703" r:id="rId1938" display="https://www.genome.jp/entry/2.7.1.40" xr:uid="{822809CD-2B0E-4C40-9FC2-56C5C26C6E53}"/>
    <hyperlink ref="E246" r:id="rId1939" display="https://www.genome.jp/entry/1.4.1.4" xr:uid="{46BEDCAF-88E5-415E-9943-91237D57081D}"/>
    <hyperlink ref="E247" r:id="rId1940" display="https://www.genome.jp/entry/1.4.1.4" xr:uid="{D83765EC-DC73-4BA6-A5FB-1DC2B3AB11B8}"/>
    <hyperlink ref="E1175" r:id="rId1941" display="https://www.genome.jp/entry/3.6.1.7" xr:uid="{DFD9CA35-A1F3-4434-9941-C52668BE59C9}"/>
    <hyperlink ref="E1176" r:id="rId1942" display="https://www.genome.jp/entry/3.6.1.7" xr:uid="{E65EA10E-B090-4F87-BFFB-B22C7B2E2B83}"/>
    <hyperlink ref="E1177" r:id="rId1943" display="https://www.genome.jp/entry/3.6.1.7" xr:uid="{832421DE-4A6B-4F79-A66C-32A906ACF9F4}"/>
    <hyperlink ref="E249" r:id="rId1944" display="https://www.genome.jp/entry/1.4.3.19" xr:uid="{66DDDAD5-A085-4BF0-ACC3-048511555706}"/>
    <hyperlink ref="E250" r:id="rId1945" display="https://www.genome.jp/entry/1.4.3.19" xr:uid="{32ACB679-2D04-4254-AB2A-E4B3ABB2E809}"/>
    <hyperlink ref="E251" r:id="rId1946" display="https://www.genome.jp/entry/1.4.3.19" xr:uid="{FE35E87F-1B9B-4BAF-B3F8-C4927FA080D5}"/>
    <hyperlink ref="E252" r:id="rId1947" display="https://www.genome.jp/entry/1.4.3.19" xr:uid="{665BDA60-A137-44B8-9E62-73FC8F686872}"/>
    <hyperlink ref="E253" r:id="rId1948" display="https://www.genome.jp/entry/1.4.3.19" xr:uid="{1B76824E-3E93-438A-B63F-0444FAEEF1D7}"/>
    <hyperlink ref="E608" r:id="rId1949" display="https://www.genome.jp/entry/2.5.1.3" xr:uid="{9AF833C8-401E-4565-BF61-9AA966E2EEA3}"/>
    <hyperlink ref="E609" r:id="rId1950" display="https://www.genome.jp/entry/2.5.1.3" xr:uid="{027CB69C-D6FC-4074-A36F-F00ED03E8579}"/>
    <hyperlink ref="E285" r:id="rId1951" display="https://www.genome.jp/entry/1.8.1.15" xr:uid="{543AD57C-D037-475F-9FE3-12E21DD4226C}"/>
    <hyperlink ref="E286" r:id="rId1952" display="https://www.genome.jp/entry/1.8.1.15" xr:uid="{AEF0A6B4-A8E6-4049-9FDC-35FFCCA1CF10}"/>
    <hyperlink ref="E287" r:id="rId1953" display="https://www.genome.jp/entry/1.8.1.15" xr:uid="{F7B20DC6-23D8-46D9-B663-01BFFC128D2E}"/>
    <hyperlink ref="E128" r:id="rId1954" display="https://www.genome.jp/entry/1.1.5.4" xr:uid="{53071D65-5132-4CFB-9B3E-F9A3D1DBB441}"/>
    <hyperlink ref="E129" r:id="rId1955" display="https://www.genome.jp/entry/1.1.5.4" xr:uid="{FA9AB1A4-56A3-48E0-8858-E90E90F5D1E3}"/>
    <hyperlink ref="E332" r:id="rId1956" display="https://www.genome.jp/entry/2.1.1.107" xr:uid="{08593949-0509-4666-869C-E4B231B8BDDE}"/>
    <hyperlink ref="E333" r:id="rId1957" display="https://www.genome.jp/entry/2.1.1.107" xr:uid="{D2FEE365-1A6D-4EAA-A9D7-AC360FEDCEB6}"/>
    <hyperlink ref="E334" r:id="rId1958" display="https://www.genome.jp/entry/2.1.1.107" xr:uid="{3D7AA75E-CC53-4C75-B906-D3FEEB304AFA}"/>
    <hyperlink ref="E871" r:id="rId1959" display="https://www.genome.jp/entry/2.7.7.8" xr:uid="{F8366A8A-D35E-4274-B75B-B0393739A649}"/>
    <hyperlink ref="E872" r:id="rId1960" display="https://www.genome.jp/entry/2.7.7.8" xr:uid="{85CF3458-CB1D-489A-A470-2CC1A231E986}"/>
    <hyperlink ref="E873" r:id="rId1961" display="https://www.genome.jp/entry/2.7.7.8" xr:uid="{0AC549FD-EBE8-48A8-AFAC-94AC86E69DF1}"/>
    <hyperlink ref="E874" r:id="rId1962" display="https://www.genome.jp/entry/2.7.7.8" xr:uid="{AFDB65FF-6184-40D1-9E75-E4EBBC9E2C63}"/>
    <hyperlink ref="E180" r:id="rId1963" display="https://www.genome.jp/entry/1.17.1.8" xr:uid="{4AB8C223-C88F-4DAA-97CA-86C0EE51DD9D}"/>
    <hyperlink ref="E905" r:id="rId1964" display="https://www.genome.jp/entry/2.8.4.3" xr:uid="{B8F21346-D117-4BC1-B424-49ADE8394A95}"/>
    <hyperlink ref="E906" r:id="rId1965" display="https://www.genome.jp/entry/2.8.4.3" xr:uid="{C2A338BD-A587-4BA9-B0A2-049FB412E165}"/>
    <hyperlink ref="E708" r:id="rId1966" display="https://www.genome.jp/entry/2.7.1.56" xr:uid="{BDC60CBA-FB33-43C7-AF9B-C5C58E3CE41D}"/>
    <hyperlink ref="E709" r:id="rId1967" display="https://www.genome.jp/entry/2.7.1.56" xr:uid="{54BE34E1-2C32-4BC4-B546-A5B8E3EC724D}"/>
    <hyperlink ref="E1333" r:id="rId1968" display="https://www.genome.jp/entry/5.1.3.2" xr:uid="{63FAA0F4-9F87-4BA6-AF64-71D13643E0FF}"/>
    <hyperlink ref="E1334" r:id="rId1969" display="https://www.genome.jp/entry/5.1.3.2" xr:uid="{0A7BCBAB-AA19-4A26-B254-4F56741C4925}"/>
    <hyperlink ref="E711" r:id="rId1970" display="https://www.genome.jp/entry/2.7.1.63" xr:uid="{31C0D435-EC29-440F-91A6-3FE5117AFEC9}"/>
    <hyperlink ref="E712" r:id="rId1971" display="https://www.genome.jp/entry/2.7.1.63" xr:uid="{FE3518D0-CB92-4B4A-B886-71CD0D4B8B23}"/>
    <hyperlink ref="E1166" r:id="rId1972" display="https://www.genome.jp/entry/3.6.1.23" xr:uid="{6CC063CD-E343-457B-AFE1-90C4D2877036}"/>
    <hyperlink ref="E239" r:id="rId1973" display="https://www.genome.jp/entry/1.3.98.5" xr:uid="{BBAD6D44-4F7F-44F3-A7DE-787DA433FB80}"/>
    <hyperlink ref="E240" r:id="rId1974" display="https://www.genome.jp/entry/1.3.98.5" xr:uid="{EB4CF93F-83D0-4FFD-8295-60CDBAE2081B}"/>
    <hyperlink ref="E353" r:id="rId1975" display="https://www.genome.jp/entry/2.1.1.37" xr:uid="{42AE110B-8FB4-47D0-A3A9-F6AA6F240460}"/>
    <hyperlink ref="E573" r:id="rId1976" display="https://www.genome.jp/entry/2.4.2.7" xr:uid="{998AA2AD-A3B1-4945-BD0F-AE9C9F6A4B79}"/>
    <hyperlink ref="E1290" r:id="rId1977" display="https://www.genome.jp/entry/4.3.1.17" xr:uid="{FD1A53A2-4F6D-4604-9D98-F67EF883A16B}"/>
    <hyperlink ref="E1291" r:id="rId1978" display="https://www.genome.jp/entry/4.3.1.17" xr:uid="{8BDC1ECC-63B3-4ACC-959A-3EC63DDD89C1}"/>
    <hyperlink ref="E1292" r:id="rId1979" display="https://www.genome.jp/entry/4.3.1.17" xr:uid="{4D19071E-7243-4BB5-B25C-026E16B9463E}"/>
    <hyperlink ref="E1293" r:id="rId1980" display="https://www.genome.jp/entry/4.3.1.17" xr:uid="{993C4E47-58E9-4E57-A5B2-B3CDFB1F11EA}"/>
    <hyperlink ref="E90" r:id="rId1981" display="https://www.genome.jp/entry/1.1.1.25" xr:uid="{6EA22B98-E11F-4060-A74E-7F0167FF35AE}"/>
    <hyperlink ref="E1488" r:id="rId1982" display="https://www.genome.jp/entry/6.3.5.5" xr:uid="{19A0302B-D1F6-4687-8A21-AC373F250779}"/>
    <hyperlink ref="E1489" r:id="rId1983" display="https://www.genome.jp/entry/6.3.5.5" xr:uid="{1BCAB36E-4AB1-455B-824E-54CC357FEA5B}"/>
    <hyperlink ref="E1490" r:id="rId1984" display="https://www.genome.jp/entry/6.3.5.5" xr:uid="{6950AA11-F401-4898-96C5-FFF0B09DC6B3}"/>
    <hyperlink ref="E1491" r:id="rId1985" display="https://www.genome.jp/entry/6.3.5.5" xr:uid="{2360C653-1D88-447F-950E-6F3BA42E7AE3}"/>
    <hyperlink ref="E1492" r:id="rId1986" display="https://www.genome.jp/entry/6.3.5.5" xr:uid="{457FD1FE-A389-463F-B18F-037857323282}"/>
    <hyperlink ref="E1482" r:id="rId1987" display="https://www.genome.jp/entry/6.3.5.5" xr:uid="{E0B69C88-E675-4181-B49D-EBCB273E6EC9}"/>
    <hyperlink ref="E1483" r:id="rId1988" display="https://www.genome.jp/entry/6.3.5.5" xr:uid="{69EA724B-F9E7-40EA-89B7-9D26B5FCFA5E}"/>
    <hyperlink ref="E1484" r:id="rId1989" display="https://www.genome.jp/entry/6.3.5.5" xr:uid="{A2C79251-CFE4-4174-9C04-85E1048EA37F}"/>
    <hyperlink ref="E1485" r:id="rId1990" display="https://www.genome.jp/entry/6.3.5.5" xr:uid="{5D81492C-3CCD-41F0-98EF-F5E6A69291ED}"/>
    <hyperlink ref="E1486" r:id="rId1991" display="https://www.genome.jp/entry/6.3.5.5" xr:uid="{B839C738-3A1A-464E-9DD2-1BC94DD4D55F}"/>
    <hyperlink ref="E810" r:id="rId1992" display="https://www.genome.jp/entry/2.7.7.6" xr:uid="{2436C7E7-3057-4E21-9A46-4A9BAC8333F6}"/>
    <hyperlink ref="E811" r:id="rId1993" display="https://www.genome.jp/entry/2.7.7.6" xr:uid="{FBE2C9DA-BD9D-474B-A5B6-2EC3AA8435E1}"/>
    <hyperlink ref="E812" r:id="rId1994" display="https://www.genome.jp/entry/2.7.7.6" xr:uid="{0DB624A2-F1B4-4C7E-B9D8-4E4EDE99B79C}"/>
    <hyperlink ref="E813" r:id="rId1995" display="https://www.genome.jp/entry/2.7.7.6" xr:uid="{66CCA2ED-6F1A-4A4E-AA26-202DE5E03440}"/>
    <hyperlink ref="E814" r:id="rId1996" display="https://www.genome.jp/entry/2.7.7.6" xr:uid="{2DEA593F-4FE7-4689-9419-8D3E998F7567}"/>
    <hyperlink ref="E767" r:id="rId1997" display="https://www.genome.jp/entry/2.7.4.8" xr:uid="{4AC3CB4A-3D9F-4651-909A-C41784A3FD1B}"/>
    <hyperlink ref="E768" r:id="rId1998" display="https://www.genome.jp/entry/2.7.4.8" xr:uid="{A5CF7545-BE59-428E-9FD4-F4211473B51C}"/>
    <hyperlink ref="E629" r:id="rId1999" display="https://www.genome.jp/entry/2.5.1.6" xr:uid="{DDCFB3F1-76FC-418F-839B-1F2048E16A4D}"/>
    <hyperlink ref="E1135" r:id="rId2000" display="https://www.genome.jp/entry/3.5.1.88" xr:uid="{D01AB749-5156-4224-91BA-57D3B858D2BD}"/>
    <hyperlink ref="E112" r:id="rId2001" display="https://www.genome.jp/entry/1.1.1.49" xr:uid="{ABBDEDC3-3E97-4535-910D-23C4596B222E}"/>
    <hyperlink ref="E378" r:id="rId2002" display="https://www.genome.jp/entry/2.2.1.2" xr:uid="{E232BA0C-51C2-4A6A-B04B-D07EA0BA258A}"/>
    <hyperlink ref="E372" r:id="rId2003" display="https://www.genome.jp/entry/2.2.1.1" xr:uid="{1A42B231-8C0C-4C3F-AF61-946C22EB938E}"/>
    <hyperlink ref="E373" r:id="rId2004" display="https://www.genome.jp/entry/2.2.1.1" xr:uid="{DEC7C40C-645D-4677-9EC1-643F0B03377D}"/>
    <hyperlink ref="E374" r:id="rId2005" display="https://www.genome.jp/entry/2.2.1.1" xr:uid="{A652AF4B-3CF1-4A17-A416-56D8C0B5AC34}"/>
    <hyperlink ref="E375" r:id="rId2006" display="https://www.genome.jp/entry/2.2.1.1" xr:uid="{F4C92823-1F0C-4DE4-B118-884CE7121E1E}"/>
    <hyperlink ref="E376" r:id="rId2007" display="https://www.genome.jp/entry/2.2.1.1" xr:uid="{C1782693-E218-4E10-A7F9-FF2B3201C9C2}"/>
    <hyperlink ref="E201" r:id="rId2008" display="https://www.genome.jp/entry/1.17.99.9" xr:uid="{101ADB75-2575-439D-853F-44357B66A0A2}"/>
    <hyperlink ref="E202" r:id="rId2009" display="https://www.genome.jp/entry/1.17.99.9" xr:uid="{14FFBE13-2329-4254-AF42-6FF0272DA349}"/>
    <hyperlink ref="E896" r:id="rId2010" display="https://www.genome.jp/entry/2.8.1.7" xr:uid="{9233BFAF-E341-4B79-A81E-33E4A5480C7A}"/>
    <hyperlink ref="E897" r:id="rId2011" display="https://www.genome.jp/entry/2.8.1.7" xr:uid="{18805C3D-57C7-4200-B7A5-E44AD452ECDD}"/>
    <hyperlink ref="E336" r:id="rId2012" display="https://www.genome.jp/entry/2.1.1.13" xr:uid="{E8924345-1117-4BD5-8C2B-9EA92B0CCD2B}"/>
    <hyperlink ref="E1107" r:id="rId2013" display="https://www.genome.jp/entry/3.5.1.119" xr:uid="{26D10044-0DC3-4145-88D9-13A3BDAB3013}"/>
    <hyperlink ref="E302" r:id="rId2014" display="https://www.genome.jp/entry/1.8.7.1" xr:uid="{3C0D1141-0E9F-489E-91AA-A679168F0F71}"/>
    <hyperlink ref="E744" r:id="rId2015" display="https://www.genome.jp/entry/2.7.4.25" xr:uid="{0DE35336-3E01-4C48-A0C9-DCDB8476057D}"/>
    <hyperlink ref="E1467" r:id="rId2016" display="https://www.genome.jp/entry/6.3.4.2" xr:uid="{0C343BB3-840B-4A19-AA1D-88B683B66300}"/>
    <hyperlink ref="E1468" r:id="rId2017" display="https://www.genome.jp/entry/6.3.4.2" xr:uid="{7A0008DC-DB88-4EAE-8271-CDD2854F35E6}"/>
    <hyperlink ref="E276" r:id="rId2018" display="https://www.genome.jp/entry/1.6.5.2" xr:uid="{8D629CC5-0C6C-430C-9D7C-07DA05B3E9BC}"/>
    <hyperlink ref="E277" r:id="rId2019" display="https://www.genome.jp/entry/1.6.5.2" xr:uid="{0C32AE97-A565-434A-82B4-817080C8D0B6}"/>
    <hyperlink ref="E278" r:id="rId2020" display="https://www.genome.jp/entry/1.6.5.2" xr:uid="{79AEE5B6-8C41-446B-8ED6-13E343439E34}"/>
    <hyperlink ref="E279" r:id="rId2021" display="https://www.genome.jp/entry/1.6.5.2" xr:uid="{DDC1F107-6317-49C8-A3DF-C9A79E6A7075}"/>
    <hyperlink ref="E848" r:id="rId2022" display="https://www.genome.jp/entry/2.7.7.7" xr:uid="{147B0CC0-524F-449D-AFD2-74E40D860DDF}"/>
    <hyperlink ref="E849" r:id="rId2023" display="https://www.genome.jp/entry/2.7.7.7" xr:uid="{7F46F733-A398-447F-A129-1D2C0F2A25CD}"/>
    <hyperlink ref="E850" r:id="rId2024" display="https://www.genome.jp/entry/2.7.7.7" xr:uid="{D284FB1E-A6D3-4604-AD40-9BC05A412496}"/>
    <hyperlink ref="E851" r:id="rId2025" display="https://www.genome.jp/entry/2.7.7.7" xr:uid="{F959FE83-A3A3-4792-A1E8-2C567C958BE9}"/>
    <hyperlink ref="E852" r:id="rId2026" display="https://www.genome.jp/entry/2.7.7.7" xr:uid="{D33950EE-2A7A-466C-AC41-6E0FE22ED3D5}"/>
    <hyperlink ref="E124" r:id="rId2027" display="https://www.genome.jp/entry/1.1.1.94" xr:uid="{5E0B2F55-6AA0-4063-AED4-849332BB2AD6}"/>
    <hyperlink ref="E1268" r:id="rId2028" display="https://www.genome.jp/entry/4.2.1.33" xr:uid="{99B9A719-67E3-4C6A-9F4D-1AC6484E2D47}"/>
    <hyperlink ref="E1269" r:id="rId2029" display="https://www.genome.jp/entry/4.2.1.33" xr:uid="{B675CFDE-16D7-4F76-8A70-6B16981BA548}"/>
    <hyperlink ref="E1265" r:id="rId2030" display="https://www.genome.jp/entry/4.2.1.33" xr:uid="{42A3E563-077E-4386-ACD6-6BBF76B888E1}"/>
    <hyperlink ref="E1266" r:id="rId2031" display="https://www.genome.jp/entry/4.2.1.33" xr:uid="{00C21846-58B4-4B03-A3AB-6B08D65F9BB1}"/>
    <hyperlink ref="E114" r:id="rId2032" display="https://www.genome.jp/entry/1.1.1.85" xr:uid="{CE613071-0771-494E-A76A-5A569FA84A75}"/>
    <hyperlink ref="E115" r:id="rId2033" display="https://www.genome.jp/entry/1.1.1.85" xr:uid="{376A881E-98B7-47C7-8671-63056AD5310D}"/>
    <hyperlink ref="E116" r:id="rId2034" display="https://www.genome.jp/entry/1.1.1.85" xr:uid="{D6F9E732-C2D0-47C0-9E1C-6676047444AA}"/>
    <hyperlink ref="E126" r:id="rId2035" display="https://www.genome.jp/entry/1.1.1.95" xr:uid="{EEC6F2DA-B9B0-4737-A134-F59E0C71765E}"/>
    <hyperlink ref="E118" r:id="rId2036" display="https://www.genome.jp/entry/1.1.1.86" xr:uid="{344CE00B-1EF3-4FCE-8389-8F8D934B43FE}"/>
    <hyperlink ref="E119" r:id="rId2037" display="https://www.genome.jp/entry/1.1.1.86" xr:uid="{730F715F-E3BB-4F3E-8E5F-4DF87C861F43}"/>
    <hyperlink ref="E120" r:id="rId2038" display="https://www.genome.jp/entry/1.1.1.86" xr:uid="{DF30CFCA-152F-408C-BCB7-94ECAB91FF52}"/>
    <hyperlink ref="E121" r:id="rId2039" display="https://www.genome.jp/entry/1.1.1.86" xr:uid="{425478A5-A79F-43D4-80E4-E6E14F17BA31}"/>
    <hyperlink ref="E122" r:id="rId2040" display="https://www.genome.jp/entry/1.1.1.86" xr:uid="{46C1480C-DA6F-4A63-A05C-40D2923FF9E5}"/>
    <hyperlink ref="E380" r:id="rId2041" display="https://www.genome.jp/entry/2.2.1.6" xr:uid="{989BE16C-3007-4A4F-961E-F94739094505}"/>
    <hyperlink ref="E381" r:id="rId2042" display="https://www.genome.jp/entry/2.2.1.6" xr:uid="{33CE8286-199E-453C-9A3C-6B37687D0101}"/>
    <hyperlink ref="E382" r:id="rId2043" display="https://www.genome.jp/entry/2.2.1.6" xr:uid="{893C312D-41C6-4F70-9F00-BCC62B08C7C4}"/>
    <hyperlink ref="E383" r:id="rId2044" display="https://www.genome.jp/entry/2.2.1.6" xr:uid="{876D29D9-07A7-421B-A032-C0953BEB7256}"/>
    <hyperlink ref="E384" r:id="rId2045" display="https://www.genome.jp/entry/2.2.1.6" xr:uid="{DF1B87A6-B3CE-4669-8AC5-F172C8D76951}"/>
    <hyperlink ref="E385" r:id="rId2046" display="https://www.genome.jp/entry/2.2.1.6" xr:uid="{6AC5A18A-CB12-4C4D-9F41-BD2CB38CF93A}"/>
    <hyperlink ref="E1277" r:id="rId2047" display="https://www.genome.jp/entry/4.2.1.9" xr:uid="{BDAED2FA-AC4A-434C-B567-29C838F99914}"/>
    <hyperlink ref="E1278" r:id="rId2048" display="https://www.genome.jp/entry/4.2.1.9" xr:uid="{C71A6831-54D9-4F07-842C-35DAF84B4176}"/>
    <hyperlink ref="E542" r:id="rId2049" display="https://www.genome.jp/entry/2.4.1.18" xr:uid="{BDAE4E7B-B471-4E33-A389-01BF16B681C0}"/>
    <hyperlink ref="E1338" r:id="rId2050" display="https://www.genome.jp/entry/5.1.99.1" xr:uid="{747F1808-EB63-4C85-8463-40FE1A3FED3D}"/>
    <hyperlink ref="E1012" r:id="rId2051" display="https://www.genome.jp/entry/3.1.3.2" xr:uid="{583A48D9-512D-4CD9-9B39-D09C9BC11C41}"/>
    <hyperlink ref="E1013" r:id="rId2052" display="https://www.genome.jp/entry/3.1.3.2" xr:uid="{EF80A63D-08C9-406B-8C0B-CBF2981DEC3D}"/>
    <hyperlink ref="E1014" r:id="rId2053" display="https://www.genome.jp/entry/3.1.3.2" xr:uid="{F2A82B83-F1FB-47EC-97CC-0380F44921B9}"/>
    <hyperlink ref="E1015" r:id="rId2054" display="https://www.genome.jp/entry/3.1.3.2" xr:uid="{09F97761-E38D-42F7-A94A-A3606B94F463}"/>
    <hyperlink ref="E1016" r:id="rId2055" display="https://www.genome.jp/entry/3.1.3.2" xr:uid="{831B4B99-F778-4ACA-B01D-CB8E6F0AFAAD}"/>
    <hyperlink ref="E98" r:id="rId2056" display="https://www.genome.jp/entry/1.1.1.3" xr:uid="{92385FA9-F585-48CA-B1E4-0C2AE2567B64}"/>
    <hyperlink ref="E172" r:id="rId2057" display="https://www.genome.jp/entry/1.14.13.127" xr:uid="{A97444FE-9EAB-412E-8F8C-3E161E3A8BD2}"/>
    <hyperlink ref="E338" r:id="rId2058" display="https://www.genome.jp/entry/2.1.1.14" xr:uid="{2DA1CC67-4C02-4122-BCFD-1D3555675508}"/>
    <hyperlink ref="E544" r:id="rId2059" display="https://www.genome.jp/entry/2.4.1.21" xr:uid="{2A20BA7B-C4CC-4E18-ADD4-96099C291701}"/>
    <hyperlink ref="E595" r:id="rId2060" display="https://www.genome.jp/entry/2.5.1.15" xr:uid="{89E7FAE6-0612-48C9-AC6D-07949E1BD41C}"/>
    <hyperlink ref="E199" r:id="rId2061" display="https://www.genome.jp/entry/1.17.7.4" xr:uid="{B0C58D60-B532-431D-B348-F59BC08C1772}"/>
    <hyperlink ref="E1004" r:id="rId2062" display="https://www.genome.jp/entry/3.1.3.11" xr:uid="{55B894F0-9781-432A-B130-64E0E36D3321}"/>
    <hyperlink ref="E1005" r:id="rId2063" display="https://www.genome.jp/entry/3.1.3.11" xr:uid="{A869B0D7-4B94-4397-8CFF-EAD7ED30B902}"/>
    <hyperlink ref="E663" r:id="rId2064" display="https://www.genome.jp/entry/2.6.1.85" xr:uid="{B407D501-4296-4235-BCFF-DB7BDB2034B1}"/>
    <hyperlink ref="E664" r:id="rId2065" display="https://www.genome.jp/entry/2.6.1.85" xr:uid="{23879A61-58E4-4CB2-BF72-2145E45D071F}"/>
    <hyperlink ref="E360" r:id="rId2066" display="https://www.genome.jp/entry/2.1.2.1" xr:uid="{8582C551-9CD7-4B4F-BF61-4FC2223D694F}"/>
    <hyperlink ref="E690" r:id="rId2067" display="https://www.genome.jp/entry/2.7.1.33" xr:uid="{B0489913-575C-4445-B736-793899FF5790}"/>
    <hyperlink ref="E691" r:id="rId2068" display="https://www.genome.jp/entry/2.7.1.33" xr:uid="{183584C4-974C-4648-B655-CE972F31674C}"/>
    <hyperlink ref="E1249" r:id="rId2069" display="https://www.genome.jp/entry/4.2.1.11" xr:uid="{D2BEA97F-F314-4E01-9367-401109EA07F7}"/>
    <hyperlink ref="E502" r:id="rId2070" display="https://www.genome.jp/entry/2.3.2.2" xr:uid="{01E25D61-CED4-4428-A9F1-085D4633D4A9}"/>
    <hyperlink ref="E503" r:id="rId2071" display="https://www.genome.jp/entry/2.3.2.2" xr:uid="{4D0F4D0B-5F56-4CEA-BC53-5EBBCD773BE0}"/>
    <hyperlink ref="E504" r:id="rId2072" display="https://www.genome.jp/entry/2.3.2.2" xr:uid="{8AC90C2B-FE22-4FDE-AB78-239753DE61CB}"/>
    <hyperlink ref="E505" r:id="rId2073" display="https://www.genome.jp/entry/2.3.2.2" xr:uid="{B9E5170D-3D84-4557-BCFD-3A6581EF950F}"/>
    <hyperlink ref="E506" r:id="rId2074" display="https://www.genome.jp/entry/2.3.2.2" xr:uid="{E752AB40-368A-4381-9473-5911A90D76E0}"/>
    <hyperlink ref="E507" r:id="rId2075" display="https://www.genome.jp/entry/2.3.2.2" xr:uid="{2E7B961E-A107-4DF6-B462-B1EDD15AC5B4}"/>
    <hyperlink ref="E508" r:id="rId2076" display="https://www.genome.jp/entry/2.3.2.2" xr:uid="{5360C52D-B6BA-4239-922E-DD4FC28FF700}"/>
    <hyperlink ref="E693" r:id="rId2077" display="https://www.genome.jp/entry/2.7.1.35" xr:uid="{9FAA5F96-87C6-4A1F-A2A9-0AEF08D9E584}"/>
    <hyperlink ref="E694" r:id="rId2078" display="https://www.genome.jp/entry/2.7.1.35" xr:uid="{E1624C1D-0B33-42E9-AECC-A1779CE1E274}"/>
    <hyperlink ref="E1403" r:id="rId2079" display="https://www.genome.jp/entry/6.1.1.10" xr:uid="{306EAABF-D7F4-423B-B171-BB4630E34FCC}"/>
    <hyperlink ref="E535" r:id="rId2080" display="https://www.genome.jp/entry/2.4.1.109" xr:uid="{9A14F3BB-159B-4B7B-87C0-52BAA615A4FD}"/>
    <hyperlink ref="E536" r:id="rId2081" display="https://www.genome.jp/entry/2.4.1.109" xr:uid="{46894776-8A80-4183-A119-DBBECCAF0788}"/>
    <hyperlink ref="E364" r:id="rId2082" display="https://www.genome.jp/entry/2.1.2.2" xr:uid="{1B9D13AD-6C78-4FCB-9C9B-63F660BE66DA}"/>
    <hyperlink ref="E1357" r:id="rId2083" display="https://www.genome.jp/entry/5.3.1.9" xr:uid="{87EE29C0-8408-455C-83F1-96D5543DB01F}"/>
    <hyperlink ref="E1358" r:id="rId2084" display="https://www.genome.jp/entry/5.3.1.9" xr:uid="{E7000767-5A6A-47AB-8AD3-8DECFF1917C5}"/>
    <hyperlink ref="E1359" r:id="rId2085" display="https://www.genome.jp/entry/5.3.1.9" xr:uid="{7181EDE3-D835-45DD-9E4A-EC2EFFD8C8AE}"/>
    <hyperlink ref="E1360" r:id="rId2086" display="https://www.genome.jp/entry/5.3.1.9" xr:uid="{0369D3E2-75DF-4529-A88D-68128EA1BCBB}"/>
    <hyperlink ref="E1037" r:id="rId2087" display="https://www.genome.jp/entry/3.1.3.7" xr:uid="{7C9F95B6-C8A4-429F-A7C0-9EB905B38CA9}"/>
    <hyperlink ref="E268" r:id="rId2088" display="https://www.genome.jp/entry/1.5.1.3" xr:uid="{60714BF8-C547-4759-AF75-942AFF45402C}"/>
    <hyperlink ref="E269" r:id="rId2089" display="https://www.genome.jp/entry/1.5.1.3" xr:uid="{6A5E0AA9-C264-442F-B6B9-A71745A0370B}"/>
    <hyperlink ref="E270" r:id="rId2090" display="https://www.genome.jp/entry/1.5.1.3" xr:uid="{EBDDA002-616A-464D-A3E3-8E5B90725C4B}"/>
    <hyperlink ref="E271" r:id="rId2091" display="https://www.genome.jp/entry/1.5.1.3" xr:uid="{52ECF4EA-821C-4C92-8D13-298F406FF450}"/>
    <hyperlink ref="E272" r:id="rId2092" display="https://www.genome.jp/entry/1.5.1.3" xr:uid="{32662A01-DDAA-48D0-8011-730287F1EA88}"/>
    <hyperlink ref="E273" r:id="rId2093" display="https://www.genome.jp/entry/1.5.1.3" xr:uid="{E65FBAC9-AAEF-4D5C-9F51-B857BC93BABC}"/>
    <hyperlink ref="E433" r:id="rId2094" display="https://www.genome.jp/entry/2.3.1.85" xr:uid="{14EE7038-8EFA-4D52-B00D-DA4356B56A83}"/>
    <hyperlink ref="E434" r:id="rId2095" display="https://www.genome.jp/entry/2.3.1.85" xr:uid="{5648DA04-D480-4CB6-9028-CADC353CEB2B}"/>
    <hyperlink ref="E435" r:id="rId2096" display="https://www.genome.jp/entry/2.3.1.85" xr:uid="{2C8832F8-8FFC-42CF-AA06-5D57B5B6D7EA}"/>
    <hyperlink ref="E436" r:id="rId2097" display="https://www.genome.jp/entry/2.3.1.85" xr:uid="{ADDC1F29-B832-4A7A-AB4E-BD00EA7088CA}"/>
    <hyperlink ref="E437" r:id="rId2098" display="https://www.genome.jp/entry/2.3.1.85" xr:uid="{40A7D7F3-9B96-466A-B61F-F27292F17328}"/>
    <hyperlink ref="E438" r:id="rId2099" display="https://www.genome.jp/entry/2.3.1.85" xr:uid="{0FAF903E-E9F9-4F26-8996-3FBDFD64C9A2}"/>
    <hyperlink ref="E439" r:id="rId2100" display="https://www.genome.jp/entry/2.3.1.85" xr:uid="{67E58DB9-419F-497B-8464-3DEBD0A953E0}"/>
    <hyperlink ref="E440" r:id="rId2101" display="https://www.genome.jp/entry/2.3.1.85" xr:uid="{1DD6F85B-AC7C-4ADC-BADA-294EE193DA3D}"/>
    <hyperlink ref="E441" r:id="rId2102" display="https://www.genome.jp/entry/2.3.1.85" xr:uid="{23832293-AA25-4AD4-9A47-B3F1BDA663E8}"/>
    <hyperlink ref="E442" r:id="rId2103" display="https://www.genome.jp/entry/2.3.1.85" xr:uid="{938E45AF-6066-41A2-988C-507922ECEDB5}"/>
    <hyperlink ref="E443" r:id="rId2104" display="https://www.genome.jp/entry/2.3.1.85" xr:uid="{61B1AAAA-B244-49C9-8A19-6ACD8B8FADF3}"/>
    <hyperlink ref="E444" r:id="rId2105" display="https://www.genome.jp/entry/2.3.1.85" xr:uid="{AD07F79D-B6ED-486B-911B-2B93DFB7FEE1}"/>
    <hyperlink ref="E445" r:id="rId2106" display="https://www.genome.jp/entry/2.3.1.85" xr:uid="{EDF21B61-734D-453D-8B1B-FA48706D95A2}"/>
    <hyperlink ref="E446" r:id="rId2107" display="https://www.genome.jp/entry/2.3.1.85" xr:uid="{5B7A817E-AF86-47EF-8DBF-9C716930277F}"/>
    <hyperlink ref="E447" r:id="rId2108" display="https://www.genome.jp/entry/2.3.1.85" xr:uid="{6E655679-6394-4684-B00F-AD6E9C42ABD6}"/>
    <hyperlink ref="E448" r:id="rId2109" display="https://www.genome.jp/entry/2.3.1.85" xr:uid="{A56CBBF4-4FCA-41C2-92B6-228850C1099B}"/>
    <hyperlink ref="E449" r:id="rId2110" display="https://www.genome.jp/entry/2.3.1.85" xr:uid="{FEE8B845-243F-4BC6-A597-4532CB1CA50D}"/>
    <hyperlink ref="E450" r:id="rId2111" display="https://www.genome.jp/entry/2.3.1.85" xr:uid="{E601EE81-3FEC-4E81-A24E-0B6D4D160798}"/>
    <hyperlink ref="E451" r:id="rId2112" display="https://www.genome.jp/entry/2.3.1.85" xr:uid="{44EA91C4-4B11-454A-BCD2-8C37C1A0E159}"/>
    <hyperlink ref="E452" r:id="rId2113" display="https://www.genome.jp/entry/2.3.1.85" xr:uid="{01919104-E0A9-4B62-B8CE-192BD4FB8852}"/>
    <hyperlink ref="E453" r:id="rId2114" display="https://www.genome.jp/entry/2.3.1.85" xr:uid="{9981B558-B0A6-41B0-B1A1-9EABA127F776}"/>
    <hyperlink ref="E454" r:id="rId2115" display="https://www.genome.jp/entry/2.3.1.85" xr:uid="{81BEB749-D136-485C-98E6-38A361248B49}"/>
    <hyperlink ref="E455" r:id="rId2116" display="https://www.genome.jp/entry/2.3.1.85" xr:uid="{95FD451A-B70C-4152-B1F3-BE041D8876AD}"/>
    <hyperlink ref="E456" r:id="rId2117" display="https://www.genome.jp/entry/2.3.1.85" xr:uid="{A9746C41-9F21-40C0-9053-B9FAD88BBC5F}"/>
    <hyperlink ref="E457" r:id="rId2118" display="https://www.genome.jp/entry/2.3.1.85" xr:uid="{FA0AB76E-7B3B-4BDE-86B5-ADA853786DB4}"/>
    <hyperlink ref="E458" r:id="rId2119" display="https://www.genome.jp/entry/2.3.1.85" xr:uid="{D1627A86-C576-4AF7-B4F7-4BF675604DDF}"/>
    <hyperlink ref="E459" r:id="rId2120" display="https://www.genome.jp/entry/2.3.1.85" xr:uid="{BFA61F17-9798-410B-B1BC-4D37E3DD2797}"/>
    <hyperlink ref="E460" r:id="rId2121" display="https://www.genome.jp/entry/2.3.1.85" xr:uid="{2CF0E164-948B-4E52-A7B7-EF69565DA813}"/>
    <hyperlink ref="E461" r:id="rId2122" display="https://www.genome.jp/entry/2.3.1.85" xr:uid="{284C00EE-6385-4961-95A4-7E626FBA370C}"/>
    <hyperlink ref="E462" r:id="rId2123" display="https://www.genome.jp/entry/2.3.1.85" xr:uid="{2C60B882-0838-404B-954A-7E68C273D62D}"/>
    <hyperlink ref="E463" r:id="rId2124" display="https://www.genome.jp/entry/2.3.1.85" xr:uid="{F6E61AA0-E636-45CE-B6FE-F6CD1DCBCCEA}"/>
    <hyperlink ref="E660" r:id="rId2125" display="https://www.genome.jp/entry/2.6.1.52" xr:uid="{48B9DAE9-40C0-45B4-BCFA-4CED68E04FDE}"/>
    <hyperlink ref="E1110" r:id="rId2126" display="https://www.genome.jp/entry/3.5.1.2" xr:uid="{A9840CE5-19BD-4860-8C19-8FC740B94198}"/>
    <hyperlink ref="E1111" r:id="rId2127" display="https://www.genome.jp/entry/3.5.1.2" xr:uid="{280E43E4-953E-4F64-9C07-22A00BDA722F}"/>
    <hyperlink ref="E1310" r:id="rId2128" display="https://www.genome.jp/entry/4.3.3.6" xr:uid="{E5292A6B-327A-4AAF-BAE4-FF32A4231BC8}"/>
    <hyperlink ref="E1311" r:id="rId2129" display="https://www.genome.jp/entry/4.3.3.6" xr:uid="{7205F406-A6FD-44BF-AC5D-C9BB0189B0C8}"/>
    <hyperlink ref="E1312" r:id="rId2130" display="https://www.genome.jp/entry/4.3.3.6" xr:uid="{1A596787-B4DB-443F-91E5-39FE54686AF8}"/>
    <hyperlink ref="E770" r:id="rId2131" display="https://www.genome.jp/entry/2.7.4.9" xr:uid="{8FB80EF5-1FEC-4E1A-A0EC-82675CF107B7}"/>
    <hyperlink ref="E1355" r:id="rId2132" display="https://www.genome.jp/entry/5.3.1.8" xr:uid="{72DEC286-C8F4-4172-9DFE-73881849DB54}"/>
    <hyperlink ref="E261" r:id="rId2133" display="https://www.genome.jp/entry/1.5.1.3" xr:uid="{FB8653AF-9EED-4C35-865A-25AB5FF3DADD}"/>
    <hyperlink ref="E262" r:id="rId2134" display="https://www.genome.jp/entry/1.5.1.3" xr:uid="{E6DE97DF-D441-4296-8271-8A16D05FB1F6}"/>
    <hyperlink ref="E263" r:id="rId2135" display="https://www.genome.jp/entry/1.5.1.3" xr:uid="{279FC066-3E07-4C3A-B29C-4D2BDAA9218E}"/>
    <hyperlink ref="E264" r:id="rId2136" display="https://www.genome.jp/entry/1.5.1.3" xr:uid="{0BB69F95-B985-4A47-A14D-296DAF7C5C29}"/>
    <hyperlink ref="E265" r:id="rId2137" display="https://www.genome.jp/entry/1.5.1.3" xr:uid="{668780AC-4EB3-45E5-BD2D-61B6BB23666A}"/>
    <hyperlink ref="E266" r:id="rId2138" display="https://www.genome.jp/entry/1.5.1.3" xr:uid="{D726FC59-3B9D-41FA-A506-C173E145DE8E}"/>
    <hyperlink ref="E71" r:id="rId2139" display="https://www.genome.jp/entry/1.1.1.100" xr:uid="{42870FCF-D026-4CA2-ACA5-5B056F097222}"/>
    <hyperlink ref="E72" r:id="rId2140" display="https://www.genome.jp/entry/1.1.1.100" xr:uid="{65B23353-6F41-446D-9947-B751BDBA2BDD}"/>
    <hyperlink ref="E73" r:id="rId2141" display="https://www.genome.jp/entry/1.1.1.100" xr:uid="{6D6E04FA-8DD8-4448-9E99-492021964820}"/>
    <hyperlink ref="E74" r:id="rId2142" display="https://www.genome.jp/entry/1.1.1.100" xr:uid="{A493B988-64DF-4C8A-B301-CFBB95A7192C}"/>
    <hyperlink ref="E75" r:id="rId2143" display="https://www.genome.jp/entry/1.1.1.100" xr:uid="{4931EC53-3612-45CD-A46F-F06C2D91F5CB}"/>
    <hyperlink ref="E76" r:id="rId2144" display="https://www.genome.jp/entry/1.1.1.100" xr:uid="{E8640B43-34B3-497C-A51E-7F553B782C62}"/>
    <hyperlink ref="E77" r:id="rId2145" display="https://www.genome.jp/entry/1.1.1.100" xr:uid="{270F9AE7-2A5B-4C61-ADC9-72565782ED4F}"/>
    <hyperlink ref="E78" r:id="rId2146" display="https://www.genome.jp/entry/1.1.1.100" xr:uid="{AB9D9E7E-B11E-4BC3-8093-6185D0B6211B}"/>
    <hyperlink ref="E79" r:id="rId2147" display="https://www.genome.jp/entry/1.1.1.100" xr:uid="{42D9876F-0B30-44E8-B579-F75CF4951FF9}"/>
    <hyperlink ref="E80" r:id="rId2148" display="https://www.genome.jp/entry/1.1.1.100" xr:uid="{69D7A7C9-5BD9-4AD6-9602-DBC4D4AF1864}"/>
    <hyperlink ref="E1462" r:id="rId2149" display="https://www.genome.jp/entry/6.3.4.15" xr:uid="{FF5EA5C3-B753-402D-AD33-00D719AE73DC}"/>
    <hyperlink ref="E1463" r:id="rId2150" display="https://www.genome.jp/entry/6.3.4.15" xr:uid="{F0D91377-34A2-43F8-AE2E-E80D27BAA721}"/>
    <hyperlink ref="E1179" r:id="rId2151" display="https://www.genome.jp/entry/3.6.1.9" xr:uid="{338E704C-ED80-42DB-8CAC-2FCEAB0B97F3}"/>
    <hyperlink ref="E1180" r:id="rId2152" display="https://www.genome.jp/entry/3.6.1.9" xr:uid="{BC9DC7CE-10A1-4CA8-AD04-19A1C6199565}"/>
    <hyperlink ref="E1181" r:id="rId2153" display="https://www.genome.jp/entry/3.6.1.9" xr:uid="{A394AB11-23A0-4D04-8500-1B26D90822DC}"/>
    <hyperlink ref="E1182" r:id="rId2154" display="https://www.genome.jp/entry/3.6.1.9" xr:uid="{3A9439F1-9127-49A0-A77F-876820769898}"/>
    <hyperlink ref="E1183" r:id="rId2155" display="https://www.genome.jp/entry/3.6.1.9" xr:uid="{FC255CEC-9628-4697-9E86-5B47092023E1}"/>
    <hyperlink ref="E1184" r:id="rId2156" display="https://www.genome.jp/entry/3.6.1.9" xr:uid="{E1AD980C-3040-4086-BEB2-588CA1287163}"/>
    <hyperlink ref="E1185" r:id="rId2157" display="https://www.genome.jp/entry/3.6.1.9" xr:uid="{B72AE5E8-D1B0-4A13-B589-7950ACA311BD}"/>
    <hyperlink ref="E1186" r:id="rId2158" display="https://www.genome.jp/entry/3.6.1.9" xr:uid="{425AD1AF-42C9-4244-98F5-8DA2D8176B2F}"/>
    <hyperlink ref="E1187" r:id="rId2159" display="https://www.genome.jp/entry/3.6.1.9" xr:uid="{5D428C73-E191-4B8E-B27C-5192D6780716}"/>
    <hyperlink ref="E1188" r:id="rId2160" display="https://www.genome.jp/entry/3.6.1.9" xr:uid="{3CDBE240-3D07-4667-8F52-9E4E9C2308DE}"/>
    <hyperlink ref="E516" r:id="rId2161" display="https://www.genome.jp/entry/2.3.3.5" xr:uid="{C1DC53EC-8676-49B2-ACDE-A8A508D9258A}"/>
    <hyperlink ref="E1262" r:id="rId2162" display="https://www.genome.jp/entry/4.2.1.3" xr:uid="{D5546BF5-F796-431D-B107-EB4978E15906}"/>
    <hyperlink ref="E1263" r:id="rId2163" display="https://www.genome.jp/entry/4.2.1.3" xr:uid="{7B61E4B7-D82F-432A-B88E-D05960EC2A49}"/>
    <hyperlink ref="E108" r:id="rId2164" display="https://www.genome.jp/entry/1.1.1.42" xr:uid="{641DC86B-F8D0-4895-97FE-F5D7232A2E98}"/>
    <hyperlink ref="E109" r:id="rId2165" display="https://www.genome.jp/entry/1.1.1.42" xr:uid="{F188C6F0-631B-43F1-8106-2FCED4638039}"/>
    <hyperlink ref="E514" r:id="rId2166" display="https://www.genome.jp/entry/2.3.3.5" xr:uid="{228A4108-C8C5-4946-92DB-41642D477008}"/>
    <hyperlink ref="E611" r:id="rId2167" display="https://www.genome.jp/entry/2.5.1.47" xr:uid="{DB0A6B73-B68E-47C2-83F2-7B67ACB0E78C}"/>
    <hyperlink ref="E612" r:id="rId2168" display="https://www.genome.jp/entry/2.5.1.47" xr:uid="{4CA5EBF5-A490-42DD-B23D-6758610E8B16}"/>
    <hyperlink ref="E613" r:id="rId2169" display="https://www.genome.jp/entry/2.5.1.47" xr:uid="{7F388351-B160-44F7-BB45-0070D3B7ADF0}"/>
    <hyperlink ref="E842" r:id="rId2170" display="https://www.genome.jp/entry/2.7.7.7" xr:uid="{D2EC79AF-BD54-4A51-A296-F3B6FAAFB304}"/>
    <hyperlink ref="E843" r:id="rId2171" display="https://www.genome.jp/entry/2.7.7.7" xr:uid="{36EF6D04-5670-41F0-B98C-A9859AAB932E}"/>
    <hyperlink ref="E844" r:id="rId2172" display="https://www.genome.jp/entry/2.7.7.7" xr:uid="{9C591BB1-25FC-4A52-BD25-312E5F9A9C0E}"/>
    <hyperlink ref="E845" r:id="rId2173" display="https://www.genome.jp/entry/2.7.7.7" xr:uid="{37F6039B-E8D1-4C49-B51C-4D8D07ECDBE2}"/>
    <hyperlink ref="E846" r:id="rId2174" display="https://www.genome.jp/entry/2.7.7.7" xr:uid="{64F27815-D23A-471B-8BBF-2F29CCB07C24}"/>
    <hyperlink ref="E836" r:id="rId2175" display="https://www.genome.jp/entry/2.7.7.7" xr:uid="{DA958BDA-E75F-4838-BEE2-3B2DC4517646}"/>
    <hyperlink ref="E837" r:id="rId2176" display="https://www.genome.jp/entry/2.7.7.7" xr:uid="{27440E33-7B4F-4C37-B58F-929801648093}"/>
    <hyperlink ref="E838" r:id="rId2177" display="https://www.genome.jp/entry/2.7.7.7" xr:uid="{41C823B9-5C69-40A9-92FD-291A56534807}"/>
    <hyperlink ref="E839" r:id="rId2178" display="https://www.genome.jp/entry/2.7.7.7" xr:uid="{2B70BFAD-3BDA-4D23-B4FF-7927143E037D}"/>
    <hyperlink ref="E840" r:id="rId2179" display="https://www.genome.jp/entry/2.7.7.7" xr:uid="{6B114B4D-C69D-45D7-86DA-55DA87D0E094}"/>
    <hyperlink ref="E1472" r:id="rId2180" display="https://www.genome.jp/entry/6.3.5.2" xr:uid="{85C8A3BC-FFC0-47F6-ACE8-FACF135EC2F1}"/>
    <hyperlink ref="E1473" r:id="rId2181" display="https://www.genome.jp/entry/6.3.5.2" xr:uid="{A324EB0D-556D-4316-BA9D-3B782BE72917}"/>
    <hyperlink ref="E1474" r:id="rId2182" display="https://www.genome.jp/entry/6.3.5.2" xr:uid="{6164B350-67D5-4C5F-A25E-D1E25743723F}"/>
    <hyperlink ref="E85" r:id="rId2183" display="https://www.genome.jp/entry/1.1.1.205" xr:uid="{10C63DC7-B243-4CC9-A237-F6AE502A9614}"/>
    <hyperlink ref="E804" r:id="rId2184" display="https://www.genome.jp/entry/2.7.7.6" xr:uid="{E18F82AD-7013-432C-90DD-F18AB50F23E4}"/>
    <hyperlink ref="E805" r:id="rId2185" display="https://www.genome.jp/entry/2.7.7.6" xr:uid="{450A954A-276C-4698-80BC-1DAD863A45B1}"/>
    <hyperlink ref="E806" r:id="rId2186" display="https://www.genome.jp/entry/2.7.7.6" xr:uid="{41ADEA7A-1F38-45EB-919B-B19B845E4A89}"/>
    <hyperlink ref="E807" r:id="rId2187" display="https://www.genome.jp/entry/2.7.7.6" xr:uid="{019CFF2D-CF63-4ED4-B067-03D801195034}"/>
    <hyperlink ref="E808" r:id="rId2188" display="https://www.genome.jp/entry/2.7.7.6" xr:uid="{1E104ACC-211D-4FDB-BD12-C044AFA18F4F}"/>
    <hyperlink ref="E746" r:id="rId2189" display="https://www.genome.jp/entry/2.7.4.3" xr:uid="{0145101E-4CB3-42BC-8BEC-6413E720C2AD}"/>
    <hyperlink ref="E747" r:id="rId2190" display="https://www.genome.jp/entry/2.7.4.3" xr:uid="{4ADCDBC5-437A-4A4F-B1E7-1E60A0DA3FDE}"/>
    <hyperlink ref="E798" r:id="rId2191" display="https://www.genome.jp/entry/2.7.7.6" xr:uid="{7D647E8A-FB5C-4994-9CC5-340384D6A07D}"/>
    <hyperlink ref="E799" r:id="rId2192" display="https://www.genome.jp/entry/2.7.7.6" xr:uid="{647CD7C7-B9FE-4B0F-BF45-701F6739F4E5}"/>
    <hyperlink ref="E800" r:id="rId2193" display="https://www.genome.jp/entry/2.7.7.6" xr:uid="{E6F38298-97C3-4D7D-B92A-FDC95331F1DF}"/>
    <hyperlink ref="E801" r:id="rId2194" display="https://www.genome.jp/entry/2.7.7.6" xr:uid="{A45F1C57-A212-4B3C-882D-C391B10D1E4A}"/>
    <hyperlink ref="E802" r:id="rId2195" display="https://www.genome.jp/entry/2.7.7.6" xr:uid="{CD0979DF-1F7E-49BF-A180-2C01D7832D28}"/>
    <hyperlink ref="E792" r:id="rId2196" display="https://www.genome.jp/entry/2.7.7.6" xr:uid="{C99DDF93-061E-4C7F-83C9-EDC773588C04}"/>
    <hyperlink ref="E793" r:id="rId2197" display="https://www.genome.jp/entry/2.7.7.6" xr:uid="{48C90F29-3D4C-4296-9380-556CAC64C569}"/>
    <hyperlink ref="E794" r:id="rId2198" display="https://www.genome.jp/entry/2.7.7.6" xr:uid="{00EC9CB0-D01C-4D82-B8DC-C352AD528DDD}"/>
    <hyperlink ref="E795" r:id="rId2199" display="https://www.genome.jp/entry/2.7.7.6" xr:uid="{3A7E24A5-DE80-42D6-89CE-AAD9458BC518}"/>
    <hyperlink ref="E796" r:id="rId2200" display="https://www.genome.jp/entry/2.7.7.6" xr:uid="{9655D3DB-CE2B-47CE-9C88-AD26D7AB7727}"/>
    <hyperlink ref="E654" r:id="rId2201" display="https://www.genome.jp/entry/2.6.1.19" xr:uid="{F161F229-13A1-416F-BD3F-C363774BE702}"/>
    <hyperlink ref="E1241" r:id="rId2202" display="https://www.genome.jp/entry/4.1.3.36" xr:uid="{97036181-E303-4E45-84D9-4741DCCF6C75}"/>
    <hyperlink ref="E1225" r:id="rId2203" display="https://www.genome.jp/entry/4.1.1.37" xr:uid="{441C1189-9904-4C59-BAC2-2E3E0E635495}"/>
    <hyperlink ref="E328" r:id="rId2204" display="https://www.genome.jp/entry/2.1.1.107" xr:uid="{8B1C8CE4-3B7B-49E4-9312-099074196F20}"/>
    <hyperlink ref="E329" r:id="rId2205" display="https://www.genome.jp/entry/2.1.1.107" xr:uid="{BBC3E534-8ABF-4ED8-AE85-B216AB1E3D98}"/>
    <hyperlink ref="E330" r:id="rId2206" display="https://www.genome.jp/entry/2.1.1.107" xr:uid="{35BA2B6E-26A4-499C-A59C-56D501C9782D}"/>
    <hyperlink ref="E255" r:id="rId2207" display="https://www.genome.jp/entry/1.5.1.2" xr:uid="{CEB6112B-561B-4B1C-ADFD-C13B10CA0C8B}"/>
    <hyperlink ref="E256" r:id="rId2208" display="https://www.genome.jp/entry/1.5.1.2" xr:uid="{8DD157DF-ECB6-4B74-A822-0BE99D823CAB}"/>
    <hyperlink ref="E257" r:id="rId2209" display="https://www.genome.jp/entry/1.5.1.2" xr:uid="{3B9978A8-5E7E-41D3-A95E-E9C231BEF559}"/>
    <hyperlink ref="E1367" r:id="rId2210" display="https://www.genome.jp/entry/5.4.2.11" xr:uid="{3D0D910D-5A17-4B96-881B-140B65BE5C5C}"/>
    <hyperlink ref="E235" r:id="rId2211" display="https://www.genome.jp/entry/1.3.1.98" xr:uid="{201B96AC-DF17-48E4-BE77-7044DBEAC8B1}"/>
    <hyperlink ref="E289" r:id="rId2212" display="https://www.genome.jp/entry/1.8.1.4" xr:uid="{56B50A78-7891-4FC9-B8A0-0947BE05C9CD}"/>
    <hyperlink ref="E290" r:id="rId2213" display="https://www.genome.jp/entry/1.8.1.4" xr:uid="{D927C248-721D-455A-A1E0-0E340498E146}"/>
    <hyperlink ref="E291" r:id="rId2214" display="https://www.genome.jp/entry/1.8.1.4" xr:uid="{0D805F23-CAD4-4F14-B815-2C9C95C97D61}"/>
    <hyperlink ref="E233" r:id="rId2215" display="https://www.genome.jp/entry/1.3.1.98" xr:uid="{6DFDD067-200E-4AD9-BDC6-D6B04D983F6F}"/>
    <hyperlink ref="E1022" r:id="rId2216" display="https://www.genome.jp/entry/3.1.3.5" xr:uid="{BEC55782-3BB2-417A-9E74-6554A5B52201}"/>
    <hyperlink ref="E1023" r:id="rId2217" display="https://www.genome.jp/entry/3.1.3.5" xr:uid="{68544651-7450-44D2-AFF3-3AE97B686DA2}"/>
    <hyperlink ref="E1024" r:id="rId2218" display="https://www.genome.jp/entry/3.1.3.5" xr:uid="{8F2605F9-91BC-44B2-B356-B8BD3FF11E3B}"/>
    <hyperlink ref="E1025" r:id="rId2219" display="https://www.genome.jp/entry/3.1.3.5" xr:uid="{86C0B985-30EB-4F50-86B7-02A65B0B9D11}"/>
    <hyperlink ref="E1026" r:id="rId2220" display="https://www.genome.jp/entry/3.1.3.5" xr:uid="{E8973B58-AFD0-434D-84C9-FB270A34BCDF}"/>
    <hyperlink ref="E1027" r:id="rId2221" display="https://www.genome.jp/entry/3.1.3.5" xr:uid="{36969293-E183-4C88-88D2-080C1A7881E8}"/>
    <hyperlink ref="E1028" r:id="rId2222" display="https://www.genome.jp/entry/3.1.3.5" xr:uid="{2F5D309E-5BB1-4A7E-AFDD-47BC259F37E4}"/>
    <hyperlink ref="E1029" r:id="rId2223" display="https://www.genome.jp/entry/3.1.3.5" xr:uid="{BB88CCA2-8DF0-43EE-9858-1871A1643D46}"/>
    <hyperlink ref="E1030" r:id="rId2224" display="https://www.genome.jp/entry/3.1.3.5" xr:uid="{1C8B290A-89A9-4945-9347-6F01D593FDAA}"/>
    <hyperlink ref="E1031" r:id="rId2225" display="https://www.genome.jp/entry/3.1.3.5" xr:uid="{465D2E18-7811-4601-90CE-B1B63F119C0A}"/>
    <hyperlink ref="E1032" r:id="rId2226" display="https://www.genome.jp/entry/3.1.3.5" xr:uid="{5D9D1929-E399-42FA-83C5-D8312C3CB852}"/>
    <hyperlink ref="E1033" r:id="rId2227" display="https://www.genome.jp/entry/3.1.3.5" xr:uid="{2C45086C-AB8E-4D14-BB51-B238972EA411}"/>
    <hyperlink ref="E1034" r:id="rId2228" display="https://www.genome.jp/entry/3.1.3.5" xr:uid="{EEEEF19D-3827-4BCE-B489-352C39D1251F}"/>
    <hyperlink ref="E1035" r:id="rId2229" display="https://www.genome.jp/entry/3.1.3.5" xr:uid="{0E39E89B-6B34-4C1F-83BF-535A8455B747}"/>
    <hyperlink ref="E100" r:id="rId2230" display="https://www.genome.jp/entry/1.1.1.306" xr:uid="{15FD25D5-E192-4700-9DEF-2F736EDDE66D}"/>
    <hyperlink ref="E830" r:id="rId2231" display="https://www.genome.jp/entry/2.7.7.7" xr:uid="{5E02FD78-0275-4973-8F0C-E1E9F0C6D27E}"/>
    <hyperlink ref="E831" r:id="rId2232" display="https://www.genome.jp/entry/2.7.7.7" xr:uid="{482201AB-68B8-4111-8ADD-F5B9C8AE2449}"/>
    <hyperlink ref="E832" r:id="rId2233" display="https://www.genome.jp/entry/2.7.7.7" xr:uid="{6D3F6CC5-FAFF-4C02-9B49-5079D212CA34}"/>
    <hyperlink ref="E833" r:id="rId2234" display="https://www.genome.jp/entry/2.7.7.7" xr:uid="{D062C22F-54CB-485C-B35E-C6F2EF26AC8C}"/>
    <hyperlink ref="E834" r:id="rId2235" display="https://www.genome.jp/entry/2.7.7.7" xr:uid="{97AB0F3C-E8F3-49E5-B7A1-BA9408F5C715}"/>
    <hyperlink ref="E1057" r:id="rId2236" display="https://www.genome.jp/entry/3.3.2.2" xr:uid="{1B72B0C2-6367-403F-AC41-317662D79660}"/>
    <hyperlink ref="E136" r:id="rId2237" display="https://www.genome.jp/entry/1.11.1.6" xr:uid="{81C85342-37D6-4E50-A7E1-BB95AE51CA92}"/>
    <hyperlink ref="E137" r:id="rId2238" display="https://www.genome.jp/entry/1.11.1.6" xr:uid="{E6027023-8BF0-4F6B-9890-CCD94A79EDD9}"/>
    <hyperlink ref="E824" r:id="rId2239" display="https://www.genome.jp/entry/2.7.7.7" xr:uid="{15E15F91-E88C-433C-8908-FCA45E4F2562}"/>
    <hyperlink ref="E825" r:id="rId2240" display="https://www.genome.jp/entry/2.7.7.7" xr:uid="{6F395E64-8204-42C2-B079-21BD61858FB3}"/>
    <hyperlink ref="E826" r:id="rId2241" display="https://www.genome.jp/entry/2.7.7.7" xr:uid="{79F3579D-F5EE-4BC2-BE73-7565B601EAD8}"/>
    <hyperlink ref="E827" r:id="rId2242" display="https://www.genome.jp/entry/2.7.7.7" xr:uid="{C0474C42-B125-4DB7-BAFC-F80C7028936E}"/>
    <hyperlink ref="E828" r:id="rId2243" display="https://www.genome.jp/entry/2.7.7.7" xr:uid="{1389357B-BDAF-4684-A7A5-A5CA669D5F7B}"/>
    <hyperlink ref="E666" r:id="rId2244" display="https://www.genome.jp/entry/2.6.1.9" xr:uid="{F9089AAB-513F-4DF4-9E28-1708A75487A9}"/>
    <hyperlink ref="E667" r:id="rId2245" display="https://www.genome.jp/entry/2.6.1.9" xr:uid="{BCDF2545-EA63-42F4-9489-4E5486C6094B}"/>
    <hyperlink ref="E555" r:id="rId2246" display="https://www.genome.jp/entry/2.4.1.287" xr:uid="{75E7D755-A664-459F-B903-40851FE481BF}"/>
    <hyperlink ref="E242" r:id="rId2247" display="https://www.genome.jp/entry/1.4.1.13" xr:uid="{48968944-D4F7-4A68-94CF-A728627E9AEA}"/>
    <hyperlink ref="E243" r:id="rId2248" display="https://www.genome.jp/entry/1.4.1.13" xr:uid="{2E17E121-3E4F-4408-BC5D-5C30BE6574FD}"/>
    <hyperlink ref="E362" r:id="rId2249" display="https://www.genome.jp/entry/2.1.2.11" xr:uid="{A5E3CAEA-4620-408F-B7FA-9F79434D91E1}"/>
    <hyperlink ref="E1130" r:id="rId2250" display="https://www.genome.jp/entry/3.5.1.5" xr:uid="{3BCD4F64-D06C-46E2-9F29-995DD4C9590A}"/>
    <hyperlink ref="E1131" r:id="rId2251" display="https://www.genome.jp/entry/3.5.1.5" xr:uid="{45BDA075-2FB0-4261-9675-F54E9AEC8472}"/>
    <hyperlink ref="E1132" r:id="rId2252" display="https://www.genome.jp/entry/3.5.1.5" xr:uid="{42C41746-7061-45E0-803E-7DD0F5BC342B}"/>
    <hyperlink ref="E1133" r:id="rId2253" display="https://www.genome.jp/entry/3.5.1.5" xr:uid="{66B7A6E5-A4B8-4FD8-A910-AAB2C9074F7A}"/>
    <hyperlink ref="E1125" r:id="rId2254" display="https://www.genome.jp/entry/3.5.1.5" xr:uid="{A7C91904-D0FC-4EE3-8F5A-BD4ACA37DFA8}"/>
    <hyperlink ref="E1126" r:id="rId2255" display="https://www.genome.jp/entry/3.5.1.5" xr:uid="{B272524F-5AA8-4003-B9C0-7D72C5D2E3D1}"/>
    <hyperlink ref="E1127" r:id="rId2256" display="https://www.genome.jp/entry/3.5.1.5" xr:uid="{A401A630-093B-4915-8CA7-1EA99E0FD810}"/>
    <hyperlink ref="E1128" r:id="rId2257" display="https://www.genome.jp/entry/3.5.1.5" xr:uid="{3A3814D2-3437-4B3E-AC43-83BC7FF34360}"/>
    <hyperlink ref="E1120" r:id="rId2258" display="https://www.genome.jp/entry/3.5.1.5" xr:uid="{12EF1B35-445F-44B2-9924-72577ADC853F}"/>
    <hyperlink ref="E1121" r:id="rId2259" display="https://www.genome.jp/entry/3.5.1.5" xr:uid="{3B47AA4A-31F6-4C43-8A11-F37BADFC3DD8}"/>
    <hyperlink ref="E1122" r:id="rId2260" display="https://www.genome.jp/entry/3.5.1.5" xr:uid="{D7771D52-8058-4C39-8100-111388C54080}"/>
    <hyperlink ref="E1123" r:id="rId2261" display="https://www.genome.jp/entry/3.5.1.5" xr:uid="{EC6B8017-650E-4AC3-86B8-945F04EDC8B4}"/>
    <hyperlink ref="E427" r:id="rId2262" display="https://www.genome.jp/entry/2.3.1.286" xr:uid="{6997BE2E-3626-47C2-85FC-A97916E83859}"/>
    <hyperlink ref="E584" r:id="rId2263" display="https://www.genome.jp/entry/2.4.99.28" xr:uid="{BDB6D44E-59C0-4704-BE75-0480AC69EC13}"/>
    <hyperlink ref="E585" r:id="rId2264" display="https://www.genome.jp/entry/2.4.99.28" xr:uid="{E26C755D-5F04-4AF8-978F-B9A304355CE7}"/>
    <hyperlink ref="E586" r:id="rId2265" display="https://www.genome.jp/entry/2.4.99.28" xr:uid="{52583030-2654-4BA1-9725-7BBC99C6AFCE}"/>
    <hyperlink ref="E5:E9" r:id="rId2266" display="https://www.genome.jp/entry/2.7.7.7" xr:uid="{57BAF569-8AB7-4050-AC08-80D99CDE8874}"/>
    <hyperlink ref="E642" r:id="rId2267" display="https://www.genome.jp/entry/2.6.1.1" xr:uid="{B64747F4-5E72-4C2C-9A14-8788DCB04B8E}"/>
    <hyperlink ref="E643:E649" r:id="rId2268" display="https://www.genome.jp/entry/2.6.1.1" xr:uid="{747AB7B0-A3A2-49DA-B753-E9F31DE96D67}"/>
    <hyperlink ref="F642" r:id="rId2269" display="https://www.genome.jp/entry/R00355" xr:uid="{F09F4E1B-DFC2-4CF7-A4B6-1C64CCF6D885}"/>
    <hyperlink ref="F643" r:id="rId2270" display="https://www.genome.jp/entry/R00694" xr:uid="{B6212830-9EF3-4BDC-BFF1-ED609F54CE09}"/>
    <hyperlink ref="F644" r:id="rId2271" display="https://www.genome.jp/entry/R00734" xr:uid="{2E3CBFFE-A0BE-4E25-81D6-CDCDA43E62F0}"/>
    <hyperlink ref="F645" r:id="rId2272" display="https://www.genome.jp/entry/R00895" xr:uid="{1A0A33E2-277C-4BA3-8B13-901C3AEC9856}"/>
    <hyperlink ref="F646" r:id="rId2273" display="https://www.genome.jp/entry/R00896" xr:uid="{08E3205F-01D4-411A-9C14-7011BAA25392}"/>
    <hyperlink ref="F647" r:id="rId2274" display="https://www.genome.jp/entry/R02433" xr:uid="{29A9F908-2B44-4604-8B7D-AD1BCDB93877}"/>
    <hyperlink ref="F648" r:id="rId2275" display="https://www.genome.jp/entry/R02619" xr:uid="{A39FBDF4-4CE4-4C0F-B940-B16E2FDEDB8B}"/>
    <hyperlink ref="F649" r:id="rId2276" display="https://www.genome.jp/entry/R05052" xr:uid="{FC5812A1-01C6-439D-8C28-243786CEDEB7}"/>
    <hyperlink ref="E3724" r:id="rId2277" display="https://www.genome.jp/entry/1.1.1.140" xr:uid="{8A654D02-70AE-4CE8-A67A-FFFC86C8177D}"/>
    <hyperlink ref="F3724" r:id="rId2278" display="https://www.genome.jp/entry/R07133" xr:uid="{6F691DA8-495A-43C0-9306-3227209DD339}"/>
    <hyperlink ref="E3725" r:id="rId2279" display="https://www.genome.jp/entry/1.1.1.140" xr:uid="{ECC798E2-0828-4E43-951D-C71E99785B0F}"/>
    <hyperlink ref="F3725" r:id="rId2280" display="https://www.genome.jp/entry/R05607" xr:uid="{6B748E93-45DD-42C6-BAA2-6D17FF98D92F}"/>
    <hyperlink ref="E3726" r:id="rId2281" display="https://www.genome.jp/entry/1.1.1.17" xr:uid="{3BCF5FCE-12FA-426F-BB41-79EFD0327F81}"/>
    <hyperlink ref="F3726" r:id="rId2282" display="https://www.genome.jp/entry/R00758" xr:uid="{0DD65AE5-44BE-45A2-B438-C69F7D887CE1}"/>
    <hyperlink ref="F3727" r:id="rId2283" display="https://www.genome.jp/entry/R02703" xr:uid="{9748342A-76A7-4CA0-8874-6911BF763E4A}"/>
    <hyperlink ref="E3727" r:id="rId2284" display="https://www.genome.jp/entry/1.1.1.17" xr:uid="{E3F511C9-F54D-441E-95AC-5E1F34084009}"/>
    <hyperlink ref="E3728" r:id="rId2285" display="https://www.genome.jp/entry/1.1.1.30" xr:uid="{8B85A55D-9CB0-4F1B-A9CE-26FC663A3387}"/>
    <hyperlink ref="F3728" r:id="rId2286" display="https://www.genome.jp/entry/R01361" xr:uid="{E79C5271-59AA-4C58-9874-D00949DA238C}"/>
    <hyperlink ref="E3729" r:id="rId2287" display="https://www.genome.jp/entry/1.1.1.31" xr:uid="{7FC15664-B8C5-4F19-906D-3C9B2C2E515F}"/>
    <hyperlink ref="E3730" r:id="rId2288" display="https://www.genome.jp/entry/1.1.1.31" xr:uid="{93F67D6E-017E-4BD8-A760-EED8E74955FE}"/>
    <hyperlink ref="F3729" r:id="rId2289" display="https://www.genome.jp/entry/R02047" xr:uid="{BD64769D-F4CC-406F-A11F-A73E99955277}"/>
    <hyperlink ref="F3730" r:id="rId2290" display="https://www.genome.jp/entry/R05066" xr:uid="{896D40C5-BAB2-4D56-A4F2-F79B0BA083B0}"/>
    <hyperlink ref="E3731" r:id="rId2291" display="https://www.genome.jp/entry/1.1.1.336" xr:uid="{2901F19C-E68F-4BF8-9DFD-A23669089729}"/>
    <hyperlink ref="F3731" r:id="rId2292" display="https://www.genome.jp/entry/R03317" xr:uid="{E67BBD64-9BAE-434D-A127-799006390FF5}"/>
    <hyperlink ref="E3732" r:id="rId2293" display="https://www.genome.jp/entry/1.1.1.35" xr:uid="{9994E88B-BE0E-45DE-B350-26E4DBFC1040}"/>
    <hyperlink ref="E3733" r:id="rId2294" display="https://www.genome.jp/entry/1.1.1.35" xr:uid="{0CA2052D-7925-489F-896D-EB15FDAA3209}"/>
    <hyperlink ref="E3734" r:id="rId2295" display="https://www.genome.jp/entry/1.1.1.35" xr:uid="{7E39980C-AE9B-4A4C-873B-B2645533957A}"/>
    <hyperlink ref="E3735" r:id="rId2296" display="https://www.genome.jp/entry/1.1.1.35" xr:uid="{F7D348DD-4ED6-486D-B746-BBE1B57C1A31}"/>
    <hyperlink ref="E3736" r:id="rId2297" display="https://www.genome.jp/entry/1.1.1.35" xr:uid="{A8377C25-DCE6-4FC0-BA8A-7CFCAB157F70}"/>
    <hyperlink ref="E3737" r:id="rId2298" display="https://www.genome.jp/entry/1.1.1.35" xr:uid="{B913957C-DAE5-44B9-86FE-94F6808AB77A}"/>
    <hyperlink ref="E3738" r:id="rId2299" display="https://www.genome.jp/entry/1.1.1.35" xr:uid="{EA5E4FB3-5969-48D3-8EAE-2802D29B6FB0}"/>
    <hyperlink ref="E3739" r:id="rId2300" display="https://www.genome.jp/entry/1.1.1.35" xr:uid="{E609B3E1-9AFA-49C0-9EB0-65CB1129CE14}"/>
    <hyperlink ref="E3740" r:id="rId2301" display="https://www.genome.jp/entry/1.1.1.35" xr:uid="{C4DD0797-1E67-4454-A26F-B5A249D4B139}"/>
    <hyperlink ref="E3741" r:id="rId2302" display="https://www.genome.jp/entry/1.1.1.35" xr:uid="{6AD36E6E-715C-4191-B90C-F5AD31A7A8DF}"/>
    <hyperlink ref="E3742" r:id="rId2303" display="https://www.genome.jp/entry/1.1.1.35" xr:uid="{D243C54B-25A8-4B37-A876-68328853982A}"/>
    <hyperlink ref="E3743" r:id="rId2304" display="https://www.genome.jp/entry/1.1.1.35" xr:uid="{CF86CF2D-585D-46BE-990B-5C0ADEF22876}"/>
    <hyperlink ref="E3744" r:id="rId2305" display="https://www.genome.jp/entry/1.1.1.35" xr:uid="{6B0A112C-6C4B-406C-B966-629196DBA2CD}"/>
    <hyperlink ref="E3745" r:id="rId2306" display="https://www.genome.jp/entry/1.1.1.35" xr:uid="{ECC0866D-4968-46F4-86DE-64CCEE152FDD}"/>
    <hyperlink ref="E3746" r:id="rId2307" display="https://www.genome.jp/entry/1.1.1.35" xr:uid="{76BEB54B-8388-4DFF-B56C-817D0977565A}"/>
    <hyperlink ref="F3732" r:id="rId2308" display="https://www.genome.jp/entry/R01778" xr:uid="{74DEA1F4-5646-4C70-A95B-1E0C6F8BB3D8}"/>
    <hyperlink ref="F3733" r:id="rId2309" display="https://www.genome.jp/entry/R01975" xr:uid="{9230A93D-02BE-4CD7-828C-BDFFE1E6AE52}"/>
    <hyperlink ref="F3734" r:id="rId2310" display="https://www.genome.jp/entry/R04203" xr:uid="{866FDDF6-C4D5-43E2-AFA9-59331DD4A469}"/>
    <hyperlink ref="F3735" r:id="rId2311" display="https://www.genome.jp/entry/R04737" xr:uid="{C43EDFE1-DE23-4C86-BDAB-1B8CF628E026}"/>
    <hyperlink ref="F3736" r:id="rId2312" display="https://www.genome.jp/entry/R04739" xr:uid="{F0E77F95-B663-4C79-B8F9-6BDA73F881E7}"/>
    <hyperlink ref="F3737" r:id="rId2313" display="https://www.genome.jp/entry/R04741" xr:uid="{19A88F8F-4801-424B-97B8-538C9F70B46F}"/>
    <hyperlink ref="F3738" r:id="rId2314" display="https://www.genome.jp/entry/R04743" xr:uid="{C12BAAFD-97CB-4FD4-A4EF-C6F3E6BA341E}"/>
    <hyperlink ref="F3739" r:id="rId2315" display="https://www.genome.jp/entry/R04745" xr:uid="{E7F83744-417B-4872-B409-80C4896FAB3F}"/>
    <hyperlink ref="F3740" r:id="rId2316" display="https://www.genome.jp/entry/R04748" xr:uid="{BF85FD9B-33C1-42E0-A497-CFB5C64884CD}"/>
    <hyperlink ref="F3741" r:id="rId2317" display="https://www.genome.jp/entry/R06941" xr:uid="{BFC55DB6-1011-4A48-8A2B-51A211F5473B}"/>
    <hyperlink ref="F3742" r:id="rId2318" display="https://www.genome.jp/entry/R07890" xr:uid="{86FFF883-1B8B-42ED-BE93-C742FE189313}"/>
    <hyperlink ref="F3743" r:id="rId2319" display="https://www.genome.jp/entry/R07894" xr:uid="{CF471563-5B1C-4E24-81D9-F8304B6EDA5A}"/>
    <hyperlink ref="F3744" r:id="rId2320" display="https://www.genome.jp/entry/R07898" xr:uid="{CF6BDDB2-A326-4600-9704-8C1F90DE946D}"/>
    <hyperlink ref="F3745" r:id="rId2321" display="https://www.genome.jp/entry/R05305" xr:uid="{1D10626A-99C7-4CE1-919D-1753AFE9F215}"/>
    <hyperlink ref="F3746" r:id="rId2322" display="https://www.genome.jp/entry/R08094" xr:uid="{C343B470-52C7-43D1-91B2-33A5D892BEBF}"/>
    <hyperlink ref="E3747" r:id="rId2323" display="https://www.genome.jp/entry/1.1.1.47" xr:uid="{D332C8E3-2CD0-46FE-9058-F444C7C6E4CD}"/>
    <hyperlink ref="E3748" r:id="rId2324" display="https://www.genome.jp/entry/1.1.1.47" xr:uid="{D83D79D8-F15F-4141-A153-325E5A294E9D}"/>
    <hyperlink ref="F3747" r:id="rId2325" display="https://www.genome.jp/entry/R01520" xr:uid="{4087604C-8FEC-4A95-A022-A31C489A07B6}"/>
    <hyperlink ref="F3748" r:id="rId2326" display="https://www.genome.jp/entry/R01521" xr:uid="{D2C24F2A-7225-487E-812E-EFCA9D34D1AA}"/>
    <hyperlink ref="E3749" r:id="rId2327" display="https://www.genome.jp/entry/1.1.1.93" xr:uid="{0D4DDBF1-BA88-4608-B307-62884F32BEFB}"/>
    <hyperlink ref="E3750" r:id="rId2328" display="https://www.genome.jp/entry/1.1.1.93" xr:uid="{FAAE3492-E7F7-4933-9E74-1874FB937D1A}"/>
    <hyperlink ref="F3749" r:id="rId2329" display="https://www.genome.jp/entry/R02545" xr:uid="{6253E2FE-C689-49D2-AD83-1365CC058F0E}"/>
    <hyperlink ref="F3750" r:id="rId2330" display="https://www.genome.jp/entry/R06180" xr:uid="{91DA69AD-EBA1-4DA4-9DEB-364475D89DF5}"/>
    <hyperlink ref="E3751" r:id="rId2331" display="https://www.genome.jp/entry/1.13.11.15" xr:uid="{397F0B61-453E-42D8-8B14-979E1C064BFD}"/>
    <hyperlink ref="F3751" r:id="rId2332" display="https://www.genome.jp/entry/R03303" xr:uid="{04CB8547-E4A7-439F-95E1-47825ABC32E9}"/>
    <hyperlink ref="E3752" r:id="rId2333" display="https://www.genome.jp/entry/1.13.11.16" xr:uid="{A0CE63B5-6C88-4467-8572-CFFF85B52DF6}"/>
    <hyperlink ref="E3753" r:id="rId2334" display="https://www.genome.jp/entry/1.13.11.16" xr:uid="{00F8157F-C35A-47B4-AAAF-18A8413BC899}"/>
    <hyperlink ref="F3752" r:id="rId2335" display="https://www.genome.jp/entry/R04376" xr:uid="{67640E5A-9348-486D-8C57-212A39260850}"/>
    <hyperlink ref="F3753" r:id="rId2336" display="https://www.genome.jp/entry/R06788" xr:uid="{4053294F-344E-4CDB-9E4C-FAAFA413E481}"/>
    <hyperlink ref="E3754" r:id="rId2337" display="https://www.genome.jp/entry/1.13.11.93" xr:uid="{70874222-6CD4-47B8-AF06-31DE872F3986}"/>
    <hyperlink ref="F3754" r:id="rId2338" display="https://www.genome.jp/entry/R13011" xr:uid="{CE7107A1-FA9E-404A-B7A9-FE7AFF3C5221}"/>
    <hyperlink ref="E3755" r:id="rId2339" display="https://www.genome.jp/entry/1.14.11.33" xr:uid="{36680ACC-7DE7-4280-B426-7DFBED81ECBF}"/>
    <hyperlink ref="E3756" r:id="rId2340" display="https://www.genome.jp/entry/1.14.13.149" xr:uid="{979351A8-CDDD-4391-88B7-3D0FF378D37D}"/>
    <hyperlink ref="F3756" r:id="rId2341" display="https://www.genome.jp/entry/R09838" xr:uid="{4E2528D9-4C0A-4C42-A6CF-7862B8B73D2F}"/>
    <hyperlink ref="E3757" r:id="rId2342" display="https://www.genome.jp/entry/1.16.1.1" xr:uid="{E49167ED-C434-45EA-AB12-3698E088DF9C}"/>
    <hyperlink ref="F3757" r:id="rId2343" display="https://www.genome.jp/entry/R02807" xr:uid="{E171F49D-9E80-4F26-B8FB-25B0622211F1}"/>
    <hyperlink ref="E3758" r:id="rId2344" display="https://www.genome.jp/entry/1.2.1.10" xr:uid="{4C71D1CD-C784-4303-8A8E-97D33C9D3C92}"/>
    <hyperlink ref="E3759" r:id="rId2345" display="https://www.genome.jp/entry/1.2.1.10" xr:uid="{9FAFCC2C-876A-4C2C-B10C-8D4DF2CF192B}"/>
    <hyperlink ref="F3758" r:id="rId2346" display="https://www.genome.jp/entry/R00228" xr:uid="{CBE1F9E6-D6CF-4A7F-804C-EBF2C8F5F95A}"/>
    <hyperlink ref="F3759" r:id="rId2347" display="https://www.genome.jp/entry/R01172" xr:uid="{E8D555C2-2F18-473E-BB05-F9C290B04AA0}"/>
    <hyperlink ref="E3760" r:id="rId2348" display="https://www.genome.jp/entry/1.3.1.1" xr:uid="{B4A42766-CC5E-4624-ACC7-FF084A9DA47D}"/>
    <hyperlink ref="E3761" r:id="rId2349" display="https://www.genome.jp/entry/1.3.1.1" xr:uid="{F2B860C6-F7D0-4D68-ACAA-BB48918FD16D}"/>
    <hyperlink ref="E3762" r:id="rId2350" display="https://www.genome.jp/entry/1.3.1.1" xr:uid="{A379E01A-6946-488A-9D6E-93627DF6B672}"/>
    <hyperlink ref="F3760" r:id="rId2351" display="https://www.genome.jp/entry/R01414" xr:uid="{8CECF422-A328-4F61-B1FF-425BFA5F5F63}"/>
    <hyperlink ref="F3761" r:id="rId2352" display="https://www.genome.jp/entry/R11026" xr:uid="{0E8B1CEC-0501-4F4A-AC11-B52628E39AC0}"/>
    <hyperlink ref="F3762" r:id="rId2353" display="https://www.genome.jp/entry/R00977" xr:uid="{AF7AFD3D-D8DD-4DFE-988B-73C46A601B01}"/>
    <hyperlink ref="E3763" r:id="rId2354" display="https://www.genome.jp/entry/1.5.3.2" xr:uid="{CAC59167-A615-47A9-AA92-1E6246103235}"/>
    <hyperlink ref="F3763" r:id="rId2355" display="https://www.genome.jp/entry/R01264" xr:uid="{A7C0E74F-EC19-4BB5-A3C3-191C835AC7D0}"/>
    <hyperlink ref="E3764" r:id="rId2356" display="https://www.genome.jp/entry/2.1.1.72" xr:uid="{520B14DE-4C9F-4B05-A34B-0E5F94BCC015}"/>
    <hyperlink ref="F3764" r:id="rId2357" display="https://www.genome.jp/entry/R02961" xr:uid="{8432C738-562C-4F98-A9A0-7FD3C9EE3085}"/>
    <hyperlink ref="E3765" r:id="rId2358" display="https://www.genome.jp/entry/2.3.1.39" xr:uid="{C5A6FF44-72D3-4EAF-89C6-3E0A0A85A9CA}"/>
    <hyperlink ref="F3765" r:id="rId2359" display="https://www.genome.jp/entry/R01626" xr:uid="{3314E67A-9C92-4A2A-89DC-0B865E3B2C0B}"/>
    <hyperlink ref="E3766" r:id="rId2360" display="https://www.genome.jp/entry/2.4.2.52" xr:uid="{1343EFC0-D9C3-4808-9BAA-0AEA28CE2784}"/>
    <hyperlink ref="F3766" r:id="rId2361" display="https://www.genome.jp/entry/R09675" xr:uid="{1B16328C-0A39-4B7A-AF7D-D9F027CC7F66}"/>
    <hyperlink ref="E3767" r:id="rId2362" display="https://www.genome.jp/entry/2.7.1.197" xr:uid="{16CF6B0C-CC3E-4547-BC78-9C54B61D54E7}"/>
    <hyperlink ref="F3767" r:id="rId2363" display="https://www.genome.jp/entry/R02704" xr:uid="{BF7F98A5-9961-46CD-B837-2D152022CB99}"/>
    <hyperlink ref="E3768" r:id="rId2364" display="https://www.genome.jp/entry/2.7.1.6" xr:uid="{215AAC15-EA7B-4444-8464-C37728DE24C0}"/>
    <hyperlink ref="F3768" r:id="rId2365" display="https://www.genome.jp/entry/R01092" xr:uid="{9A1A007A-9742-455A-869F-AAA7DFF2DA44}"/>
    <hyperlink ref="E3769" r:id="rId2366" display="https://www.genome.jp/entry/2.7.7.49" xr:uid="{0DD6CE55-4551-472E-8553-831069957CD5}"/>
    <hyperlink ref="F3769" r:id="rId2367" display="https://www.genome.jp/entry/R00379" xr:uid="{8880BAFB-A902-4EDF-8F6B-73DAEF6FBB8D}"/>
    <hyperlink ref="E3770" r:id="rId2368" display="https://www.genome.jp/entry/3.1.12.1" xr:uid="{4D3FD979-BE11-4EBF-B935-E40B0592BFF5}"/>
    <hyperlink ref="E3771" r:id="rId2369" display="https://www.genome.jp/entry/3.1.21.3" xr:uid="{839A6FC0-069E-4A7D-B22C-54B2D18B9B89}"/>
    <hyperlink ref="E3772" r:id="rId2370" display="https://www.genome.jp/entry/3.2.1.18" xr:uid="{AB383503-10D9-47AB-BB50-1C41D870F2D5}"/>
    <hyperlink ref="E3773" r:id="rId2371" display="https://www.genome.jp/entry/3.2.1.18" xr:uid="{BFA36E93-3C9E-47A5-A642-F9A4E711E1AA}"/>
    <hyperlink ref="E3774" r:id="rId2372" display="https://www.genome.jp/entry/3.2.1.18" xr:uid="{66E1CBAA-81B3-4FA0-8FD7-2E989D573D29}"/>
    <hyperlink ref="E3775" r:id="rId2373" display="https://www.genome.jp/entry/3.2.1.18" xr:uid="{6E8F87A6-BCE1-4063-B8CE-24EB609C49C0}"/>
    <hyperlink ref="E3776" r:id="rId2374" display="https://www.genome.jp/entry/3.2.1.18" xr:uid="{D642388E-BAC2-42AB-985F-58B6D73E3926}"/>
    <hyperlink ref="E3777" r:id="rId2375" display="https://www.genome.jp/entry/3.2.1.18" xr:uid="{96CD4A19-7603-47D9-807F-FDE6BC302ABF}"/>
    <hyperlink ref="E3778" r:id="rId2376" display="https://www.genome.jp/entry/3.2.1.18" xr:uid="{43812C9B-4E11-4756-A2A9-059D12994D06}"/>
    <hyperlink ref="E3779" r:id="rId2377" display="https://www.genome.jp/entry/3.2.1.18" xr:uid="{E1ED7FA0-6599-4AC3-8D2E-9F9025FB8BE0}"/>
    <hyperlink ref="E3780" r:id="rId2378" display="https://www.genome.jp/entry/3.2.1.18" xr:uid="{5AF6FEEA-51CE-4CF7-A5E8-F7E16BFF4F2E}"/>
    <hyperlink ref="E3781" r:id="rId2379" display="https://www.genome.jp/entry/3.2.1.18" xr:uid="{83DA0372-5B27-4AA1-9A63-DEB3617AF2AD}"/>
    <hyperlink ref="E3782" r:id="rId2380" display="https://www.genome.jp/entry/3.2.1.18" xr:uid="{2B453D48-CE76-45A4-8296-6716CD40001E}"/>
    <hyperlink ref="E3783" r:id="rId2381" display="https://www.genome.jp/entry/3.2.1.18" xr:uid="{4FEDDE63-00D2-420B-8C8E-9295E4D7C490}"/>
    <hyperlink ref="F3772" r:id="rId2382" display="https://www.genome.jp/entry/R03491" xr:uid="{E7F3900D-3396-4F80-A8F7-F595FEF1F90A}"/>
    <hyperlink ref="F3773" r:id="rId2383" display="https://www.genome.jp/entry/R04018" xr:uid="{732469E5-7278-479A-9FD4-02254D84DE7C}"/>
    <hyperlink ref="F3774" r:id="rId2384" display="https://www.genome.jp/entry/R04634" xr:uid="{E70EB608-B265-4759-8E68-15F4811A6D5F}"/>
    <hyperlink ref="F3775" r:id="rId2385" display="https://www.genome.jp/entry/R04650" xr:uid="{D410CF9E-B1FA-4ABC-A173-EF51A0A2A35A}"/>
    <hyperlink ref="F3776" r:id="rId2386" display="https://www.genome.jp/entry/R05115" xr:uid="{B5C99413-0E59-48DD-8E91-663BEE052C38}"/>
    <hyperlink ref="F3777" r:id="rId2387" display="https://www.genome.jp/entry/R05117" xr:uid="{834C295E-3DE7-4932-95BD-5A1D1219425B}"/>
    <hyperlink ref="F3778" r:id="rId2388" display="https://www.genome.jp/entry/R05996" xr:uid="{7CF7C054-F505-4B18-97E4-E2E8A9328953}"/>
    <hyperlink ref="F3779" r:id="rId2389" display="https://www.genome.jp/entry/R05998" xr:uid="{DF86C39E-3811-4876-8086-39379F4CBAD5}"/>
    <hyperlink ref="F3780" r:id="rId2390" display="https://www.genome.jp/entry/R05999" xr:uid="{AA2558DA-CB75-45AE-B7D6-BB819FA5E6ED}"/>
    <hyperlink ref="F3781" r:id="rId2391" display="https://www.genome.jp/entry/R06012" xr:uid="{051AE6C6-B024-48AD-91B4-A56FB4396759}"/>
    <hyperlink ref="F3782" r:id="rId2392" display="https://www.genome.jp/entry/R06147" xr:uid="{65766B1D-E9D0-4A07-B264-541275CA1229}"/>
    <hyperlink ref="F3783" r:id="rId2393" display="https://www.genome.jp/entry/R06253" xr:uid="{FFD072DC-3688-4D22-BA67-E6525675FCF2}"/>
    <hyperlink ref="E3784" r:id="rId2394" display="https://www.genome.jp/entry/3.5.1.2" xr:uid="{F30B6454-1D93-4CFC-B962-47B304329B17}"/>
    <hyperlink ref="F3784" r:id="rId2395" display="https://www.genome.jp/entry/R00256" xr:uid="{3CA6FBE6-5A00-4545-BC38-13F0FA54FBEF}"/>
    <hyperlink ref="E3785" r:id="rId2396" display="https://www.genome.jp/entry/3.5.1.2" xr:uid="{F077E385-0E6B-4923-96C9-56B5792868C0}"/>
    <hyperlink ref="E3786" r:id="rId2397" display="https://www.genome.jp/entry/3.5.1.2" xr:uid="{088259C5-16F7-46FC-A2B9-032E0E5690E1}"/>
    <hyperlink ref="F3785" r:id="rId2398" display="https://www.genome.jp/entry/R01579" xr:uid="{00B3BCD8-09FF-4B61-A51E-B6099D34DD93}"/>
    <hyperlink ref="F3786" r:id="rId2399" display="https://www.genome.jp/entry/R06134" xr:uid="{FDDAE673-4A50-4EC4-993F-137EF008FF02}"/>
    <hyperlink ref="E3787" r:id="rId2400" display="https://www.genome.jp/entry/3.5.1.28" xr:uid="{A6196E37-85A0-47C0-835B-F4726CCA874E}"/>
    <hyperlink ref="F3787" r:id="rId2401" display="https://www.genome.jp/entry/R04112" xr:uid="{D78D8E80-0F64-4956-9B95-8B2134C8A411}"/>
    <hyperlink ref="E3788" r:id="rId2402" display="https://www.genome.jp/entry/3.5.2.10" xr:uid="{CCA85798-6F35-4A92-AE4B-169189C75FBE}"/>
    <hyperlink ref="F3788" r:id="rId2403" display="https://www.genome.jp/entry/R01884" xr:uid="{A5E039DB-6593-4555-B57C-C65A07CA18B7}"/>
    <hyperlink ref="E3789" r:id="rId2404" display="https://www.genome.jp/entry/3.5.2.2" xr:uid="{D2948452-C1AC-4160-866E-AAEF20E04893}"/>
    <hyperlink ref="E3790" r:id="rId2405" display="https://www.genome.jp/entry/3.5.2.2" xr:uid="{BDE7810F-43A7-4253-9708-B4CF5F6FC2E3}"/>
    <hyperlink ref="E3791" r:id="rId2406" display="https://www.genome.jp/entry/3.5.2.2" xr:uid="{53A94FC2-89F0-4F9C-BCD6-1C58DE54C405}"/>
    <hyperlink ref="F3789" r:id="rId2407" display="https://www.genome.jp/entry/R02269" xr:uid="{420E45DA-82F3-4B95-A54C-22DFB50BBCB1}"/>
    <hyperlink ref="F3790" r:id="rId2408" display="https://www.genome.jp/entry/R03055" xr:uid="{EB80BA08-2181-42EF-9AD5-41920971A5E2}"/>
    <hyperlink ref="F3791" r:id="rId2409" display="https://www.genome.jp/entry/R08227" xr:uid="{CBDB7908-0700-446A-9189-85C9440FE83A}"/>
    <hyperlink ref="E3792" r:id="rId2410" display="https://www.genome.jp/entry/3.5.4.5" xr:uid="{16B274E7-D27A-477B-A74D-2105AAAF5606}"/>
    <hyperlink ref="E3793" r:id="rId2411" display="https://www.genome.jp/entry/3.5.4.5" xr:uid="{B8CD0E3A-2AED-46E6-88AB-1D97D1DBC8E2}"/>
    <hyperlink ref="E3794" r:id="rId2412" display="https://www.genome.jp/entry/3.5.4.5" xr:uid="{65B78F0A-1F7F-47A0-8FE1-A181F1A8538B}"/>
    <hyperlink ref="F3792" r:id="rId2413" display="https://www.genome.jp/entry/R01878" xr:uid="{830BBF33-E280-4A7D-81B8-F93103E0F48E}"/>
    <hyperlink ref="F3793" r:id="rId2414" display="https://www.genome.jp/entry/R02485" xr:uid="{FE7CCC7E-7A20-4B05-82D2-20A8EA70C0BF}"/>
    <hyperlink ref="F3794" r:id="rId2415" display="https://www.genome.jp/entry/R08221" xr:uid="{6A4C75FF-D798-4783-A342-E9AB8464E36E}"/>
    <hyperlink ref="E3795" r:id="rId2416" display="https://www.genome.jp/entry/3.6.1.22" xr:uid="{43493931-CCE6-4587-99C8-9AD579366387}"/>
    <hyperlink ref="F3795" r:id="rId2417" display="https://www.genome.jp/entry/R00103" xr:uid="{86562947-3238-4CCC-948B-91ACC549F3F1}"/>
    <hyperlink ref="E3796" r:id="rId2418" display="https://www.genome.jp/entry/3.6.1.22" xr:uid="{95C4DF91-8ED4-4103-9458-228D099E13FB}"/>
    <hyperlink ref="E3797" r:id="rId2419" display="https://www.genome.jp/entry/3.6.1.22" xr:uid="{3DDEAE4C-A063-4060-A129-9441818E2CF6}"/>
    <hyperlink ref="F3796" r:id="rId2420" display="https://www.genome.jp/entry/R11104" xr:uid="{91FEDBEA-F2C4-45F9-B160-62C4A31F4DBC}"/>
    <hyperlink ref="F3797" r:id="rId2421" display="https://www.genome.jp/entry/R03004" xr:uid="{4F096FB4-EEC9-47FB-BCE9-DA0BCC629EF8}"/>
    <hyperlink ref="E3798" r:id="rId2422" display="https://www.genome.jp/entry/4.1.1.112" xr:uid="{DA964F58-F3CA-4B4D-AD3A-CB85E3DBD116}"/>
    <hyperlink ref="F3798" r:id="rId2423" display="https://www.genome.jp/entry/R00217" xr:uid="{09A51CF4-914F-42C4-8EE6-85846F8D28B3}"/>
    <hyperlink ref="E3799" r:id="rId2424" display="https://www.genome.jp/entry/4.1.1.112" xr:uid="{ADE48CD5-9EE5-494C-968F-C8BD403BDF10}"/>
    <hyperlink ref="F3799" r:id="rId2425" display="https://www.genome.jp/entry/R00995" xr:uid="{6572BC92-EEFC-4802-B1C0-A76709D5041F}"/>
    <hyperlink ref="E3800" r:id="rId2426" display="https://www.genome.jp/entry/4.1.1.88" xr:uid="{D8CA36AE-18B3-42FC-AD98-A07C94FAE03E}"/>
    <hyperlink ref="F3800" r:id="rId2427" display="https://www.genome.jp/entry/R09483" xr:uid="{50F37DFA-B307-4693-AAD6-E6545D27822D}"/>
    <hyperlink ref="E3801" r:id="rId2428" display="https://www.genome.jp/entry/4.1.2.14" xr:uid="{9187819C-DBDE-445E-8558-9A3F0E4064EF}"/>
    <hyperlink ref="F3801" r:id="rId2429" display="https://www.genome.jp/entry/R05605" xr:uid="{AE5C4133-8AA0-4E3A-9E7B-A17EA0F1D705}"/>
    <hyperlink ref="E3802" r:id="rId2430" display="https://www.genome.jp/entry/4.1.3.16" xr:uid="{C4DC8D44-AE64-4F0B-AB74-38B6D83E63A8}"/>
    <hyperlink ref="E3803" r:id="rId2431" display="https://www.genome.jp/entry/4.1.3.16" xr:uid="{07C4CFA7-99D2-443C-BE25-2D87E6B7EF6A}"/>
    <hyperlink ref="E3804" r:id="rId2432" display="https://www.genome.jp/entry/4.1.3.16" xr:uid="{6C2D8981-63C1-4FA3-BF00-CACEB366EBD2}"/>
    <hyperlink ref="F3802" r:id="rId2433" display="https://www.genome.jp/entry/R00470" xr:uid="{9DA53ED8-310B-4C14-9F71-820CF4B5FFE4}"/>
    <hyperlink ref="F3803" r:id="rId2434" display="https://www.genome.jp/entry/R00471" xr:uid="{4420AEC1-2649-4D44-BC74-85CA090DEA17}"/>
    <hyperlink ref="F3804" r:id="rId2435" display="https://www.genome.jp/entry/R10283" xr:uid="{15DA5C3F-852E-4178-A9B2-D898B32FDD61}"/>
    <hyperlink ref="E3805" r:id="rId2436" display="https://www.genome.jp/entry/4.1.3.17" xr:uid="{FD956A1B-02F7-4534-8916-BB2D0228E0EA}"/>
    <hyperlink ref="E3806" r:id="rId2437" display="https://www.genome.jp/entry/4.1.3.17" xr:uid="{673DA073-FB01-423A-9242-52B52C101414}"/>
    <hyperlink ref="F3805" r:id="rId2438" display="https://www.genome.jp/entry/R00008" xr:uid="{048AB208-F2F0-4A78-A3AE-E70BB1812DB2}"/>
    <hyperlink ref="F3806" r:id="rId2439" display="https://www.genome.jp/entry/R00350" xr:uid="{7D9A2648-B6DA-4085-B408-14AD5BB0C3BD}"/>
    <hyperlink ref="E3807" r:id="rId2440" display="https://www.genome.jp/entry/4.1.3.39" xr:uid="{2A96DBD3-3A34-44E6-8AA2-5B9F7F6DBD34}"/>
    <hyperlink ref="F3807" r:id="rId2441" display="https://www.genome.jp/entry/R00750" xr:uid="{C92E30DC-1AF9-4464-905E-E9D310CDE08A}"/>
    <hyperlink ref="E3808" r:id="rId2442" display="https://www.genome.jp/entry/4.2.1.163" xr:uid="{E649CDD5-D5D5-4D9D-B830-99CEF5785AF9}"/>
    <hyperlink ref="E3809" r:id="rId2443" display="https://www.genome.jp/entry/4.2.1.80" xr:uid="{74CB0EA7-BDD8-4CEF-916B-9035B62EA571}"/>
    <hyperlink ref="E3810" r:id="rId2444" display="https://www.genome.jp/entry/4.2.1.80" xr:uid="{7DF470CD-9F47-4A41-8ECB-37BE62D616AF}"/>
    <hyperlink ref="E3811" r:id="rId2445" display="https://www.genome.jp/entry/4.2.1.80" xr:uid="{25ECDCF6-FB4E-4959-B3E4-5A000EF507DC}"/>
    <hyperlink ref="F3809" r:id="rId2446" display="https://www.genome.jp/entry/R02601" xr:uid="{0A8177DA-BD6B-4AB1-BA5E-307ECFCDA0AB}"/>
    <hyperlink ref="F3810" r:id="rId2447" display="https://www.genome.jp/entry/R04781" xr:uid="{3FE4EC6B-5093-4329-BC5B-00C04CBC29FC}"/>
    <hyperlink ref="F3811" r:id="rId2448" display="https://www.genome.jp/entry/R05297" xr:uid="{0A16C725-13EB-458E-B7E3-46AB79D46FE5}"/>
    <hyperlink ref="E3812" r:id="rId2449" display="https://www.genome.jp/entry/5.1.3.14" xr:uid="{6C34A5C1-523D-4592-8F6E-AC67A9BCF69F}"/>
    <hyperlink ref="E3813" r:id="rId2450" display="https://www.genome.jp/entry/5.1.3.14" xr:uid="{1215C612-2070-4B52-8305-33266DBA2B9E}"/>
    <hyperlink ref="E3814" r:id="rId2451" display="https://www.genome.jp/entry/5.1.3.14" xr:uid="{45BF2A9D-8AAB-4B56-866C-156A6C5F4F06}"/>
    <hyperlink ref="F3812" r:id="rId2452" display="https://www.genome.jp/entry/R00420" xr:uid="{20D761E1-1FFC-401E-A0DC-E619798DC6D5}"/>
    <hyperlink ref="F3813" r:id="rId2453" display="https://www.genome.jp/entry/R00414" xr:uid="{285860DB-8DD3-4982-8BC5-ABB0706CD8FE}"/>
    <hyperlink ref="F3814" r:id="rId2454" display="https://www.genome.jp/entry/R02707" xr:uid="{16E28DB4-454C-4D9B-83DE-4F02EA40C240}"/>
    <hyperlink ref="E3815" r:id="rId2455" display="https://www.genome.jp/entry/5.3.2.8" xr:uid="{7851B8FE-AAC0-4036-9002-13D319B8BE23}"/>
    <hyperlink ref="F3815" r:id="rId2456" display="https://www.genome.jp/entry/R07839" xr:uid="{DBD44644-FDBF-4C65-99C7-3550F28C5DD5}"/>
    <hyperlink ref="E3816" r:id="rId2457" display="https://www.genome.jp/entry/6.2.1.16" xr:uid="{05F91B27-B4C7-47F1-AFA3-7011E869C06E}"/>
    <hyperlink ref="F3816" r:id="rId2458" display="https://www.genome.jp/entry/R01357" xr:uid="{0827BC2D-3F29-42BF-896B-C9D288AA6EC8}"/>
    <hyperlink ref="E893" r:id="rId2459" display="https://www.genome.jp/entry/2.8.1.13" xr:uid="{88278DD4-7959-4BA9-83DF-FC0F6B05D199}"/>
    <hyperlink ref="F893" r:id="rId2460" display="https://www.genome.jp/entry/R08700" xr:uid="{BB24B464-1A87-4E15-A670-B1AD9D914515}"/>
    <hyperlink ref="E1459" r:id="rId2461" display="https://www.genome.jp/entry/6.3.4.21" xr:uid="{E552FF6C-A162-429D-B97D-B0BBC7DF820C}"/>
    <hyperlink ref="F1459" r:id="rId2462" display="https://www.genome.jp/entry/R01724" xr:uid="{B71CB0C7-9F84-48ED-BC6C-ADDAE31ABB24}"/>
  </hyperlinks>
  <pageMargins left="0.7" right="0.7" top="0.75" bottom="0.75" header="0.3" footer="0.3"/>
  <pageSetup paperSize="9" orientation="portrait" r:id="rId24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82B8-1C05-47BB-8600-81EA5E133E0C}">
  <dimension ref="A1:G1110"/>
  <sheetViews>
    <sheetView zoomScale="108" zoomScaleNormal="108" workbookViewId="0">
      <pane ySplit="1" topLeftCell="A1082" activePane="bottomLeft" state="frozen"/>
      <selection activeCell="F19" sqref="F19"/>
      <selection pane="bottomLeft" activeCell="D1000" sqref="D1000"/>
    </sheetView>
  </sheetViews>
  <sheetFormatPr defaultRowHeight="14.5"/>
  <cols>
    <col min="1" max="1" width="11.36328125" customWidth="1"/>
    <col min="2" max="2" width="32.54296875" customWidth="1"/>
    <col min="3" max="3" width="35" style="16" customWidth="1"/>
    <col min="4" max="4" width="35" style="17" customWidth="1"/>
    <col min="19" max="19" width="10.90625" customWidth="1"/>
  </cols>
  <sheetData>
    <row r="1" spans="1:4" s="13" customFormat="1">
      <c r="A1" s="13" t="s">
        <v>8448</v>
      </c>
      <c r="B1" s="13" t="s">
        <v>5</v>
      </c>
      <c r="C1" s="14" t="s">
        <v>8449</v>
      </c>
      <c r="D1" s="15" t="s">
        <v>8450</v>
      </c>
    </row>
    <row r="2" spans="1:4">
      <c r="A2" t="s">
        <v>11951</v>
      </c>
      <c r="B2" s="43" t="s">
        <v>16622</v>
      </c>
      <c r="C2" s="16" t="str">
        <f t="shared" ref="C2:C8" si="0">CONCATENATE(A2,":","1000")</f>
        <v>C00001:1000</v>
      </c>
      <c r="D2" s="17" t="str">
        <f t="shared" ref="D2:D69" si="1">CONCATENATE(A2," : ",B2)</f>
        <v>C00001 : H2O</v>
      </c>
    </row>
    <row r="3" spans="1:4">
      <c r="A3" t="s">
        <v>8706</v>
      </c>
      <c r="B3" s="43" t="s">
        <v>16623</v>
      </c>
      <c r="C3" s="16" t="str">
        <f t="shared" si="0"/>
        <v>C00002:1000</v>
      </c>
      <c r="D3" s="17" t="str">
        <f>CONCATENATE(A3," : ",B3)</f>
        <v>C00002 : ATP</v>
      </c>
    </row>
    <row r="4" spans="1:4">
      <c r="A4" t="s">
        <v>11952</v>
      </c>
      <c r="B4" s="43" t="s">
        <v>16624</v>
      </c>
      <c r="C4" s="16" t="str">
        <f t="shared" si="0"/>
        <v>C00003:1000</v>
      </c>
      <c r="D4" s="17" t="str">
        <f t="shared" si="1"/>
        <v>C00003 : NAD+</v>
      </c>
    </row>
    <row r="5" spans="1:4">
      <c r="A5" t="s">
        <v>11953</v>
      </c>
      <c r="B5" s="43" t="s">
        <v>16625</v>
      </c>
      <c r="C5" s="16" t="str">
        <f t="shared" si="0"/>
        <v>C00004:1000</v>
      </c>
      <c r="D5" s="17" t="str">
        <f t="shared" si="1"/>
        <v>C00004 : NADH</v>
      </c>
    </row>
    <row r="6" spans="1:4">
      <c r="A6" t="s">
        <v>11954</v>
      </c>
      <c r="B6" s="43" t="s">
        <v>16626</v>
      </c>
      <c r="C6" s="16" t="str">
        <f t="shared" si="0"/>
        <v>C00005:1000</v>
      </c>
      <c r="D6" s="17" t="str">
        <f t="shared" si="1"/>
        <v>C00005 : NADPH</v>
      </c>
    </row>
    <row r="7" spans="1:4">
      <c r="A7" t="s">
        <v>11955</v>
      </c>
      <c r="B7" s="43" t="s">
        <v>16627</v>
      </c>
      <c r="C7" s="16" t="str">
        <f t="shared" si="0"/>
        <v>C00006:1000</v>
      </c>
      <c r="D7" s="17" t="str">
        <f t="shared" si="1"/>
        <v>C00006 : NADP+</v>
      </c>
    </row>
    <row r="8" spans="1:4">
      <c r="A8" t="s">
        <v>11956</v>
      </c>
      <c r="B8" s="43" t="s">
        <v>16628</v>
      </c>
      <c r="C8" s="16" t="str">
        <f t="shared" si="0"/>
        <v>C00007:1000</v>
      </c>
      <c r="D8" s="17" t="str">
        <f t="shared" si="1"/>
        <v>C00007 : Oxygen</v>
      </c>
    </row>
    <row r="9" spans="1:4">
      <c r="A9" t="s">
        <v>10233</v>
      </c>
      <c r="B9" s="43" t="s">
        <v>16629</v>
      </c>
      <c r="C9" s="16" t="str">
        <f>CONCATENATE(A9,":","1")</f>
        <v>C00008:1</v>
      </c>
      <c r="D9" s="17" t="str">
        <f t="shared" si="1"/>
        <v>C00008 : ADP</v>
      </c>
    </row>
    <row r="10" spans="1:4">
      <c r="A10" t="s">
        <v>8666</v>
      </c>
      <c r="B10" s="43" t="s">
        <v>16630</v>
      </c>
      <c r="C10" s="16" t="str">
        <f>CONCATENATE(A10,":","1")</f>
        <v>C00009:1</v>
      </c>
      <c r="D10" s="17" t="str">
        <f t="shared" si="1"/>
        <v>C00009 : Orthophosphate</v>
      </c>
    </row>
    <row r="11" spans="1:4">
      <c r="A11" t="s">
        <v>11957</v>
      </c>
      <c r="B11" s="43" t="s">
        <v>16631</v>
      </c>
      <c r="C11" s="16" t="str">
        <f>CONCATENATE(A11,":","1")</f>
        <v>C00010:1</v>
      </c>
      <c r="D11" s="17" t="str">
        <f t="shared" si="1"/>
        <v>C00010 : CoA</v>
      </c>
    </row>
    <row r="12" spans="1:4">
      <c r="A12" t="s">
        <v>11958</v>
      </c>
      <c r="B12" s="43" t="s">
        <v>16632</v>
      </c>
      <c r="C12" s="16" t="str">
        <f>CONCATENATE(A12,":","1000")</f>
        <v>C00011:1000</v>
      </c>
      <c r="D12" s="17" t="str">
        <f t="shared" si="1"/>
        <v>C00011 : CO2</v>
      </c>
    </row>
    <row r="13" spans="1:4">
      <c r="A13" t="s">
        <v>12364</v>
      </c>
      <c r="B13" s="43" t="s">
        <v>16633</v>
      </c>
      <c r="C13" s="16" t="str">
        <f>CONCATENATE(A13,":","1")</f>
        <v>C00012:1</v>
      </c>
      <c r="D13" s="17" t="str">
        <f t="shared" si="1"/>
        <v>C00012 : Peptide</v>
      </c>
    </row>
    <row r="14" spans="1:4">
      <c r="A14" t="s">
        <v>11959</v>
      </c>
      <c r="B14" s="43" t="s">
        <v>16634</v>
      </c>
      <c r="C14" s="16" t="str">
        <f>CONCATENATE(A14,":","1")</f>
        <v>C00013:1</v>
      </c>
      <c r="D14" s="17" t="str">
        <f t="shared" si="1"/>
        <v>C00013 : Diphosphate</v>
      </c>
    </row>
    <row r="15" spans="1:4">
      <c r="A15" t="s">
        <v>11960</v>
      </c>
      <c r="B15" s="43" t="s">
        <v>16635</v>
      </c>
      <c r="C15" s="16" t="str">
        <f>CONCATENATE(A15,":","1")</f>
        <v>C00014:1</v>
      </c>
      <c r="D15" s="17" t="str">
        <f t="shared" si="1"/>
        <v>C00014 : Ammonia</v>
      </c>
    </row>
    <row r="16" spans="1:4">
      <c r="A16" t="s">
        <v>11961</v>
      </c>
      <c r="B16" s="43" t="s">
        <v>16636</v>
      </c>
      <c r="C16" s="16" t="str">
        <f t="shared" ref="C16:C25" si="2">CONCATENATE(A16,":","1")</f>
        <v>C00015:1</v>
      </c>
      <c r="D16" s="17" t="str">
        <f t="shared" si="1"/>
        <v>C00015 : UDP</v>
      </c>
    </row>
    <row r="17" spans="1:4">
      <c r="A17" t="s">
        <v>11962</v>
      </c>
      <c r="B17" s="43" t="s">
        <v>16637</v>
      </c>
      <c r="C17" s="16" t="str">
        <f t="shared" si="2"/>
        <v>C00016:1</v>
      </c>
      <c r="D17" s="17" t="str">
        <f t="shared" si="1"/>
        <v>C00016 : FAD</v>
      </c>
    </row>
    <row r="18" spans="1:4">
      <c r="A18" t="s">
        <v>11963</v>
      </c>
      <c r="B18" s="43" t="s">
        <v>16638</v>
      </c>
      <c r="C18" s="16" t="str">
        <f t="shared" si="2"/>
        <v>C00017:1</v>
      </c>
      <c r="D18" s="17" t="str">
        <f t="shared" si="1"/>
        <v>C00017 : Protein</v>
      </c>
    </row>
    <row r="19" spans="1:4">
      <c r="A19" t="s">
        <v>11964</v>
      </c>
      <c r="B19" s="43" t="s">
        <v>16639</v>
      </c>
      <c r="C19" s="16" t="str">
        <f t="shared" si="2"/>
        <v>C00018:1</v>
      </c>
      <c r="D19" s="17" t="str">
        <f t="shared" si="1"/>
        <v>C00018 : Pyridoxal phosphate</v>
      </c>
    </row>
    <row r="20" spans="1:4">
      <c r="A20" t="s">
        <v>11965</v>
      </c>
      <c r="B20" s="43" t="s">
        <v>16640</v>
      </c>
      <c r="C20" s="16" t="str">
        <f t="shared" si="2"/>
        <v>C00019:1</v>
      </c>
      <c r="D20" s="17" t="str">
        <f t="shared" si="1"/>
        <v>C00019 : S-Adenosyl-L-methionine</v>
      </c>
    </row>
    <row r="21" spans="1:4">
      <c r="A21" t="s">
        <v>11966</v>
      </c>
      <c r="B21" s="43" t="s">
        <v>16641</v>
      </c>
      <c r="C21" s="16" t="str">
        <f t="shared" si="2"/>
        <v>C00020:1</v>
      </c>
      <c r="D21" s="17" t="str">
        <f t="shared" si="1"/>
        <v>C00020 : AMP</v>
      </c>
    </row>
    <row r="22" spans="1:4">
      <c r="A22" t="s">
        <v>11967</v>
      </c>
      <c r="B22" s="43" t="s">
        <v>16642</v>
      </c>
      <c r="C22" s="16" t="str">
        <f t="shared" si="2"/>
        <v>C00021:1</v>
      </c>
      <c r="D22" s="17" t="str">
        <f t="shared" si="1"/>
        <v>C00021 : S-Adenosyl-L-homocysteine</v>
      </c>
    </row>
    <row r="23" spans="1:4">
      <c r="A23" t="s">
        <v>9840</v>
      </c>
      <c r="B23" s="43" t="s">
        <v>16643</v>
      </c>
      <c r="C23" s="16" t="str">
        <f t="shared" si="2"/>
        <v>C00022:1</v>
      </c>
      <c r="D23" s="17" t="str">
        <f t="shared" si="1"/>
        <v>C00022 : Pyruvate</v>
      </c>
    </row>
    <row r="24" spans="1:4">
      <c r="A24" t="s">
        <v>17660</v>
      </c>
      <c r="B24" s="43" t="s">
        <v>17661</v>
      </c>
      <c r="C24" s="16" t="str">
        <f t="shared" si="2"/>
        <v>C00023:1</v>
      </c>
      <c r="D24" s="17" t="str">
        <f t="shared" si="1"/>
        <v>C00023 : Iron</v>
      </c>
    </row>
    <row r="25" spans="1:4">
      <c r="A25" t="s">
        <v>9022</v>
      </c>
      <c r="B25" s="43" t="s">
        <v>16644</v>
      </c>
      <c r="C25" s="16" t="str">
        <f t="shared" si="2"/>
        <v>C00024:1</v>
      </c>
      <c r="D25" s="17" t="str">
        <f t="shared" si="1"/>
        <v>C00024 : Acetyl-CoA</v>
      </c>
    </row>
    <row r="26" spans="1:4">
      <c r="A26" t="s">
        <v>8861</v>
      </c>
      <c r="B26" s="43" t="s">
        <v>16645</v>
      </c>
      <c r="C26" s="16" t="str">
        <f>CONCATENATE(A26,":","1000")</f>
        <v>C00025:1000</v>
      </c>
      <c r="D26" s="17" t="str">
        <f t="shared" si="1"/>
        <v>C00025 : L-Glutamate</v>
      </c>
    </row>
    <row r="27" spans="1:4">
      <c r="A27" t="s">
        <v>9922</v>
      </c>
      <c r="B27" s="43" t="s">
        <v>16646</v>
      </c>
      <c r="C27" s="16" t="str">
        <f>CONCATENATE(A27,":","1")</f>
        <v>C00026:1</v>
      </c>
      <c r="D27" s="17" t="str">
        <f t="shared" si="1"/>
        <v>C00026 : 2-Oxoglutarate</v>
      </c>
    </row>
    <row r="28" spans="1:4">
      <c r="A28" t="s">
        <v>10376</v>
      </c>
      <c r="B28" s="43" t="s">
        <v>16647</v>
      </c>
      <c r="C28" s="16" t="str">
        <f>CONCATENATE(A28,":","1")</f>
        <v>C00027:1</v>
      </c>
      <c r="D28" s="17" t="str">
        <f t="shared" si="1"/>
        <v>C00027 : Hydrogen peroxide</v>
      </c>
    </row>
    <row r="29" spans="1:4">
      <c r="A29" t="s">
        <v>11968</v>
      </c>
      <c r="B29" s="43" t="s">
        <v>16648</v>
      </c>
      <c r="C29" s="16" t="str">
        <f>CONCATENATE(A29,":","1")</f>
        <v>C00028:1</v>
      </c>
      <c r="D29" s="17" t="str">
        <f t="shared" si="1"/>
        <v>C00028 : Acceptor</v>
      </c>
    </row>
    <row r="30" spans="1:4">
      <c r="A30" t="s">
        <v>9455</v>
      </c>
      <c r="B30" s="43" t="s">
        <v>16649</v>
      </c>
      <c r="C30" s="16" t="str">
        <f>CONCATENATE(A30,":","1")</f>
        <v>C00029:1</v>
      </c>
      <c r="D30" s="17" t="str">
        <f t="shared" si="1"/>
        <v>C00029 : UDP-glucose</v>
      </c>
    </row>
    <row r="31" spans="1:4">
      <c r="A31" t="s">
        <v>11969</v>
      </c>
      <c r="B31" s="43" t="s">
        <v>16650</v>
      </c>
      <c r="C31" s="16" t="str">
        <f>CONCATENATE(A31,":","1")</f>
        <v>C00030:1</v>
      </c>
      <c r="D31" s="17" t="str">
        <f t="shared" si="1"/>
        <v>C00030 : Reduced acceptor</v>
      </c>
    </row>
    <row r="32" spans="1:4">
      <c r="A32" t="s">
        <v>11970</v>
      </c>
      <c r="B32" s="43" t="s">
        <v>16651</v>
      </c>
      <c r="C32" s="16" t="str">
        <f>CONCATENATE(A32,":","1000")</f>
        <v>C00031:1000</v>
      </c>
      <c r="D32" s="17" t="str">
        <f t="shared" si="1"/>
        <v>C00031 : D-Glucose</v>
      </c>
    </row>
    <row r="33" spans="1:4">
      <c r="A33" t="s">
        <v>12365</v>
      </c>
      <c r="B33" s="43" t="s">
        <v>16652</v>
      </c>
      <c r="C33" s="16" t="str">
        <f>CONCATENATE(A33,":","1")</f>
        <v>C00032:1</v>
      </c>
      <c r="D33" s="17" t="str">
        <f t="shared" si="1"/>
        <v>C00032 : Heme</v>
      </c>
    </row>
    <row r="34" spans="1:4">
      <c r="A34" t="s">
        <v>11971</v>
      </c>
      <c r="B34" s="43" t="s">
        <v>16653</v>
      </c>
      <c r="C34" s="16" t="str">
        <f>CONCATENATE(A34,":","1")</f>
        <v>C00033:1</v>
      </c>
      <c r="D34" s="17" t="str">
        <f t="shared" si="1"/>
        <v>C00033 : Acetate</v>
      </c>
    </row>
    <row r="35" spans="1:4">
      <c r="A35" t="s">
        <v>17662</v>
      </c>
      <c r="B35" s="43" t="s">
        <v>17663</v>
      </c>
      <c r="C35" s="16" t="str">
        <f>CONCATENATE(A35,":","1")</f>
        <v>C00034:1</v>
      </c>
      <c r="D35" s="17" t="str">
        <f t="shared" si="1"/>
        <v>C00034 : Manganese</v>
      </c>
    </row>
    <row r="36" spans="1:4">
      <c r="A36" t="s">
        <v>11972</v>
      </c>
      <c r="B36" s="43" t="s">
        <v>16654</v>
      </c>
      <c r="C36" s="16" t="str">
        <f>CONCATENATE(A36,":","1")</f>
        <v>C00035:1</v>
      </c>
      <c r="D36" s="17" t="str">
        <f t="shared" si="1"/>
        <v>C00035 : GDP</v>
      </c>
    </row>
    <row r="37" spans="1:4">
      <c r="A37" t="s">
        <v>11973</v>
      </c>
      <c r="B37" s="43" t="s">
        <v>16655</v>
      </c>
      <c r="C37" s="16" t="str">
        <f>CONCATENATE(A37,":","1")</f>
        <v>C00036:1</v>
      </c>
      <c r="D37" s="17" t="str">
        <f t="shared" si="1"/>
        <v>C00036 : Oxaloacetate</v>
      </c>
    </row>
    <row r="38" spans="1:4">
      <c r="A38" t="s">
        <v>11974</v>
      </c>
      <c r="B38" s="43" t="s">
        <v>16656</v>
      </c>
      <c r="C38" s="16" t="str">
        <f>CONCATENATE(A38,":","1000")</f>
        <v>C00037:1000</v>
      </c>
      <c r="D38" s="17" t="str">
        <f t="shared" si="1"/>
        <v>C00037 : Glycine</v>
      </c>
    </row>
    <row r="39" spans="1:4">
      <c r="A39" t="s">
        <v>17664</v>
      </c>
      <c r="B39" s="43" t="s">
        <v>17665</v>
      </c>
      <c r="C39" s="16" t="str">
        <f>CONCATENATE(A39,":","1")</f>
        <v>C00038:1</v>
      </c>
      <c r="D39" s="17" t="str">
        <f t="shared" si="1"/>
        <v>C00038 : Zinc cation</v>
      </c>
    </row>
    <row r="40" spans="1:4">
      <c r="A40" t="s">
        <v>11975</v>
      </c>
      <c r="B40" s="43" t="s">
        <v>16520</v>
      </c>
      <c r="C40" s="16" t="str">
        <f>CONCATENATE(A40,":","1")</f>
        <v>C00039:1</v>
      </c>
      <c r="D40" s="17" t="str">
        <f t="shared" si="1"/>
        <v>C00039 : DNA</v>
      </c>
    </row>
    <row r="41" spans="1:4">
      <c r="A41" t="s">
        <v>17666</v>
      </c>
      <c r="B41" s="43" t="s">
        <v>17667</v>
      </c>
      <c r="C41" s="16" t="str">
        <f>CONCATENATE(A41,":","1")</f>
        <v>C00040:1</v>
      </c>
      <c r="D41" s="17" t="str">
        <f t="shared" si="1"/>
        <v>C00040 : Acyl-CoA</v>
      </c>
    </row>
    <row r="42" spans="1:4">
      <c r="A42" t="s">
        <v>10218</v>
      </c>
      <c r="B42" s="43" t="s">
        <v>16657</v>
      </c>
      <c r="C42" s="16" t="str">
        <f>CONCATENATE(A42,":","1000")</f>
        <v>C00041:1000</v>
      </c>
      <c r="D42" s="17" t="str">
        <f t="shared" si="1"/>
        <v>C00041 : L-Alanine</v>
      </c>
    </row>
    <row r="43" spans="1:4">
      <c r="A43" t="s">
        <v>11976</v>
      </c>
      <c r="B43" s="43" t="s">
        <v>16658</v>
      </c>
      <c r="C43" s="16" t="str">
        <f>CONCATENATE(A43,":","1")</f>
        <v>C00042:1</v>
      </c>
      <c r="D43" s="17" t="str">
        <f t="shared" si="1"/>
        <v>C00042 : Succinate</v>
      </c>
    </row>
    <row r="44" spans="1:4">
      <c r="A44" t="s">
        <v>9458</v>
      </c>
      <c r="B44" s="43" t="s">
        <v>16659</v>
      </c>
      <c r="C44" s="16" t="str">
        <f>CONCATENATE(A44,":","1")</f>
        <v>C00043:1</v>
      </c>
      <c r="D44" s="17" t="str">
        <f t="shared" si="1"/>
        <v>C00043 : UDP-N-acetyl-alpha-D-glucosamine</v>
      </c>
    </row>
    <row r="45" spans="1:4">
      <c r="A45" t="s">
        <v>11977</v>
      </c>
      <c r="B45" s="43" t="s">
        <v>16660</v>
      </c>
      <c r="C45" s="16" t="str">
        <f>CONCATENATE(A45,":","1")</f>
        <v>C00044:1</v>
      </c>
      <c r="D45" s="17" t="str">
        <f t="shared" si="1"/>
        <v>C00044 : GTP</v>
      </c>
    </row>
    <row r="46" spans="1:4">
      <c r="A46" t="s">
        <v>11978</v>
      </c>
      <c r="B46" s="43" t="s">
        <v>16661</v>
      </c>
      <c r="C46" s="16" t="str">
        <f>CONCATENATE(A46,":","1000")</f>
        <v>C00045:1000</v>
      </c>
      <c r="D46" s="17" t="str">
        <f t="shared" si="1"/>
        <v>C00045 : Amino acid</v>
      </c>
    </row>
    <row r="47" spans="1:4">
      <c r="A47" t="s">
        <v>11979</v>
      </c>
      <c r="B47" s="43" t="s">
        <v>16662</v>
      </c>
      <c r="C47" s="16" t="str">
        <f>CONCATENATE(A47,":","1")</f>
        <v>C00046:1</v>
      </c>
      <c r="D47" s="17" t="str">
        <f t="shared" si="1"/>
        <v>C00046 : RNA</v>
      </c>
    </row>
    <row r="48" spans="1:4">
      <c r="A48" t="s">
        <v>11980</v>
      </c>
      <c r="B48" s="43" t="s">
        <v>16663</v>
      </c>
      <c r="C48" s="16" t="str">
        <f>CONCATENATE(A48,":","1000")</f>
        <v>C00047:1000</v>
      </c>
      <c r="D48" s="17" t="str">
        <f t="shared" si="1"/>
        <v>C00047 : L-Lysine</v>
      </c>
    </row>
    <row r="49" spans="1:4">
      <c r="A49" t="s">
        <v>11981</v>
      </c>
      <c r="B49" s="43" t="s">
        <v>16664</v>
      </c>
      <c r="C49" s="16" t="str">
        <f>CONCATENATE(A49,":","1")</f>
        <v>C00048:1</v>
      </c>
      <c r="D49" s="17" t="str">
        <f t="shared" si="1"/>
        <v>C00048 : Glyoxylate</v>
      </c>
    </row>
    <row r="50" spans="1:4">
      <c r="A50" t="s">
        <v>9700</v>
      </c>
      <c r="B50" s="43" t="s">
        <v>16665</v>
      </c>
      <c r="C50" s="16" t="str">
        <f>CONCATENATE(A50,":","1")</f>
        <v>C00049:1</v>
      </c>
      <c r="D50" s="17" t="str">
        <f t="shared" si="1"/>
        <v>C00049 : L-Aspartate</v>
      </c>
    </row>
    <row r="51" spans="1:4">
      <c r="A51" t="s">
        <v>11982</v>
      </c>
      <c r="B51" s="43" t="s">
        <v>16666</v>
      </c>
      <c r="C51" s="16" t="str">
        <f t="shared" ref="C51:C61" si="3">CONCATENATE(A51,":","1")</f>
        <v>C00051:1</v>
      </c>
      <c r="D51" s="17" t="str">
        <f t="shared" si="1"/>
        <v>C00051 : Glutathione</v>
      </c>
    </row>
    <row r="52" spans="1:4">
      <c r="A52" t="s">
        <v>9456</v>
      </c>
      <c r="B52" s="43" t="s">
        <v>16667</v>
      </c>
      <c r="C52" s="16" t="str">
        <f t="shared" si="3"/>
        <v>C00052:1</v>
      </c>
      <c r="D52" s="17" t="str">
        <f t="shared" si="1"/>
        <v>C00052 : UDP-alpha-D-galactose</v>
      </c>
    </row>
    <row r="53" spans="1:4">
      <c r="A53" t="s">
        <v>11983</v>
      </c>
      <c r="B53" s="43" t="s">
        <v>16668</v>
      </c>
      <c r="C53" s="16" t="str">
        <f t="shared" si="3"/>
        <v>C00053:1</v>
      </c>
      <c r="D53" s="17" t="str">
        <f t="shared" si="1"/>
        <v>C00053 : 3'-Phosphoadenylyl sulfate</v>
      </c>
    </row>
    <row r="54" spans="1:4">
      <c r="A54" t="s">
        <v>11984</v>
      </c>
      <c r="B54" s="43" t="s">
        <v>16669</v>
      </c>
      <c r="C54" s="16" t="str">
        <f t="shared" si="3"/>
        <v>C00054:1</v>
      </c>
      <c r="D54" s="17" t="str">
        <f t="shared" si="1"/>
        <v>C00054 : Adenosine 3',5'-bisphosphate</v>
      </c>
    </row>
    <row r="55" spans="1:4">
      <c r="A55" t="s">
        <v>11985</v>
      </c>
      <c r="B55" s="43" t="s">
        <v>16670</v>
      </c>
      <c r="C55" s="16" t="str">
        <f t="shared" si="3"/>
        <v>C00055:1</v>
      </c>
      <c r="D55" s="17" t="str">
        <f t="shared" si="1"/>
        <v>C00055 : CMP</v>
      </c>
    </row>
    <row r="56" spans="1:4">
      <c r="A56" t="s">
        <v>11986</v>
      </c>
      <c r="B56" s="43" t="s">
        <v>16671</v>
      </c>
      <c r="C56" s="16" t="str">
        <f t="shared" si="3"/>
        <v>C00058:1</v>
      </c>
      <c r="D56" s="17" t="str">
        <f t="shared" si="1"/>
        <v>C00058 : Formate</v>
      </c>
    </row>
    <row r="57" spans="1:4">
      <c r="A57" t="s">
        <v>11987</v>
      </c>
      <c r="B57" s="43" t="s">
        <v>16672</v>
      </c>
      <c r="C57" s="16" t="str">
        <f t="shared" si="3"/>
        <v>C00059:1</v>
      </c>
      <c r="D57" s="17" t="str">
        <f t="shared" si="1"/>
        <v>C00059 : Sulfate</v>
      </c>
    </row>
    <row r="58" spans="1:4">
      <c r="A58" t="s">
        <v>12366</v>
      </c>
      <c r="B58" s="43" t="s">
        <v>16673</v>
      </c>
      <c r="C58" s="16" t="str">
        <f t="shared" si="3"/>
        <v>C00060:1</v>
      </c>
      <c r="D58" s="17" t="str">
        <f t="shared" si="1"/>
        <v>C00060 : Carboxylate</v>
      </c>
    </row>
    <row r="59" spans="1:4">
      <c r="A59" t="s">
        <v>11988</v>
      </c>
      <c r="B59" s="43" t="s">
        <v>16674</v>
      </c>
      <c r="C59" s="16" t="str">
        <f t="shared" si="3"/>
        <v>C00061:1</v>
      </c>
      <c r="D59" s="17" t="str">
        <f t="shared" si="1"/>
        <v>C00061 : FMN</v>
      </c>
    </row>
    <row r="60" spans="1:4">
      <c r="A60" t="s">
        <v>11989</v>
      </c>
      <c r="B60" s="43" t="s">
        <v>16675</v>
      </c>
      <c r="C60" s="16" t="str">
        <f t="shared" si="3"/>
        <v>C00062:1</v>
      </c>
      <c r="D60" s="17" t="str">
        <f t="shared" si="1"/>
        <v>C00062 : L-Arginine</v>
      </c>
    </row>
    <row r="61" spans="1:4">
      <c r="A61" t="s">
        <v>11990</v>
      </c>
      <c r="B61" s="43" t="s">
        <v>16676</v>
      </c>
      <c r="C61" s="16" t="str">
        <f t="shared" si="3"/>
        <v>C00063:1</v>
      </c>
      <c r="D61" s="17" t="str">
        <f t="shared" si="1"/>
        <v>C00063 : CTP</v>
      </c>
    </row>
    <row r="62" spans="1:4">
      <c r="A62" t="s">
        <v>11991</v>
      </c>
      <c r="B62" s="43" t="s">
        <v>16677</v>
      </c>
      <c r="C62" s="16" t="str">
        <f>CONCATENATE(A62,":","1000")</f>
        <v>C00064:1000</v>
      </c>
      <c r="D62" s="17" t="str">
        <f t="shared" si="1"/>
        <v>C00064 : L-Glutamine</v>
      </c>
    </row>
    <row r="63" spans="1:4">
      <c r="A63" t="s">
        <v>9255</v>
      </c>
      <c r="B63" s="43" t="s">
        <v>16678</v>
      </c>
      <c r="C63" s="16" t="str">
        <f>CONCATENATE(A63,":","1000")</f>
        <v>C00065:1000</v>
      </c>
      <c r="D63" s="17" t="str">
        <f t="shared" si="1"/>
        <v>C00065 : L-Serine</v>
      </c>
    </row>
    <row r="64" spans="1:4">
      <c r="A64" t="s">
        <v>11992</v>
      </c>
      <c r="B64" s="43" t="s">
        <v>62</v>
      </c>
      <c r="C64" s="16" t="str">
        <f>CONCATENATE(A64,":","1")</f>
        <v>C00066:1</v>
      </c>
      <c r="D64" s="17" t="str">
        <f t="shared" si="1"/>
        <v>C00066 : tRNA</v>
      </c>
    </row>
    <row r="65" spans="1:4">
      <c r="A65" t="s">
        <v>11993</v>
      </c>
      <c r="B65" s="43" t="s">
        <v>16679</v>
      </c>
      <c r="C65" s="16" t="str">
        <f>CONCATENATE(A65,":","1")</f>
        <v>C00067:1</v>
      </c>
      <c r="D65" s="17" t="str">
        <f t="shared" si="1"/>
        <v>C00067 : Formaldehyde</v>
      </c>
    </row>
    <row r="66" spans="1:4">
      <c r="A66" t="s">
        <v>11994</v>
      </c>
      <c r="B66" s="43" t="s">
        <v>16680</v>
      </c>
      <c r="C66" s="16" t="str">
        <f>CONCATENATE(A66,":","1")</f>
        <v>C00068:1</v>
      </c>
      <c r="D66" s="17" t="str">
        <f t="shared" si="1"/>
        <v>C00068 : Thiamin diphosphate</v>
      </c>
    </row>
    <row r="67" spans="1:4">
      <c r="A67" t="s">
        <v>12367</v>
      </c>
      <c r="B67" s="43" t="s">
        <v>16681</v>
      </c>
      <c r="C67" s="16" t="str">
        <f>CONCATENATE(A67,":","1")</f>
        <v>C00069:1</v>
      </c>
      <c r="D67" s="17" t="str">
        <f t="shared" si="1"/>
        <v>C00069 : Alcohol</v>
      </c>
    </row>
    <row r="68" spans="1:4">
      <c r="A68" t="s">
        <v>12368</v>
      </c>
      <c r="B68" s="43" t="s">
        <v>16682</v>
      </c>
      <c r="C68" s="16" t="str">
        <f>CONCATENATE(A68,":","1")</f>
        <v>C00071:1</v>
      </c>
      <c r="D68" s="17" t="str">
        <f t="shared" si="1"/>
        <v>C00071 : Aldehyde</v>
      </c>
    </row>
    <row r="69" spans="1:4">
      <c r="A69" t="s">
        <v>11995</v>
      </c>
      <c r="B69" s="43" t="s">
        <v>16683</v>
      </c>
      <c r="C69" s="16" t="str">
        <f>CONCATENATE(A69,":","1000")</f>
        <v>C00073:1000</v>
      </c>
      <c r="D69" s="17" t="str">
        <f t="shared" si="1"/>
        <v>C00073 : L-Methionine</v>
      </c>
    </row>
    <row r="70" spans="1:4">
      <c r="A70" t="s">
        <v>11996</v>
      </c>
      <c r="B70" s="43" t="s">
        <v>16684</v>
      </c>
      <c r="C70" s="16" t="str">
        <f>CONCATENATE(A70,":","1")</f>
        <v>C00074:1</v>
      </c>
      <c r="D70" s="17" t="str">
        <f t="shared" ref="D70:D133" si="4">CONCATENATE(A70," : ",B70)</f>
        <v>C00074 : Phosphoenolpyruvate</v>
      </c>
    </row>
    <row r="71" spans="1:4">
      <c r="A71" t="s">
        <v>11997</v>
      </c>
      <c r="B71" s="43" t="s">
        <v>16685</v>
      </c>
      <c r="C71" s="16" t="str">
        <f>CONCATENATE(A71,":","1")</f>
        <v>C00075:1</v>
      </c>
      <c r="D71" s="17" t="str">
        <f t="shared" si="4"/>
        <v>C00075 : UTP</v>
      </c>
    </row>
    <row r="72" spans="1:4">
      <c r="A72" t="s">
        <v>12369</v>
      </c>
      <c r="B72" s="43" t="s">
        <v>16686</v>
      </c>
      <c r="C72" s="16" t="str">
        <f>CONCATENATE(A72,":","1")</f>
        <v>C00076:1</v>
      </c>
      <c r="D72" s="17" t="str">
        <f t="shared" si="4"/>
        <v>C00076 : Calcium cation</v>
      </c>
    </row>
    <row r="73" spans="1:4">
      <c r="A73" t="s">
        <v>11998</v>
      </c>
      <c r="B73" s="43" t="s">
        <v>16687</v>
      </c>
      <c r="C73" s="16" t="str">
        <f>CONCATENATE(A73,":","1")</f>
        <v>C00077:1</v>
      </c>
      <c r="D73" s="17" t="str">
        <f t="shared" si="4"/>
        <v>C00077 : L-Ornithine</v>
      </c>
    </row>
    <row r="74" spans="1:4">
      <c r="A74" t="s">
        <v>11999</v>
      </c>
      <c r="B74" s="43" t="s">
        <v>16688</v>
      </c>
      <c r="C74" s="16" t="str">
        <f>CONCATENATE(A74,":","1000")</f>
        <v>C00078:1000</v>
      </c>
      <c r="D74" s="17" t="str">
        <f t="shared" si="4"/>
        <v>C00078 : L-Tryptophan</v>
      </c>
    </row>
    <row r="75" spans="1:4">
      <c r="A75" t="s">
        <v>12000</v>
      </c>
      <c r="B75" s="43" t="s">
        <v>16689</v>
      </c>
      <c r="C75" s="16" t="str">
        <f>CONCATENATE(A75,":","1000")</f>
        <v>C00079:1000</v>
      </c>
      <c r="D75" s="17" t="str">
        <f t="shared" si="4"/>
        <v>C00079 : L-Phenylalanine</v>
      </c>
    </row>
    <row r="76" spans="1:4">
      <c r="A76" t="s">
        <v>12001</v>
      </c>
      <c r="B76" s="43" t="s">
        <v>16690</v>
      </c>
      <c r="C76" s="16" t="str">
        <f>CONCATENATE(A76,":","1")</f>
        <v>C00080:1</v>
      </c>
      <c r="D76" s="17" t="str">
        <f t="shared" si="4"/>
        <v>C00080 : H+</v>
      </c>
    </row>
    <row r="77" spans="1:4">
      <c r="A77" t="s">
        <v>12002</v>
      </c>
      <c r="B77" s="43" t="s">
        <v>16691</v>
      </c>
      <c r="C77" s="16" t="str">
        <f>CONCATENATE(A77,":","1")</f>
        <v>C00081:1</v>
      </c>
      <c r="D77" s="17" t="str">
        <f t="shared" si="4"/>
        <v>C00081 : ITP</v>
      </c>
    </row>
    <row r="78" spans="1:4">
      <c r="A78" t="s">
        <v>12003</v>
      </c>
      <c r="B78" s="43" t="s">
        <v>16692</v>
      </c>
      <c r="C78" s="16" t="str">
        <f>CONCATENATE(A78,":","1")</f>
        <v>C00082:1</v>
      </c>
      <c r="D78" s="17" t="str">
        <f t="shared" si="4"/>
        <v>C00082 : L-Tyrosine</v>
      </c>
    </row>
    <row r="79" spans="1:4">
      <c r="A79" t="s">
        <v>12004</v>
      </c>
      <c r="B79" s="43" t="s">
        <v>16693</v>
      </c>
      <c r="C79" s="16" t="str">
        <f t="shared" ref="C79:C90" si="5">CONCATENATE(A79,":","1")</f>
        <v>C00083:1</v>
      </c>
      <c r="D79" s="17" t="str">
        <f t="shared" si="4"/>
        <v>C00083 : Malonyl-CoA</v>
      </c>
    </row>
    <row r="80" spans="1:4">
      <c r="A80" t="s">
        <v>12005</v>
      </c>
      <c r="B80" s="43" t="s">
        <v>16694</v>
      </c>
      <c r="C80" s="16" t="str">
        <f t="shared" si="5"/>
        <v>C00084:1</v>
      </c>
      <c r="D80" s="17" t="str">
        <f t="shared" si="4"/>
        <v>C00084 : Acetaldehyde</v>
      </c>
    </row>
    <row r="81" spans="1:4">
      <c r="A81" t="s">
        <v>10070</v>
      </c>
      <c r="B81" s="43" t="s">
        <v>16695</v>
      </c>
      <c r="C81" s="16" t="str">
        <f t="shared" si="5"/>
        <v>C00085:1</v>
      </c>
      <c r="D81" s="17" t="str">
        <f t="shared" si="4"/>
        <v>C00085 : D-Fructose 6-phosphate</v>
      </c>
    </row>
    <row r="82" spans="1:4">
      <c r="A82" t="s">
        <v>12370</v>
      </c>
      <c r="B82" s="43" t="s">
        <v>16696</v>
      </c>
      <c r="C82" s="16" t="str">
        <f t="shared" si="5"/>
        <v>C00086:1</v>
      </c>
      <c r="D82" s="17" t="str">
        <f t="shared" si="4"/>
        <v>C00086 : Urea</v>
      </c>
    </row>
    <row r="83" spans="1:4">
      <c r="A83" t="s">
        <v>12006</v>
      </c>
      <c r="B83" s="43" t="s">
        <v>16697</v>
      </c>
      <c r="C83" s="16" t="str">
        <f t="shared" si="5"/>
        <v>C00088:1</v>
      </c>
      <c r="D83" s="17" t="str">
        <f t="shared" si="4"/>
        <v>C00088 : Nitrite</v>
      </c>
    </row>
    <row r="84" spans="1:4">
      <c r="A84" t="s">
        <v>12371</v>
      </c>
      <c r="B84" s="43" t="s">
        <v>16698</v>
      </c>
      <c r="C84" s="16" t="str">
        <f t="shared" si="5"/>
        <v>C00089:1</v>
      </c>
      <c r="D84" s="17" t="str">
        <f t="shared" si="4"/>
        <v>C00089 : Sucrose</v>
      </c>
    </row>
    <row r="85" spans="1:4">
      <c r="A85" t="s">
        <v>12372</v>
      </c>
      <c r="B85" s="43" t="s">
        <v>16699</v>
      </c>
      <c r="C85" s="16" t="str">
        <f t="shared" si="5"/>
        <v>C00090:1</v>
      </c>
      <c r="D85" s="17" t="str">
        <f t="shared" si="4"/>
        <v>C00090 : Catechol</v>
      </c>
    </row>
    <row r="86" spans="1:4">
      <c r="A86" t="s">
        <v>9671</v>
      </c>
      <c r="B86" s="43" t="s">
        <v>16700</v>
      </c>
      <c r="C86" s="16" t="str">
        <f t="shared" si="5"/>
        <v>C00091:1</v>
      </c>
      <c r="D86" s="17" t="str">
        <f t="shared" si="4"/>
        <v>C00091 : Succinyl-CoA</v>
      </c>
    </row>
    <row r="87" spans="1:4">
      <c r="A87" t="s">
        <v>8551</v>
      </c>
      <c r="B87" s="43" t="s">
        <v>16701</v>
      </c>
      <c r="C87" s="16" t="str">
        <f t="shared" si="5"/>
        <v>C00092:1</v>
      </c>
      <c r="D87" s="17" t="str">
        <f t="shared" si="4"/>
        <v>C00092 : D-Glucose 6-phosphate</v>
      </c>
    </row>
    <row r="88" spans="1:4">
      <c r="A88" t="s">
        <v>12007</v>
      </c>
      <c r="B88" s="43" t="s">
        <v>16702</v>
      </c>
      <c r="C88" s="16" t="str">
        <f t="shared" si="5"/>
        <v>C00093:1</v>
      </c>
      <c r="D88" s="17" t="str">
        <f t="shared" si="4"/>
        <v>C00093 : sn-Glycerol 3-phosphate</v>
      </c>
    </row>
    <row r="89" spans="1:4">
      <c r="A89" t="s">
        <v>12008</v>
      </c>
      <c r="B89" s="43" t="s">
        <v>16703</v>
      </c>
      <c r="C89" s="16" t="str">
        <f t="shared" si="5"/>
        <v>C00094:1</v>
      </c>
      <c r="D89" s="17" t="str">
        <f t="shared" si="4"/>
        <v>C00094 : Sulfite</v>
      </c>
    </row>
    <row r="90" spans="1:4">
      <c r="A90" t="s">
        <v>10362</v>
      </c>
      <c r="B90" s="43" t="s">
        <v>16704</v>
      </c>
      <c r="C90" s="16" t="str">
        <f t="shared" si="5"/>
        <v>C00096:1</v>
      </c>
      <c r="D90" s="17" t="str">
        <f t="shared" si="4"/>
        <v>C00096 : GDP-mannose</v>
      </c>
    </row>
    <row r="91" spans="1:4">
      <c r="A91" t="s">
        <v>12009</v>
      </c>
      <c r="B91" s="43" t="s">
        <v>16705</v>
      </c>
      <c r="C91" s="16" t="str">
        <f>CONCATENATE(A91,":","1000")</f>
        <v>C00097:1000</v>
      </c>
      <c r="D91" s="17" t="str">
        <f t="shared" si="4"/>
        <v>C00097 : L-Cysteine</v>
      </c>
    </row>
    <row r="92" spans="1:4">
      <c r="A92" t="s">
        <v>12010</v>
      </c>
      <c r="B92" s="43" t="s">
        <v>16706</v>
      </c>
      <c r="C92" s="16" t="str">
        <f>CONCATENATE(A92,":","1")</f>
        <v>C00099:1</v>
      </c>
      <c r="D92" s="17" t="str">
        <f t="shared" si="4"/>
        <v>C00099 : beta-Alanine</v>
      </c>
    </row>
    <row r="93" spans="1:4">
      <c r="A93" t="s">
        <v>12373</v>
      </c>
      <c r="B93" s="43" t="s">
        <v>16707</v>
      </c>
      <c r="C93" s="16" t="str">
        <f t="shared" ref="C93:C110" si="6">CONCATENATE(A93,":","1")</f>
        <v>C00100:1</v>
      </c>
      <c r="D93" s="17" t="str">
        <f t="shared" si="4"/>
        <v>C00100 : Propanoyl-CoA</v>
      </c>
    </row>
    <row r="94" spans="1:4">
      <c r="A94" t="s">
        <v>12011</v>
      </c>
      <c r="B94" s="43" t="s">
        <v>16708</v>
      </c>
      <c r="C94" s="16" t="str">
        <f t="shared" si="6"/>
        <v>C00101:1</v>
      </c>
      <c r="D94" s="17" t="str">
        <f t="shared" si="4"/>
        <v>C00101 : Tetrahydrofolate</v>
      </c>
    </row>
    <row r="95" spans="1:4">
      <c r="A95" t="s">
        <v>8825</v>
      </c>
      <c r="B95" s="43" t="s">
        <v>16709</v>
      </c>
      <c r="C95" s="16" t="str">
        <f t="shared" si="6"/>
        <v>C00103:1</v>
      </c>
      <c r="D95" s="17" t="str">
        <f t="shared" si="4"/>
        <v>C00103 : D-Glucose 1-phosphate</v>
      </c>
    </row>
    <row r="96" spans="1:4">
      <c r="A96" t="s">
        <v>12012</v>
      </c>
      <c r="B96" s="43" t="s">
        <v>16710</v>
      </c>
      <c r="C96" s="16" t="str">
        <f t="shared" si="6"/>
        <v>C00104:1</v>
      </c>
      <c r="D96" s="17" t="str">
        <f t="shared" si="4"/>
        <v>C00104 : IDP</v>
      </c>
    </row>
    <row r="97" spans="1:4">
      <c r="A97" t="s">
        <v>12013</v>
      </c>
      <c r="B97" s="43" t="s">
        <v>16711</v>
      </c>
      <c r="C97" s="16" t="str">
        <f t="shared" si="6"/>
        <v>C00105:1</v>
      </c>
      <c r="D97" s="17" t="str">
        <f t="shared" si="4"/>
        <v>C00105 : UMP</v>
      </c>
    </row>
    <row r="98" spans="1:4">
      <c r="A98" t="s">
        <v>12374</v>
      </c>
      <c r="B98" s="43" t="s">
        <v>16712</v>
      </c>
      <c r="C98" s="16" t="str">
        <f t="shared" si="6"/>
        <v>C00106:1</v>
      </c>
      <c r="D98" s="17" t="str">
        <f t="shared" si="4"/>
        <v>C00106 : Uracil</v>
      </c>
    </row>
    <row r="99" spans="1:4">
      <c r="A99" t="s">
        <v>12375</v>
      </c>
      <c r="B99" s="43" t="s">
        <v>16713</v>
      </c>
      <c r="C99" s="16" t="str">
        <f t="shared" si="6"/>
        <v>C00108:1</v>
      </c>
      <c r="D99" s="17" t="str">
        <f t="shared" si="4"/>
        <v>C00108 : Anthranilate</v>
      </c>
    </row>
    <row r="100" spans="1:4">
      <c r="A100" t="s">
        <v>12014</v>
      </c>
      <c r="B100" s="43" t="s">
        <v>16714</v>
      </c>
      <c r="C100" s="16" t="str">
        <f t="shared" si="6"/>
        <v>C00109:1</v>
      </c>
      <c r="D100" s="17" t="str">
        <f t="shared" si="4"/>
        <v>C00109 : 2-Oxobutanoate</v>
      </c>
    </row>
    <row r="101" spans="1:4">
      <c r="A101" t="s">
        <v>12376</v>
      </c>
      <c r="B101" s="43" t="s">
        <v>16715</v>
      </c>
      <c r="C101" s="16" t="str">
        <f t="shared" si="6"/>
        <v>C00110:1</v>
      </c>
      <c r="D101" s="17" t="str">
        <f t="shared" si="4"/>
        <v>C00110 : Dolichyl phosphate</v>
      </c>
    </row>
    <row r="102" spans="1:4">
      <c r="A102" t="s">
        <v>9626</v>
      </c>
      <c r="B102" s="43" t="s">
        <v>16716</v>
      </c>
      <c r="C102" s="16" t="str">
        <f t="shared" si="6"/>
        <v>C00111:1</v>
      </c>
      <c r="D102" s="17" t="str">
        <f t="shared" si="4"/>
        <v>C00111 : Glycerone phosphate</v>
      </c>
    </row>
    <row r="103" spans="1:4">
      <c r="A103" t="s">
        <v>12015</v>
      </c>
      <c r="B103" s="43" t="s">
        <v>16717</v>
      </c>
      <c r="C103" s="16" t="str">
        <f t="shared" si="6"/>
        <v>C00112:1</v>
      </c>
      <c r="D103" s="17" t="str">
        <f t="shared" si="4"/>
        <v>C00112 : CDP</v>
      </c>
    </row>
    <row r="104" spans="1:4">
      <c r="A104" t="s">
        <v>12377</v>
      </c>
      <c r="B104" s="43" t="s">
        <v>16718</v>
      </c>
      <c r="C104" s="16" t="str">
        <f t="shared" si="6"/>
        <v>C00114:1</v>
      </c>
      <c r="D104" s="17" t="str">
        <f t="shared" si="4"/>
        <v>C00114 : Choline</v>
      </c>
    </row>
    <row r="105" spans="1:4">
      <c r="A105" t="s">
        <v>12016</v>
      </c>
      <c r="B105" s="43" t="s">
        <v>16719</v>
      </c>
      <c r="C105" s="16" t="str">
        <f t="shared" si="6"/>
        <v>C00116:1</v>
      </c>
      <c r="D105" s="17" t="str">
        <f t="shared" si="4"/>
        <v>C00116 : Glycerol</v>
      </c>
    </row>
    <row r="106" spans="1:4">
      <c r="A106" t="s">
        <v>8830</v>
      </c>
      <c r="B106" s="43" t="s">
        <v>16720</v>
      </c>
      <c r="C106" s="16" t="str">
        <f t="shared" si="6"/>
        <v>C00117:1</v>
      </c>
      <c r="D106" s="17" t="str">
        <f t="shared" si="4"/>
        <v>C00117 : D-Ribose 5-phosphate</v>
      </c>
    </row>
    <row r="107" spans="1:4">
      <c r="A107" t="s">
        <v>9625</v>
      </c>
      <c r="B107" s="43" t="s">
        <v>16721</v>
      </c>
      <c r="C107" s="16" t="str">
        <f t="shared" si="6"/>
        <v>C00118:1</v>
      </c>
      <c r="D107" s="17" t="str">
        <f t="shared" si="4"/>
        <v>C00118 : D-Glyceraldehyde 3-phosphate</v>
      </c>
    </row>
    <row r="108" spans="1:4">
      <c r="A108" t="s">
        <v>12017</v>
      </c>
      <c r="B108" s="43" t="s">
        <v>16722</v>
      </c>
      <c r="C108" s="16" t="str">
        <f t="shared" si="6"/>
        <v>C00119:1</v>
      </c>
      <c r="D108" s="17" t="str">
        <f t="shared" si="4"/>
        <v>C00119 : 5-Phospho-alpha-D-ribose 1-diphosphate</v>
      </c>
    </row>
    <row r="109" spans="1:4">
      <c r="A109" t="s">
        <v>12018</v>
      </c>
      <c r="B109" s="43" t="s">
        <v>16723</v>
      </c>
      <c r="C109" s="16" t="str">
        <f t="shared" si="6"/>
        <v>C00120:1</v>
      </c>
      <c r="D109" s="17" t="str">
        <f t="shared" si="4"/>
        <v>C00120 : Biotin</v>
      </c>
    </row>
    <row r="110" spans="1:4">
      <c r="A110" t="s">
        <v>12019</v>
      </c>
      <c r="B110" s="43" t="s">
        <v>16724</v>
      </c>
      <c r="C110" s="16" t="str">
        <f t="shared" si="6"/>
        <v>C00122:1</v>
      </c>
      <c r="D110" s="17" t="str">
        <f t="shared" si="4"/>
        <v>C00122 : Fumarate</v>
      </c>
    </row>
    <row r="111" spans="1:4">
      <c r="A111" t="s">
        <v>12020</v>
      </c>
      <c r="B111" s="43" t="s">
        <v>16725</v>
      </c>
      <c r="C111" s="16" t="str">
        <f>CONCATENATE(A111,":","1000")</f>
        <v>C00123:1000</v>
      </c>
      <c r="D111" s="17" t="str">
        <f t="shared" si="4"/>
        <v>C00123 : L-Leucine</v>
      </c>
    </row>
    <row r="112" spans="1:4">
      <c r="A112" t="s">
        <v>12021</v>
      </c>
      <c r="B112" s="43" t="s">
        <v>16726</v>
      </c>
      <c r="C112" s="16" t="str">
        <f t="shared" ref="C112:C130" si="7">CONCATENATE(A112,":","1")</f>
        <v>C00125:1</v>
      </c>
      <c r="D112" s="17" t="str">
        <f t="shared" si="4"/>
        <v>C00125 : Ferricytochrome c</v>
      </c>
    </row>
    <row r="113" spans="1:4">
      <c r="A113" t="s">
        <v>12022</v>
      </c>
      <c r="B113" s="43" t="s">
        <v>16727</v>
      </c>
      <c r="C113" s="16" t="str">
        <f t="shared" si="7"/>
        <v>C00126:1</v>
      </c>
      <c r="D113" s="17" t="str">
        <f t="shared" si="4"/>
        <v>C00126 : Ferrocytochrome c</v>
      </c>
    </row>
    <row r="114" spans="1:4">
      <c r="A114" t="s">
        <v>12023</v>
      </c>
      <c r="B114" s="43" t="s">
        <v>16728</v>
      </c>
      <c r="C114" s="16" t="str">
        <f t="shared" si="7"/>
        <v>C00127:1</v>
      </c>
      <c r="D114" s="17" t="str">
        <f t="shared" si="4"/>
        <v>C00127 : Glutathione disulfide</v>
      </c>
    </row>
    <row r="115" spans="1:4">
      <c r="A115" t="s">
        <v>9095</v>
      </c>
      <c r="B115" s="43" t="s">
        <v>16729</v>
      </c>
      <c r="C115" s="16" t="str">
        <f t="shared" si="7"/>
        <v>C00129:1</v>
      </c>
      <c r="D115" s="17" t="str">
        <f t="shared" si="4"/>
        <v>C00129 : Isopentenyl diphosphate</v>
      </c>
    </row>
    <row r="116" spans="1:4">
      <c r="A116" t="s">
        <v>12024</v>
      </c>
      <c r="B116" s="43" t="s">
        <v>16730</v>
      </c>
      <c r="C116" s="16" t="str">
        <f t="shared" si="7"/>
        <v>C00130:1</v>
      </c>
      <c r="D116" s="17" t="str">
        <f t="shared" si="4"/>
        <v>C00130 : IMP</v>
      </c>
    </row>
    <row r="117" spans="1:4">
      <c r="A117" t="s">
        <v>12025</v>
      </c>
      <c r="B117" s="43" t="s">
        <v>16731</v>
      </c>
      <c r="C117" s="16" t="str">
        <f t="shared" si="7"/>
        <v>C00131:1</v>
      </c>
      <c r="D117" s="17" t="str">
        <f t="shared" si="4"/>
        <v>C00131 : dATP</v>
      </c>
    </row>
    <row r="118" spans="1:4">
      <c r="A118" t="s">
        <v>12378</v>
      </c>
      <c r="B118" s="43" t="s">
        <v>16732</v>
      </c>
      <c r="C118" s="16" t="str">
        <f t="shared" si="7"/>
        <v>C00132:1</v>
      </c>
      <c r="D118" s="17" t="str">
        <f t="shared" si="4"/>
        <v>C00132 : Methanol</v>
      </c>
    </row>
    <row r="119" spans="1:4">
      <c r="A119" t="s">
        <v>10219</v>
      </c>
      <c r="B119" s="43" t="s">
        <v>16733</v>
      </c>
      <c r="C119" s="16" t="str">
        <f t="shared" si="7"/>
        <v>C00133:1</v>
      </c>
      <c r="D119" s="17" t="str">
        <f t="shared" si="4"/>
        <v>C00133 : D-Alanine</v>
      </c>
    </row>
    <row r="120" spans="1:4">
      <c r="A120" t="s">
        <v>12026</v>
      </c>
      <c r="B120" s="43" t="s">
        <v>16734</v>
      </c>
      <c r="C120" s="16" t="str">
        <f t="shared" si="7"/>
        <v>C00134:1</v>
      </c>
      <c r="D120" s="17" t="str">
        <f t="shared" si="4"/>
        <v>C00134 : Putrescine</v>
      </c>
    </row>
    <row r="121" spans="1:4">
      <c r="A121" t="s">
        <v>12027</v>
      </c>
      <c r="B121" s="43" t="s">
        <v>16735</v>
      </c>
      <c r="C121" s="16" t="str">
        <f t="shared" si="7"/>
        <v>C00135:1</v>
      </c>
      <c r="D121" s="17" t="str">
        <f t="shared" si="4"/>
        <v>C00135 : L-Histidine</v>
      </c>
    </row>
    <row r="122" spans="1:4">
      <c r="A122" t="s">
        <v>12028</v>
      </c>
      <c r="B122" s="43" t="s">
        <v>16736</v>
      </c>
      <c r="C122" s="16" t="str">
        <f t="shared" si="7"/>
        <v>C00136:1</v>
      </c>
      <c r="D122" s="17" t="str">
        <f t="shared" si="4"/>
        <v>C00136 : Butanoyl-CoA</v>
      </c>
    </row>
    <row r="123" spans="1:4">
      <c r="A123" t="s">
        <v>12379</v>
      </c>
      <c r="B123" s="43" t="s">
        <v>16737</v>
      </c>
      <c r="C123" s="16" t="str">
        <f t="shared" si="7"/>
        <v>C00137:1</v>
      </c>
      <c r="D123" s="17" t="str">
        <f t="shared" si="4"/>
        <v>C00137 : myo-Inositol</v>
      </c>
    </row>
    <row r="124" spans="1:4">
      <c r="A124" t="s">
        <v>12029</v>
      </c>
      <c r="B124" s="43" t="s">
        <v>16738</v>
      </c>
      <c r="C124" s="16" t="str">
        <f t="shared" si="7"/>
        <v>C00138:1</v>
      </c>
      <c r="D124" s="17" t="str">
        <f t="shared" si="4"/>
        <v>C00138 : Reduced ferredoxin</v>
      </c>
    </row>
    <row r="125" spans="1:4">
      <c r="A125" t="s">
        <v>12030</v>
      </c>
      <c r="B125" s="43" t="s">
        <v>16739</v>
      </c>
      <c r="C125" s="16" t="str">
        <f t="shared" si="7"/>
        <v>C00139:1</v>
      </c>
      <c r="D125" s="17" t="str">
        <f t="shared" si="4"/>
        <v>C00139 : Oxidized ferredoxin</v>
      </c>
    </row>
    <row r="126" spans="1:4">
      <c r="A126" t="s">
        <v>12031</v>
      </c>
      <c r="B126" s="43" t="s">
        <v>16740</v>
      </c>
      <c r="C126" s="16" t="str">
        <f t="shared" si="7"/>
        <v>C00141:1</v>
      </c>
      <c r="D126" s="17" t="str">
        <f t="shared" si="4"/>
        <v>C00141 : 3-Methyl-2-oxobutanoic acid</v>
      </c>
    </row>
    <row r="127" spans="1:4">
      <c r="A127" t="s">
        <v>12032</v>
      </c>
      <c r="B127" s="43" t="s">
        <v>16741</v>
      </c>
      <c r="C127" s="16" t="str">
        <f t="shared" si="7"/>
        <v>C00143:1</v>
      </c>
      <c r="D127" s="17" t="str">
        <f t="shared" si="4"/>
        <v>C00143 : 5,10-Methylenetetrahydrofolate</v>
      </c>
    </row>
    <row r="128" spans="1:4">
      <c r="A128" t="s">
        <v>12033</v>
      </c>
      <c r="B128" s="43" t="s">
        <v>16742</v>
      </c>
      <c r="C128" s="16" t="str">
        <f t="shared" si="7"/>
        <v>C00144:1</v>
      </c>
      <c r="D128" s="17" t="str">
        <f t="shared" si="4"/>
        <v>C00144 : GMP</v>
      </c>
    </row>
    <row r="129" spans="1:4">
      <c r="A129" t="s">
        <v>12380</v>
      </c>
      <c r="B129" s="43" t="s">
        <v>16743</v>
      </c>
      <c r="C129" s="16" t="str">
        <f t="shared" si="7"/>
        <v>C00145:1</v>
      </c>
      <c r="D129" s="17" t="str">
        <f t="shared" si="4"/>
        <v>C00145 : Thiol</v>
      </c>
    </row>
    <row r="130" spans="1:4">
      <c r="A130" t="s">
        <v>12381</v>
      </c>
      <c r="B130" s="43" t="s">
        <v>16521</v>
      </c>
      <c r="C130" s="16" t="str">
        <f t="shared" si="7"/>
        <v>C00147:1</v>
      </c>
      <c r="D130" s="17" t="str">
        <f t="shared" si="4"/>
        <v>C00147 : Adenine</v>
      </c>
    </row>
    <row r="131" spans="1:4">
      <c r="A131" t="s">
        <v>12034</v>
      </c>
      <c r="B131" s="43" t="s">
        <v>16744</v>
      </c>
      <c r="C131" s="16" t="str">
        <f>CONCATENATE(A131,":","1")</f>
        <v>C00148:1</v>
      </c>
      <c r="D131" s="17" t="str">
        <f t="shared" si="4"/>
        <v>C00148 : L-Proline</v>
      </c>
    </row>
    <row r="132" spans="1:4">
      <c r="A132" t="s">
        <v>9972</v>
      </c>
      <c r="B132" s="43" t="s">
        <v>16745</v>
      </c>
      <c r="C132" s="16" t="str">
        <f>CONCATENATE(A132,":","1")</f>
        <v>C00149:1</v>
      </c>
      <c r="D132" s="17" t="str">
        <f t="shared" si="4"/>
        <v>C00149 : (S)-Malate</v>
      </c>
    </row>
    <row r="133" spans="1:4">
      <c r="A133" t="s">
        <v>12035</v>
      </c>
      <c r="B133" s="43" t="s">
        <v>16746</v>
      </c>
      <c r="C133" s="16" t="str">
        <f>CONCATENATE(A133,":","1000")</f>
        <v>C00151:1000</v>
      </c>
      <c r="D133" s="17" t="str">
        <f t="shared" si="4"/>
        <v>C00151 : L-Amino acid</v>
      </c>
    </row>
    <row r="134" spans="1:4">
      <c r="A134" t="s">
        <v>12036</v>
      </c>
      <c r="B134" s="43" t="s">
        <v>16747</v>
      </c>
      <c r="C134" s="16" t="str">
        <f>CONCATENATE(A134,":","1")</f>
        <v>C00152:1</v>
      </c>
      <c r="D134" s="17" t="str">
        <f t="shared" ref="D134:D197" si="8">CONCATENATE(A134," : ",B134)</f>
        <v>C00152 : L-Asparagine</v>
      </c>
    </row>
    <row r="135" spans="1:4">
      <c r="A135" t="s">
        <v>12382</v>
      </c>
      <c r="B135" s="43" t="s">
        <v>16748</v>
      </c>
      <c r="C135" s="16" t="str">
        <f>CONCATENATE(A135,":","1")</f>
        <v>C00153:1</v>
      </c>
      <c r="D135" s="17" t="str">
        <f t="shared" si="8"/>
        <v>C00153 : Nicotinamide</v>
      </c>
    </row>
    <row r="136" spans="1:4">
      <c r="A136" t="s">
        <v>12037</v>
      </c>
      <c r="B136" s="43" t="s">
        <v>16749</v>
      </c>
      <c r="C136" s="16" t="str">
        <f>CONCATENATE(A136,":","1000")</f>
        <v>C00155:1000</v>
      </c>
      <c r="D136" s="17" t="str">
        <f t="shared" si="8"/>
        <v>C00155 : L-Homocysteine</v>
      </c>
    </row>
    <row r="137" spans="1:4">
      <c r="A137" t="s">
        <v>12383</v>
      </c>
      <c r="B137" s="43" t="s">
        <v>16750</v>
      </c>
      <c r="C137" s="16" t="str">
        <f t="shared" ref="C137:C144" si="9">CONCATENATE(A137,":","1")</f>
        <v>C00156:1</v>
      </c>
      <c r="D137" s="17" t="str">
        <f t="shared" si="8"/>
        <v>C00156 : 4-Hydroxybenzoate</v>
      </c>
    </row>
    <row r="138" spans="1:4">
      <c r="A138" t="s">
        <v>10173</v>
      </c>
      <c r="B138" s="43" t="s">
        <v>16751</v>
      </c>
      <c r="C138" s="16" t="str">
        <f t="shared" si="9"/>
        <v>C00158:1</v>
      </c>
      <c r="D138" s="17" t="str">
        <f t="shared" si="8"/>
        <v>C00158 : Citrate</v>
      </c>
    </row>
    <row r="139" spans="1:4">
      <c r="A139" t="s">
        <v>12384</v>
      </c>
      <c r="B139" s="43" t="s">
        <v>16752</v>
      </c>
      <c r="C139" s="16" t="str">
        <f t="shared" si="9"/>
        <v>C00161:1</v>
      </c>
      <c r="D139" s="17" t="str">
        <f t="shared" si="8"/>
        <v>C00161 : 2-Oxo acid</v>
      </c>
    </row>
    <row r="140" spans="1:4">
      <c r="A140" t="s">
        <v>12038</v>
      </c>
      <c r="B140" s="43" t="s">
        <v>16753</v>
      </c>
      <c r="C140" s="16" t="str">
        <f t="shared" si="9"/>
        <v>C00163:1</v>
      </c>
      <c r="D140" s="17" t="str">
        <f t="shared" si="8"/>
        <v>C00163 : Propanoate</v>
      </c>
    </row>
    <row r="141" spans="1:4">
      <c r="A141" t="s">
        <v>12385</v>
      </c>
      <c r="B141" s="43" t="s">
        <v>16754</v>
      </c>
      <c r="C141" s="16" t="str">
        <f t="shared" si="9"/>
        <v>C00166:1</v>
      </c>
      <c r="D141" s="17" t="str">
        <f t="shared" si="8"/>
        <v>C00166 : Phenylpyruvate</v>
      </c>
    </row>
    <row r="142" spans="1:4">
      <c r="A142" t="s">
        <v>12039</v>
      </c>
      <c r="B142" s="43" t="s">
        <v>16755</v>
      </c>
      <c r="C142" s="16" t="str">
        <f t="shared" si="9"/>
        <v>C00169:1</v>
      </c>
      <c r="D142" s="17" t="str">
        <f t="shared" si="8"/>
        <v>C00169 : Carbamoyl phosphate</v>
      </c>
    </row>
    <row r="143" spans="1:4">
      <c r="A143" t="s">
        <v>12386</v>
      </c>
      <c r="B143" s="43" t="s">
        <v>16756</v>
      </c>
      <c r="C143" s="16" t="str">
        <f t="shared" si="9"/>
        <v>C00170:1</v>
      </c>
      <c r="D143" s="17" t="str">
        <f t="shared" si="8"/>
        <v>C00170 : 5'-Methylthioadenosine</v>
      </c>
    </row>
    <row r="144" spans="1:4">
      <c r="A144" t="s">
        <v>12387</v>
      </c>
      <c r="B144" s="43" t="s">
        <v>16757</v>
      </c>
      <c r="C144" s="16" t="str">
        <f t="shared" si="9"/>
        <v>C00180:1</v>
      </c>
      <c r="D144" s="17" t="str">
        <f t="shared" si="8"/>
        <v>C00180 : Benzoate</v>
      </c>
    </row>
    <row r="145" spans="1:4">
      <c r="A145" t="s">
        <v>12040</v>
      </c>
      <c r="B145" s="43" t="s">
        <v>16758</v>
      </c>
      <c r="C145" s="16" t="str">
        <f>CONCATENATE(A145,":","1")</f>
        <v>C00183:1</v>
      </c>
      <c r="D145" s="17" t="str">
        <f t="shared" si="8"/>
        <v>C00183 : L-Valine</v>
      </c>
    </row>
    <row r="146" spans="1:4">
      <c r="A146" t="s">
        <v>12388</v>
      </c>
      <c r="B146" s="43" t="s">
        <v>16759</v>
      </c>
      <c r="C146" s="16" t="str">
        <f>CONCATENATE(A146,":","1")</f>
        <v>C00184:1</v>
      </c>
      <c r="D146" s="17" t="str">
        <f t="shared" si="8"/>
        <v>C00184 : Glycerone</v>
      </c>
    </row>
    <row r="147" spans="1:4">
      <c r="A147" t="s">
        <v>12389</v>
      </c>
      <c r="B147" s="43" t="s">
        <v>16760</v>
      </c>
      <c r="C147" s="16" t="str">
        <f>CONCATENATE(A147,":","1")</f>
        <v>C00186:1</v>
      </c>
      <c r="D147" s="17" t="str">
        <f t="shared" si="8"/>
        <v>C00186 : (S)-Lactate</v>
      </c>
    </row>
    <row r="148" spans="1:4">
      <c r="A148" t="s">
        <v>9249</v>
      </c>
      <c r="B148" s="43" t="s">
        <v>16761</v>
      </c>
      <c r="C148" s="16" t="str">
        <f>CONCATENATE(A148,":","1000")</f>
        <v>C00188:1000</v>
      </c>
      <c r="D148" s="17" t="str">
        <f t="shared" si="8"/>
        <v>C00188 : L-Threonine</v>
      </c>
    </row>
    <row r="149" spans="1:4">
      <c r="A149" t="s">
        <v>12390</v>
      </c>
      <c r="B149" s="43" t="s">
        <v>16762</v>
      </c>
      <c r="C149" s="16" t="str">
        <f t="shared" ref="C149:C162" si="10">CONCATENATE(A149,":","1")</f>
        <v>C00191:1</v>
      </c>
      <c r="D149" s="17" t="str">
        <f t="shared" si="8"/>
        <v>C00191 : D-Glucuronate</v>
      </c>
    </row>
    <row r="150" spans="1:4">
      <c r="A150" t="s">
        <v>12041</v>
      </c>
      <c r="B150" s="43" t="s">
        <v>16763</v>
      </c>
      <c r="C150" s="16" t="str">
        <f t="shared" si="10"/>
        <v>C00194:1</v>
      </c>
      <c r="D150" s="17" t="str">
        <f t="shared" si="8"/>
        <v>C00194 : Cobamide coenzyme</v>
      </c>
    </row>
    <row r="151" spans="1:4">
      <c r="A151" t="s">
        <v>10313</v>
      </c>
      <c r="B151" s="43" t="s">
        <v>16764</v>
      </c>
      <c r="C151" s="16" t="str">
        <f t="shared" si="10"/>
        <v>C00197:1</v>
      </c>
      <c r="D151" s="17" t="str">
        <f t="shared" si="8"/>
        <v>C00197 : 3-Phospho-D-glycerate</v>
      </c>
    </row>
    <row r="152" spans="1:4">
      <c r="A152" t="s">
        <v>8959</v>
      </c>
      <c r="B152" s="43" t="s">
        <v>16765</v>
      </c>
      <c r="C152" s="16" t="str">
        <f t="shared" si="10"/>
        <v>C00199:1</v>
      </c>
      <c r="D152" s="17" t="str">
        <f t="shared" si="8"/>
        <v>C00199 : D-Ribulose 5-phosphate</v>
      </c>
    </row>
    <row r="153" spans="1:4">
      <c r="A153" t="s">
        <v>9579</v>
      </c>
      <c r="B153" s="43" t="s">
        <v>16766</v>
      </c>
      <c r="C153" s="16" t="str">
        <f t="shared" si="10"/>
        <v>C00201:1</v>
      </c>
      <c r="D153" s="17" t="str">
        <f t="shared" si="8"/>
        <v>C00201 : Nucleoside triphosphate</v>
      </c>
    </row>
    <row r="154" spans="1:4">
      <c r="A154" t="s">
        <v>9459</v>
      </c>
      <c r="B154" s="43" t="s">
        <v>16767</v>
      </c>
      <c r="C154" s="16" t="str">
        <f t="shared" si="10"/>
        <v>C00203:1</v>
      </c>
      <c r="D154" s="17" t="str">
        <f t="shared" si="8"/>
        <v>C00203 : UDP-N-acetyl-D-galactosamine</v>
      </c>
    </row>
    <row r="155" spans="1:4">
      <c r="A155" t="s">
        <v>12042</v>
      </c>
      <c r="B155" s="43" t="s">
        <v>16768</v>
      </c>
      <c r="C155" s="16" t="str">
        <f t="shared" si="10"/>
        <v>C00206:1</v>
      </c>
      <c r="D155" s="17" t="str">
        <f t="shared" si="8"/>
        <v>C00206 : dADP</v>
      </c>
    </row>
    <row r="156" spans="1:4">
      <c r="A156" t="s">
        <v>9100</v>
      </c>
      <c r="B156" s="43" t="s">
        <v>16769</v>
      </c>
      <c r="C156" s="16" t="str">
        <f t="shared" si="10"/>
        <v>C00208:1</v>
      </c>
      <c r="D156" s="17" t="str">
        <f t="shared" si="8"/>
        <v>C00208 : Maltose</v>
      </c>
    </row>
    <row r="157" spans="1:4">
      <c r="A157" t="s">
        <v>12391</v>
      </c>
      <c r="B157" s="43" t="s">
        <v>16770</v>
      </c>
      <c r="C157" s="16" t="str">
        <f t="shared" si="10"/>
        <v>C00212:1</v>
      </c>
      <c r="D157" s="17" t="str">
        <f t="shared" si="8"/>
        <v>C00212 : Adenosine</v>
      </c>
    </row>
    <row r="158" spans="1:4">
      <c r="A158" t="s">
        <v>12392</v>
      </c>
      <c r="B158" s="43" t="s">
        <v>16771</v>
      </c>
      <c r="C158" s="16" t="str">
        <f t="shared" si="10"/>
        <v>C00213:1</v>
      </c>
      <c r="D158" s="17" t="str">
        <f t="shared" si="8"/>
        <v>C00213 : Sarcosine</v>
      </c>
    </row>
    <row r="159" spans="1:4">
      <c r="A159" t="s">
        <v>12393</v>
      </c>
      <c r="B159" s="43" t="s">
        <v>16772</v>
      </c>
      <c r="C159" s="16" t="str">
        <f t="shared" si="10"/>
        <v>C00214:1</v>
      </c>
      <c r="D159" s="17" t="str">
        <f t="shared" si="8"/>
        <v>C00214 : Thymidine</v>
      </c>
    </row>
    <row r="160" spans="1:4">
      <c r="A160" t="s">
        <v>12394</v>
      </c>
      <c r="B160" s="43" t="s">
        <v>16773</v>
      </c>
      <c r="C160" s="16" t="str">
        <f t="shared" si="10"/>
        <v>C00215:1</v>
      </c>
      <c r="D160" s="17" t="str">
        <f t="shared" si="8"/>
        <v>C00215 : Nucleotide</v>
      </c>
    </row>
    <row r="161" spans="1:4">
      <c r="A161" t="s">
        <v>8862</v>
      </c>
      <c r="B161" s="43" t="s">
        <v>16774</v>
      </c>
      <c r="C161" s="16" t="str">
        <f t="shared" si="10"/>
        <v>C00217:1</v>
      </c>
      <c r="D161" s="17" t="str">
        <f t="shared" si="8"/>
        <v>C00217 : D-Glutamate</v>
      </c>
    </row>
    <row r="162" spans="1:4">
      <c r="A162" t="s">
        <v>12043</v>
      </c>
      <c r="B162" s="43" t="s">
        <v>16775</v>
      </c>
      <c r="C162" s="16" t="str">
        <f t="shared" si="10"/>
        <v>C00218:1</v>
      </c>
      <c r="D162" s="17" t="str">
        <f t="shared" si="8"/>
        <v>C00218 : Methylamine</v>
      </c>
    </row>
    <row r="163" spans="1:4">
      <c r="A163" t="s">
        <v>12044</v>
      </c>
      <c r="B163" s="43" t="s">
        <v>16776</v>
      </c>
      <c r="C163" s="16" t="str">
        <f>CONCATENATE(A163,":","1000")</f>
        <v>C00221:1000</v>
      </c>
      <c r="D163" s="17" t="str">
        <f t="shared" si="8"/>
        <v>C00221 : beta-D-Glucose</v>
      </c>
    </row>
    <row r="164" spans="1:4">
      <c r="A164" t="s">
        <v>12395</v>
      </c>
      <c r="B164" s="43" t="s">
        <v>16777</v>
      </c>
      <c r="C164" s="16" t="str">
        <f t="shared" ref="C164:C195" si="11">CONCATENATE(A164,":","1")</f>
        <v>C00222:1</v>
      </c>
      <c r="D164" s="17" t="str">
        <f t="shared" si="8"/>
        <v>C00222 : 3-Oxopropanoate</v>
      </c>
    </row>
    <row r="165" spans="1:4">
      <c r="A165" t="s">
        <v>12045</v>
      </c>
      <c r="B165" s="43" t="s">
        <v>16778</v>
      </c>
      <c r="C165" s="16" t="str">
        <f t="shared" si="11"/>
        <v>C00224:1</v>
      </c>
      <c r="D165" s="17" t="str">
        <f t="shared" si="8"/>
        <v>C00224 : Adenylyl sulfate</v>
      </c>
    </row>
    <row r="166" spans="1:4">
      <c r="A166" t="s">
        <v>12396</v>
      </c>
      <c r="B166" s="43" t="s">
        <v>16779</v>
      </c>
      <c r="C166" s="16" t="str">
        <f t="shared" si="11"/>
        <v>C00226:1</v>
      </c>
      <c r="D166" s="17" t="str">
        <f t="shared" si="8"/>
        <v>C00226 : Primary alcohol</v>
      </c>
    </row>
    <row r="167" spans="1:4">
      <c r="A167" t="s">
        <v>12046</v>
      </c>
      <c r="B167" s="43" t="s">
        <v>16780</v>
      </c>
      <c r="C167" s="16" t="str">
        <f t="shared" si="11"/>
        <v>C00227:1</v>
      </c>
      <c r="D167" s="17" t="str">
        <f t="shared" si="8"/>
        <v>C00227 : Acetyl phosphate</v>
      </c>
    </row>
    <row r="168" spans="1:4">
      <c r="A168" t="s">
        <v>12047</v>
      </c>
      <c r="B168" s="43" t="s">
        <v>16781</v>
      </c>
      <c r="C168" s="16" t="str">
        <f t="shared" si="11"/>
        <v>C00229:1</v>
      </c>
      <c r="D168" s="17" t="str">
        <f t="shared" si="8"/>
        <v>C00229 : Acyl-carrier protein</v>
      </c>
    </row>
    <row r="169" spans="1:4">
      <c r="A169" t="s">
        <v>12397</v>
      </c>
      <c r="B169" s="43" t="s">
        <v>16782</v>
      </c>
      <c r="C169" s="16" t="str">
        <f t="shared" si="11"/>
        <v>C00230:1</v>
      </c>
      <c r="D169" s="17" t="str">
        <f t="shared" si="8"/>
        <v>C00230 : 3,4-Dihydroxybenzoate</v>
      </c>
    </row>
    <row r="170" spans="1:4">
      <c r="A170" t="s">
        <v>9598</v>
      </c>
      <c r="B170" s="43" t="s">
        <v>16783</v>
      </c>
      <c r="C170" s="16" t="str">
        <f t="shared" si="11"/>
        <v>C00231:1</v>
      </c>
      <c r="D170" s="17" t="str">
        <f t="shared" si="8"/>
        <v>C00231 : D-Xylulose 5-phosphate</v>
      </c>
    </row>
    <row r="171" spans="1:4">
      <c r="A171" t="s">
        <v>12398</v>
      </c>
      <c r="B171" s="43" t="s">
        <v>16784</v>
      </c>
      <c r="C171" s="16" t="str">
        <f t="shared" si="11"/>
        <v>C00232:1</v>
      </c>
      <c r="D171" s="17" t="str">
        <f t="shared" si="8"/>
        <v>C00232 : Succinate semialdehyde</v>
      </c>
    </row>
    <row r="172" spans="1:4">
      <c r="A172" t="s">
        <v>12399</v>
      </c>
      <c r="B172" s="43" t="s">
        <v>16785</v>
      </c>
      <c r="C172" s="16" t="str">
        <f t="shared" si="11"/>
        <v>C00233:1</v>
      </c>
      <c r="D172" s="17" t="str">
        <f t="shared" si="8"/>
        <v>C00233 : 4-Methyl-2-oxopentanoate</v>
      </c>
    </row>
    <row r="173" spans="1:4">
      <c r="A173" t="s">
        <v>12048</v>
      </c>
      <c r="B173" s="43" t="s">
        <v>16786</v>
      </c>
      <c r="C173" s="16" t="str">
        <f t="shared" si="11"/>
        <v>C00234:1</v>
      </c>
      <c r="D173" s="17" t="str">
        <f t="shared" si="8"/>
        <v>C00234 : 10-Formyltetrahydrofolate</v>
      </c>
    </row>
    <row r="174" spans="1:4">
      <c r="A174" t="s">
        <v>9096</v>
      </c>
      <c r="B174" s="43" t="s">
        <v>16787</v>
      </c>
      <c r="C174" s="16" t="str">
        <f t="shared" si="11"/>
        <v>C00235:1</v>
      </c>
      <c r="D174" s="17" t="str">
        <f t="shared" si="8"/>
        <v>C00235 : Dimethylallyl diphosphate</v>
      </c>
    </row>
    <row r="175" spans="1:4">
      <c r="A175" t="s">
        <v>12049</v>
      </c>
      <c r="B175" s="43" t="s">
        <v>16788</v>
      </c>
      <c r="C175" s="16" t="str">
        <f t="shared" si="11"/>
        <v>C00236:1</v>
      </c>
      <c r="D175" s="17" t="str">
        <f t="shared" si="8"/>
        <v>C00236 : 3-Phospho-D-glyceroyl phosphate</v>
      </c>
    </row>
    <row r="176" spans="1:4">
      <c r="A176" t="s">
        <v>12050</v>
      </c>
      <c r="B176" s="43" t="s">
        <v>16789</v>
      </c>
      <c r="C176" s="16" t="str">
        <f t="shared" si="11"/>
        <v>C00237:1</v>
      </c>
      <c r="D176" s="17" t="str">
        <f t="shared" si="8"/>
        <v>C00237 : CO</v>
      </c>
    </row>
    <row r="177" spans="1:4">
      <c r="A177" t="s">
        <v>12051</v>
      </c>
      <c r="B177" s="43" t="s">
        <v>16790</v>
      </c>
      <c r="C177" s="16" t="str">
        <f t="shared" si="11"/>
        <v>C00239:1</v>
      </c>
      <c r="D177" s="17" t="str">
        <f t="shared" si="8"/>
        <v>C00239 : dCMP</v>
      </c>
    </row>
    <row r="178" spans="1:4">
      <c r="A178" t="s">
        <v>12052</v>
      </c>
      <c r="B178" s="43" t="s">
        <v>258</v>
      </c>
      <c r="C178" s="16" t="str">
        <f t="shared" si="11"/>
        <v>C00240:1</v>
      </c>
      <c r="D178" s="17" t="str">
        <f t="shared" si="8"/>
        <v>C00240 : rRNA</v>
      </c>
    </row>
    <row r="179" spans="1:4">
      <c r="A179" t="s">
        <v>12400</v>
      </c>
      <c r="B179" s="43" t="s">
        <v>16791</v>
      </c>
      <c r="C179" s="16" t="str">
        <f t="shared" si="11"/>
        <v>C00241:1</v>
      </c>
      <c r="D179" s="17" t="str">
        <f t="shared" si="8"/>
        <v>C00241 : Amide</v>
      </c>
    </row>
    <row r="180" spans="1:4">
      <c r="A180" t="s">
        <v>12053</v>
      </c>
      <c r="B180" s="43" t="s">
        <v>16792</v>
      </c>
      <c r="C180" s="16" t="str">
        <f t="shared" si="11"/>
        <v>C00242:1</v>
      </c>
      <c r="D180" s="17" t="str">
        <f t="shared" si="8"/>
        <v>C00242 : Guanine</v>
      </c>
    </row>
    <row r="181" spans="1:4">
      <c r="A181" t="s">
        <v>12054</v>
      </c>
      <c r="B181" s="43" t="s">
        <v>16793</v>
      </c>
      <c r="C181" s="16" t="str">
        <f t="shared" si="11"/>
        <v>C00245:1</v>
      </c>
      <c r="D181" s="17" t="str">
        <f t="shared" si="8"/>
        <v>C00245 : Taurine</v>
      </c>
    </row>
    <row r="182" spans="1:4">
      <c r="A182" t="s">
        <v>12401</v>
      </c>
      <c r="B182" s="43" t="s">
        <v>16794</v>
      </c>
      <c r="C182" s="16" t="str">
        <f t="shared" si="11"/>
        <v>C00248:1</v>
      </c>
      <c r="D182" s="17" t="str">
        <f t="shared" si="8"/>
        <v>C00248 : Lipoamide</v>
      </c>
    </row>
    <row r="183" spans="1:4">
      <c r="A183" t="s">
        <v>12055</v>
      </c>
      <c r="B183" s="43" t="s">
        <v>16795</v>
      </c>
      <c r="C183" s="16" t="str">
        <f t="shared" si="11"/>
        <v>C00249:1</v>
      </c>
      <c r="D183" s="17" t="str">
        <f t="shared" si="8"/>
        <v>C00249 : Hexadecanoic acid</v>
      </c>
    </row>
    <row r="184" spans="1:4">
      <c r="A184" t="s">
        <v>12056</v>
      </c>
      <c r="B184" s="43" t="s">
        <v>16796</v>
      </c>
      <c r="C184" s="16" t="str">
        <f t="shared" si="11"/>
        <v>C00250:1</v>
      </c>
      <c r="D184" s="17" t="str">
        <f t="shared" si="8"/>
        <v>C00250 : Pyridoxal</v>
      </c>
    </row>
    <row r="185" spans="1:4">
      <c r="A185" t="s">
        <v>9811</v>
      </c>
      <c r="B185" s="43" t="s">
        <v>16797</v>
      </c>
      <c r="C185" s="16" t="str">
        <f t="shared" si="11"/>
        <v>C00251:1</v>
      </c>
      <c r="D185" s="17" t="str">
        <f t="shared" si="8"/>
        <v>C00251 : Chorismate</v>
      </c>
    </row>
    <row r="186" spans="1:4">
      <c r="A186" t="s">
        <v>12402</v>
      </c>
      <c r="B186" s="43" t="s">
        <v>16798</v>
      </c>
      <c r="C186" s="16" t="str">
        <f t="shared" si="11"/>
        <v>C00253:1</v>
      </c>
      <c r="D186" s="17" t="str">
        <f t="shared" si="8"/>
        <v>C00253 : Nicotinate</v>
      </c>
    </row>
    <row r="187" spans="1:4">
      <c r="A187" t="s">
        <v>8577</v>
      </c>
      <c r="B187" s="43" t="s">
        <v>16799</v>
      </c>
      <c r="C187" s="16" t="str">
        <f t="shared" si="11"/>
        <v>C00254:1</v>
      </c>
      <c r="D187" s="17" t="str">
        <f t="shared" si="8"/>
        <v>C00254 : Prephenate</v>
      </c>
    </row>
    <row r="188" spans="1:4">
      <c r="A188" t="s">
        <v>12057</v>
      </c>
      <c r="B188" s="43" t="s">
        <v>16800</v>
      </c>
      <c r="C188" s="16" t="str">
        <f t="shared" si="11"/>
        <v>C00255:1</v>
      </c>
      <c r="D188" s="17" t="str">
        <f t="shared" si="8"/>
        <v>C00255 : Riboflavin</v>
      </c>
    </row>
    <row r="189" spans="1:4">
      <c r="A189" t="s">
        <v>12403</v>
      </c>
      <c r="B189" s="43" t="s">
        <v>16801</v>
      </c>
      <c r="C189" s="16" t="str">
        <f t="shared" si="11"/>
        <v>C00256:1</v>
      </c>
      <c r="D189" s="17" t="str">
        <f t="shared" si="8"/>
        <v>C00256 : (R)-Lactate</v>
      </c>
    </row>
    <row r="190" spans="1:4">
      <c r="A190" t="s">
        <v>12058</v>
      </c>
      <c r="B190" s="43" t="s">
        <v>16802</v>
      </c>
      <c r="C190" s="16" t="str">
        <f t="shared" si="11"/>
        <v>C00257:1</v>
      </c>
      <c r="D190" s="17" t="str">
        <f t="shared" si="8"/>
        <v>C00257 : D-Gluconic acid</v>
      </c>
    </row>
    <row r="191" spans="1:4">
      <c r="A191" t="s">
        <v>12059</v>
      </c>
      <c r="B191" s="43" t="s">
        <v>16803</v>
      </c>
      <c r="C191" s="16" t="str">
        <f t="shared" si="11"/>
        <v>C00258:1</v>
      </c>
      <c r="D191" s="17" t="str">
        <f t="shared" si="8"/>
        <v>C00258 : D-Glycerate</v>
      </c>
    </row>
    <row r="192" spans="1:4">
      <c r="A192" t="s">
        <v>12404</v>
      </c>
      <c r="B192" s="43" t="s">
        <v>16804</v>
      </c>
      <c r="C192" s="16" t="str">
        <f t="shared" si="11"/>
        <v>C00262:1</v>
      </c>
      <c r="D192" s="17" t="str">
        <f t="shared" si="8"/>
        <v>C00262 : Hypoxanthine</v>
      </c>
    </row>
    <row r="193" spans="1:4">
      <c r="A193" t="s">
        <v>12060</v>
      </c>
      <c r="B193" s="43" t="s">
        <v>16805</v>
      </c>
      <c r="C193" s="16" t="str">
        <f t="shared" si="11"/>
        <v>C00263:1</v>
      </c>
      <c r="D193" s="17" t="str">
        <f t="shared" si="8"/>
        <v>C00263 : L-Homoserine</v>
      </c>
    </row>
    <row r="194" spans="1:4">
      <c r="A194" t="s">
        <v>12405</v>
      </c>
      <c r="B194" s="43" t="s">
        <v>16806</v>
      </c>
      <c r="C194" s="16" t="str">
        <f t="shared" si="11"/>
        <v>C00266:1</v>
      </c>
      <c r="D194" s="17" t="str">
        <f t="shared" si="8"/>
        <v>C00266 : Glycolaldehyde</v>
      </c>
    </row>
    <row r="195" spans="1:4">
      <c r="A195" t="s">
        <v>12061</v>
      </c>
      <c r="B195" s="43" t="s">
        <v>16807</v>
      </c>
      <c r="C195" s="16" t="str">
        <f t="shared" si="11"/>
        <v>C00267:1</v>
      </c>
      <c r="D195" s="17" t="str">
        <f t="shared" si="8"/>
        <v>C00267 : alpha-D-Glucose</v>
      </c>
    </row>
    <row r="196" spans="1:4">
      <c r="A196" t="s">
        <v>12406</v>
      </c>
      <c r="B196" s="43" t="s">
        <v>16808</v>
      </c>
      <c r="C196" s="16" t="str">
        <f t="shared" ref="C196:C228" si="12">CONCATENATE(A196,":","1")</f>
        <v>C00268:1</v>
      </c>
      <c r="D196" s="17" t="str">
        <f t="shared" si="8"/>
        <v>C00268 : Dihydrobiopterin</v>
      </c>
    </row>
    <row r="197" spans="1:4">
      <c r="A197" t="s">
        <v>12062</v>
      </c>
      <c r="B197" s="43" t="s">
        <v>16809</v>
      </c>
      <c r="C197" s="16" t="str">
        <f t="shared" si="12"/>
        <v>C00269:1</v>
      </c>
      <c r="D197" s="17" t="str">
        <f t="shared" si="8"/>
        <v>C00269 : CDP-diacylglycerol</v>
      </c>
    </row>
    <row r="198" spans="1:4">
      <c r="A198" t="s">
        <v>12407</v>
      </c>
      <c r="B198" s="43" t="s">
        <v>16810</v>
      </c>
      <c r="C198" s="16" t="str">
        <f t="shared" si="12"/>
        <v>C00272:1</v>
      </c>
      <c r="D198" s="17" t="str">
        <f t="shared" ref="D198:D262" si="13">CONCATENATE(A198," : ",B198)</f>
        <v>C00272 : Tetrahydrobiopterin</v>
      </c>
    </row>
    <row r="199" spans="1:4">
      <c r="A199" t="s">
        <v>10121</v>
      </c>
      <c r="B199" s="43" t="s">
        <v>16811</v>
      </c>
      <c r="C199" s="16" t="str">
        <f t="shared" si="12"/>
        <v>C00275:1</v>
      </c>
      <c r="D199" s="17" t="str">
        <f t="shared" si="13"/>
        <v>C00275 : D-Mannose 6-phosphate</v>
      </c>
    </row>
    <row r="200" spans="1:4">
      <c r="A200" t="s">
        <v>12063</v>
      </c>
      <c r="B200" s="43" t="s">
        <v>16812</v>
      </c>
      <c r="C200" s="16" t="str">
        <f t="shared" si="12"/>
        <v>C00279:1</v>
      </c>
      <c r="D200" s="17" t="str">
        <f t="shared" si="13"/>
        <v>C00279 : D-Erythrose 4-phosphate</v>
      </c>
    </row>
    <row r="201" spans="1:4">
      <c r="A201" t="s">
        <v>12064</v>
      </c>
      <c r="B201" s="43" t="s">
        <v>16813</v>
      </c>
      <c r="C201" s="16" t="str">
        <f t="shared" si="12"/>
        <v>C00283:1</v>
      </c>
      <c r="D201" s="17" t="str">
        <f t="shared" si="13"/>
        <v>C00283 : Hydrogen sulfide</v>
      </c>
    </row>
    <row r="202" spans="1:4">
      <c r="A202" t="s">
        <v>12065</v>
      </c>
      <c r="B202" s="43" t="s">
        <v>16814</v>
      </c>
      <c r="C202" s="16" t="str">
        <f t="shared" si="12"/>
        <v>C00286:1</v>
      </c>
      <c r="D202" s="17" t="str">
        <f t="shared" si="13"/>
        <v>C00286 : dGTP</v>
      </c>
    </row>
    <row r="203" spans="1:4">
      <c r="A203" t="s">
        <v>12066</v>
      </c>
      <c r="B203" s="43" t="s">
        <v>16815</v>
      </c>
      <c r="C203" s="16" t="str">
        <f t="shared" si="12"/>
        <v>C00288:1</v>
      </c>
      <c r="D203" s="17" t="str">
        <f t="shared" si="13"/>
        <v>C00288 : HCO3-</v>
      </c>
    </row>
    <row r="204" spans="1:4">
      <c r="A204" t="s">
        <v>12408</v>
      </c>
      <c r="B204" s="43" t="s">
        <v>16816</v>
      </c>
      <c r="C204" s="16" t="str">
        <f t="shared" si="12"/>
        <v>C00294:1</v>
      </c>
      <c r="D204" s="17" t="str">
        <f t="shared" si="13"/>
        <v>C00294 : Inosine</v>
      </c>
    </row>
    <row r="205" spans="1:4">
      <c r="A205" t="s">
        <v>12409</v>
      </c>
      <c r="B205" s="43" t="s">
        <v>16817</v>
      </c>
      <c r="C205" s="16" t="str">
        <f t="shared" si="12"/>
        <v>C00295:1</v>
      </c>
      <c r="D205" s="17" t="str">
        <f t="shared" si="13"/>
        <v>C00295 : Orotate</v>
      </c>
    </row>
    <row r="206" spans="1:4">
      <c r="A206" t="s">
        <v>12410</v>
      </c>
      <c r="B206" s="43" t="s">
        <v>16818</v>
      </c>
      <c r="C206" s="16" t="str">
        <f t="shared" si="12"/>
        <v>C00299:1</v>
      </c>
      <c r="D206" s="17" t="str">
        <f t="shared" si="13"/>
        <v>C00299 : Uridine</v>
      </c>
    </row>
    <row r="207" spans="1:4">
      <c r="A207" t="s">
        <v>17924</v>
      </c>
      <c r="B207" s="43" t="s">
        <v>17925</v>
      </c>
      <c r="C207" s="16" t="str">
        <f t="shared" si="12"/>
        <v>C00302:1</v>
      </c>
      <c r="D207" s="17" t="str">
        <f t="shared" si="13"/>
        <v>C00302 : Glutamate</v>
      </c>
    </row>
    <row r="208" spans="1:4">
      <c r="A208" t="s">
        <v>12067</v>
      </c>
      <c r="B208" s="43" t="s">
        <v>16819</v>
      </c>
      <c r="C208" s="16" t="str">
        <f t="shared" si="12"/>
        <v>C00310:1</v>
      </c>
      <c r="D208" s="17" t="str">
        <f t="shared" si="13"/>
        <v>C00310 : D-Xylulose</v>
      </c>
    </row>
    <row r="209" spans="1:4">
      <c r="A209" t="s">
        <v>9074</v>
      </c>
      <c r="B209" s="43" t="s">
        <v>16820</v>
      </c>
      <c r="C209" s="16" t="str">
        <f t="shared" si="12"/>
        <v>C00311:1</v>
      </c>
      <c r="D209" s="17" t="str">
        <f t="shared" si="13"/>
        <v>C00311 : Isocitrate</v>
      </c>
    </row>
    <row r="210" spans="1:4">
      <c r="A210" t="s">
        <v>12068</v>
      </c>
      <c r="B210" s="43" t="s">
        <v>16821</v>
      </c>
      <c r="C210" s="16" t="str">
        <f t="shared" si="12"/>
        <v>C00314:1</v>
      </c>
      <c r="D210" s="17" t="str">
        <f t="shared" si="13"/>
        <v>C00314 : Pyridoxine</v>
      </c>
    </row>
    <row r="211" spans="1:4">
      <c r="A211" t="s">
        <v>12069</v>
      </c>
      <c r="B211" s="43" t="s">
        <v>16822</v>
      </c>
      <c r="C211" s="16" t="str">
        <f t="shared" si="12"/>
        <v>C00315:1</v>
      </c>
      <c r="D211" s="17" t="str">
        <f t="shared" si="13"/>
        <v>C00315 : Spermidine</v>
      </c>
    </row>
    <row r="212" spans="1:4">
      <c r="A212" t="s">
        <v>12070</v>
      </c>
      <c r="B212" s="43" t="s">
        <v>16823</v>
      </c>
      <c r="C212" s="16" t="str">
        <f t="shared" si="12"/>
        <v>C00320:1</v>
      </c>
      <c r="D212" s="17" t="str">
        <f t="shared" si="13"/>
        <v>C00320 : Thiosulfate</v>
      </c>
    </row>
    <row r="213" spans="1:4">
      <c r="A213" t="s">
        <v>12071</v>
      </c>
      <c r="B213" s="43" t="s">
        <v>16824</v>
      </c>
      <c r="C213" s="16" t="str">
        <f t="shared" si="12"/>
        <v>C00327:1</v>
      </c>
      <c r="D213" s="17" t="str">
        <f t="shared" si="13"/>
        <v>C00327 : L-Citrulline</v>
      </c>
    </row>
    <row r="214" spans="1:4">
      <c r="A214" t="s">
        <v>12411</v>
      </c>
      <c r="B214" s="43" t="s">
        <v>16825</v>
      </c>
      <c r="C214" s="16" t="str">
        <f t="shared" si="12"/>
        <v>C00330:1</v>
      </c>
      <c r="D214" s="17" t="str">
        <f t="shared" si="13"/>
        <v>C00330 : Deoxyguanosine</v>
      </c>
    </row>
    <row r="215" spans="1:4">
      <c r="A215" t="s">
        <v>12072</v>
      </c>
      <c r="B215" s="43" t="s">
        <v>16826</v>
      </c>
      <c r="C215" s="16" t="str">
        <f t="shared" si="12"/>
        <v>C00332:1</v>
      </c>
      <c r="D215" s="17" t="str">
        <f t="shared" si="13"/>
        <v>C00332 : Acetoacetyl-CoA</v>
      </c>
    </row>
    <row r="216" spans="1:4">
      <c r="A216" t="s">
        <v>8926</v>
      </c>
      <c r="B216" s="43" t="s">
        <v>16827</v>
      </c>
      <c r="C216" s="16" t="str">
        <f t="shared" si="12"/>
        <v>C00333:1</v>
      </c>
      <c r="D216" s="17" t="str">
        <f t="shared" si="13"/>
        <v>C00333 : D-Galacturonate</v>
      </c>
    </row>
    <row r="217" spans="1:4">
      <c r="A217" t="s">
        <v>12412</v>
      </c>
      <c r="B217" s="43" t="s">
        <v>16828</v>
      </c>
      <c r="C217" s="16" t="str">
        <f t="shared" si="12"/>
        <v>C00334:1</v>
      </c>
      <c r="D217" s="17" t="str">
        <f t="shared" si="13"/>
        <v>C00334 : 4-Aminobutanoate</v>
      </c>
    </row>
    <row r="218" spans="1:4">
      <c r="A218" t="s">
        <v>12413</v>
      </c>
      <c r="B218" s="43" t="s">
        <v>16829</v>
      </c>
      <c r="C218" s="16" t="str">
        <f t="shared" si="12"/>
        <v>C00337:1</v>
      </c>
      <c r="D218" s="17" t="str">
        <f t="shared" si="13"/>
        <v>C00337 : (S)-Dihydroorotate</v>
      </c>
    </row>
    <row r="219" spans="1:4">
      <c r="A219" t="s">
        <v>12073</v>
      </c>
      <c r="B219" s="43" t="s">
        <v>16830</v>
      </c>
      <c r="C219" s="16" t="str">
        <f t="shared" si="12"/>
        <v>C00342:1</v>
      </c>
      <c r="D219" s="17" t="str">
        <f t="shared" si="13"/>
        <v>C00342 : Thioredoxin</v>
      </c>
    </row>
    <row r="220" spans="1:4">
      <c r="A220" t="s">
        <v>12074</v>
      </c>
      <c r="B220" s="43" t="s">
        <v>16831</v>
      </c>
      <c r="C220" s="16" t="str">
        <f t="shared" si="12"/>
        <v>C00343:1</v>
      </c>
      <c r="D220" s="17" t="str">
        <f t="shared" si="13"/>
        <v>C00343 : Thioredoxin disulfide</v>
      </c>
    </row>
    <row r="221" spans="1:4">
      <c r="A221" t="s">
        <v>9633</v>
      </c>
      <c r="B221" s="43" t="s">
        <v>16832</v>
      </c>
      <c r="C221" s="16" t="str">
        <f t="shared" si="12"/>
        <v>C00345:1</v>
      </c>
      <c r="D221" s="17" t="str">
        <f t="shared" si="13"/>
        <v>C00345 : 6-Phospho-D-gluconate</v>
      </c>
    </row>
    <row r="222" spans="1:4">
      <c r="A222" t="s">
        <v>10224</v>
      </c>
      <c r="B222" s="43" t="s">
        <v>16833</v>
      </c>
      <c r="C222" s="16" t="str">
        <f t="shared" si="12"/>
        <v>C00352:1</v>
      </c>
      <c r="D222" s="17" t="str">
        <f t="shared" si="13"/>
        <v>C00352 : D-Glucosamine 6-phosphate</v>
      </c>
    </row>
    <row r="223" spans="1:4">
      <c r="A223" t="s">
        <v>12414</v>
      </c>
      <c r="B223" s="43" t="s">
        <v>16834</v>
      </c>
      <c r="C223" s="16" t="str">
        <f t="shared" si="12"/>
        <v>C00353:1</v>
      </c>
      <c r="D223" s="17" t="str">
        <f t="shared" si="13"/>
        <v>C00353 : Geranylgeranyl diphosphate</v>
      </c>
    </row>
    <row r="224" spans="1:4">
      <c r="A224" t="s">
        <v>12075</v>
      </c>
      <c r="B224" s="43" t="s">
        <v>16835</v>
      </c>
      <c r="C224" s="16" t="str">
        <f t="shared" si="12"/>
        <v>C00354:1</v>
      </c>
      <c r="D224" s="17" t="str">
        <f t="shared" si="13"/>
        <v>C00354 : D-Fructose 1,6-bisphosphate</v>
      </c>
    </row>
    <row r="225" spans="1:4">
      <c r="A225" t="s">
        <v>8721</v>
      </c>
      <c r="B225" s="43" t="s">
        <v>16836</v>
      </c>
      <c r="C225" s="16" t="str">
        <f t="shared" si="12"/>
        <v>C00357:1</v>
      </c>
      <c r="D225" s="17" t="str">
        <f t="shared" si="13"/>
        <v>C00357 : N-Acetyl-D-glucosamine 6-phosphate</v>
      </c>
    </row>
    <row r="226" spans="1:4">
      <c r="A226" t="s">
        <v>12076</v>
      </c>
      <c r="B226" s="43" t="s">
        <v>16837</v>
      </c>
      <c r="C226" s="16" t="str">
        <f t="shared" si="12"/>
        <v>C00360:1</v>
      </c>
      <c r="D226" s="17" t="str">
        <f t="shared" si="13"/>
        <v>C00360 : dAMP</v>
      </c>
    </row>
    <row r="227" spans="1:4">
      <c r="A227" t="s">
        <v>12077</v>
      </c>
      <c r="B227" s="43" t="s">
        <v>16838</v>
      </c>
      <c r="C227" s="16" t="str">
        <f t="shared" si="12"/>
        <v>C00361:1</v>
      </c>
      <c r="D227" s="17" t="str">
        <f t="shared" si="13"/>
        <v>C00361 : dGDP</v>
      </c>
    </row>
    <row r="228" spans="1:4">
      <c r="A228" t="s">
        <v>12078</v>
      </c>
      <c r="B228" s="43" t="s">
        <v>16839</v>
      </c>
      <c r="C228" s="16" t="str">
        <f t="shared" si="12"/>
        <v>C00362:1</v>
      </c>
      <c r="D228" s="17" t="str">
        <f t="shared" si="13"/>
        <v>C00362 : dGMP</v>
      </c>
    </row>
    <row r="229" spans="1:4">
      <c r="A229" t="s">
        <v>12079</v>
      </c>
      <c r="B229" s="43" t="s">
        <v>16840</v>
      </c>
      <c r="C229" s="16" t="str">
        <f t="shared" ref="C229:C239" si="14">CONCATENATE(A229,":","1")</f>
        <v>C00363:1</v>
      </c>
      <c r="D229" s="17" t="str">
        <f t="shared" si="13"/>
        <v>C00363 : dTDP</v>
      </c>
    </row>
    <row r="230" spans="1:4">
      <c r="A230" t="s">
        <v>12080</v>
      </c>
      <c r="B230" s="43" t="s">
        <v>16841</v>
      </c>
      <c r="C230" s="16" t="str">
        <f t="shared" si="14"/>
        <v>C00364:1</v>
      </c>
      <c r="D230" s="17" t="str">
        <f t="shared" si="13"/>
        <v>C00364 : dTMP</v>
      </c>
    </row>
    <row r="231" spans="1:4">
      <c r="A231" t="s">
        <v>12081</v>
      </c>
      <c r="B231" s="43" t="s">
        <v>16842</v>
      </c>
      <c r="C231" s="16" t="str">
        <f t="shared" si="14"/>
        <v>C00365:1</v>
      </c>
      <c r="D231" s="17" t="str">
        <f t="shared" si="13"/>
        <v>C00365 : dUMP</v>
      </c>
    </row>
    <row r="232" spans="1:4">
      <c r="A232" t="s">
        <v>9870</v>
      </c>
      <c r="B232" s="43" t="s">
        <v>16843</v>
      </c>
      <c r="C232" s="16" t="str">
        <f t="shared" si="14"/>
        <v>C00369:1</v>
      </c>
      <c r="D232" s="17" t="str">
        <f t="shared" si="13"/>
        <v>C00369 : Starch</v>
      </c>
    </row>
    <row r="233" spans="1:4">
      <c r="A233" t="s">
        <v>12415</v>
      </c>
      <c r="B233" s="43" t="s">
        <v>16844</v>
      </c>
      <c r="C233" s="16" t="str">
        <f t="shared" si="14"/>
        <v>C00376:1</v>
      </c>
      <c r="D233" s="17" t="str">
        <f t="shared" si="13"/>
        <v>C00376 : Retinal</v>
      </c>
    </row>
    <row r="234" spans="1:4">
      <c r="A234" t="s">
        <v>12416</v>
      </c>
      <c r="B234" s="43" t="s">
        <v>16845</v>
      </c>
      <c r="C234" s="16" t="str">
        <f t="shared" si="14"/>
        <v>C00378:1</v>
      </c>
      <c r="D234" s="17" t="str">
        <f t="shared" si="13"/>
        <v>C00378 : Thiamine</v>
      </c>
    </row>
    <row r="235" spans="1:4">
      <c r="A235" t="s">
        <v>12417</v>
      </c>
      <c r="B235" s="43" t="s">
        <v>16846</v>
      </c>
      <c r="C235" s="16" t="str">
        <f t="shared" si="14"/>
        <v>C00385:1</v>
      </c>
      <c r="D235" s="17" t="str">
        <f t="shared" si="13"/>
        <v>C00385 : Xanthine</v>
      </c>
    </row>
    <row r="236" spans="1:4">
      <c r="A236" t="s">
        <v>12418</v>
      </c>
      <c r="B236" s="43" t="s">
        <v>16847</v>
      </c>
      <c r="C236" s="16" t="str">
        <f t="shared" si="14"/>
        <v>C00387:1</v>
      </c>
      <c r="D236" s="17" t="str">
        <f t="shared" si="13"/>
        <v>C00387 : Guanosine</v>
      </c>
    </row>
    <row r="237" spans="1:4">
      <c r="A237" t="s">
        <v>12419</v>
      </c>
      <c r="B237" s="43" t="s">
        <v>16848</v>
      </c>
      <c r="C237" s="16" t="str">
        <f t="shared" si="14"/>
        <v>C00390:1</v>
      </c>
      <c r="D237" s="17" t="str">
        <f t="shared" si="13"/>
        <v>C00390 : Ubiquinol</v>
      </c>
    </row>
    <row r="238" spans="1:4">
      <c r="A238" t="s">
        <v>12420</v>
      </c>
      <c r="B238" s="43" t="s">
        <v>16849</v>
      </c>
      <c r="C238" s="16" t="str">
        <f t="shared" si="14"/>
        <v>C00399:1</v>
      </c>
      <c r="D238" s="17" t="str">
        <f t="shared" si="13"/>
        <v>C00399 : Ubiquinone</v>
      </c>
    </row>
    <row r="239" spans="1:4">
      <c r="A239" t="s">
        <v>12082</v>
      </c>
      <c r="B239" s="43" t="s">
        <v>16850</v>
      </c>
      <c r="C239" s="16" t="str">
        <f t="shared" si="14"/>
        <v>C00404:1</v>
      </c>
      <c r="D239" s="17" t="str">
        <f t="shared" si="13"/>
        <v>C00404 : Polyphosphate</v>
      </c>
    </row>
    <row r="240" spans="1:4">
      <c r="A240" t="s">
        <v>12083</v>
      </c>
      <c r="B240" s="43" t="s">
        <v>16851</v>
      </c>
      <c r="C240" s="16" t="str">
        <f>CONCATENATE(A240,":","1000")</f>
        <v>C00407:1000</v>
      </c>
      <c r="D240" s="17" t="str">
        <f t="shared" si="13"/>
        <v>C00407 : L-Isoleucine</v>
      </c>
    </row>
    <row r="241" spans="1:4">
      <c r="A241" t="s">
        <v>12084</v>
      </c>
      <c r="B241" s="43" t="s">
        <v>16852</v>
      </c>
      <c r="C241" s="16" t="str">
        <f t="shared" ref="C241:C272" si="15">CONCATENATE(A241,":","1")</f>
        <v>C00415:1</v>
      </c>
      <c r="D241" s="17" t="str">
        <f t="shared" si="13"/>
        <v>C00415 : Dihydrofolate</v>
      </c>
    </row>
    <row r="242" spans="1:4">
      <c r="A242" t="s">
        <v>12085</v>
      </c>
      <c r="B242" s="43" t="s">
        <v>16853</v>
      </c>
      <c r="C242" s="16" t="str">
        <f t="shared" si="15"/>
        <v>C00416:1</v>
      </c>
      <c r="D242" s="17" t="str">
        <f t="shared" si="13"/>
        <v>C00416 : Phosphatidate</v>
      </c>
    </row>
    <row r="243" spans="1:4">
      <c r="A243" t="s">
        <v>12421</v>
      </c>
      <c r="B243" s="43" t="s">
        <v>16854</v>
      </c>
      <c r="C243" s="16" t="str">
        <f t="shared" si="15"/>
        <v>C00417:1</v>
      </c>
      <c r="D243" s="17" t="str">
        <f t="shared" si="13"/>
        <v>C00417 : cis-Aconitate</v>
      </c>
    </row>
    <row r="244" spans="1:4">
      <c r="A244" t="s">
        <v>12422</v>
      </c>
      <c r="B244" s="43" t="s">
        <v>16855</v>
      </c>
      <c r="C244" s="16" t="str">
        <f t="shared" si="15"/>
        <v>C00418:1</v>
      </c>
      <c r="D244" s="17" t="str">
        <f t="shared" si="13"/>
        <v>C00418 : (R)-Mevalonate</v>
      </c>
    </row>
    <row r="245" spans="1:4">
      <c r="A245" t="s">
        <v>10271</v>
      </c>
      <c r="B245" s="43" t="s">
        <v>16856</v>
      </c>
      <c r="C245" s="16" t="str">
        <f t="shared" si="15"/>
        <v>C00430:1</v>
      </c>
      <c r="D245" s="17" t="str">
        <f t="shared" si="13"/>
        <v>C00430 : 5-Aminolevulinate</v>
      </c>
    </row>
    <row r="246" spans="1:4">
      <c r="A246" t="s">
        <v>12423</v>
      </c>
      <c r="B246" s="43" t="s">
        <v>16857</v>
      </c>
      <c r="C246" s="16" t="str">
        <f t="shared" si="15"/>
        <v>C00437:1</v>
      </c>
      <c r="D246" s="17" t="str">
        <f t="shared" si="13"/>
        <v>C00437 : N-Acetylornithine</v>
      </c>
    </row>
    <row r="247" spans="1:4">
      <c r="A247" t="s">
        <v>9554</v>
      </c>
      <c r="B247" s="43" t="s">
        <v>16858</v>
      </c>
      <c r="C247" s="16" t="str">
        <f t="shared" si="15"/>
        <v>C00438:1</v>
      </c>
      <c r="D247" s="17" t="str">
        <f t="shared" si="13"/>
        <v>C00438 : N-Carbamoyl-L-aspartate</v>
      </c>
    </row>
    <row r="248" spans="1:4">
      <c r="A248" t="s">
        <v>12424</v>
      </c>
      <c r="B248" s="43" t="s">
        <v>16859</v>
      </c>
      <c r="C248" s="16" t="str">
        <f t="shared" si="15"/>
        <v>C00440:1</v>
      </c>
      <c r="D248" s="17" t="str">
        <f t="shared" si="13"/>
        <v>C00440 : 5-Methyltetrahydrofolate</v>
      </c>
    </row>
    <row r="249" spans="1:4">
      <c r="A249" t="s">
        <v>12425</v>
      </c>
      <c r="B249" s="43" t="s">
        <v>16860</v>
      </c>
      <c r="C249" s="16" t="str">
        <f t="shared" si="15"/>
        <v>C00441:1</v>
      </c>
      <c r="D249" s="17" t="str">
        <f t="shared" si="13"/>
        <v>C00441 : L-Aspartate 4-semialdehyde</v>
      </c>
    </row>
    <row r="250" spans="1:4">
      <c r="A250" t="s">
        <v>12086</v>
      </c>
      <c r="B250" s="43" t="s">
        <v>16861</v>
      </c>
      <c r="C250" s="16" t="str">
        <f t="shared" si="15"/>
        <v>C00445:1</v>
      </c>
      <c r="D250" s="17" t="str">
        <f t="shared" si="13"/>
        <v>C00445 : 5,10-Methenyltetrahydrofolate</v>
      </c>
    </row>
    <row r="251" spans="1:4">
      <c r="A251" t="s">
        <v>11905</v>
      </c>
      <c r="B251" s="43" t="s">
        <v>16862</v>
      </c>
      <c r="C251" s="16" t="str">
        <f t="shared" si="15"/>
        <v>C00447:1</v>
      </c>
      <c r="D251" s="17" t="str">
        <f t="shared" si="13"/>
        <v>C00447 : Sedoheptulose 1,7-bisphosphate</v>
      </c>
    </row>
    <row r="252" spans="1:4">
      <c r="A252" t="s">
        <v>12087</v>
      </c>
      <c r="B252" s="43" t="s">
        <v>16863</v>
      </c>
      <c r="C252" s="16" t="str">
        <f t="shared" si="15"/>
        <v>C00448:1</v>
      </c>
      <c r="D252" s="17" t="str">
        <f t="shared" si="13"/>
        <v>C00448 : trans,trans-Farnesyl diphosphate</v>
      </c>
    </row>
    <row r="253" spans="1:4">
      <c r="A253" t="s">
        <v>12088</v>
      </c>
      <c r="B253" s="43" t="s">
        <v>16864</v>
      </c>
      <c r="C253" s="16" t="str">
        <f t="shared" si="15"/>
        <v>C00454:1</v>
      </c>
      <c r="D253" s="17" t="str">
        <f t="shared" si="13"/>
        <v>C00454 : NDP</v>
      </c>
    </row>
    <row r="254" spans="1:4">
      <c r="A254" t="s">
        <v>12089</v>
      </c>
      <c r="B254" s="43" t="s">
        <v>16865</v>
      </c>
      <c r="C254" s="16" t="str">
        <f t="shared" si="15"/>
        <v>C00455:1</v>
      </c>
      <c r="D254" s="17" t="str">
        <f t="shared" si="13"/>
        <v>C00455 : Nicotinamide D-ribonucleotide</v>
      </c>
    </row>
    <row r="255" spans="1:4">
      <c r="A255" t="s">
        <v>12090</v>
      </c>
      <c r="B255" s="43" t="s">
        <v>16866</v>
      </c>
      <c r="C255" s="16" t="str">
        <f t="shared" si="15"/>
        <v>C00458:1</v>
      </c>
      <c r="D255" s="17" t="str">
        <f t="shared" si="13"/>
        <v>C00458 : dCTP</v>
      </c>
    </row>
    <row r="256" spans="1:4">
      <c r="A256" t="s">
        <v>12091</v>
      </c>
      <c r="B256" s="43" t="s">
        <v>16867</v>
      </c>
      <c r="C256" s="16" t="str">
        <f t="shared" si="15"/>
        <v>C00459:1</v>
      </c>
      <c r="D256" s="17" t="str">
        <f t="shared" si="13"/>
        <v>C00459 : dTTP</v>
      </c>
    </row>
    <row r="257" spans="1:4">
      <c r="A257" t="s">
        <v>12092</v>
      </c>
      <c r="B257" s="43" t="s">
        <v>16868</v>
      </c>
      <c r="C257" s="16" t="str">
        <f t="shared" si="15"/>
        <v>C00460:1</v>
      </c>
      <c r="D257" s="17" t="str">
        <f t="shared" si="13"/>
        <v>C00460 : dUTP</v>
      </c>
    </row>
    <row r="258" spans="1:4">
      <c r="A258" t="s">
        <v>12093</v>
      </c>
      <c r="B258" s="43" t="s">
        <v>16869</v>
      </c>
      <c r="C258" s="16" t="str">
        <f t="shared" si="15"/>
        <v>C00463:1</v>
      </c>
      <c r="D258" s="17" t="str">
        <f t="shared" si="13"/>
        <v>C00463 : Indole</v>
      </c>
    </row>
    <row r="259" spans="1:4">
      <c r="A259" t="s">
        <v>12426</v>
      </c>
      <c r="B259" s="43" t="s">
        <v>16870</v>
      </c>
      <c r="C259" s="16" t="str">
        <f t="shared" si="15"/>
        <v>C00469:1</v>
      </c>
      <c r="D259" s="17" t="str">
        <f t="shared" si="13"/>
        <v>C00469 : Ethanol</v>
      </c>
    </row>
    <row r="260" spans="1:4">
      <c r="A260" t="s">
        <v>12427</v>
      </c>
      <c r="B260" s="43" t="s">
        <v>16871</v>
      </c>
      <c r="C260" s="16" t="str">
        <f t="shared" si="15"/>
        <v>C00473:1</v>
      </c>
      <c r="D260" s="17" t="str">
        <f t="shared" si="13"/>
        <v>C00473 : Retinol</v>
      </c>
    </row>
    <row r="261" spans="1:4">
      <c r="A261" t="s">
        <v>12428</v>
      </c>
      <c r="B261" s="43" t="s">
        <v>16872</v>
      </c>
      <c r="C261" s="16" t="str">
        <f t="shared" si="15"/>
        <v>C00475:1</v>
      </c>
      <c r="D261" s="17" t="str">
        <f t="shared" si="13"/>
        <v>C00475 : Cytidine</v>
      </c>
    </row>
    <row r="262" spans="1:4">
      <c r="A262" t="s">
        <v>12094</v>
      </c>
      <c r="B262" s="43" t="s">
        <v>16873</v>
      </c>
      <c r="C262" s="16" t="str">
        <f t="shared" si="15"/>
        <v>C00490:1</v>
      </c>
      <c r="D262" s="17" t="str">
        <f t="shared" si="13"/>
        <v>C00490 : Itaconate</v>
      </c>
    </row>
    <row r="263" spans="1:4">
      <c r="A263" t="s">
        <v>12429</v>
      </c>
      <c r="B263" s="43" t="s">
        <v>16874</v>
      </c>
      <c r="C263" s="16" t="str">
        <f t="shared" si="15"/>
        <v>C00491:1</v>
      </c>
      <c r="D263" s="17" t="str">
        <f t="shared" ref="D263:D326" si="16">CONCATENATE(A263," : ",B263)</f>
        <v>C00491 : L-Cystine</v>
      </c>
    </row>
    <row r="264" spans="1:4">
      <c r="A264" t="s">
        <v>12095</v>
      </c>
      <c r="B264" s="43" t="s">
        <v>16875</v>
      </c>
      <c r="C264" s="16" t="str">
        <f t="shared" si="15"/>
        <v>C00493:1</v>
      </c>
      <c r="D264" s="17" t="str">
        <f t="shared" si="16"/>
        <v>C00493 : Shikimate</v>
      </c>
    </row>
    <row r="265" spans="1:4">
      <c r="A265" t="s">
        <v>12096</v>
      </c>
      <c r="B265" s="43" t="s">
        <v>16876</v>
      </c>
      <c r="C265" s="16" t="str">
        <f t="shared" si="15"/>
        <v>C00498:1</v>
      </c>
      <c r="D265" s="17" t="str">
        <f t="shared" si="16"/>
        <v>C00498 : ADP-glucose</v>
      </c>
    </row>
    <row r="266" spans="1:4">
      <c r="A266" t="s">
        <v>12430</v>
      </c>
      <c r="B266" s="43" t="s">
        <v>16877</v>
      </c>
      <c r="C266" s="16" t="str">
        <f t="shared" si="15"/>
        <v>C00500:1</v>
      </c>
      <c r="D266" s="17" t="str">
        <f t="shared" si="16"/>
        <v>C00500 : Biliverdin</v>
      </c>
    </row>
    <row r="267" spans="1:4">
      <c r="A267" t="s">
        <v>12431</v>
      </c>
      <c r="B267" s="43" t="s">
        <v>16878</v>
      </c>
      <c r="C267" s="16" t="str">
        <f t="shared" si="15"/>
        <v>C00504:1</v>
      </c>
      <c r="D267" s="17" t="str">
        <f t="shared" si="16"/>
        <v>C00504 : Folate</v>
      </c>
    </row>
    <row r="268" spans="1:4">
      <c r="A268" t="s">
        <v>16146</v>
      </c>
      <c r="B268" s="44" t="s">
        <v>16147</v>
      </c>
      <c r="C268" s="16" t="str">
        <f t="shared" si="15"/>
        <v>C00506:1</v>
      </c>
      <c r="D268" s="17" t="str">
        <f t="shared" si="16"/>
        <v>C00506 : L-Cysteate</v>
      </c>
    </row>
    <row r="269" spans="1:4">
      <c r="A269" t="s">
        <v>12097</v>
      </c>
      <c r="B269" s="43" t="s">
        <v>16879</v>
      </c>
      <c r="C269" s="16" t="str">
        <f t="shared" si="15"/>
        <v>C00522:1</v>
      </c>
      <c r="D269" s="17" t="str">
        <f t="shared" si="16"/>
        <v>C00522 : (R)-Pantoate</v>
      </c>
    </row>
    <row r="270" spans="1:4">
      <c r="A270" t="s">
        <v>12432</v>
      </c>
      <c r="B270" s="43" t="s">
        <v>16880</v>
      </c>
      <c r="C270" s="16" t="str">
        <f t="shared" si="15"/>
        <v>C00526:1</v>
      </c>
      <c r="D270" s="17" t="str">
        <f t="shared" si="16"/>
        <v>C00526 : Deoxyuridine</v>
      </c>
    </row>
    <row r="271" spans="1:4">
      <c r="A271" t="s">
        <v>12098</v>
      </c>
      <c r="B271" s="43" t="s">
        <v>16881</v>
      </c>
      <c r="C271" s="16" t="str">
        <f t="shared" si="15"/>
        <v>C00531:1</v>
      </c>
      <c r="D271" s="17" t="str">
        <f t="shared" si="16"/>
        <v>C00531 : Itaconyl-CoA</v>
      </c>
    </row>
    <row r="272" spans="1:4">
      <c r="A272" t="s">
        <v>12099</v>
      </c>
      <c r="B272" s="43" t="s">
        <v>16882</v>
      </c>
      <c r="C272" s="16" t="str">
        <f t="shared" si="15"/>
        <v>C00534:1</v>
      </c>
      <c r="D272" s="17" t="str">
        <f t="shared" si="16"/>
        <v>C00534 : Pyridoxamine</v>
      </c>
    </row>
    <row r="273" spans="1:4">
      <c r="A273" t="s">
        <v>12100</v>
      </c>
      <c r="B273" s="43" t="s">
        <v>16883</v>
      </c>
      <c r="C273" s="16" t="str">
        <f t="shared" ref="C273:C294" si="17">CONCATENATE(A273,":","1")</f>
        <v>C00536:1</v>
      </c>
      <c r="D273" s="17" t="str">
        <f t="shared" si="16"/>
        <v>C00536 : Triphosphate</v>
      </c>
    </row>
    <row r="274" spans="1:4">
      <c r="A274" t="s">
        <v>12101</v>
      </c>
      <c r="B274" s="43" t="s">
        <v>16884</v>
      </c>
      <c r="C274" s="16" t="str">
        <f t="shared" si="17"/>
        <v>C00541:1</v>
      </c>
      <c r="D274" s="17" t="str">
        <f t="shared" si="16"/>
        <v>C00541 : Cob(II)alamin</v>
      </c>
    </row>
    <row r="275" spans="1:4">
      <c r="A275" t="s">
        <v>12433</v>
      </c>
      <c r="B275" s="43" t="s">
        <v>16885</v>
      </c>
      <c r="C275" s="16" t="str">
        <f t="shared" si="17"/>
        <v>C00542:1</v>
      </c>
      <c r="D275" s="17" t="str">
        <f t="shared" si="16"/>
        <v>C00542 : Cystathionine</v>
      </c>
    </row>
    <row r="276" spans="1:4">
      <c r="A276" t="s">
        <v>8927</v>
      </c>
      <c r="B276" s="43" t="s">
        <v>16886</v>
      </c>
      <c r="C276" s="16" t="str">
        <f t="shared" si="17"/>
        <v>C00558:1</v>
      </c>
      <c r="D276" s="17" t="str">
        <f t="shared" si="16"/>
        <v>C00558 : D-Tagaturonate</v>
      </c>
    </row>
    <row r="277" spans="1:4">
      <c r="A277" t="s">
        <v>12434</v>
      </c>
      <c r="B277" s="43" t="s">
        <v>16887</v>
      </c>
      <c r="C277" s="16" t="str">
        <f t="shared" si="17"/>
        <v>C00559:1</v>
      </c>
      <c r="D277" s="17" t="str">
        <f t="shared" si="16"/>
        <v>C00559 : Deoxyadenosine</v>
      </c>
    </row>
    <row r="278" spans="1:4">
      <c r="A278" t="s">
        <v>12102</v>
      </c>
      <c r="B278" s="43" t="s">
        <v>16888</v>
      </c>
      <c r="C278" s="16" t="str">
        <f t="shared" si="17"/>
        <v>C00562:1</v>
      </c>
      <c r="D278" s="17" t="str">
        <f t="shared" si="16"/>
        <v>C00562 : Phosphoprotein</v>
      </c>
    </row>
    <row r="279" spans="1:4">
      <c r="A279" t="s">
        <v>12103</v>
      </c>
      <c r="B279" s="43" t="s">
        <v>16889</v>
      </c>
      <c r="C279" s="16" t="str">
        <f t="shared" si="17"/>
        <v>C00568:1</v>
      </c>
      <c r="D279" s="17" t="str">
        <f t="shared" si="16"/>
        <v>C00568 : 4-Aminobenzoate</v>
      </c>
    </row>
    <row r="280" spans="1:4">
      <c r="A280" t="s">
        <v>12435</v>
      </c>
      <c r="B280" s="43" t="s">
        <v>16890</v>
      </c>
      <c r="C280" s="16" t="str">
        <f t="shared" si="17"/>
        <v>C00576:1</v>
      </c>
      <c r="D280" s="17" t="str">
        <f t="shared" si="16"/>
        <v>C00576 : Betaine aldehyde</v>
      </c>
    </row>
    <row r="281" spans="1:4">
      <c r="A281" t="s">
        <v>12104</v>
      </c>
      <c r="B281" s="43" t="s">
        <v>16891</v>
      </c>
      <c r="C281" s="16" t="str">
        <f t="shared" si="17"/>
        <v>C00577:1</v>
      </c>
      <c r="D281" s="17" t="str">
        <f t="shared" si="16"/>
        <v>C00577 : D-Glyceraldehyde</v>
      </c>
    </row>
    <row r="282" spans="1:4">
      <c r="A282" t="s">
        <v>12436</v>
      </c>
      <c r="B282" s="43" t="s">
        <v>16892</v>
      </c>
      <c r="C282" s="16" t="str">
        <f t="shared" si="17"/>
        <v>C00579:1</v>
      </c>
      <c r="D282" s="17" t="str">
        <f t="shared" si="16"/>
        <v>C00579 : Dihydrolipoamide</v>
      </c>
    </row>
    <row r="283" spans="1:4">
      <c r="A283" t="s">
        <v>12437</v>
      </c>
      <c r="B283" s="43" t="s">
        <v>16893</v>
      </c>
      <c r="C283" s="16" t="str">
        <f t="shared" si="17"/>
        <v>C00585:1</v>
      </c>
      <c r="D283" s="17" t="str">
        <f t="shared" si="16"/>
        <v>C00585 : Protein tyrosine</v>
      </c>
    </row>
    <row r="284" spans="1:4">
      <c r="A284" t="s">
        <v>12438</v>
      </c>
      <c r="B284" s="43" t="s">
        <v>16894</v>
      </c>
      <c r="C284" s="16" t="str">
        <f t="shared" si="17"/>
        <v>C00587:1</v>
      </c>
      <c r="D284" s="17" t="str">
        <f t="shared" si="16"/>
        <v>C00587 : 3-Hydroxybenzoate</v>
      </c>
    </row>
    <row r="285" spans="1:4">
      <c r="A285" t="s">
        <v>16148</v>
      </c>
      <c r="B285" s="43" t="s">
        <v>16149</v>
      </c>
      <c r="C285" s="16" t="str">
        <f t="shared" si="17"/>
        <v>C00606:1</v>
      </c>
      <c r="D285" s="17" t="str">
        <f t="shared" si="16"/>
        <v>C00606 : 3-Sulfino-L-alanine</v>
      </c>
    </row>
    <row r="286" spans="1:4">
      <c r="A286" t="s">
        <v>12105</v>
      </c>
      <c r="B286" s="43" t="s">
        <v>16895</v>
      </c>
      <c r="C286" s="16" t="str">
        <f t="shared" si="17"/>
        <v>C00615:1</v>
      </c>
      <c r="D286" s="17" t="str">
        <f t="shared" si="16"/>
        <v>C00615 : Protein histidine</v>
      </c>
    </row>
    <row r="287" spans="1:4">
      <c r="A287" t="s">
        <v>8829</v>
      </c>
      <c r="B287" s="43" t="s">
        <v>16896</v>
      </c>
      <c r="C287" s="16" t="str">
        <f t="shared" si="17"/>
        <v>C00620:1</v>
      </c>
      <c r="D287" s="17" t="str">
        <f t="shared" si="16"/>
        <v>C00620 : alpha-D-Ribose 1-phosphate</v>
      </c>
    </row>
    <row r="288" spans="1:4">
      <c r="A288" t="s">
        <v>12106</v>
      </c>
      <c r="B288" s="43" t="s">
        <v>16897</v>
      </c>
      <c r="C288" s="16" t="str">
        <f t="shared" si="17"/>
        <v>C00624:1</v>
      </c>
      <c r="D288" s="17" t="str">
        <f t="shared" si="16"/>
        <v>C00624 : N-Acetyl-L-glutamate</v>
      </c>
    </row>
    <row r="289" spans="1:4">
      <c r="A289" t="s">
        <v>12107</v>
      </c>
      <c r="B289" s="43" t="s">
        <v>16898</v>
      </c>
      <c r="C289" s="16" t="str">
        <f t="shared" si="17"/>
        <v>C00627:1</v>
      </c>
      <c r="D289" s="17" t="str">
        <f t="shared" si="16"/>
        <v>C00627 : Pyridoxine phosphate</v>
      </c>
    </row>
    <row r="290" spans="1:4">
      <c r="A290" t="s">
        <v>12439</v>
      </c>
      <c r="B290" s="43" t="s">
        <v>16899</v>
      </c>
      <c r="C290" s="16" t="str">
        <f t="shared" si="17"/>
        <v>C00628:1</v>
      </c>
      <c r="D290" s="17" t="str">
        <f t="shared" si="16"/>
        <v>C00628 : 2,5-Dihydroxybenzoate</v>
      </c>
    </row>
    <row r="291" spans="1:4">
      <c r="A291" t="s">
        <v>9993</v>
      </c>
      <c r="B291" s="43" t="s">
        <v>16900</v>
      </c>
      <c r="C291" s="16" t="str">
        <f t="shared" si="17"/>
        <v>C00631:1</v>
      </c>
      <c r="D291" s="17" t="str">
        <f t="shared" si="16"/>
        <v>C00631 : 2-Phospho-D-glycerate</v>
      </c>
    </row>
    <row r="292" spans="1:4">
      <c r="A292" t="s">
        <v>12440</v>
      </c>
      <c r="B292" s="43" t="s">
        <v>16901</v>
      </c>
      <c r="C292" s="16" t="str">
        <f t="shared" si="17"/>
        <v>C00632:1</v>
      </c>
      <c r="D292" s="17" t="str">
        <f t="shared" si="16"/>
        <v>C00632 : 3-Hydroxyanthranilate</v>
      </c>
    </row>
    <row r="293" spans="1:4">
      <c r="A293" t="s">
        <v>12441</v>
      </c>
      <c r="B293" s="43" t="s">
        <v>16902</v>
      </c>
      <c r="C293" s="16" t="str">
        <f t="shared" si="17"/>
        <v>C00633:1</v>
      </c>
      <c r="D293" s="17" t="str">
        <f t="shared" si="16"/>
        <v>C00633 : 4-Hydroxybenzaldehyde</v>
      </c>
    </row>
    <row r="294" spans="1:4">
      <c r="A294" t="s">
        <v>12108</v>
      </c>
      <c r="B294" s="43" t="s">
        <v>16903</v>
      </c>
      <c r="C294" s="16" t="str">
        <f t="shared" si="17"/>
        <v>C00636:1</v>
      </c>
      <c r="D294" s="17" t="str">
        <f t="shared" si="16"/>
        <v>C00636 : D-Mannose 1-phosphate</v>
      </c>
    </row>
    <row r="295" spans="1:4">
      <c r="A295" t="s">
        <v>12442</v>
      </c>
      <c r="B295" s="43" t="s">
        <v>16904</v>
      </c>
      <c r="C295" s="16" t="str">
        <f>CONCATENATE(A295,":","1000")</f>
        <v>C00638:1000</v>
      </c>
      <c r="D295" s="17" t="str">
        <f t="shared" si="16"/>
        <v>C00638 : Long-chain fatty acid</v>
      </c>
    </row>
    <row r="296" spans="1:4">
      <c r="A296" t="s">
        <v>12109</v>
      </c>
      <c r="B296" s="43" t="s">
        <v>16905</v>
      </c>
      <c r="C296" s="16" t="str">
        <f t="shared" ref="C296:C359" si="18">CONCATENATE(A296,":","1")</f>
        <v>C00647:1</v>
      </c>
      <c r="D296" s="17" t="str">
        <f t="shared" si="16"/>
        <v>C00647 : Pyridoxamine phosphate</v>
      </c>
    </row>
    <row r="297" spans="1:4">
      <c r="A297" t="s">
        <v>12110</v>
      </c>
      <c r="B297" s="43" t="s">
        <v>16906</v>
      </c>
      <c r="C297" s="16" t="str">
        <f t="shared" si="18"/>
        <v>C00655:1</v>
      </c>
      <c r="D297" s="17" t="str">
        <f t="shared" si="16"/>
        <v>C00655 : Xanthosine 5'-phosphate</v>
      </c>
    </row>
    <row r="298" spans="1:4">
      <c r="A298" t="s">
        <v>9437</v>
      </c>
      <c r="B298" s="43" t="s">
        <v>16907</v>
      </c>
      <c r="C298" s="16" t="str">
        <f t="shared" si="18"/>
        <v>C00666:1</v>
      </c>
      <c r="D298" s="17" t="str">
        <f t="shared" si="16"/>
        <v>C00666 : LL-2,6-Diaminoheptanedioate</v>
      </c>
    </row>
    <row r="299" spans="1:4">
      <c r="A299" t="s">
        <v>8827</v>
      </c>
      <c r="B299" s="43" t="s">
        <v>16908</v>
      </c>
      <c r="C299" s="16" t="str">
        <f t="shared" si="18"/>
        <v>C00668:1</v>
      </c>
      <c r="D299" s="17" t="str">
        <f t="shared" si="16"/>
        <v>C00668 : alpha-D-Glucose 6-phosphate</v>
      </c>
    </row>
    <row r="300" spans="1:4">
      <c r="A300" t="s">
        <v>12111</v>
      </c>
      <c r="B300" s="43" t="s">
        <v>16909</v>
      </c>
      <c r="C300" s="16" t="str">
        <f t="shared" si="18"/>
        <v>C00669:1</v>
      </c>
      <c r="D300" s="17" t="str">
        <f t="shared" si="16"/>
        <v>C00669 : gamma-L-Glutamyl-L-cysteine</v>
      </c>
    </row>
    <row r="301" spans="1:4">
      <c r="A301" t="s">
        <v>12112</v>
      </c>
      <c r="B301" s="43" t="s">
        <v>16910</v>
      </c>
      <c r="C301" s="16" t="str">
        <f t="shared" si="18"/>
        <v>C00670:1</v>
      </c>
      <c r="D301" s="17" t="str">
        <f t="shared" si="16"/>
        <v>C00670 : sn-Glycero-3-phosphocholine</v>
      </c>
    </row>
    <row r="302" spans="1:4">
      <c r="A302" t="s">
        <v>12443</v>
      </c>
      <c r="B302" s="43" t="s">
        <v>16911</v>
      </c>
      <c r="C302" s="16" t="str">
        <f t="shared" si="18"/>
        <v>C00671:1</v>
      </c>
      <c r="D302" s="17" t="str">
        <f t="shared" si="16"/>
        <v>C00671 : (S)-3-Methyl-2-oxopentanoic acid</v>
      </c>
    </row>
    <row r="303" spans="1:4">
      <c r="A303" t="s">
        <v>10324</v>
      </c>
      <c r="B303" s="43" t="s">
        <v>16912</v>
      </c>
      <c r="C303" s="16" t="str">
        <f t="shared" si="18"/>
        <v>C00673:1</v>
      </c>
      <c r="D303" s="17" t="str">
        <f t="shared" si="16"/>
        <v>C00673 : 2-Deoxy-D-ribose 5-phosphate</v>
      </c>
    </row>
    <row r="304" spans="1:4">
      <c r="A304" t="s">
        <v>12444</v>
      </c>
      <c r="B304" s="43" t="s">
        <v>16913</v>
      </c>
      <c r="C304" s="16" t="str">
        <f t="shared" si="18"/>
        <v>C00677:1</v>
      </c>
      <c r="D304" s="17" t="str">
        <f t="shared" si="16"/>
        <v>C00677 : Deoxynucleoside triphosphate</v>
      </c>
    </row>
    <row r="305" spans="1:4">
      <c r="A305" t="s">
        <v>9438</v>
      </c>
      <c r="B305" s="43" t="s">
        <v>16914</v>
      </c>
      <c r="C305" s="16" t="str">
        <f t="shared" si="18"/>
        <v>C00680:1</v>
      </c>
      <c r="D305" s="17" t="str">
        <f t="shared" si="16"/>
        <v>C00680 : meso-2,6-Diaminoheptanedioate</v>
      </c>
    </row>
    <row r="306" spans="1:4">
      <c r="A306" t="s">
        <v>12445</v>
      </c>
      <c r="B306" s="43" t="s">
        <v>16915</v>
      </c>
      <c r="C306" s="16" t="str">
        <f t="shared" si="18"/>
        <v>C00681:1</v>
      </c>
      <c r="D306" s="17" t="str">
        <f t="shared" si="16"/>
        <v>C00681 : 1-Acyl-sn-glycerol 3-phosphate</v>
      </c>
    </row>
    <row r="307" spans="1:4">
      <c r="A307" t="s">
        <v>9876</v>
      </c>
      <c r="B307" s="43" t="s">
        <v>16916</v>
      </c>
      <c r="C307" s="16" t="str">
        <f t="shared" si="18"/>
        <v>C00683:1</v>
      </c>
      <c r="D307" s="17" t="str">
        <f t="shared" si="16"/>
        <v>C00683 : (S)-Methylmalonyl-CoA</v>
      </c>
    </row>
    <row r="308" spans="1:4">
      <c r="A308" t="s">
        <v>12446</v>
      </c>
      <c r="B308" s="43" t="s">
        <v>16917</v>
      </c>
      <c r="C308" s="16" t="str">
        <f t="shared" si="18"/>
        <v>C00685:1</v>
      </c>
      <c r="D308" s="17" t="str">
        <f t="shared" si="16"/>
        <v>C00685 : 3-Oxoacyl-[acyl-carrier protein]</v>
      </c>
    </row>
    <row r="309" spans="1:4">
      <c r="A309" t="s">
        <v>8718</v>
      </c>
      <c r="B309" s="43" t="s">
        <v>16918</v>
      </c>
      <c r="C309" s="16" t="str">
        <f t="shared" si="18"/>
        <v>C00686:1</v>
      </c>
      <c r="D309" s="17" t="str">
        <f t="shared" si="16"/>
        <v>C00686 : N-Acyl-D-mannosamine 6-phosphate</v>
      </c>
    </row>
    <row r="310" spans="1:4">
      <c r="A310" t="s">
        <v>12113</v>
      </c>
      <c r="B310" s="43" t="s">
        <v>16919</v>
      </c>
      <c r="C310" s="16" t="str">
        <f t="shared" si="18"/>
        <v>C00689:1</v>
      </c>
      <c r="D310" s="17" t="str">
        <f t="shared" si="16"/>
        <v>C00689 : alpha,alpha'-Trehalose 6-phosphate</v>
      </c>
    </row>
    <row r="311" spans="1:4">
      <c r="A311" t="s">
        <v>12447</v>
      </c>
      <c r="B311" s="43" t="s">
        <v>16920</v>
      </c>
      <c r="C311" s="16" t="str">
        <f t="shared" si="18"/>
        <v>C00691:1</v>
      </c>
      <c r="D311" s="17" t="str">
        <f t="shared" si="16"/>
        <v>C00691 : 2,4,6/3,5-Pentahydroxycyclohexanone</v>
      </c>
    </row>
    <row r="312" spans="1:4">
      <c r="A312" t="s">
        <v>12114</v>
      </c>
      <c r="B312" s="43" t="s">
        <v>16921</v>
      </c>
      <c r="C312" s="16" t="str">
        <f t="shared" si="18"/>
        <v>C00692:1</v>
      </c>
      <c r="D312" s="17" t="str">
        <f t="shared" si="16"/>
        <v>C00692 : UDP-N-acetylmuramoyl-L-alanyl-D-glutamate</v>
      </c>
    </row>
    <row r="313" spans="1:4">
      <c r="A313" t="s">
        <v>12448</v>
      </c>
      <c r="B313" s="43" t="s">
        <v>16922</v>
      </c>
      <c r="C313" s="16" t="str">
        <f t="shared" si="18"/>
        <v>C00700:1</v>
      </c>
      <c r="D313" s="17" t="str">
        <f t="shared" si="16"/>
        <v>C00700 : XTP</v>
      </c>
    </row>
    <row r="314" spans="1:4">
      <c r="A314" t="s">
        <v>12115</v>
      </c>
      <c r="B314" s="43" t="s">
        <v>16923</v>
      </c>
      <c r="C314" s="16" t="str">
        <f t="shared" si="18"/>
        <v>C00704:1</v>
      </c>
      <c r="D314" s="17" t="str">
        <f t="shared" si="16"/>
        <v>C00704 : Superoxide</v>
      </c>
    </row>
    <row r="315" spans="1:4">
      <c r="A315" t="s">
        <v>12116</v>
      </c>
      <c r="B315" s="43" t="s">
        <v>16924</v>
      </c>
      <c r="C315" s="16" t="str">
        <f t="shared" si="18"/>
        <v>C00705:1</v>
      </c>
      <c r="D315" s="17" t="str">
        <f t="shared" si="16"/>
        <v>C00705 : dCDP</v>
      </c>
    </row>
    <row r="316" spans="1:4">
      <c r="A316" t="s">
        <v>9869</v>
      </c>
      <c r="B316" s="43" t="s">
        <v>16925</v>
      </c>
      <c r="C316" s="16" t="str">
        <f t="shared" si="18"/>
        <v>C00718:1</v>
      </c>
      <c r="D316" s="17" t="str">
        <f t="shared" si="16"/>
        <v>C00718 : Amylose</v>
      </c>
    </row>
    <row r="317" spans="1:4">
      <c r="A317" t="s">
        <v>12449</v>
      </c>
      <c r="B317" s="43" t="s">
        <v>16926</v>
      </c>
      <c r="C317" s="16" t="str">
        <f t="shared" si="18"/>
        <v>C00740:1</v>
      </c>
      <c r="D317" s="17" t="str">
        <f t="shared" si="16"/>
        <v>C00740 : D-Serine</v>
      </c>
    </row>
    <row r="318" spans="1:4">
      <c r="A318" t="s">
        <v>12450</v>
      </c>
      <c r="B318" s="43" t="s">
        <v>16927</v>
      </c>
      <c r="C318" s="16" t="str">
        <f t="shared" si="18"/>
        <v>C00755:1</v>
      </c>
      <c r="D318" s="17" t="str">
        <f t="shared" si="16"/>
        <v>C00755 : 4-Hydroxy-3-methoxy-benzaldehyde</v>
      </c>
    </row>
    <row r="319" spans="1:4">
      <c r="A319" t="s">
        <v>12451</v>
      </c>
      <c r="B319" s="43" t="s">
        <v>16928</v>
      </c>
      <c r="C319" s="16" t="str">
        <f t="shared" si="18"/>
        <v>C00756:1</v>
      </c>
      <c r="D319" s="17" t="str">
        <f t="shared" si="16"/>
        <v>C00756 : 1-Octanol</v>
      </c>
    </row>
    <row r="320" spans="1:4">
      <c r="A320" t="s">
        <v>12452</v>
      </c>
      <c r="B320" s="43" t="s">
        <v>16929</v>
      </c>
      <c r="C320" s="16" t="str">
        <f t="shared" si="18"/>
        <v>C00772:1</v>
      </c>
      <c r="D320" s="17" t="str">
        <f t="shared" si="16"/>
        <v>C00772 : Mevaldate</v>
      </c>
    </row>
    <row r="321" spans="1:4">
      <c r="A321" t="s">
        <v>12117</v>
      </c>
      <c r="B321" s="43" t="s">
        <v>16930</v>
      </c>
      <c r="C321" s="16" t="str">
        <f t="shared" si="18"/>
        <v>C00787:1</v>
      </c>
      <c r="D321" s="17" t="str">
        <f t="shared" si="16"/>
        <v>C00787 : tRNA(Tyr)</v>
      </c>
    </row>
    <row r="322" spans="1:4">
      <c r="A322" t="s">
        <v>12118</v>
      </c>
      <c r="B322" s="43" t="s">
        <v>16931</v>
      </c>
      <c r="C322" s="16" t="str">
        <f t="shared" si="18"/>
        <v>C00797:1</v>
      </c>
      <c r="D322" s="17" t="str">
        <f t="shared" si="16"/>
        <v>C00797 : Ethylamine</v>
      </c>
    </row>
    <row r="323" spans="1:4">
      <c r="A323" t="s">
        <v>12453</v>
      </c>
      <c r="B323" s="43" t="s">
        <v>16932</v>
      </c>
      <c r="C323" s="16" t="str">
        <f t="shared" si="18"/>
        <v>C00812:1</v>
      </c>
      <c r="D323" s="17" t="str">
        <f t="shared" si="16"/>
        <v>C00812 : Alkyl thiol</v>
      </c>
    </row>
    <row r="324" spans="1:4">
      <c r="A324" t="s">
        <v>12454</v>
      </c>
      <c r="B324" s="43" t="s">
        <v>16933</v>
      </c>
      <c r="C324" s="16" t="str">
        <f t="shared" si="18"/>
        <v>C00819:1</v>
      </c>
      <c r="D324" s="17" t="str">
        <f t="shared" si="16"/>
        <v>C00819 : D-Glutamine</v>
      </c>
    </row>
    <row r="325" spans="1:4">
      <c r="A325" t="s">
        <v>11836</v>
      </c>
      <c r="B325" s="43" t="s">
        <v>16934</v>
      </c>
      <c r="C325" s="16" t="str">
        <f t="shared" si="18"/>
        <v>C00826:1</v>
      </c>
      <c r="D325" s="17" t="str">
        <f t="shared" si="16"/>
        <v>C00826 : L-Arogenate</v>
      </c>
    </row>
    <row r="326" spans="1:4">
      <c r="A326" t="s">
        <v>12455</v>
      </c>
      <c r="B326" s="43" t="s">
        <v>16935</v>
      </c>
      <c r="C326" s="16" t="str">
        <f t="shared" si="18"/>
        <v>C00828:1</v>
      </c>
      <c r="D326" s="17" t="str">
        <f t="shared" si="16"/>
        <v>C00828 : Menaquinone</v>
      </c>
    </row>
    <row r="327" spans="1:4">
      <c r="A327" t="s">
        <v>12119</v>
      </c>
      <c r="B327" s="43" t="s">
        <v>16936</v>
      </c>
      <c r="C327" s="16" t="str">
        <f t="shared" si="18"/>
        <v>C00831:1</v>
      </c>
      <c r="D327" s="17" t="str">
        <f t="shared" ref="D327:D390" si="19">CONCATENATE(A327," : ",B327)</f>
        <v>C00831 : Pantetheine</v>
      </c>
    </row>
    <row r="328" spans="1:4">
      <c r="A328" t="s">
        <v>9461</v>
      </c>
      <c r="B328" s="43" t="s">
        <v>16937</v>
      </c>
      <c r="C328" s="16" t="str">
        <f t="shared" si="18"/>
        <v>C00842:1</v>
      </c>
      <c r="D328" s="17" t="str">
        <f t="shared" si="19"/>
        <v>C00842 : dTDP-glucose</v>
      </c>
    </row>
    <row r="329" spans="1:4">
      <c r="A329" t="s">
        <v>9018</v>
      </c>
      <c r="B329" s="43" t="s">
        <v>16938</v>
      </c>
      <c r="C329" s="16" t="str">
        <f t="shared" si="18"/>
        <v>C00846:1</v>
      </c>
      <c r="D329" s="17" t="str">
        <f t="shared" si="19"/>
        <v>C00846 : 3-Oxoadipate</v>
      </c>
    </row>
    <row r="330" spans="1:4">
      <c r="A330" t="s">
        <v>12120</v>
      </c>
      <c r="B330" s="43" t="s">
        <v>16939</v>
      </c>
      <c r="C330" s="16" t="str">
        <f t="shared" si="18"/>
        <v>C00853:1</v>
      </c>
      <c r="D330" s="17" t="str">
        <f t="shared" si="19"/>
        <v>C00853 : Cob(I)alamin</v>
      </c>
    </row>
    <row r="331" spans="1:4">
      <c r="A331" t="s">
        <v>12121</v>
      </c>
      <c r="B331" s="43" t="s">
        <v>16940</v>
      </c>
      <c r="C331" s="16" t="str">
        <f t="shared" si="18"/>
        <v>C00856:1</v>
      </c>
      <c r="D331" s="17" t="str">
        <f t="shared" si="19"/>
        <v>C00856 : DNA cytosine</v>
      </c>
    </row>
    <row r="332" spans="1:4">
      <c r="A332" t="s">
        <v>12122</v>
      </c>
      <c r="B332" s="43" t="s">
        <v>16941</v>
      </c>
      <c r="C332" s="16" t="str">
        <f t="shared" si="18"/>
        <v>C00857:1</v>
      </c>
      <c r="D332" s="17" t="str">
        <f t="shared" si="19"/>
        <v>C00857 : Deamino-NAD+</v>
      </c>
    </row>
    <row r="333" spans="1:4">
      <c r="A333" t="s">
        <v>12456</v>
      </c>
      <c r="B333" s="43" t="s">
        <v>16942</v>
      </c>
      <c r="C333" s="16" t="str">
        <f t="shared" si="18"/>
        <v>C00860:1</v>
      </c>
      <c r="D333" s="17" t="str">
        <f t="shared" si="19"/>
        <v>C00860 : L-Histidinol</v>
      </c>
    </row>
    <row r="334" spans="1:4">
      <c r="A334" t="s">
        <v>12123</v>
      </c>
      <c r="B334" s="43" t="s">
        <v>16943</v>
      </c>
      <c r="C334" s="16" t="str">
        <f t="shared" si="18"/>
        <v>C00864:1</v>
      </c>
      <c r="D334" s="17" t="str">
        <f t="shared" si="19"/>
        <v>C00864 : Pantothenate</v>
      </c>
    </row>
    <row r="335" spans="1:4">
      <c r="A335" t="s">
        <v>10228</v>
      </c>
      <c r="B335" s="43" t="s">
        <v>16944</v>
      </c>
      <c r="C335" s="16" t="str">
        <f t="shared" si="18"/>
        <v>C00868:1</v>
      </c>
      <c r="D335" s="17" t="str">
        <f t="shared" si="19"/>
        <v>C00868 : tRNA uridine</v>
      </c>
    </row>
    <row r="336" spans="1:4">
      <c r="A336" t="s">
        <v>12457</v>
      </c>
      <c r="B336" s="43" t="s">
        <v>16945</v>
      </c>
      <c r="C336" s="16" t="str">
        <f t="shared" si="18"/>
        <v>C00870:1</v>
      </c>
      <c r="D336" s="17" t="str">
        <f t="shared" si="19"/>
        <v>C00870 : 4-Nitrophenol</v>
      </c>
    </row>
    <row r="337" spans="1:4">
      <c r="A337" t="s">
        <v>12458</v>
      </c>
      <c r="B337" s="43" t="s">
        <v>16946</v>
      </c>
      <c r="C337" s="16" t="str">
        <f t="shared" si="18"/>
        <v>C00881:1</v>
      </c>
      <c r="D337" s="17" t="str">
        <f t="shared" si="19"/>
        <v>C00881 : Deoxycytidine</v>
      </c>
    </row>
    <row r="338" spans="1:4">
      <c r="A338" t="s">
        <v>12124</v>
      </c>
      <c r="B338" s="43" t="s">
        <v>16947</v>
      </c>
      <c r="C338" s="16" t="str">
        <f t="shared" si="18"/>
        <v>C00882:1</v>
      </c>
      <c r="D338" s="17" t="str">
        <f t="shared" si="19"/>
        <v>C00882 : Dephospho-CoA</v>
      </c>
    </row>
    <row r="339" spans="1:4">
      <c r="A339" t="s">
        <v>9812</v>
      </c>
      <c r="B339" s="43" t="s">
        <v>16948</v>
      </c>
      <c r="C339" s="16" t="str">
        <f t="shared" si="18"/>
        <v>C00885:1</v>
      </c>
      <c r="D339" s="17" t="str">
        <f t="shared" si="19"/>
        <v>C00885 : Isochorismate</v>
      </c>
    </row>
    <row r="340" spans="1:4">
      <c r="A340" t="s">
        <v>12125</v>
      </c>
      <c r="B340" s="43" t="s">
        <v>16949</v>
      </c>
      <c r="C340" s="16" t="str">
        <f t="shared" si="18"/>
        <v>C00886:1</v>
      </c>
      <c r="D340" s="17" t="str">
        <f t="shared" si="19"/>
        <v>C00886 : L-Alanyl-tRNA</v>
      </c>
    </row>
    <row r="341" spans="1:4">
      <c r="A341" t="s">
        <v>12459</v>
      </c>
      <c r="B341" s="43" t="s">
        <v>16950</v>
      </c>
      <c r="C341" s="16" t="str">
        <f t="shared" si="18"/>
        <v>C00900:1</v>
      </c>
      <c r="D341" s="17" t="str">
        <f t="shared" si="19"/>
        <v>C00900 : 2-Acetolactate</v>
      </c>
    </row>
    <row r="342" spans="1:4">
      <c r="A342" t="s">
        <v>8924</v>
      </c>
      <c r="B342" s="43" t="s">
        <v>16951</v>
      </c>
      <c r="C342" s="16" t="str">
        <f t="shared" si="18"/>
        <v>C00905:1</v>
      </c>
      <c r="D342" s="17" t="str">
        <f t="shared" si="19"/>
        <v>C00905 : D-Fructuronate</v>
      </c>
    </row>
    <row r="343" spans="1:4">
      <c r="A343" t="s">
        <v>12460</v>
      </c>
      <c r="B343" s="43" t="s">
        <v>16952</v>
      </c>
      <c r="C343" s="16" t="str">
        <f t="shared" si="18"/>
        <v>C00911:1</v>
      </c>
      <c r="D343" s="17" t="str">
        <f t="shared" si="19"/>
        <v>C00911 : Ribonucleoside</v>
      </c>
    </row>
    <row r="344" spans="1:4">
      <c r="A344" t="s">
        <v>12126</v>
      </c>
      <c r="B344" s="43" t="s">
        <v>16953</v>
      </c>
      <c r="C344" s="16" t="str">
        <f t="shared" si="18"/>
        <v>C00921:1</v>
      </c>
      <c r="D344" s="17" t="str">
        <f t="shared" si="19"/>
        <v>C00921 : Dihydropteroate</v>
      </c>
    </row>
    <row r="345" spans="1:4">
      <c r="A345" t="s">
        <v>12461</v>
      </c>
      <c r="B345" s="43" t="s">
        <v>16954</v>
      </c>
      <c r="C345" s="16" t="str">
        <f t="shared" si="18"/>
        <v>C00931:1</v>
      </c>
      <c r="D345" s="17" t="str">
        <f t="shared" si="19"/>
        <v>C00931 : Porphobilinogen</v>
      </c>
    </row>
    <row r="346" spans="1:4">
      <c r="A346" t="s">
        <v>11841</v>
      </c>
      <c r="B346" s="43" t="s">
        <v>16955</v>
      </c>
      <c r="C346" s="16" t="str">
        <f t="shared" si="18"/>
        <v>C00935:1</v>
      </c>
      <c r="D346" s="17" t="str">
        <f t="shared" si="19"/>
        <v>C00935 : UDP-L-arabinose</v>
      </c>
    </row>
    <row r="347" spans="1:4">
      <c r="A347" t="s">
        <v>10292</v>
      </c>
      <c r="B347" s="43" t="s">
        <v>16956</v>
      </c>
      <c r="C347" s="16" t="str">
        <f t="shared" si="18"/>
        <v>C00944:1</v>
      </c>
      <c r="D347" s="17" t="str">
        <f t="shared" si="19"/>
        <v>C00944 : 3-Dehydroquinate</v>
      </c>
    </row>
    <row r="348" spans="1:4">
      <c r="A348" t="s">
        <v>12462</v>
      </c>
      <c r="B348" s="43" t="s">
        <v>16957</v>
      </c>
      <c r="C348" s="16" t="str">
        <f t="shared" si="18"/>
        <v>C00957:1</v>
      </c>
      <c r="D348" s="17" t="str">
        <f t="shared" si="19"/>
        <v>C00957 : Mercaptopyruvate</v>
      </c>
    </row>
    <row r="349" spans="1:4">
      <c r="A349" t="s">
        <v>10438</v>
      </c>
      <c r="B349" s="43" t="s">
        <v>16958</v>
      </c>
      <c r="C349" s="16" t="str">
        <f t="shared" si="18"/>
        <v>C00966:1</v>
      </c>
      <c r="D349" s="17" t="str">
        <f t="shared" si="19"/>
        <v>C00966 : 2-Dehydropantoate</v>
      </c>
    </row>
    <row r="350" spans="1:4">
      <c r="A350" t="s">
        <v>12463</v>
      </c>
      <c r="B350" s="43" t="s">
        <v>16959</v>
      </c>
      <c r="C350" s="16" t="str">
        <f t="shared" si="18"/>
        <v>C00979:1</v>
      </c>
      <c r="D350" s="17" t="str">
        <f t="shared" si="19"/>
        <v>C00979 : O-Acetyl-L-serine</v>
      </c>
    </row>
    <row r="351" spans="1:4">
      <c r="A351" t="s">
        <v>12127</v>
      </c>
      <c r="B351" s="43" t="s">
        <v>16960</v>
      </c>
      <c r="C351" s="16" t="str">
        <f t="shared" si="18"/>
        <v>C00993:1</v>
      </c>
      <c r="D351" s="17" t="str">
        <f t="shared" si="19"/>
        <v>C00993 : D-Alanyl-D-alanine</v>
      </c>
    </row>
    <row r="352" spans="1:4">
      <c r="A352" t="s">
        <v>12464</v>
      </c>
      <c r="B352" s="43" t="s">
        <v>16961</v>
      </c>
      <c r="C352" s="16" t="str">
        <f t="shared" si="18"/>
        <v>C01005:1</v>
      </c>
      <c r="D352" s="17" t="str">
        <f t="shared" si="19"/>
        <v>C01005 : O-Phospho-L-serine</v>
      </c>
    </row>
    <row r="353" spans="1:4">
      <c r="A353" t="s">
        <v>12465</v>
      </c>
      <c r="B353" s="43" t="s">
        <v>16962</v>
      </c>
      <c r="C353" s="16" t="str">
        <f t="shared" si="18"/>
        <v>C01013:1</v>
      </c>
      <c r="D353" s="17" t="str">
        <f t="shared" si="19"/>
        <v>C01013 : 3-Hydroxypropanoate</v>
      </c>
    </row>
    <row r="354" spans="1:4">
      <c r="A354" t="s">
        <v>10288</v>
      </c>
      <c r="B354" s="43" t="s">
        <v>16963</v>
      </c>
      <c r="C354" s="16" t="str">
        <f t="shared" si="18"/>
        <v>C01024:1</v>
      </c>
      <c r="D354" s="17" t="str">
        <f t="shared" si="19"/>
        <v>C01024 : Hydroxymethylbilane</v>
      </c>
    </row>
    <row r="355" spans="1:4">
      <c r="A355" t="s">
        <v>12128</v>
      </c>
      <c r="B355" s="43" t="s">
        <v>16964</v>
      </c>
      <c r="C355" s="16" t="str">
        <f t="shared" si="18"/>
        <v>C01037:1</v>
      </c>
      <c r="D355" s="17" t="str">
        <f t="shared" si="19"/>
        <v>C01037 : 7,8-Diaminononanoate</v>
      </c>
    </row>
    <row r="356" spans="1:4">
      <c r="A356" t="s">
        <v>12129</v>
      </c>
      <c r="B356" s="43" t="s">
        <v>16965</v>
      </c>
      <c r="C356" s="16" t="str">
        <f t="shared" si="18"/>
        <v>C01050:1</v>
      </c>
      <c r="D356" s="17" t="str">
        <f t="shared" si="19"/>
        <v>C01050 : UDP-N-acetylmuramate</v>
      </c>
    </row>
    <row r="357" spans="1:4">
      <c r="A357" t="s">
        <v>10279</v>
      </c>
      <c r="B357" s="43" t="s">
        <v>16966</v>
      </c>
      <c r="C357" s="16" t="str">
        <f t="shared" si="18"/>
        <v>C01051:1</v>
      </c>
      <c r="D357" s="17" t="str">
        <f t="shared" si="19"/>
        <v>C01051 : Uroporphyrinogen III</v>
      </c>
    </row>
    <row r="358" spans="1:4">
      <c r="A358" t="s">
        <v>12130</v>
      </c>
      <c r="B358" s="43" t="s">
        <v>16967</v>
      </c>
      <c r="C358" s="16" t="str">
        <f t="shared" si="18"/>
        <v>C01077:1</v>
      </c>
      <c r="D358" s="17" t="str">
        <f t="shared" si="19"/>
        <v>C01077 : O-Acetyl-L-homoserine</v>
      </c>
    </row>
    <row r="359" spans="1:4">
      <c r="A359" t="s">
        <v>12466</v>
      </c>
      <c r="B359" s="43" t="s">
        <v>16968</v>
      </c>
      <c r="C359" s="16" t="str">
        <f t="shared" si="18"/>
        <v>C01079:1</v>
      </c>
      <c r="D359" s="17" t="str">
        <f t="shared" si="19"/>
        <v>C01079 : Protoporphyrinogen IX</v>
      </c>
    </row>
    <row r="360" spans="1:4">
      <c r="A360" t="s">
        <v>12131</v>
      </c>
      <c r="B360" s="43" t="s">
        <v>16969</v>
      </c>
      <c r="C360" s="16" t="str">
        <f t="shared" ref="C360:C423" si="20">CONCATENATE(A360,":","1")</f>
        <v>C01081:1</v>
      </c>
      <c r="D360" s="17" t="str">
        <f t="shared" si="19"/>
        <v>C01081 : Thiamin monophosphate</v>
      </c>
    </row>
    <row r="361" spans="1:4">
      <c r="A361" t="s">
        <v>9101</v>
      </c>
      <c r="B361" s="43" t="s">
        <v>16970</v>
      </c>
      <c r="C361" s="16" t="str">
        <f t="shared" si="20"/>
        <v>C01083:1</v>
      </c>
      <c r="D361" s="17" t="str">
        <f t="shared" si="19"/>
        <v>C01083 : alpha,alpha-Trehalose</v>
      </c>
    </row>
    <row r="362" spans="1:4">
      <c r="A362" t="s">
        <v>12132</v>
      </c>
      <c r="B362" s="43" t="s">
        <v>16971</v>
      </c>
      <c r="C362" s="16" t="str">
        <f t="shared" si="20"/>
        <v>C01092:1</v>
      </c>
      <c r="D362" s="17" t="str">
        <f t="shared" si="19"/>
        <v>C01092 : 8-Amino-7-oxononanoate</v>
      </c>
    </row>
    <row r="363" spans="1:4">
      <c r="A363" t="s">
        <v>11908</v>
      </c>
      <c r="B363" s="43" t="s">
        <v>16972</v>
      </c>
      <c r="C363" s="16" t="str">
        <f t="shared" si="20"/>
        <v>C01094:1</v>
      </c>
      <c r="D363" s="17" t="str">
        <f t="shared" si="19"/>
        <v>C01094 : D-Fructose 1-phosphate</v>
      </c>
    </row>
    <row r="364" spans="1:4">
      <c r="A364" t="s">
        <v>12467</v>
      </c>
      <c r="B364" s="43" t="s">
        <v>16973</v>
      </c>
      <c r="C364" s="16" t="str">
        <f t="shared" si="20"/>
        <v>C01097:1</v>
      </c>
      <c r="D364" s="17" t="str">
        <f t="shared" si="19"/>
        <v>C01097 : D-Tagatose 6-phosphate</v>
      </c>
    </row>
    <row r="365" spans="1:4">
      <c r="A365" t="s">
        <v>12468</v>
      </c>
      <c r="B365" s="43" t="s">
        <v>16974</v>
      </c>
      <c r="C365" s="16" t="str">
        <f t="shared" si="20"/>
        <v>C01100:1</v>
      </c>
      <c r="D365" s="17" t="str">
        <f t="shared" si="19"/>
        <v>C01100 : L-Histidinol phosphate</v>
      </c>
    </row>
    <row r="366" spans="1:4">
      <c r="A366" t="s">
        <v>12133</v>
      </c>
      <c r="B366" s="43" t="s">
        <v>16975</v>
      </c>
      <c r="C366" s="16" t="str">
        <f t="shared" si="20"/>
        <v>C01102:1</v>
      </c>
      <c r="D366" s="17" t="str">
        <f t="shared" si="19"/>
        <v>C01102 : O-Phospho-L-homoserine</v>
      </c>
    </row>
    <row r="367" spans="1:4">
      <c r="A367" t="s">
        <v>9565</v>
      </c>
      <c r="B367" s="43" t="s">
        <v>16976</v>
      </c>
      <c r="C367" s="16" t="str">
        <f t="shared" si="20"/>
        <v>C01103:1</v>
      </c>
      <c r="D367" s="17" t="str">
        <f t="shared" si="19"/>
        <v>C01103 : Orotidine 5'-phosphate</v>
      </c>
    </row>
    <row r="368" spans="1:4">
      <c r="A368" t="s">
        <v>12469</v>
      </c>
      <c r="B368" s="43" t="s">
        <v>16977</v>
      </c>
      <c r="C368" s="16" t="str">
        <f t="shared" si="20"/>
        <v>C01118:1</v>
      </c>
      <c r="D368" s="17" t="str">
        <f t="shared" si="19"/>
        <v>C01118 : O-Succinyl-L-homoserine</v>
      </c>
    </row>
    <row r="369" spans="1:4">
      <c r="A369" t="s">
        <v>12134</v>
      </c>
      <c r="B369" s="43" t="s">
        <v>16978</v>
      </c>
      <c r="C369" s="16" t="str">
        <f t="shared" si="20"/>
        <v>C01134:1</v>
      </c>
      <c r="D369" s="17" t="str">
        <f t="shared" si="19"/>
        <v>C01134 : Pantetheine 4'-phosphate</v>
      </c>
    </row>
    <row r="370" spans="1:4">
      <c r="A370" t="s">
        <v>12470</v>
      </c>
      <c r="B370" s="43" t="s">
        <v>16979</v>
      </c>
      <c r="C370" s="16" t="str">
        <f t="shared" si="20"/>
        <v>C01137:1</v>
      </c>
      <c r="D370" s="17" t="str">
        <f t="shared" si="19"/>
        <v>C01137 : S-Adenosylmethioninamine</v>
      </c>
    </row>
    <row r="371" spans="1:4">
      <c r="A371" t="s">
        <v>12471</v>
      </c>
      <c r="B371" s="43" t="s">
        <v>16980</v>
      </c>
      <c r="C371" s="16" t="str">
        <f t="shared" si="20"/>
        <v>C01153:1</v>
      </c>
      <c r="D371" s="17" t="str">
        <f t="shared" si="19"/>
        <v>C01153 : Orthophosphoric monoester</v>
      </c>
    </row>
    <row r="372" spans="1:4">
      <c r="A372" t="s">
        <v>12472</v>
      </c>
      <c r="B372" s="43" t="s">
        <v>16981</v>
      </c>
      <c r="C372" s="16" t="str">
        <f t="shared" si="20"/>
        <v>C01157:1</v>
      </c>
      <c r="D372" s="17" t="str">
        <f t="shared" si="19"/>
        <v>C01157 : Hydroxyproline</v>
      </c>
    </row>
    <row r="373" spans="1:4">
      <c r="A373" t="s">
        <v>12473</v>
      </c>
      <c r="B373" s="43" t="s">
        <v>16982</v>
      </c>
      <c r="C373" s="16" t="str">
        <f t="shared" si="20"/>
        <v>C01159:1</v>
      </c>
      <c r="D373" s="17" t="str">
        <f t="shared" si="19"/>
        <v>C01159 : 2,3-Bisphospho-D-glycerate</v>
      </c>
    </row>
    <row r="374" spans="1:4">
      <c r="A374" t="s">
        <v>9006</v>
      </c>
      <c r="B374" s="43" t="s">
        <v>16983</v>
      </c>
      <c r="C374" s="16" t="str">
        <f t="shared" si="20"/>
        <v>C01163:1</v>
      </c>
      <c r="D374" s="17" t="str">
        <f t="shared" si="19"/>
        <v>C01163 : 3-Carboxy-cis,cis-muconate</v>
      </c>
    </row>
    <row r="375" spans="1:4">
      <c r="A375" t="s">
        <v>12474</v>
      </c>
      <c r="B375" s="43" t="s">
        <v>16984</v>
      </c>
      <c r="C375" s="16" t="str">
        <f t="shared" si="20"/>
        <v>C01165:1</v>
      </c>
      <c r="D375" s="17" t="str">
        <f t="shared" si="19"/>
        <v>C01165 : L-Glutamate 5-semialdehyde</v>
      </c>
    </row>
    <row r="376" spans="1:4">
      <c r="A376" t="s">
        <v>12475</v>
      </c>
      <c r="B376" s="43" t="s">
        <v>16985</v>
      </c>
      <c r="C376" s="16" t="str">
        <f t="shared" si="20"/>
        <v>C01167:1</v>
      </c>
      <c r="D376" s="17" t="str">
        <f t="shared" si="19"/>
        <v>C01167 : Protein tyrosine phosphate</v>
      </c>
    </row>
    <row r="377" spans="1:4">
      <c r="A377" t="s">
        <v>8832</v>
      </c>
      <c r="B377" s="43" t="s">
        <v>16986</v>
      </c>
      <c r="C377" s="16" t="str">
        <f t="shared" si="20"/>
        <v>C01171:1</v>
      </c>
      <c r="D377" s="17" t="str">
        <f t="shared" si="19"/>
        <v>C01171 : alpha-D-Hexose 1-phosphate</v>
      </c>
    </row>
    <row r="378" spans="1:4">
      <c r="A378" t="s">
        <v>10071</v>
      </c>
      <c r="B378" s="43" t="s">
        <v>16987</v>
      </c>
      <c r="C378" s="16" t="str">
        <f t="shared" si="20"/>
        <v>C01172:1</v>
      </c>
      <c r="D378" s="17" t="str">
        <f t="shared" si="19"/>
        <v>C01172 : beta-D-Glucose 6-phosphate</v>
      </c>
    </row>
    <row r="379" spans="1:4">
      <c r="A379" t="s">
        <v>12476</v>
      </c>
      <c r="B379" s="43" t="s">
        <v>16988</v>
      </c>
      <c r="C379" s="16" t="str">
        <f t="shared" si="20"/>
        <v>C01179:1</v>
      </c>
      <c r="D379" s="17" t="str">
        <f t="shared" si="19"/>
        <v>C01179 : 3-(4-Hydroxyphenyl)pyruvate</v>
      </c>
    </row>
    <row r="380" spans="1:4">
      <c r="A380" t="s">
        <v>12135</v>
      </c>
      <c r="B380" s="43" t="s">
        <v>16989</v>
      </c>
      <c r="C380" s="16" t="str">
        <f t="shared" si="20"/>
        <v>C01185:1</v>
      </c>
      <c r="D380" s="17" t="str">
        <f t="shared" si="19"/>
        <v>C01185 : Nicotinate D-ribonucleotide</v>
      </c>
    </row>
    <row r="381" spans="1:4">
      <c r="A381" t="s">
        <v>12136</v>
      </c>
      <c r="B381" s="43" t="s">
        <v>16990</v>
      </c>
      <c r="C381" s="16" t="str">
        <f t="shared" si="20"/>
        <v>C01209:1</v>
      </c>
      <c r="D381" s="17" t="str">
        <f t="shared" si="19"/>
        <v>C01209 : Malonyl-[acyl-carrier protein]</v>
      </c>
    </row>
    <row r="382" spans="1:4">
      <c r="A382" t="s">
        <v>12137</v>
      </c>
      <c r="B382" s="43" t="s">
        <v>16991</v>
      </c>
      <c r="C382" s="16" t="str">
        <f t="shared" si="20"/>
        <v>C01212:1</v>
      </c>
      <c r="D382" s="17" t="str">
        <f t="shared" si="19"/>
        <v>C01212 : UDP-N-acetylmuramoyl-L-alanine</v>
      </c>
    </row>
    <row r="383" spans="1:4">
      <c r="A383" t="s">
        <v>9670</v>
      </c>
      <c r="B383" s="43" t="s">
        <v>16992</v>
      </c>
      <c r="C383" s="16" t="str">
        <f t="shared" si="20"/>
        <v>C01213:1</v>
      </c>
      <c r="D383" s="17" t="str">
        <f t="shared" si="19"/>
        <v>C01213 : (R)-Methylmalonyl-CoA</v>
      </c>
    </row>
    <row r="384" spans="1:4">
      <c r="A384" t="s">
        <v>12138</v>
      </c>
      <c r="B384" s="43" t="s">
        <v>16993</v>
      </c>
      <c r="C384" s="16" t="str">
        <f t="shared" si="20"/>
        <v>C01217:1</v>
      </c>
      <c r="D384" s="17" t="str">
        <f t="shared" si="19"/>
        <v>C01217 : 5,6,7,8-Tetrahydromethanopterin</v>
      </c>
    </row>
    <row r="385" spans="1:4">
      <c r="A385" t="s">
        <v>12477</v>
      </c>
      <c r="B385" s="43" t="s">
        <v>16994</v>
      </c>
      <c r="C385" s="16" t="str">
        <f t="shared" si="20"/>
        <v>C01222:1</v>
      </c>
      <c r="D385" s="17" t="str">
        <f t="shared" si="19"/>
        <v>C01222 : GDP-4-dehydro-6-deoxy-D-mannose</v>
      </c>
    </row>
    <row r="386" spans="1:4">
      <c r="A386" t="s">
        <v>12139</v>
      </c>
      <c r="B386" s="43" t="s">
        <v>16995</v>
      </c>
      <c r="C386" s="16" t="str">
        <f t="shared" si="20"/>
        <v>C01233:1</v>
      </c>
      <c r="D386" s="17" t="str">
        <f t="shared" si="19"/>
        <v>C01233 : sn-Glycero-3-phosphoethanolamine</v>
      </c>
    </row>
    <row r="387" spans="1:4">
      <c r="A387" t="s">
        <v>12478</v>
      </c>
      <c r="B387" s="43" t="s">
        <v>16996</v>
      </c>
      <c r="C387" s="16" t="str">
        <f t="shared" si="20"/>
        <v>C01236:1</v>
      </c>
      <c r="D387" s="17" t="str">
        <f t="shared" si="19"/>
        <v>C01236 : D-Glucono-1,5-lactone 6-phosphate</v>
      </c>
    </row>
    <row r="388" spans="1:4">
      <c r="A388" t="s">
        <v>12479</v>
      </c>
      <c r="B388" s="43" t="s">
        <v>16997</v>
      </c>
      <c r="C388" s="16" t="str">
        <f t="shared" si="20"/>
        <v>C01244:1</v>
      </c>
      <c r="D388" s="17" t="str">
        <f t="shared" si="19"/>
        <v>C01244 : 3,5-Diiodo-4-hydroxyphenylpyruvate</v>
      </c>
    </row>
    <row r="389" spans="1:4">
      <c r="A389" t="s">
        <v>12480</v>
      </c>
      <c r="B389" s="43" t="s">
        <v>16998</v>
      </c>
      <c r="C389" s="16" t="str">
        <f t="shared" si="20"/>
        <v>C01250:1</v>
      </c>
      <c r="D389" s="17" t="str">
        <f t="shared" si="19"/>
        <v>C01250 : N-Acetyl-L-glutamate 5-semialdehyde</v>
      </c>
    </row>
    <row r="390" spans="1:4">
      <c r="A390" t="s">
        <v>12481</v>
      </c>
      <c r="B390" s="43" t="s">
        <v>16999</v>
      </c>
      <c r="C390" s="16" t="str">
        <f t="shared" si="20"/>
        <v>C01267:1</v>
      </c>
      <c r="D390" s="17" t="str">
        <f t="shared" si="19"/>
        <v>C01267 : 3-(Imidazol-4-yl)-2-oxopropyl phosphate</v>
      </c>
    </row>
    <row r="391" spans="1:4">
      <c r="A391" t="s">
        <v>12482</v>
      </c>
      <c r="B391" s="43" t="s">
        <v>17000</v>
      </c>
      <c r="C391" s="16" t="str">
        <f t="shared" si="20"/>
        <v>C01268:1</v>
      </c>
      <c r="D391" s="17" t="str">
        <f t="shared" ref="D391:D454" si="21">CONCATENATE(A391," : ",B391)</f>
        <v>C01268 : 5-Amino-6-(5'-phosphoribosylamino)uracil</v>
      </c>
    </row>
    <row r="392" spans="1:4">
      <c r="A392" t="s">
        <v>9535</v>
      </c>
      <c r="B392" s="43" t="s">
        <v>17001</v>
      </c>
      <c r="C392" s="16" t="str">
        <f t="shared" si="20"/>
        <v>C01269:1</v>
      </c>
      <c r="D392" s="17" t="str">
        <f t="shared" si="21"/>
        <v>C01269 : 5-O-(1-Carboxyvinyl)-3-phosphoshikimate</v>
      </c>
    </row>
    <row r="393" spans="1:4">
      <c r="A393" t="s">
        <v>12483</v>
      </c>
      <c r="B393" s="43" t="s">
        <v>17002</v>
      </c>
      <c r="C393" s="16" t="str">
        <f t="shared" si="20"/>
        <v>C01271:1</v>
      </c>
      <c r="D393" s="17" t="str">
        <f t="shared" si="21"/>
        <v>C01271 : (3R)-3-Hydroxyacyl-[acyl-carrier protein]</v>
      </c>
    </row>
    <row r="394" spans="1:4">
      <c r="A394" t="s">
        <v>9011</v>
      </c>
      <c r="B394" s="43" t="s">
        <v>17003</v>
      </c>
      <c r="C394" s="16" t="str">
        <f t="shared" si="20"/>
        <v>C01278:1</v>
      </c>
      <c r="D394" s="17" t="str">
        <f t="shared" si="21"/>
        <v>C01278 : 2-Carboxy-2,5-dihydro-5-oxofuran-2-acetate</v>
      </c>
    </row>
    <row r="395" spans="1:4">
      <c r="A395" t="s">
        <v>12140</v>
      </c>
      <c r="B395" s="43" t="s">
        <v>17004</v>
      </c>
      <c r="C395" s="16" t="str">
        <f t="shared" si="20"/>
        <v>C01279:1</v>
      </c>
      <c r="D395" s="17" t="str">
        <f t="shared" si="21"/>
        <v>C01279 : 4-Amino-5-hydroxymethyl-2-methylpyrimidine</v>
      </c>
    </row>
    <row r="396" spans="1:4">
      <c r="A396" t="s">
        <v>12141</v>
      </c>
      <c r="B396" s="43" t="s">
        <v>17005</v>
      </c>
      <c r="C396" s="16" t="str">
        <f t="shared" si="20"/>
        <v>C01281:1</v>
      </c>
      <c r="D396" s="17" t="str">
        <f t="shared" si="21"/>
        <v>C01281 : [L-Glutamate:ammonia ligase (ADP-forming)]</v>
      </c>
    </row>
    <row r="397" spans="1:4">
      <c r="A397" t="s">
        <v>12142</v>
      </c>
      <c r="B397" s="43" t="s">
        <v>17006</v>
      </c>
      <c r="C397" s="16" t="str">
        <f t="shared" si="20"/>
        <v>C01299:1</v>
      </c>
      <c r="D397" s="17" t="str">
        <f t="shared" si="21"/>
        <v>C01299 : Adenylyl-[L-glutamate:ammonia ligase (ADP-forming)]</v>
      </c>
    </row>
    <row r="398" spans="1:4">
      <c r="A398" t="s">
        <v>12143</v>
      </c>
      <c r="B398" s="43" t="s">
        <v>17007</v>
      </c>
      <c r="C398" s="16" t="str">
        <f t="shared" si="20"/>
        <v>C01300:1</v>
      </c>
      <c r="D398" s="17" t="str">
        <f t="shared" si="21"/>
        <v>C01300 : 6-(Hydroxymethyl)-7,8-dihydropterin</v>
      </c>
    </row>
    <row r="399" spans="1:4">
      <c r="A399" t="s">
        <v>8513</v>
      </c>
      <c r="B399" s="43" t="s">
        <v>17008</v>
      </c>
      <c r="C399" s="16" t="str">
        <f t="shared" si="20"/>
        <v>C01302:1</v>
      </c>
      <c r="D399" s="17" t="str">
        <f t="shared" si="21"/>
        <v>C01302 : 1-(2-Carboxyphenylamino)-1-deoxy-D-ribulose 5-phosphate</v>
      </c>
    </row>
    <row r="400" spans="1:4">
      <c r="A400" t="s">
        <v>12144</v>
      </c>
      <c r="B400" s="43" t="s">
        <v>17009</v>
      </c>
      <c r="C400" s="16" t="str">
        <f t="shared" si="20"/>
        <v>C01304:1</v>
      </c>
      <c r="D400" s="17" t="str">
        <f t="shared" si="21"/>
        <v>C01304 : 2,5-Diamino-6-(5-phospho-D-ribosylamino)pyrimidin-4(3H)-one</v>
      </c>
    </row>
    <row r="401" spans="1:4">
      <c r="A401" t="s">
        <v>12145</v>
      </c>
      <c r="B401" s="43" t="s">
        <v>17010</v>
      </c>
      <c r="C401" s="16" t="str">
        <f t="shared" si="20"/>
        <v>C01335:1</v>
      </c>
      <c r="D401" s="17" t="str">
        <f t="shared" si="21"/>
        <v>C01335 : ROH</v>
      </c>
    </row>
    <row r="402" spans="1:4">
      <c r="A402" t="s">
        <v>12484</v>
      </c>
      <c r="B402" s="43" t="s">
        <v>17011</v>
      </c>
      <c r="C402" s="16" t="str">
        <f t="shared" si="20"/>
        <v>C01336:1</v>
      </c>
      <c r="D402" s="17" t="str">
        <f t="shared" si="21"/>
        <v>C01336 : Aryl thiol</v>
      </c>
    </row>
    <row r="403" spans="1:4">
      <c r="A403" t="s">
        <v>12146</v>
      </c>
      <c r="B403" s="43" t="s">
        <v>17012</v>
      </c>
      <c r="C403" s="16" t="str">
        <f t="shared" si="20"/>
        <v>C01344:1</v>
      </c>
      <c r="D403" s="17" t="str">
        <f t="shared" si="21"/>
        <v>C01344 : dIDP</v>
      </c>
    </row>
    <row r="404" spans="1:4">
      <c r="A404" t="s">
        <v>12147</v>
      </c>
      <c r="B404" s="43" t="s">
        <v>17013</v>
      </c>
      <c r="C404" s="16" t="str">
        <f t="shared" si="20"/>
        <v>C01345:1</v>
      </c>
      <c r="D404" s="17" t="str">
        <f t="shared" si="21"/>
        <v>C01345 : dITP</v>
      </c>
    </row>
    <row r="405" spans="1:4">
      <c r="A405" t="s">
        <v>12148</v>
      </c>
      <c r="B405" s="43" t="s">
        <v>17014</v>
      </c>
      <c r="C405" s="16" t="str">
        <f t="shared" si="20"/>
        <v>C01346:1</v>
      </c>
      <c r="D405" s="17" t="str">
        <f t="shared" si="21"/>
        <v>C01346 : dUDP</v>
      </c>
    </row>
    <row r="406" spans="1:4">
      <c r="A406" t="s">
        <v>12149</v>
      </c>
      <c r="B406" s="43" t="s">
        <v>17015</v>
      </c>
      <c r="C406" s="16" t="str">
        <f t="shared" si="20"/>
        <v>C01352:1</v>
      </c>
      <c r="D406" s="17" t="str">
        <f t="shared" si="21"/>
        <v>C01352 : FADH2</v>
      </c>
    </row>
    <row r="407" spans="1:4">
      <c r="A407" t="s">
        <v>12485</v>
      </c>
      <c r="B407" s="43" t="s">
        <v>17016</v>
      </c>
      <c r="C407" s="16" t="str">
        <f t="shared" si="20"/>
        <v>C01419:1</v>
      </c>
      <c r="D407" s="17" t="str">
        <f t="shared" si="21"/>
        <v>C01419 : Cys-Gly</v>
      </c>
    </row>
    <row r="408" spans="1:4">
      <c r="A408" t="s">
        <v>12486</v>
      </c>
      <c r="B408" s="43" t="s">
        <v>17017</v>
      </c>
      <c r="C408" s="16" t="str">
        <f t="shared" si="20"/>
        <v>C01424:1</v>
      </c>
      <c r="D408" s="17" t="str">
        <f t="shared" si="21"/>
        <v>C01424 : Gallate</v>
      </c>
    </row>
    <row r="409" spans="1:4">
      <c r="A409" t="s">
        <v>12487</v>
      </c>
      <c r="B409" s="43" t="s">
        <v>17018</v>
      </c>
      <c r="C409" s="16" t="str">
        <f t="shared" si="20"/>
        <v>C01450:1</v>
      </c>
      <c r="D409" s="17" t="str">
        <f t="shared" si="21"/>
        <v>C01450 : Ketone</v>
      </c>
    </row>
    <row r="410" spans="1:4">
      <c r="A410" t="s">
        <v>12150</v>
      </c>
      <c r="B410" s="43" t="s">
        <v>17019</v>
      </c>
      <c r="C410" s="16" t="str">
        <f t="shared" si="20"/>
        <v>C01528:1</v>
      </c>
      <c r="D410" s="17" t="str">
        <f t="shared" si="21"/>
        <v>C01528 : Hydrogen selenide</v>
      </c>
    </row>
    <row r="411" spans="1:4">
      <c r="A411" t="s">
        <v>12488</v>
      </c>
      <c r="B411" s="43" t="s">
        <v>17020</v>
      </c>
      <c r="C411" s="16" t="str">
        <f t="shared" si="20"/>
        <v>C01545:1</v>
      </c>
      <c r="D411" s="17" t="str">
        <f t="shared" si="21"/>
        <v>C01545 : Octanal</v>
      </c>
    </row>
    <row r="412" spans="1:4">
      <c r="A412" t="s">
        <v>12151</v>
      </c>
      <c r="B412" s="43" t="s">
        <v>17021</v>
      </c>
      <c r="C412" s="16" t="str">
        <f t="shared" si="20"/>
        <v>C01563:1</v>
      </c>
      <c r="D412" s="17" t="str">
        <f t="shared" si="21"/>
        <v>C01563 : Carbamate</v>
      </c>
    </row>
    <row r="413" spans="1:4">
      <c r="A413" t="s">
        <v>12152</v>
      </c>
      <c r="B413" s="43" t="s">
        <v>17022</v>
      </c>
      <c r="C413" s="16" t="str">
        <f t="shared" si="20"/>
        <v>C01609:1</v>
      </c>
      <c r="D413" s="17" t="str">
        <f t="shared" si="21"/>
        <v>C01609 : Protamine</v>
      </c>
    </row>
    <row r="414" spans="1:4">
      <c r="A414" t="s">
        <v>12489</v>
      </c>
      <c r="B414" s="43" t="s">
        <v>17023</v>
      </c>
      <c r="C414" s="16" t="str">
        <f t="shared" si="20"/>
        <v>C01612:1</v>
      </c>
      <c r="D414" s="17" t="str">
        <f t="shared" si="21"/>
        <v>C01612 : Secondary alcohol</v>
      </c>
    </row>
    <row r="415" spans="1:4">
      <c r="A415" t="s">
        <v>12490</v>
      </c>
      <c r="B415" s="43" t="s">
        <v>17024</v>
      </c>
      <c r="C415" s="16" t="str">
        <f t="shared" si="20"/>
        <v>C01628:1</v>
      </c>
      <c r="D415" s="17" t="str">
        <f t="shared" si="21"/>
        <v>C01628 : Vitamin K</v>
      </c>
    </row>
    <row r="416" spans="1:4">
      <c r="A416" t="s">
        <v>12153</v>
      </c>
      <c r="B416" s="43" t="s">
        <v>17025</v>
      </c>
      <c r="C416" s="16" t="str">
        <f t="shared" si="20"/>
        <v>C01635:1</v>
      </c>
      <c r="D416" s="17" t="str">
        <f t="shared" si="21"/>
        <v>C01635 : tRNA(Ala)</v>
      </c>
    </row>
    <row r="417" spans="1:4">
      <c r="A417" t="s">
        <v>12154</v>
      </c>
      <c r="B417" s="43" t="s">
        <v>17026</v>
      </c>
      <c r="C417" s="16" t="str">
        <f t="shared" si="20"/>
        <v>C01636:1</v>
      </c>
      <c r="D417" s="17" t="str">
        <f t="shared" si="21"/>
        <v>C01636 : tRNA(Arg)</v>
      </c>
    </row>
    <row r="418" spans="1:4">
      <c r="A418" t="s">
        <v>12491</v>
      </c>
      <c r="B418" s="43" t="s">
        <v>17027</v>
      </c>
      <c r="C418" s="16" t="str">
        <f t="shared" si="20"/>
        <v>C01638:1</v>
      </c>
      <c r="D418" s="17" t="str">
        <f t="shared" si="21"/>
        <v>C01638 : tRNA(Asp)</v>
      </c>
    </row>
    <row r="419" spans="1:4">
      <c r="A419" t="s">
        <v>12155</v>
      </c>
      <c r="B419" s="43" t="s">
        <v>17028</v>
      </c>
      <c r="C419" s="16" t="str">
        <f t="shared" si="20"/>
        <v>C01639:1</v>
      </c>
      <c r="D419" s="17" t="str">
        <f t="shared" si="21"/>
        <v>C01639 : tRNA(Cys)</v>
      </c>
    </row>
    <row r="420" spans="1:4">
      <c r="A420" t="s">
        <v>12156</v>
      </c>
      <c r="B420" s="43" t="s">
        <v>17029</v>
      </c>
      <c r="C420" s="16" t="str">
        <f t="shared" si="20"/>
        <v>C01641:1</v>
      </c>
      <c r="D420" s="17" t="str">
        <f t="shared" si="21"/>
        <v>C01641 : tRNA(Glu)</v>
      </c>
    </row>
    <row r="421" spans="1:4">
      <c r="A421" t="s">
        <v>12157</v>
      </c>
      <c r="B421" s="43" t="s">
        <v>17030</v>
      </c>
      <c r="C421" s="16" t="str">
        <f t="shared" si="20"/>
        <v>C01642:1</v>
      </c>
      <c r="D421" s="17" t="str">
        <f t="shared" si="21"/>
        <v>C01642 : tRNA(Gly)</v>
      </c>
    </row>
    <row r="422" spans="1:4">
      <c r="A422" t="s">
        <v>12158</v>
      </c>
      <c r="B422" s="43" t="s">
        <v>17031</v>
      </c>
      <c r="C422" s="16" t="str">
        <f t="shared" si="20"/>
        <v>C01643:1</v>
      </c>
      <c r="D422" s="17" t="str">
        <f t="shared" si="21"/>
        <v>C01643 : tRNA(His)</v>
      </c>
    </row>
    <row r="423" spans="1:4">
      <c r="A423" t="s">
        <v>12159</v>
      </c>
      <c r="B423" s="43" t="s">
        <v>17032</v>
      </c>
      <c r="C423" s="16" t="str">
        <f t="shared" si="20"/>
        <v>C01644:1</v>
      </c>
      <c r="D423" s="17" t="str">
        <f t="shared" si="21"/>
        <v>C01644 : tRNA(Ile)</v>
      </c>
    </row>
    <row r="424" spans="1:4">
      <c r="A424" t="s">
        <v>12160</v>
      </c>
      <c r="B424" s="43" t="s">
        <v>17033</v>
      </c>
      <c r="C424" s="16" t="str">
        <f t="shared" ref="C424:C487" si="22">CONCATENATE(A424,":","1")</f>
        <v>C01645:1</v>
      </c>
      <c r="D424" s="17" t="str">
        <f t="shared" si="21"/>
        <v>C01645 : tRNA(Leu)</v>
      </c>
    </row>
    <row r="425" spans="1:4">
      <c r="A425" t="s">
        <v>12161</v>
      </c>
      <c r="B425" s="43" t="s">
        <v>17034</v>
      </c>
      <c r="C425" s="16" t="str">
        <f t="shared" si="22"/>
        <v>C01646:1</v>
      </c>
      <c r="D425" s="17" t="str">
        <f t="shared" si="21"/>
        <v>C01646 : tRNA(Lys)</v>
      </c>
    </row>
    <row r="426" spans="1:4">
      <c r="A426" t="s">
        <v>12162</v>
      </c>
      <c r="B426" s="43" t="s">
        <v>17035</v>
      </c>
      <c r="C426" s="16" t="str">
        <f t="shared" si="22"/>
        <v>C01647:1</v>
      </c>
      <c r="D426" s="17" t="str">
        <f t="shared" si="21"/>
        <v>C01647 : tRNA(Met)</v>
      </c>
    </row>
    <row r="427" spans="1:4">
      <c r="A427" t="s">
        <v>12163</v>
      </c>
      <c r="B427" s="43" t="s">
        <v>17036</v>
      </c>
      <c r="C427" s="16" t="str">
        <f t="shared" si="22"/>
        <v>C01648:1</v>
      </c>
      <c r="D427" s="17" t="str">
        <f t="shared" si="21"/>
        <v>C01648 : tRNA(Phe)</v>
      </c>
    </row>
    <row r="428" spans="1:4">
      <c r="A428" t="s">
        <v>12164</v>
      </c>
      <c r="B428" s="43" t="s">
        <v>17037</v>
      </c>
      <c r="C428" s="16" t="str">
        <f t="shared" si="22"/>
        <v>C01649:1</v>
      </c>
      <c r="D428" s="17" t="str">
        <f t="shared" si="21"/>
        <v>C01649 : tRNA(Pro)</v>
      </c>
    </row>
    <row r="429" spans="1:4">
      <c r="A429" t="s">
        <v>12165</v>
      </c>
      <c r="B429" s="43" t="s">
        <v>17038</v>
      </c>
      <c r="C429" s="16" t="str">
        <f t="shared" si="22"/>
        <v>C01650:1</v>
      </c>
      <c r="D429" s="17" t="str">
        <f t="shared" si="21"/>
        <v>C01650 : tRNA(Ser)</v>
      </c>
    </row>
    <row r="430" spans="1:4">
      <c r="A430" t="s">
        <v>12166</v>
      </c>
      <c r="B430" s="43" t="s">
        <v>17039</v>
      </c>
      <c r="C430" s="16" t="str">
        <f t="shared" si="22"/>
        <v>C01651:1</v>
      </c>
      <c r="D430" s="17" t="str">
        <f t="shared" si="21"/>
        <v>C01651 : tRNA(Thr)</v>
      </c>
    </row>
    <row r="431" spans="1:4">
      <c r="A431" t="s">
        <v>12167</v>
      </c>
      <c r="B431" s="43" t="s">
        <v>17040</v>
      </c>
      <c r="C431" s="16" t="str">
        <f t="shared" si="22"/>
        <v>C01652:1</v>
      </c>
      <c r="D431" s="17" t="str">
        <f t="shared" si="21"/>
        <v>C01652 : tRNA(Trp)</v>
      </c>
    </row>
    <row r="432" spans="1:4">
      <c r="A432" t="s">
        <v>12168</v>
      </c>
      <c r="B432" s="43" t="s">
        <v>17041</v>
      </c>
      <c r="C432" s="16" t="str">
        <f t="shared" si="22"/>
        <v>C01653:1</v>
      </c>
      <c r="D432" s="17" t="str">
        <f t="shared" si="21"/>
        <v>C01653 : tRNA(Val)</v>
      </c>
    </row>
    <row r="433" spans="1:7">
      <c r="A433" t="s">
        <v>12169</v>
      </c>
      <c r="B433" s="43" t="s">
        <v>17042</v>
      </c>
      <c r="C433" s="16" t="str">
        <f t="shared" si="22"/>
        <v>C01672:1</v>
      </c>
      <c r="D433" s="17" t="str">
        <f t="shared" si="21"/>
        <v>C01672 : Cadaverine</v>
      </c>
    </row>
    <row r="434" spans="1:7">
      <c r="A434" t="s">
        <v>12492</v>
      </c>
      <c r="B434" s="43" t="s">
        <v>17043</v>
      </c>
      <c r="C434" s="16" t="str">
        <f t="shared" si="22"/>
        <v>C01762:1</v>
      </c>
      <c r="D434" s="17" t="str">
        <f t="shared" si="21"/>
        <v>C01762 : Xanthosine</v>
      </c>
    </row>
    <row r="435" spans="1:7">
      <c r="A435" t="s">
        <v>12170</v>
      </c>
      <c r="B435" s="43" t="s">
        <v>17044</v>
      </c>
      <c r="C435" s="16" t="str">
        <f t="shared" si="22"/>
        <v>C01847:1</v>
      </c>
      <c r="D435" s="17" t="str">
        <f t="shared" si="21"/>
        <v>C01847 : Reduced FMN</v>
      </c>
    </row>
    <row r="436" spans="1:7">
      <c r="A436" t="s">
        <v>12171</v>
      </c>
      <c r="B436" s="43" t="s">
        <v>17045</v>
      </c>
      <c r="C436" s="16" t="str">
        <f t="shared" si="22"/>
        <v>C01879:1</v>
      </c>
      <c r="D436" s="17" t="str">
        <f t="shared" si="21"/>
        <v>C01879 : 5-Oxoproline</v>
      </c>
    </row>
    <row r="437" spans="1:7">
      <c r="A437" t="s">
        <v>12493</v>
      </c>
      <c r="B437" s="43" t="s">
        <v>17046</v>
      </c>
      <c r="C437" s="16" t="str">
        <f t="shared" si="22"/>
        <v>C01885:1</v>
      </c>
      <c r="D437" s="17" t="str">
        <f t="shared" si="21"/>
        <v>C01885 : 1-Acylglycerol</v>
      </c>
    </row>
    <row r="438" spans="1:7">
      <c r="A438" t="s">
        <v>12172</v>
      </c>
      <c r="B438" s="43" t="s">
        <v>17047</v>
      </c>
      <c r="C438" s="16" t="str">
        <f t="shared" si="22"/>
        <v>C01909:1</v>
      </c>
      <c r="D438" s="17" t="str">
        <f t="shared" si="21"/>
        <v>C01909 : Dethiobiotin</v>
      </c>
    </row>
    <row r="439" spans="1:7">
      <c r="A439" t="s">
        <v>12494</v>
      </c>
      <c r="B439" s="43" t="s">
        <v>17048</v>
      </c>
      <c r="C439" s="16" t="str">
        <f t="shared" si="22"/>
        <v>C01929:1</v>
      </c>
      <c r="D439" s="17" t="str">
        <f t="shared" si="21"/>
        <v>C01929 : L-Histidinal</v>
      </c>
    </row>
    <row r="440" spans="1:7">
      <c r="A440" t="s">
        <v>12173</v>
      </c>
      <c r="B440" s="43" t="s">
        <v>17049</v>
      </c>
      <c r="C440" s="16" t="str">
        <f t="shared" si="22"/>
        <v>C01931:1</v>
      </c>
      <c r="D440" s="17" t="str">
        <f t="shared" si="21"/>
        <v>C01931 : L-Lysyl-tRNA</v>
      </c>
    </row>
    <row r="441" spans="1:7">
      <c r="A441" t="s">
        <v>9267</v>
      </c>
      <c r="B441" s="43" t="s">
        <v>17050</v>
      </c>
      <c r="C441" s="16" t="str">
        <f t="shared" si="22"/>
        <v>C01935:1</v>
      </c>
      <c r="D441" s="17" t="str">
        <f t="shared" si="21"/>
        <v>C01935 : Maltodextrin</v>
      </c>
    </row>
    <row r="442" spans="1:7">
      <c r="A442" t="s">
        <v>12174</v>
      </c>
      <c r="B442" s="43" t="s">
        <v>17051</v>
      </c>
      <c r="C442" s="16" t="str">
        <f t="shared" si="22"/>
        <v>C01962:1</v>
      </c>
      <c r="D442" s="17" t="str">
        <f t="shared" si="21"/>
        <v>C01962 : Thiocysteine</v>
      </c>
    </row>
    <row r="443" spans="1:7">
      <c r="A443" t="s">
        <v>12175</v>
      </c>
      <c r="B443" s="43" t="s">
        <v>17052</v>
      </c>
      <c r="C443" s="16" t="str">
        <f t="shared" si="22"/>
        <v>C01977:1</v>
      </c>
      <c r="D443" s="17" t="str">
        <f t="shared" si="21"/>
        <v>C01977 : tRNA guanine</v>
      </c>
    </row>
    <row r="444" spans="1:7">
      <c r="A444" t="s">
        <v>12176</v>
      </c>
      <c r="B444" s="43" t="s">
        <v>17053</v>
      </c>
      <c r="C444" s="16" t="str">
        <f t="shared" si="22"/>
        <v>C01997:1</v>
      </c>
      <c r="D444" s="17" t="str">
        <f t="shared" si="21"/>
        <v>C01997 : Histone N6-acetyl-L-lysine</v>
      </c>
      <c r="G444" s="18"/>
    </row>
    <row r="445" spans="1:7">
      <c r="A445" t="s">
        <v>12177</v>
      </c>
      <c r="B445" s="43" t="s">
        <v>17054</v>
      </c>
      <c r="C445" s="16" t="str">
        <f t="shared" si="22"/>
        <v>C02047:1</v>
      </c>
      <c r="D445" s="17" t="str">
        <f t="shared" si="21"/>
        <v>C02047 : L-Leucyl-tRNA</v>
      </c>
    </row>
    <row r="446" spans="1:7">
      <c r="A446" t="s">
        <v>12495</v>
      </c>
      <c r="B446" s="43" t="s">
        <v>17055</v>
      </c>
      <c r="C446" s="16" t="str">
        <f t="shared" si="22"/>
        <v>C02051:1</v>
      </c>
      <c r="D446" s="17" t="str">
        <f t="shared" si="21"/>
        <v>C02051 : Lipoylprotein</v>
      </c>
    </row>
    <row r="447" spans="1:7">
      <c r="A447" t="s">
        <v>12496</v>
      </c>
      <c r="B447" s="43" t="s">
        <v>17056</v>
      </c>
      <c r="C447" s="16" t="str">
        <f t="shared" si="22"/>
        <v>C02059:1</v>
      </c>
      <c r="D447" s="17" t="str">
        <f t="shared" si="21"/>
        <v>C02059 : Phylloquinone</v>
      </c>
    </row>
    <row r="448" spans="1:7">
      <c r="A448" t="s">
        <v>12178</v>
      </c>
      <c r="B448" s="43" t="s">
        <v>17057</v>
      </c>
      <c r="C448" s="16" t="str">
        <f t="shared" si="22"/>
        <v>C02090:1</v>
      </c>
      <c r="D448" s="17" t="str">
        <f t="shared" si="21"/>
        <v>C02090 : Trypanothione</v>
      </c>
    </row>
    <row r="449" spans="1:4">
      <c r="A449" t="s">
        <v>9462</v>
      </c>
      <c r="B449" s="43" t="s">
        <v>17058</v>
      </c>
      <c r="C449" s="16" t="str">
        <f t="shared" si="22"/>
        <v>C02097:1</v>
      </c>
      <c r="D449" s="17" t="str">
        <f t="shared" si="21"/>
        <v>C02097 : dTDP-galactose</v>
      </c>
    </row>
    <row r="450" spans="1:4">
      <c r="A450" t="s">
        <v>12179</v>
      </c>
      <c r="B450" s="43" t="s">
        <v>17059</v>
      </c>
      <c r="C450" s="16" t="str">
        <f t="shared" si="22"/>
        <v>C02128:1</v>
      </c>
      <c r="D450" s="17" t="str">
        <f t="shared" si="21"/>
        <v>C02128 : 5'-Phospho-DNA</v>
      </c>
    </row>
    <row r="451" spans="1:4">
      <c r="A451" t="s">
        <v>12497</v>
      </c>
      <c r="B451" s="43" t="s">
        <v>17060</v>
      </c>
      <c r="C451" s="16" t="str">
        <f t="shared" si="22"/>
        <v>C02133:1</v>
      </c>
      <c r="D451" s="17" t="str">
        <f t="shared" si="21"/>
        <v>C02133 : Acyl phosphate</v>
      </c>
    </row>
    <row r="452" spans="1:4">
      <c r="A452" t="s">
        <v>12180</v>
      </c>
      <c r="B452" s="43" t="s">
        <v>17061</v>
      </c>
      <c r="C452" s="16" t="str">
        <f t="shared" si="22"/>
        <v>C02163:1</v>
      </c>
      <c r="D452" s="17" t="str">
        <f t="shared" si="21"/>
        <v>C02163 : L-Arginyl-tRNA(Arg)</v>
      </c>
    </row>
    <row r="453" spans="1:4">
      <c r="A453" t="s">
        <v>12498</v>
      </c>
      <c r="B453" s="43" t="s">
        <v>17062</v>
      </c>
      <c r="C453" s="16" t="str">
        <f t="shared" si="22"/>
        <v>C02166:1</v>
      </c>
      <c r="D453" s="17" t="str">
        <f t="shared" si="21"/>
        <v>C02166 : Leukotriene C4</v>
      </c>
    </row>
    <row r="454" spans="1:4">
      <c r="A454" t="s">
        <v>8530</v>
      </c>
      <c r="B454" s="43" t="s">
        <v>17063</v>
      </c>
      <c r="C454" s="16" t="str">
        <f t="shared" si="22"/>
        <v>C02167:1</v>
      </c>
      <c r="D454" s="17" t="str">
        <f t="shared" si="21"/>
        <v>C02167 : Maleylpyruvate</v>
      </c>
    </row>
    <row r="455" spans="1:4">
      <c r="A455" t="s">
        <v>12181</v>
      </c>
      <c r="B455" s="43" t="s">
        <v>17064</v>
      </c>
      <c r="C455" s="16" t="str">
        <f t="shared" si="22"/>
        <v>C02188:1</v>
      </c>
      <c r="D455" s="17" t="str">
        <f t="shared" ref="D455:D518" si="23">CONCATENATE(A455," : ",B455)</f>
        <v>C02188 : Protein lysine</v>
      </c>
    </row>
    <row r="456" spans="1:4">
      <c r="A456" t="s">
        <v>12182</v>
      </c>
      <c r="B456" s="43" t="s">
        <v>17065</v>
      </c>
      <c r="C456" s="16" t="str">
        <f t="shared" si="22"/>
        <v>C02189:1</v>
      </c>
      <c r="D456" s="17" t="str">
        <f t="shared" si="23"/>
        <v>C02189 : [Protein]-L-serine</v>
      </c>
    </row>
    <row r="457" spans="1:4">
      <c r="A457" t="s">
        <v>12499</v>
      </c>
      <c r="B457" s="43" t="s">
        <v>17066</v>
      </c>
      <c r="C457" s="16" t="str">
        <f t="shared" si="22"/>
        <v>C02191:1</v>
      </c>
      <c r="D457" s="17" t="str">
        <f t="shared" si="23"/>
        <v>C02191 : Protoporphyrin</v>
      </c>
    </row>
    <row r="458" spans="1:4">
      <c r="A458" t="s">
        <v>12500</v>
      </c>
      <c r="B458" s="43" t="s">
        <v>17067</v>
      </c>
      <c r="C458" s="16" t="str">
        <f t="shared" si="22"/>
        <v>C02211:1</v>
      </c>
      <c r="D458" s="17" t="str">
        <f t="shared" si="23"/>
        <v>C02211 : tRNA precursor</v>
      </c>
    </row>
    <row r="459" spans="1:4">
      <c r="A459" t="s">
        <v>9518</v>
      </c>
      <c r="B459" s="43" t="s">
        <v>17068</v>
      </c>
      <c r="C459" s="16" t="str">
        <f t="shared" si="22"/>
        <v>C02218:1</v>
      </c>
      <c r="D459" s="17" t="str">
        <f t="shared" si="23"/>
        <v>C02218 : Dehydroalanine</v>
      </c>
    </row>
    <row r="460" spans="1:4">
      <c r="A460" t="s">
        <v>10178</v>
      </c>
      <c r="B460" s="43" t="s">
        <v>17069</v>
      </c>
      <c r="C460" s="16" t="str">
        <f t="shared" si="22"/>
        <v>C02225:1</v>
      </c>
      <c r="D460" s="17" t="str">
        <f t="shared" si="23"/>
        <v>C02225 : 2-Methylcitrate</v>
      </c>
    </row>
    <row r="461" spans="1:4">
      <c r="A461" t="s">
        <v>12501</v>
      </c>
      <c r="B461" s="43" t="s">
        <v>17070</v>
      </c>
      <c r="C461" s="16" t="str">
        <f t="shared" si="22"/>
        <v>C02291:1</v>
      </c>
      <c r="D461" s="17" t="str">
        <f t="shared" si="23"/>
        <v>C02291 : L-Cystathionine</v>
      </c>
    </row>
    <row r="462" spans="1:4">
      <c r="A462" t="s">
        <v>12502</v>
      </c>
      <c r="B462" s="43" t="s">
        <v>17071</v>
      </c>
      <c r="C462" s="16" t="str">
        <f t="shared" si="22"/>
        <v>C02320:1</v>
      </c>
      <c r="D462" s="17" t="str">
        <f t="shared" si="23"/>
        <v>C02320 : R-S-Glutathione</v>
      </c>
    </row>
    <row r="463" spans="1:4">
      <c r="A463" t="s">
        <v>12503</v>
      </c>
      <c r="B463" s="43" t="s">
        <v>17072</v>
      </c>
      <c r="C463" s="16" t="str">
        <f t="shared" si="22"/>
        <v>C02356:1</v>
      </c>
      <c r="D463" s="17" t="str">
        <f t="shared" si="23"/>
        <v>C02356 : (S)-2-Aminobutanoate</v>
      </c>
    </row>
    <row r="464" spans="1:4">
      <c r="A464" t="s">
        <v>12504</v>
      </c>
      <c r="B464" s="43" t="s">
        <v>17073</v>
      </c>
      <c r="C464" s="16" t="str">
        <f t="shared" si="22"/>
        <v>C02359:1</v>
      </c>
      <c r="D464" s="17" t="str">
        <f t="shared" si="23"/>
        <v>C02359 : 2-Fluorobenzoate</v>
      </c>
    </row>
    <row r="465" spans="1:4">
      <c r="A465" t="s">
        <v>12505</v>
      </c>
      <c r="B465" s="43" t="s">
        <v>17074</v>
      </c>
      <c r="C465" s="16" t="str">
        <f t="shared" si="22"/>
        <v>C02364:1</v>
      </c>
      <c r="D465" s="17" t="str">
        <f t="shared" si="23"/>
        <v>C02364 : 3-Fluorobenzoate</v>
      </c>
    </row>
    <row r="466" spans="1:4">
      <c r="A466" t="s">
        <v>12506</v>
      </c>
      <c r="B466" s="43" t="s">
        <v>17075</v>
      </c>
      <c r="C466" s="16" t="str">
        <f t="shared" si="22"/>
        <v>C02371:1</v>
      </c>
      <c r="D466" s="17" t="str">
        <f t="shared" si="23"/>
        <v>C02371 : 4-Fluorobenzoate</v>
      </c>
    </row>
    <row r="467" spans="1:4">
      <c r="A467" t="s">
        <v>12507</v>
      </c>
      <c r="B467" s="43" t="s">
        <v>17076</v>
      </c>
      <c r="C467" s="16" t="str">
        <f t="shared" si="22"/>
        <v>C02375:1</v>
      </c>
      <c r="D467" s="17" t="str">
        <f t="shared" si="23"/>
        <v>C02375 : 4-Chlorocatechol</v>
      </c>
    </row>
    <row r="468" spans="1:4">
      <c r="A468" t="s">
        <v>12508</v>
      </c>
      <c r="B468" s="43" t="s">
        <v>17077</v>
      </c>
      <c r="C468" s="16" t="str">
        <f t="shared" si="22"/>
        <v>C02380:1</v>
      </c>
      <c r="D468" s="17" t="str">
        <f t="shared" si="23"/>
        <v>C02380 : 6-Mercaptopurine</v>
      </c>
    </row>
    <row r="469" spans="1:4">
      <c r="A469" t="s">
        <v>12183</v>
      </c>
      <c r="B469" s="43" t="s">
        <v>17078</v>
      </c>
      <c r="C469" s="16" t="str">
        <f t="shared" si="22"/>
        <v>C02412:1</v>
      </c>
      <c r="D469" s="17" t="str">
        <f t="shared" si="23"/>
        <v>C02412 : Glycyl-tRNA(Gly)</v>
      </c>
    </row>
    <row r="470" spans="1:4">
      <c r="A470" t="s">
        <v>12184</v>
      </c>
      <c r="B470" s="43" t="s">
        <v>17079</v>
      </c>
      <c r="C470" s="16" t="str">
        <f t="shared" si="22"/>
        <v>C02415:1</v>
      </c>
      <c r="D470" s="17" t="str">
        <f t="shared" si="23"/>
        <v>C02415 : Histone-L-lysine</v>
      </c>
    </row>
    <row r="471" spans="1:4">
      <c r="A471" t="s">
        <v>12185</v>
      </c>
      <c r="B471" s="43" t="s">
        <v>17080</v>
      </c>
      <c r="C471" s="16" t="str">
        <f t="shared" si="22"/>
        <v>C02430:1</v>
      </c>
      <c r="D471" s="17" t="str">
        <f t="shared" si="23"/>
        <v>C02430 : L-Methionyl-tRNA</v>
      </c>
    </row>
    <row r="472" spans="1:4">
      <c r="A472" t="s">
        <v>12186</v>
      </c>
      <c r="B472" s="43" t="s">
        <v>17081</v>
      </c>
      <c r="C472" s="16" t="str">
        <f t="shared" si="22"/>
        <v>C02463:1</v>
      </c>
      <c r="D472" s="17" t="str">
        <f t="shared" si="23"/>
        <v>C02463 : Precorrin 2</v>
      </c>
    </row>
    <row r="473" spans="1:4">
      <c r="A473" t="s">
        <v>12187</v>
      </c>
      <c r="B473" s="43" t="s">
        <v>17082</v>
      </c>
      <c r="C473" s="16" t="str">
        <f t="shared" si="22"/>
        <v>C02469:1</v>
      </c>
      <c r="D473" s="17" t="str">
        <f t="shared" si="23"/>
        <v>C02469 : Uroporphyrin III</v>
      </c>
    </row>
    <row r="474" spans="1:4">
      <c r="A474" t="s">
        <v>8985</v>
      </c>
      <c r="B474" s="43" t="s">
        <v>17083</v>
      </c>
      <c r="C474" s="16" t="str">
        <f t="shared" si="22"/>
        <v>C02480:1</v>
      </c>
      <c r="D474" s="17" t="str">
        <f t="shared" si="23"/>
        <v>C02480 : cis,cis-Muconate</v>
      </c>
    </row>
    <row r="475" spans="1:4">
      <c r="A475" t="s">
        <v>9798</v>
      </c>
      <c r="B475" s="43" t="s">
        <v>17084</v>
      </c>
      <c r="C475" s="16" t="str">
        <f t="shared" si="22"/>
        <v>C02504:1</v>
      </c>
      <c r="D475" s="17" t="str">
        <f t="shared" si="23"/>
        <v>C02504 : alpha-Isopropylmalate</v>
      </c>
    </row>
    <row r="476" spans="1:4">
      <c r="A476" t="s">
        <v>12509</v>
      </c>
      <c r="B476" s="43" t="s">
        <v>17085</v>
      </c>
      <c r="C476" s="16" t="str">
        <f t="shared" si="22"/>
        <v>C02512:1</v>
      </c>
      <c r="D476" s="17" t="str">
        <f t="shared" si="23"/>
        <v>C02512 : 3-Cyano-L-alanine</v>
      </c>
    </row>
    <row r="477" spans="1:4">
      <c r="A477" t="s">
        <v>8531</v>
      </c>
      <c r="B477" s="43" t="s">
        <v>17086</v>
      </c>
      <c r="C477" s="16" t="str">
        <f t="shared" si="22"/>
        <v>C02514:1</v>
      </c>
      <c r="D477" s="17" t="str">
        <f t="shared" si="23"/>
        <v>C02514 : 3-Fumarylpyruvate</v>
      </c>
    </row>
    <row r="478" spans="1:4">
      <c r="A478" t="s">
        <v>12510</v>
      </c>
      <c r="B478" s="43" t="s">
        <v>17087</v>
      </c>
      <c r="C478" s="16" t="str">
        <f t="shared" si="22"/>
        <v>C02520:1</v>
      </c>
      <c r="D478" s="17" t="str">
        <f t="shared" si="23"/>
        <v>C02520 : 5'-Ribonucleotide</v>
      </c>
    </row>
    <row r="479" spans="1:4">
      <c r="A479" t="s">
        <v>12511</v>
      </c>
      <c r="B479" s="43" t="s">
        <v>17088</v>
      </c>
      <c r="C479" s="16" t="str">
        <f t="shared" si="22"/>
        <v>C02532:1</v>
      </c>
      <c r="D479" s="17" t="str">
        <f t="shared" si="23"/>
        <v>C02532 : O-Phospho-D-serine</v>
      </c>
    </row>
    <row r="480" spans="1:4">
      <c r="A480" t="s">
        <v>12188</v>
      </c>
      <c r="B480" s="43" t="s">
        <v>17089</v>
      </c>
      <c r="C480" s="16" t="str">
        <f t="shared" si="22"/>
        <v>C02553:1</v>
      </c>
      <c r="D480" s="17" t="str">
        <f t="shared" si="23"/>
        <v>C02553 : L-Seryl-tRNA(Ser)</v>
      </c>
    </row>
    <row r="481" spans="1:4">
      <c r="A481" t="s">
        <v>12189</v>
      </c>
      <c r="B481" s="43" t="s">
        <v>17090</v>
      </c>
      <c r="C481" s="16" t="str">
        <f t="shared" si="22"/>
        <v>C02554:1</v>
      </c>
      <c r="D481" s="17" t="str">
        <f t="shared" si="23"/>
        <v>C02554 : L-Valyl-tRNA(Val)</v>
      </c>
    </row>
    <row r="482" spans="1:4">
      <c r="A482" t="s">
        <v>12512</v>
      </c>
      <c r="B482" s="43" t="s">
        <v>17091</v>
      </c>
      <c r="C482" s="16" t="str">
        <f t="shared" si="22"/>
        <v>C02583:1</v>
      </c>
      <c r="D482" s="17" t="str">
        <f t="shared" si="23"/>
        <v>C02583 : Protein glutamine</v>
      </c>
    </row>
    <row r="483" spans="1:4">
      <c r="A483" t="s">
        <v>12513</v>
      </c>
      <c r="B483" s="43" t="s">
        <v>17092</v>
      </c>
      <c r="C483" s="16" t="str">
        <f t="shared" si="22"/>
        <v>C02630:1</v>
      </c>
      <c r="D483" s="17" t="str">
        <f t="shared" si="23"/>
        <v>C02630 : 2-Hydroxyglutarate</v>
      </c>
    </row>
    <row r="484" spans="1:4">
      <c r="A484" t="s">
        <v>12514</v>
      </c>
      <c r="B484" s="43" t="s">
        <v>17093</v>
      </c>
      <c r="C484" s="16" t="str">
        <f t="shared" si="22"/>
        <v>C02631:1</v>
      </c>
      <c r="D484" s="17" t="str">
        <f t="shared" si="23"/>
        <v>C02631 : 2-Isopropylmaleate</v>
      </c>
    </row>
    <row r="485" spans="1:4">
      <c r="A485" t="s">
        <v>10296</v>
      </c>
      <c r="B485" s="43" t="s">
        <v>17094</v>
      </c>
      <c r="C485" s="16" t="str">
        <f t="shared" si="22"/>
        <v>C02637:1</v>
      </c>
      <c r="D485" s="17" t="str">
        <f t="shared" si="23"/>
        <v>C02637 : 3-Dehydroshikimate</v>
      </c>
    </row>
    <row r="486" spans="1:4">
      <c r="A486" t="s">
        <v>12190</v>
      </c>
      <c r="B486" s="43" t="s">
        <v>17095</v>
      </c>
      <c r="C486" s="16" t="str">
        <f t="shared" si="22"/>
        <v>C02702:1</v>
      </c>
      <c r="D486" s="17" t="str">
        <f t="shared" si="23"/>
        <v>C02702 : L-Prolyl-tRNA(Pro)</v>
      </c>
    </row>
    <row r="487" spans="1:4">
      <c r="A487" t="s">
        <v>12191</v>
      </c>
      <c r="B487" s="43" t="s">
        <v>17096</v>
      </c>
      <c r="C487" s="16" t="str">
        <f t="shared" si="22"/>
        <v>C02729:1</v>
      </c>
      <c r="D487" s="17" t="str">
        <f t="shared" si="23"/>
        <v>C02729 : O-Phosphoprotamine</v>
      </c>
    </row>
    <row r="488" spans="1:4">
      <c r="A488" t="s">
        <v>12192</v>
      </c>
      <c r="B488" s="43" t="s">
        <v>17097</v>
      </c>
      <c r="C488" s="16" t="str">
        <f t="shared" ref="C488:C551" si="24">CONCATENATE(A488,":","1")</f>
        <v>C02730:1</v>
      </c>
      <c r="D488" s="17" t="str">
        <f t="shared" si="23"/>
        <v>C02730 : 2-Succinylbenzoate</v>
      </c>
    </row>
    <row r="489" spans="1:4">
      <c r="A489" t="s">
        <v>12515</v>
      </c>
      <c r="B489" s="43" t="s">
        <v>17098</v>
      </c>
      <c r="C489" s="16" t="str">
        <f t="shared" si="24"/>
        <v>C02739:1</v>
      </c>
      <c r="D489" s="17" t="str">
        <f t="shared" si="23"/>
        <v>C02739 : 1-(5-Phospho-D-ribosyl)-ATP</v>
      </c>
    </row>
    <row r="490" spans="1:4">
      <c r="A490" t="s">
        <v>12516</v>
      </c>
      <c r="B490" s="43" t="s">
        <v>17099</v>
      </c>
      <c r="C490" s="16" t="str">
        <f t="shared" si="24"/>
        <v>C02741:1</v>
      </c>
      <c r="D490" s="17" t="str">
        <f t="shared" si="23"/>
        <v>C02741 : Phosphoribosyl-AMP</v>
      </c>
    </row>
    <row r="491" spans="1:4">
      <c r="A491" t="s">
        <v>12193</v>
      </c>
      <c r="B491" s="43" t="s">
        <v>17100</v>
      </c>
      <c r="C491" s="16" t="str">
        <f t="shared" si="24"/>
        <v>C02743:1</v>
      </c>
      <c r="D491" s="17" t="str">
        <f t="shared" si="23"/>
        <v>C02743 : [Protein]-L-cysteine</v>
      </c>
    </row>
    <row r="492" spans="1:4">
      <c r="A492" t="s">
        <v>12517</v>
      </c>
      <c r="B492" s="43" t="s">
        <v>17101</v>
      </c>
      <c r="C492" s="16" t="str">
        <f t="shared" si="24"/>
        <v>C02749:1</v>
      </c>
      <c r="D492" s="17" t="str">
        <f t="shared" si="23"/>
        <v>C02749 : S-Alkyl-L-cysteine</v>
      </c>
    </row>
    <row r="493" spans="1:4">
      <c r="A493" t="s">
        <v>10229</v>
      </c>
      <c r="B493" s="43" t="s">
        <v>17102</v>
      </c>
      <c r="C493" s="16" t="str">
        <f t="shared" si="24"/>
        <v>C02764:1</v>
      </c>
      <c r="D493" s="17" t="str">
        <f t="shared" si="23"/>
        <v>C02764 : tRNA pseudouridine</v>
      </c>
    </row>
    <row r="494" spans="1:4">
      <c r="A494" t="s">
        <v>12194</v>
      </c>
      <c r="B494" s="43" t="s">
        <v>17103</v>
      </c>
      <c r="C494" s="16" t="str">
        <f t="shared" si="24"/>
        <v>C02839:1</v>
      </c>
      <c r="D494" s="17" t="str">
        <f t="shared" si="23"/>
        <v>C02839 : L-Tyrosyl-tRNA(Tyr)</v>
      </c>
    </row>
    <row r="495" spans="1:4">
      <c r="A495" t="s">
        <v>12195</v>
      </c>
      <c r="B495" s="43" t="s">
        <v>17104</v>
      </c>
      <c r="C495" s="16" t="str">
        <f t="shared" si="24"/>
        <v>C02863:1</v>
      </c>
      <c r="D495" s="17" t="str">
        <f t="shared" si="23"/>
        <v>C02863 : 3-O-(alpha-D-Mannosyl)-L-serinyl-[protein]</v>
      </c>
    </row>
    <row r="496" spans="1:4">
      <c r="A496" t="s">
        <v>12196</v>
      </c>
      <c r="B496" s="43" t="s">
        <v>17105</v>
      </c>
      <c r="C496" s="16" t="str">
        <f t="shared" si="24"/>
        <v>C02876:1</v>
      </c>
      <c r="D496" s="17" t="str">
        <f t="shared" si="23"/>
        <v>C02876 : Propanoyl phosphate</v>
      </c>
    </row>
    <row r="497" spans="1:4">
      <c r="A497" t="s">
        <v>12518</v>
      </c>
      <c r="B497" s="43" t="s">
        <v>17106</v>
      </c>
      <c r="C497" s="16" t="str">
        <f t="shared" si="24"/>
        <v>C02882:1</v>
      </c>
      <c r="D497" s="17" t="str">
        <f t="shared" si="23"/>
        <v>C02882 : L-Cysteine-S-conjugate</v>
      </c>
    </row>
    <row r="498" spans="1:4">
      <c r="A498" t="s">
        <v>12519</v>
      </c>
      <c r="B498" s="43" t="s">
        <v>17107</v>
      </c>
      <c r="C498" s="16" t="str">
        <f t="shared" si="24"/>
        <v>C02909:1</v>
      </c>
      <c r="D498" s="17" t="str">
        <f t="shared" si="23"/>
        <v>C02909 : (2-Naphthyl)methanol</v>
      </c>
    </row>
    <row r="499" spans="1:4">
      <c r="A499" t="s">
        <v>12520</v>
      </c>
      <c r="B499" s="43" t="s">
        <v>17108</v>
      </c>
      <c r="C499" s="16" t="str">
        <f t="shared" si="24"/>
        <v>C02953:1</v>
      </c>
      <c r="D499" s="17" t="str">
        <f t="shared" si="23"/>
        <v>C02953 : 7,8-Dihydrobiopterin</v>
      </c>
    </row>
    <row r="500" spans="1:4">
      <c r="A500" t="s">
        <v>8961</v>
      </c>
      <c r="B500" s="43" t="s">
        <v>17109</v>
      </c>
      <c r="C500" s="16" t="str">
        <f t="shared" si="24"/>
        <v>C02962:1</v>
      </c>
      <c r="D500" s="17" t="str">
        <f t="shared" si="23"/>
        <v>C02962 : D-Allose 6-phosphate</v>
      </c>
    </row>
    <row r="501" spans="1:4">
      <c r="A501" t="s">
        <v>12197</v>
      </c>
      <c r="B501" s="43" t="s">
        <v>17110</v>
      </c>
      <c r="C501" s="16" t="str">
        <f t="shared" si="24"/>
        <v>C02967:1</v>
      </c>
      <c r="D501" s="17" t="str">
        <f t="shared" si="23"/>
        <v>C02967 : 5-Methylcytosine in DNA</v>
      </c>
    </row>
    <row r="502" spans="1:4">
      <c r="A502" t="s">
        <v>12521</v>
      </c>
      <c r="B502" s="43" t="s">
        <v>17111</v>
      </c>
      <c r="C502" s="16" t="str">
        <f t="shared" si="24"/>
        <v>C02970:1</v>
      </c>
      <c r="D502" s="17" t="str">
        <f t="shared" si="23"/>
        <v>C02970 : Decaprenol phosphate</v>
      </c>
    </row>
    <row r="503" spans="1:4">
      <c r="A503" t="s">
        <v>12522</v>
      </c>
      <c r="B503" s="43" t="s">
        <v>17112</v>
      </c>
      <c r="C503" s="16" t="str">
        <f t="shared" si="24"/>
        <v>C02972:1</v>
      </c>
      <c r="D503" s="17" t="str">
        <f t="shared" si="23"/>
        <v>C02972 : Dihydrolipoylprotein</v>
      </c>
    </row>
    <row r="504" spans="1:4">
      <c r="A504" t="s">
        <v>12523</v>
      </c>
      <c r="B504" s="43" t="s">
        <v>17113</v>
      </c>
      <c r="C504" s="16" t="str">
        <f t="shared" si="24"/>
        <v>C02984:1</v>
      </c>
      <c r="D504" s="17" t="str">
        <f t="shared" si="23"/>
        <v>C02984 : L-Aspartyl-tRNA(Asp)</v>
      </c>
    </row>
    <row r="505" spans="1:4">
      <c r="A505" t="s">
        <v>12524</v>
      </c>
      <c r="B505" s="43" t="s">
        <v>17114</v>
      </c>
      <c r="C505" s="16" t="str">
        <f t="shared" si="24"/>
        <v>C02987:1</v>
      </c>
      <c r="D505" s="17" t="str">
        <f t="shared" si="23"/>
        <v>C02987 : L-Glutamyl-tRNA(Glu)</v>
      </c>
    </row>
    <row r="506" spans="1:4">
      <c r="A506" t="s">
        <v>12198</v>
      </c>
      <c r="B506" s="43" t="s">
        <v>17115</v>
      </c>
      <c r="C506" s="16" t="str">
        <f t="shared" si="24"/>
        <v>C02988:1</v>
      </c>
      <c r="D506" s="17" t="str">
        <f t="shared" si="23"/>
        <v>C02988 : L-Histidyl-tRNA(His)</v>
      </c>
    </row>
    <row r="507" spans="1:4">
      <c r="A507" t="s">
        <v>12199</v>
      </c>
      <c r="B507" s="43" t="s">
        <v>17116</v>
      </c>
      <c r="C507" s="16" t="str">
        <f t="shared" si="24"/>
        <v>C02992:1</v>
      </c>
      <c r="D507" s="17" t="str">
        <f t="shared" si="23"/>
        <v>C02992 : L-Threonyl-tRNA(Thr)</v>
      </c>
    </row>
    <row r="508" spans="1:4">
      <c r="A508" t="s">
        <v>12525</v>
      </c>
      <c r="B508" s="43" t="s">
        <v>17117</v>
      </c>
      <c r="C508" s="16" t="str">
        <f t="shared" si="24"/>
        <v>C03023:1</v>
      </c>
      <c r="D508" s="17" t="str">
        <f t="shared" si="23"/>
        <v>C03023 : Peptide-L-methionine</v>
      </c>
    </row>
    <row r="509" spans="1:4">
      <c r="A509" t="s">
        <v>12200</v>
      </c>
      <c r="B509" s="43" t="s">
        <v>17118</v>
      </c>
      <c r="C509" s="16" t="str">
        <f t="shared" si="24"/>
        <v>C03024:1</v>
      </c>
      <c r="D509" s="17" t="str">
        <f t="shared" si="23"/>
        <v>C03024 : [Reduced NADPH---hemoprotein reductase]</v>
      </c>
    </row>
    <row r="510" spans="1:4">
      <c r="A510" t="s">
        <v>12526</v>
      </c>
      <c r="B510" s="43" t="s">
        <v>17119</v>
      </c>
      <c r="C510" s="16" t="str">
        <f t="shared" si="24"/>
        <v>C03028:1</v>
      </c>
      <c r="D510" s="17" t="str">
        <f t="shared" si="23"/>
        <v>C03028 : Thiamin triphosphate</v>
      </c>
    </row>
    <row r="511" spans="1:4">
      <c r="A511" t="s">
        <v>12527</v>
      </c>
      <c r="B511" s="43" t="s">
        <v>17120</v>
      </c>
      <c r="C511" s="16" t="str">
        <f t="shared" si="24"/>
        <v>C03067:1</v>
      </c>
      <c r="D511" s="17" t="str">
        <f t="shared" si="23"/>
        <v>C03067 : 3-Hydroxybenzaldehyde</v>
      </c>
    </row>
    <row r="512" spans="1:4">
      <c r="A512" t="s">
        <v>12201</v>
      </c>
      <c r="B512" s="43" t="s">
        <v>17121</v>
      </c>
      <c r="C512" s="16" t="str">
        <f t="shared" si="24"/>
        <v>C03082:1</v>
      </c>
      <c r="D512" s="17" t="str">
        <f t="shared" si="23"/>
        <v>C03082 : 4-Phospho-L-aspartate</v>
      </c>
    </row>
    <row r="513" spans="1:4">
      <c r="A513" t="s">
        <v>12202</v>
      </c>
      <c r="B513" s="43" t="s">
        <v>17122</v>
      </c>
      <c r="C513" s="16" t="str">
        <f t="shared" si="24"/>
        <v>C03090:1</v>
      </c>
      <c r="D513" s="17" t="str">
        <f t="shared" si="23"/>
        <v>C03090 : 5-Phosphoribosylamine</v>
      </c>
    </row>
    <row r="514" spans="1:4">
      <c r="A514" t="s">
        <v>12203</v>
      </c>
      <c r="B514" s="43" t="s">
        <v>17123</v>
      </c>
      <c r="C514" s="16" t="str">
        <f t="shared" si="24"/>
        <v>C03114:1</v>
      </c>
      <c r="D514" s="17" t="str">
        <f t="shared" si="23"/>
        <v>C03114 : Dimethylbenzimidazole</v>
      </c>
    </row>
    <row r="515" spans="1:4">
      <c r="A515" t="s">
        <v>12204</v>
      </c>
      <c r="B515" s="43" t="s">
        <v>17124</v>
      </c>
      <c r="C515" s="16" t="str">
        <f t="shared" si="24"/>
        <v>C03125:1</v>
      </c>
      <c r="D515" s="17" t="str">
        <f t="shared" si="23"/>
        <v>C03125 : L-Cysteinyl-tRNA(Cys)</v>
      </c>
    </row>
    <row r="516" spans="1:4">
      <c r="A516" t="s">
        <v>12205</v>
      </c>
      <c r="B516" s="43" t="s">
        <v>17125</v>
      </c>
      <c r="C516" s="16" t="str">
        <f t="shared" si="24"/>
        <v>C03127:1</v>
      </c>
      <c r="D516" s="17" t="str">
        <f t="shared" si="23"/>
        <v>C03127 : L-Isoleucyl-tRNA(Ile)</v>
      </c>
    </row>
    <row r="517" spans="1:4">
      <c r="A517" t="s">
        <v>12528</v>
      </c>
      <c r="B517" s="43" t="s">
        <v>17126</v>
      </c>
      <c r="C517" s="16" t="str">
        <f t="shared" si="24"/>
        <v>C03150:1</v>
      </c>
      <c r="D517" s="17" t="str">
        <f t="shared" si="23"/>
        <v>C03150 : Nicotinamide-beta-riboside</v>
      </c>
    </row>
    <row r="518" spans="1:4">
      <c r="A518" t="s">
        <v>12206</v>
      </c>
      <c r="B518" s="43" t="s">
        <v>17127</v>
      </c>
      <c r="C518" s="16" t="str">
        <f t="shared" si="24"/>
        <v>C03153:1</v>
      </c>
      <c r="D518" s="17" t="str">
        <f t="shared" si="23"/>
        <v>C03153 : N5-Methyl-L-glutamine</v>
      </c>
    </row>
    <row r="519" spans="1:4">
      <c r="A519" t="s">
        <v>10260</v>
      </c>
      <c r="B519" s="43" t="s">
        <v>17128</v>
      </c>
      <c r="C519" s="16" t="str">
        <f t="shared" si="24"/>
        <v>C03160:1</v>
      </c>
      <c r="D519" s="17" t="str">
        <f t="shared" ref="D519:D582" si="25">CONCATENATE(A519," : ",B519)</f>
        <v>C03160 : 2-Succinylbenzoyl-CoA</v>
      </c>
    </row>
    <row r="520" spans="1:4">
      <c r="A520" t="s">
        <v>12207</v>
      </c>
      <c r="B520" s="43" t="s">
        <v>17129</v>
      </c>
      <c r="C520" s="16" t="str">
        <f t="shared" si="24"/>
        <v>C03161:1</v>
      </c>
      <c r="D520" s="17" t="str">
        <f t="shared" si="25"/>
        <v>C03161 : [Oxidized NADPH---hemoprotein reductase]</v>
      </c>
    </row>
    <row r="521" spans="1:4">
      <c r="A521" t="s">
        <v>12208</v>
      </c>
      <c r="B521" s="43" t="s">
        <v>17130</v>
      </c>
      <c r="C521" s="16" t="str">
        <f t="shared" si="24"/>
        <v>C03170:1</v>
      </c>
      <c r="D521" s="17" t="str">
        <f t="shared" si="25"/>
        <v>C03170 : Trypanothione disulfide</v>
      </c>
    </row>
    <row r="522" spans="1:4">
      <c r="A522" t="s">
        <v>12209</v>
      </c>
      <c r="B522" s="43" t="s">
        <v>17131</v>
      </c>
      <c r="C522" s="16" t="str">
        <f t="shared" si="24"/>
        <v>C03175:1</v>
      </c>
      <c r="D522" s="17" t="str">
        <f t="shared" si="25"/>
        <v>C03175 : Shikimate 3-phosphate</v>
      </c>
    </row>
    <row r="523" spans="1:4">
      <c r="A523" t="s">
        <v>12529</v>
      </c>
      <c r="B523" s="43" t="s">
        <v>17132</v>
      </c>
      <c r="C523" s="16" t="str">
        <f t="shared" si="24"/>
        <v>C03193:1</v>
      </c>
      <c r="D523" s="17" t="str">
        <f t="shared" si="25"/>
        <v>C03193 : (5-L-Glutamyl)-peptide</v>
      </c>
    </row>
    <row r="524" spans="1:4">
      <c r="A524" t="s">
        <v>12530</v>
      </c>
      <c r="B524" s="43" t="s">
        <v>17133</v>
      </c>
      <c r="C524" s="16" t="str">
        <f t="shared" si="24"/>
        <v>C03232:1</v>
      </c>
      <c r="D524" s="17" t="str">
        <f t="shared" si="25"/>
        <v>C03232 : 3-Phosphonooxypyruvate</v>
      </c>
    </row>
    <row r="525" spans="1:4">
      <c r="A525" t="s">
        <v>12531</v>
      </c>
      <c r="B525" s="43" t="s">
        <v>17134</v>
      </c>
      <c r="C525" s="16" t="str">
        <f t="shared" si="24"/>
        <v>C03263:1</v>
      </c>
      <c r="D525" s="17" t="str">
        <f t="shared" si="25"/>
        <v>C03263 : Coproporphyrinogen III</v>
      </c>
    </row>
    <row r="526" spans="1:4">
      <c r="A526" t="s">
        <v>12210</v>
      </c>
      <c r="B526" s="43" t="s">
        <v>17135</v>
      </c>
      <c r="C526" s="16" t="str">
        <f t="shared" si="24"/>
        <v>C03287:1</v>
      </c>
      <c r="D526" s="17" t="str">
        <f t="shared" si="25"/>
        <v>C03287 : L-Glutamyl 5-phosphate</v>
      </c>
    </row>
    <row r="527" spans="1:4">
      <c r="A527" t="s">
        <v>12211</v>
      </c>
      <c r="B527" s="43" t="s">
        <v>17136</v>
      </c>
      <c r="C527" s="16" t="str">
        <f t="shared" si="24"/>
        <v>C03294:1</v>
      </c>
      <c r="D527" s="17" t="str">
        <f t="shared" si="25"/>
        <v>C03294 : N-Formylmethionyl-tRNA</v>
      </c>
    </row>
    <row r="528" spans="1:4">
      <c r="A528" t="s">
        <v>12532</v>
      </c>
      <c r="B528" s="43" t="s">
        <v>17137</v>
      </c>
      <c r="C528" s="16" t="str">
        <f t="shared" si="24"/>
        <v>C03313:1</v>
      </c>
      <c r="D528" s="17" t="str">
        <f t="shared" si="25"/>
        <v>C03313 : Phylloquinol</v>
      </c>
    </row>
    <row r="529" spans="1:4">
      <c r="A529" t="s">
        <v>12212</v>
      </c>
      <c r="B529" s="43" t="s">
        <v>17138</v>
      </c>
      <c r="C529" s="16" t="str">
        <f t="shared" si="24"/>
        <v>C03344:1</v>
      </c>
      <c r="D529" s="17" t="str">
        <f t="shared" si="25"/>
        <v>C03344 : 2-Methylacetoacetyl-CoA</v>
      </c>
    </row>
    <row r="530" spans="1:4">
      <c r="A530" t="s">
        <v>9995</v>
      </c>
      <c r="B530" s="43" t="s">
        <v>17139</v>
      </c>
      <c r="C530" s="16" t="str">
        <f t="shared" si="24"/>
        <v>C03356:1</v>
      </c>
      <c r="D530" s="17" t="str">
        <f t="shared" si="25"/>
        <v>C03356 : 3-Phospho-D-erythronate</v>
      </c>
    </row>
    <row r="531" spans="1:4">
      <c r="A531" t="s">
        <v>12533</v>
      </c>
      <c r="B531" s="43" t="s">
        <v>17140</v>
      </c>
      <c r="C531" s="16" t="str">
        <f t="shared" si="24"/>
        <v>C03360:1</v>
      </c>
      <c r="D531" s="17" t="str">
        <f t="shared" si="25"/>
        <v>C03360 : 4-Nitrophenyl phosphate</v>
      </c>
    </row>
    <row r="532" spans="1:4">
      <c r="A532" t="s">
        <v>12213</v>
      </c>
      <c r="B532" s="43" t="s">
        <v>17141</v>
      </c>
      <c r="C532" s="16" t="str">
        <f t="shared" si="24"/>
        <v>C03363:1</v>
      </c>
      <c r="D532" s="17" t="str">
        <f t="shared" si="25"/>
        <v>C03363 : 5-L-Glutamyl amino acid</v>
      </c>
    </row>
    <row r="533" spans="1:4">
      <c r="A533" t="s">
        <v>12214</v>
      </c>
      <c r="B533" s="43" t="s">
        <v>17142</v>
      </c>
      <c r="C533" s="16" t="str">
        <f t="shared" si="24"/>
        <v>C03373:1</v>
      </c>
      <c r="D533" s="17" t="str">
        <f t="shared" si="25"/>
        <v>C03373 : Aminoimidazole ribotide</v>
      </c>
    </row>
    <row r="534" spans="1:4">
      <c r="A534" t="s">
        <v>9746</v>
      </c>
      <c r="B534" s="43" t="s">
        <v>17143</v>
      </c>
      <c r="C534" s="16" t="str">
        <f t="shared" si="24"/>
        <v>C03406:1</v>
      </c>
      <c r="D534" s="17" t="str">
        <f t="shared" si="25"/>
        <v>C03406 : N-(L-Arginino)succinate</v>
      </c>
    </row>
    <row r="535" spans="1:4">
      <c r="A535" t="s">
        <v>12215</v>
      </c>
      <c r="B535" s="43" t="s">
        <v>17144</v>
      </c>
      <c r="C535" s="16" t="str">
        <f t="shared" si="24"/>
        <v>C03479:1</v>
      </c>
      <c r="D535" s="17" t="str">
        <f t="shared" si="25"/>
        <v>C03479 : Folinic acid</v>
      </c>
    </row>
    <row r="536" spans="1:4">
      <c r="A536" t="s">
        <v>12216</v>
      </c>
      <c r="B536" s="43" t="s">
        <v>17145</v>
      </c>
      <c r="C536" s="16" t="str">
        <f t="shared" si="24"/>
        <v>C03492:1</v>
      </c>
      <c r="D536" s="17" t="str">
        <f t="shared" si="25"/>
        <v>C03492 : D-4'-Phosphopantothenate</v>
      </c>
    </row>
    <row r="537" spans="1:4">
      <c r="A537" t="s">
        <v>11818</v>
      </c>
      <c r="B537" s="43" t="s">
        <v>17146</v>
      </c>
      <c r="C537" s="16" t="str">
        <f t="shared" si="24"/>
        <v>C03506:1</v>
      </c>
      <c r="D537" s="17" t="str">
        <f t="shared" si="25"/>
        <v>C03506 : Indoleglycerol phosphate</v>
      </c>
    </row>
    <row r="538" spans="1:4">
      <c r="A538" t="s">
        <v>12217</v>
      </c>
      <c r="B538" s="43" t="s">
        <v>17147</v>
      </c>
      <c r="C538" s="16" t="str">
        <f t="shared" si="24"/>
        <v>C03511:1</v>
      </c>
      <c r="D538" s="17" t="str">
        <f t="shared" si="25"/>
        <v>C03511 : L-Phenylalanyl-tRNA(Phe)</v>
      </c>
    </row>
    <row r="539" spans="1:4">
      <c r="A539" t="s">
        <v>12218</v>
      </c>
      <c r="B539" s="43" t="s">
        <v>17148</v>
      </c>
      <c r="C539" s="16" t="str">
        <f t="shared" si="24"/>
        <v>C03512:1</v>
      </c>
      <c r="D539" s="17" t="str">
        <f t="shared" si="25"/>
        <v>C03512 : L-Tryptophanyl-tRNA(Trp)</v>
      </c>
    </row>
    <row r="540" spans="1:4">
      <c r="A540" t="s">
        <v>12534</v>
      </c>
      <c r="B540" s="43" t="s">
        <v>17149</v>
      </c>
      <c r="C540" s="16" t="str">
        <f t="shared" si="24"/>
        <v>C03523:1</v>
      </c>
      <c r="D540" s="17" t="str">
        <f t="shared" si="25"/>
        <v>C03523 : N-Substituted amino acid</v>
      </c>
    </row>
    <row r="541" spans="1:4">
      <c r="A541" t="s">
        <v>12219</v>
      </c>
      <c r="B541" s="43" t="s">
        <v>17150</v>
      </c>
      <c r="C541" s="16" t="str">
        <f t="shared" si="24"/>
        <v>C03541:1</v>
      </c>
      <c r="D541" s="17" t="str">
        <f t="shared" si="25"/>
        <v>C03541 : THF-polyglutamate</v>
      </c>
    </row>
    <row r="542" spans="1:4">
      <c r="A542" t="s">
        <v>8987</v>
      </c>
      <c r="B542" s="43" t="s">
        <v>17151</v>
      </c>
      <c r="C542" s="16" t="str">
        <f t="shared" si="24"/>
        <v>C03585:1</v>
      </c>
      <c r="D542" s="17" t="str">
        <f t="shared" si="25"/>
        <v>C03585 : 3-Chloro-cis,cis-muconate</v>
      </c>
    </row>
    <row r="543" spans="1:4">
      <c r="A543" t="s">
        <v>8999</v>
      </c>
      <c r="B543" s="43" t="s">
        <v>17152</v>
      </c>
      <c r="C543" s="16" t="str">
        <f t="shared" si="24"/>
        <v>C03586:1</v>
      </c>
      <c r="D543" s="17" t="str">
        <f t="shared" si="25"/>
        <v>C03586 : 2-Oxo-2,3-dihydrofuran-5-acetate</v>
      </c>
    </row>
    <row r="544" spans="1:4">
      <c r="A544" t="s">
        <v>12220</v>
      </c>
      <c r="B544" s="43" t="s">
        <v>17153</v>
      </c>
      <c r="C544" s="16" t="str">
        <f t="shared" si="24"/>
        <v>C03617:1</v>
      </c>
      <c r="D544" s="17" t="str">
        <f t="shared" si="25"/>
        <v>C03617 : L-Methionylaminoacyl-tRNA</v>
      </c>
    </row>
    <row r="545" spans="1:4">
      <c r="A545" t="s">
        <v>8964</v>
      </c>
      <c r="B545" s="43" t="s">
        <v>17154</v>
      </c>
      <c r="C545" s="16" t="str">
        <f t="shared" si="24"/>
        <v>C03633:1</v>
      </c>
      <c r="D545" s="17" t="str">
        <f t="shared" si="25"/>
        <v>C03633 : Peptidylproline (omega=0)</v>
      </c>
    </row>
    <row r="546" spans="1:4">
      <c r="A546" t="s">
        <v>12221</v>
      </c>
      <c r="B546" s="43" t="s">
        <v>17155</v>
      </c>
      <c r="C546" s="16" t="str">
        <f t="shared" si="24"/>
        <v>C03657:1</v>
      </c>
      <c r="D546" s="17" t="str">
        <f t="shared" si="25"/>
        <v>C03657 : 1,4-Dihydroxy-2-naphthoate</v>
      </c>
    </row>
    <row r="547" spans="1:4">
      <c r="A547" t="s">
        <v>12535</v>
      </c>
      <c r="B547" s="43" t="s">
        <v>17156</v>
      </c>
      <c r="C547" s="16" t="str">
        <f t="shared" si="24"/>
        <v>C03671:1</v>
      </c>
      <c r="D547" s="17" t="str">
        <f t="shared" si="25"/>
        <v>C03671 : 2-Pyrone-4,6-dicarboxylate</v>
      </c>
    </row>
    <row r="548" spans="1:4">
      <c r="A548" t="s">
        <v>12222</v>
      </c>
      <c r="B548" s="43" t="s">
        <v>17157</v>
      </c>
      <c r="C548" s="16" t="str">
        <f t="shared" si="24"/>
        <v>C03688:1</v>
      </c>
      <c r="D548" s="17" t="str">
        <f t="shared" si="25"/>
        <v>C03688 : Apo-[acyl-carrier protein]</v>
      </c>
    </row>
    <row r="549" spans="1:4">
      <c r="A549" t="s">
        <v>12536</v>
      </c>
      <c r="B549" s="43" t="s">
        <v>17158</v>
      </c>
      <c r="C549" s="16" t="str">
        <f t="shared" si="24"/>
        <v>C03722:1</v>
      </c>
      <c r="D549" s="17" t="str">
        <f t="shared" si="25"/>
        <v>C03722 : Quinolinate</v>
      </c>
    </row>
    <row r="550" spans="1:4">
      <c r="A550" t="s">
        <v>12537</v>
      </c>
      <c r="B550" s="43" t="s">
        <v>17159</v>
      </c>
      <c r="C550" s="16" t="str">
        <f t="shared" si="24"/>
        <v>C03723:1</v>
      </c>
      <c r="D550" s="17" t="str">
        <f t="shared" si="25"/>
        <v>C03723 : Ribonucleoside diphosphate</v>
      </c>
    </row>
    <row r="551" spans="1:4">
      <c r="A551" t="s">
        <v>8589</v>
      </c>
      <c r="B551" s="43" t="s">
        <v>17160</v>
      </c>
      <c r="C551" s="16" t="str">
        <f t="shared" si="24"/>
        <v>C03733:1</v>
      </c>
      <c r="D551" s="17" t="str">
        <f t="shared" si="25"/>
        <v>C03733 : UDP-alpha-D-galactofuranose</v>
      </c>
    </row>
    <row r="552" spans="1:4">
      <c r="A552" t="s">
        <v>8833</v>
      </c>
      <c r="B552" s="43" t="s">
        <v>17161</v>
      </c>
      <c r="C552" s="16" t="str">
        <f t="shared" ref="C552:C615" si="26">CONCATENATE(A552,":","1")</f>
        <v>C03735:1</v>
      </c>
      <c r="D552" s="17" t="str">
        <f t="shared" si="25"/>
        <v>C03735 : alpha-D-Hexose 6-phosphate</v>
      </c>
    </row>
    <row r="553" spans="1:4">
      <c r="A553" t="s">
        <v>12223</v>
      </c>
      <c r="B553" s="43" t="s">
        <v>17162</v>
      </c>
      <c r="C553" s="16" t="str">
        <f t="shared" si="26"/>
        <v>C03740:1</v>
      </c>
      <c r="D553" s="17" t="str">
        <f t="shared" si="25"/>
        <v>C03740 : (5-L-Glutamyl)-L-amino acid</v>
      </c>
    </row>
    <row r="554" spans="1:4">
      <c r="A554" t="s">
        <v>10272</v>
      </c>
      <c r="B554" s="43" t="s">
        <v>17163</v>
      </c>
      <c r="C554" s="16" t="str">
        <f t="shared" si="26"/>
        <v>C03741:1</v>
      </c>
      <c r="D554" s="17" t="str">
        <f t="shared" si="25"/>
        <v>C03741 : (S)-4-Amino-5-oxopentanoate</v>
      </c>
    </row>
    <row r="555" spans="1:4">
      <c r="A555" t="s">
        <v>12538</v>
      </c>
      <c r="B555" s="43" t="s">
        <v>17164</v>
      </c>
      <c r="C555" s="16" t="str">
        <f t="shared" si="26"/>
        <v>C03785:1</v>
      </c>
      <c r="D555" s="17" t="str">
        <f t="shared" si="25"/>
        <v>C03785 : D-Tagatose 1,6-bisphosphate</v>
      </c>
    </row>
    <row r="556" spans="1:4">
      <c r="A556" t="s">
        <v>8766</v>
      </c>
      <c r="B556" s="43" t="s">
        <v>17165</v>
      </c>
      <c r="C556" s="16" t="str">
        <f t="shared" si="26"/>
        <v>C03794:1</v>
      </c>
      <c r="D556" s="17" t="str">
        <f t="shared" si="25"/>
        <v>C03794 : N6-(1,2-Dicarboxyethyl)-AMP</v>
      </c>
    </row>
    <row r="557" spans="1:4">
      <c r="A557" t="s">
        <v>8963</v>
      </c>
      <c r="B557" s="43" t="s">
        <v>17166</v>
      </c>
      <c r="C557" s="16" t="str">
        <f t="shared" si="26"/>
        <v>C03798:1</v>
      </c>
      <c r="D557" s="17" t="str">
        <f t="shared" si="25"/>
        <v>C03798 : Peptidylproline (omega=180)</v>
      </c>
    </row>
    <row r="558" spans="1:4">
      <c r="A558" t="s">
        <v>12539</v>
      </c>
      <c r="B558" s="43" t="s">
        <v>17167</v>
      </c>
      <c r="C558" s="16" t="str">
        <f t="shared" si="26"/>
        <v>C03800:1</v>
      </c>
      <c r="D558" s="17" t="str">
        <f t="shared" si="25"/>
        <v>C03800 : Protein S-methyl-L-cysteine</v>
      </c>
    </row>
    <row r="559" spans="1:4">
      <c r="A559" t="s">
        <v>12224</v>
      </c>
      <c r="B559" s="43" t="s">
        <v>17168</v>
      </c>
      <c r="C559" s="16" t="str">
        <f t="shared" si="26"/>
        <v>C03803:1</v>
      </c>
      <c r="D559" s="17" t="str">
        <f t="shared" si="25"/>
        <v>C03803 : Ribosomal-protein L-alanine</v>
      </c>
    </row>
    <row r="560" spans="1:4">
      <c r="A560" t="s">
        <v>12225</v>
      </c>
      <c r="B560" s="43" t="s">
        <v>17169</v>
      </c>
      <c r="C560" s="16" t="str">
        <f t="shared" si="26"/>
        <v>C03838:1</v>
      </c>
      <c r="D560" s="17" t="str">
        <f t="shared" si="25"/>
        <v>C03838 : 5'-Phosphoribosylglycinamide</v>
      </c>
    </row>
    <row r="561" spans="1:4">
      <c r="A561" t="s">
        <v>12540</v>
      </c>
      <c r="B561" s="43" t="s">
        <v>17170</v>
      </c>
      <c r="C561" s="16" t="str">
        <f t="shared" si="26"/>
        <v>C03862:1</v>
      </c>
      <c r="D561" s="17" t="str">
        <f t="shared" si="25"/>
        <v>C03862 : Dolichyl phosphate D-mannose</v>
      </c>
    </row>
    <row r="562" spans="1:4">
      <c r="A562" t="s">
        <v>12541</v>
      </c>
      <c r="B562" s="43" t="s">
        <v>17171</v>
      </c>
      <c r="C562" s="16" t="str">
        <f t="shared" si="26"/>
        <v>C03871:1</v>
      </c>
      <c r="D562" s="17" t="str">
        <f t="shared" si="25"/>
        <v>C03871 : L-2-Amino-6-oxoheptanedioate</v>
      </c>
    </row>
    <row r="563" spans="1:4">
      <c r="A563" t="s">
        <v>12542</v>
      </c>
      <c r="B563" s="43" t="s">
        <v>17172</v>
      </c>
      <c r="C563" s="16" t="str">
        <f t="shared" si="26"/>
        <v>C03880:1</v>
      </c>
      <c r="D563" s="17" t="str">
        <f t="shared" si="25"/>
        <v>C03880 : N-Substituted aminoacyl-tRNA</v>
      </c>
    </row>
    <row r="564" spans="1:4">
      <c r="A564" t="s">
        <v>12226</v>
      </c>
      <c r="B564" s="43" t="s">
        <v>17173</v>
      </c>
      <c r="C564" s="16" t="str">
        <f t="shared" si="26"/>
        <v>C03892:1</v>
      </c>
      <c r="D564" s="17" t="str">
        <f t="shared" si="25"/>
        <v>C03892 : Phosphatidylglycerophosphate</v>
      </c>
    </row>
    <row r="565" spans="1:4">
      <c r="A565" t="s">
        <v>12543</v>
      </c>
      <c r="B565" s="43" t="s">
        <v>17174</v>
      </c>
      <c r="C565" s="16" t="str">
        <f t="shared" si="26"/>
        <v>C03895:1</v>
      </c>
      <c r="D565" s="17" t="str">
        <f t="shared" si="25"/>
        <v>C03895 : Peptide-L-methionine (S)-S-oxide</v>
      </c>
    </row>
    <row r="566" spans="1:4">
      <c r="A566" t="s">
        <v>12544</v>
      </c>
      <c r="B566" s="43" t="s">
        <v>17175</v>
      </c>
      <c r="C566" s="16" t="str">
        <f t="shared" si="26"/>
        <v>C03912:1</v>
      </c>
      <c r="D566" s="17" t="str">
        <f t="shared" si="25"/>
        <v>C03912 : (S)-1-Pyrroline-5-carboxylate</v>
      </c>
    </row>
    <row r="567" spans="1:4">
      <c r="A567" t="s">
        <v>12227</v>
      </c>
      <c r="B567" s="43" t="s">
        <v>17176</v>
      </c>
      <c r="C567" s="16" t="str">
        <f t="shared" si="26"/>
        <v>C03939:1</v>
      </c>
      <c r="D567" s="17" t="str">
        <f t="shared" si="25"/>
        <v>C03939 : Acetyl-[acyl-carrier protein]</v>
      </c>
    </row>
    <row r="568" spans="1:4">
      <c r="A568" t="s">
        <v>12228</v>
      </c>
      <c r="B568" s="43" t="s">
        <v>17177</v>
      </c>
      <c r="C568" s="16" t="str">
        <f t="shared" si="26"/>
        <v>C03972:1</v>
      </c>
      <c r="D568" s="17" t="str">
        <f t="shared" si="25"/>
        <v>C03972 : 2,3,4,5-Tetrahydrodipicolinate</v>
      </c>
    </row>
    <row r="569" spans="1:4">
      <c r="A569" t="s">
        <v>8552</v>
      </c>
      <c r="B569" s="43" t="s">
        <v>17178</v>
      </c>
      <c r="C569" s="16" t="str">
        <f t="shared" si="26"/>
        <v>C04006:1</v>
      </c>
      <c r="D569" s="17" t="str">
        <f t="shared" si="25"/>
        <v>C04006 : 1D-myo-Inositol 3-phosphate</v>
      </c>
    </row>
    <row r="570" spans="1:4">
      <c r="A570" t="s">
        <v>9849</v>
      </c>
      <c r="B570" s="43" t="s">
        <v>17179</v>
      </c>
      <c r="C570" s="16" t="str">
        <f t="shared" si="26"/>
        <v>C04039:1</v>
      </c>
      <c r="D570" s="17" t="str">
        <f t="shared" si="25"/>
        <v>C04039 : 2,3-Dihydroxy-3-methylbutanoate</v>
      </c>
    </row>
    <row r="571" spans="1:4">
      <c r="A571" t="s">
        <v>12545</v>
      </c>
      <c r="B571" s="43" t="s">
        <v>17180</v>
      </c>
      <c r="C571" s="16" t="str">
        <f t="shared" si="26"/>
        <v>C04044:1</v>
      </c>
      <c r="D571" s="17" t="str">
        <f t="shared" si="25"/>
        <v>C04044 : 3-(2,3-Dihydroxyphenyl)propanoate</v>
      </c>
    </row>
    <row r="572" spans="1:4">
      <c r="A572" t="s">
        <v>12546</v>
      </c>
      <c r="B572" s="43" t="s">
        <v>17181</v>
      </c>
      <c r="C572" s="16" t="str">
        <f t="shared" si="26"/>
        <v>C04051:1</v>
      </c>
      <c r="D572" s="17" t="str">
        <f t="shared" si="25"/>
        <v>C04051 : 5-Amino-4-imidazolecarboxyamide</v>
      </c>
    </row>
    <row r="573" spans="1:4">
      <c r="A573" t="s">
        <v>12229</v>
      </c>
      <c r="B573" s="43" t="s">
        <v>17182</v>
      </c>
      <c r="C573" s="16" t="str">
        <f t="shared" si="26"/>
        <v>C04079:1</v>
      </c>
      <c r="D573" s="17" t="str">
        <f t="shared" si="25"/>
        <v>C04079 : N-((R)-Pantothenoyl)-L-cysteine</v>
      </c>
    </row>
    <row r="574" spans="1:4">
      <c r="A574" t="s">
        <v>9002</v>
      </c>
      <c r="B574" s="43" t="s">
        <v>17183</v>
      </c>
      <c r="C574" s="16" t="str">
        <f t="shared" si="26"/>
        <v>C04105:1</v>
      </c>
      <c r="D574" s="17" t="str">
        <f t="shared" si="25"/>
        <v>C04105 : 2,5-Dihydro-5-oxofuran-2-acetate</v>
      </c>
    </row>
    <row r="575" spans="1:4">
      <c r="A575" t="s">
        <v>8989</v>
      </c>
      <c r="B575" s="43" t="s">
        <v>17184</v>
      </c>
      <c r="C575" s="16" t="str">
        <f t="shared" si="26"/>
        <v>C04112:1</v>
      </c>
      <c r="D575" s="17" t="str">
        <f t="shared" si="25"/>
        <v>C04112 : 3-Methyl-cis,cis-hexadienedioate</v>
      </c>
    </row>
    <row r="576" spans="1:4">
      <c r="A576" t="s">
        <v>12230</v>
      </c>
      <c r="B576" s="43" t="s">
        <v>17185</v>
      </c>
      <c r="C576" s="16" t="str">
        <f t="shared" si="26"/>
        <v>C04133:1</v>
      </c>
      <c r="D576" s="17" t="str">
        <f t="shared" si="25"/>
        <v>C04133 : N-Acetyl-L-glutamate 5-phosphate</v>
      </c>
    </row>
    <row r="577" spans="1:4">
      <c r="A577" t="s">
        <v>8719</v>
      </c>
      <c r="B577" s="43" t="s">
        <v>17186</v>
      </c>
      <c r="C577" s="16" t="str">
        <f t="shared" si="26"/>
        <v>C04136:1</v>
      </c>
      <c r="D577" s="17" t="str">
        <f t="shared" si="25"/>
        <v>C04136 : N-Acyl-D-glucosamine 6-phosphate</v>
      </c>
    </row>
    <row r="578" spans="1:4">
      <c r="A578" t="s">
        <v>12231</v>
      </c>
      <c r="B578" s="43" t="s">
        <v>17187</v>
      </c>
      <c r="C578" s="16" t="str">
        <f t="shared" si="26"/>
        <v>C04144:1</v>
      </c>
      <c r="D578" s="17" t="str">
        <f t="shared" si="25"/>
        <v>C04144 : Tetrahydropteroyltri-L-glutamate</v>
      </c>
    </row>
    <row r="579" spans="1:4">
      <c r="A579" t="s">
        <v>12232</v>
      </c>
      <c r="B579" s="43" t="s">
        <v>17188</v>
      </c>
      <c r="C579" s="16" t="str">
        <f t="shared" si="26"/>
        <v>C04153:1</v>
      </c>
      <c r="D579" s="17" t="str">
        <f t="shared" si="25"/>
        <v>C04153 : rRNA containing N2-methylguanine</v>
      </c>
    </row>
    <row r="580" spans="1:4">
      <c r="A580" t="s">
        <v>12233</v>
      </c>
      <c r="B580" s="43" t="s">
        <v>17189</v>
      </c>
      <c r="C580" s="16" t="str">
        <f t="shared" si="26"/>
        <v>C04157:1</v>
      </c>
      <c r="D580" s="17" t="str">
        <f t="shared" si="25"/>
        <v>C04157 : tRNA containing N1-methylguanine</v>
      </c>
    </row>
    <row r="581" spans="1:4">
      <c r="A581" t="s">
        <v>12234</v>
      </c>
      <c r="B581" s="43" t="s">
        <v>17190</v>
      </c>
      <c r="C581" s="16" t="str">
        <f t="shared" si="26"/>
        <v>C04160:1</v>
      </c>
      <c r="D581" s="17" t="str">
        <f t="shared" si="25"/>
        <v>C04160 : tRNA containing N7-methylguanine</v>
      </c>
    </row>
    <row r="582" spans="1:4">
      <c r="A582" t="s">
        <v>9836</v>
      </c>
      <c r="B582" s="43" t="s">
        <v>17191</v>
      </c>
      <c r="C582" s="16" t="str">
        <f t="shared" si="26"/>
        <v>C04181:1</v>
      </c>
      <c r="D582" s="17" t="str">
        <f t="shared" si="25"/>
        <v>C04181 : 3-Hydroxy-3-methyl-2-oxobutanoic acid</v>
      </c>
    </row>
    <row r="583" spans="1:4">
      <c r="A583" t="s">
        <v>12547</v>
      </c>
      <c r="B583" s="43" t="s">
        <v>17192</v>
      </c>
      <c r="C583" s="16" t="str">
        <f t="shared" si="26"/>
        <v>C04225:1</v>
      </c>
      <c r="D583" s="17" t="str">
        <f t="shared" ref="D583:D646" si="27">CONCATENATE(A583," : ",B583)</f>
        <v>C04225 : (Z)-But-2-ene-1,2,3-tricarboxylate</v>
      </c>
    </row>
    <row r="584" spans="1:4">
      <c r="A584" t="s">
        <v>12548</v>
      </c>
      <c r="B584" s="43" t="s">
        <v>17193</v>
      </c>
      <c r="C584" s="16" t="str">
        <f t="shared" si="26"/>
        <v>C04232:1</v>
      </c>
      <c r="D584" s="17" t="str">
        <f t="shared" si="27"/>
        <v>C04232 : 2'-Deoxyribonucleoside diphosphate</v>
      </c>
    </row>
    <row r="585" spans="1:4">
      <c r="A585" t="s">
        <v>9818</v>
      </c>
      <c r="B585" s="43" t="s">
        <v>17194</v>
      </c>
      <c r="C585" s="16" t="str">
        <f t="shared" si="26"/>
        <v>C04236:1</v>
      </c>
      <c r="D585" s="17" t="str">
        <f t="shared" si="27"/>
        <v>C04236 : (2S)-2-Isopropyl-3-oxosuccinate</v>
      </c>
    </row>
    <row r="586" spans="1:4">
      <c r="A586" t="s">
        <v>12549</v>
      </c>
      <c r="B586" s="43" t="s">
        <v>17195</v>
      </c>
      <c r="C586" s="16" t="str">
        <f t="shared" si="26"/>
        <v>C04242:1</v>
      </c>
      <c r="D586" s="17" t="str">
        <f t="shared" si="27"/>
        <v>C04242 : 5-Fluorodeoxyuridine monophosphate</v>
      </c>
    </row>
    <row r="587" spans="1:4">
      <c r="A587" t="s">
        <v>12550</v>
      </c>
      <c r="B587" s="43" t="s">
        <v>17196</v>
      </c>
      <c r="C587" s="16" t="str">
        <f t="shared" si="26"/>
        <v>C04246:1</v>
      </c>
      <c r="D587" s="17" t="str">
        <f t="shared" si="27"/>
        <v>C04246 : But-2-enoyl-[acyl-carrier protein]</v>
      </c>
    </row>
    <row r="588" spans="1:4">
      <c r="A588" t="s">
        <v>12551</v>
      </c>
      <c r="B588" s="43" t="s">
        <v>17197</v>
      </c>
      <c r="C588" s="16" t="str">
        <f t="shared" si="26"/>
        <v>C04250:1</v>
      </c>
      <c r="D588" s="17" t="str">
        <f t="shared" si="27"/>
        <v>C04250 : DNA containing 6-O-methylguanine</v>
      </c>
    </row>
    <row r="589" spans="1:4">
      <c r="A589" t="s">
        <v>8722</v>
      </c>
      <c r="B589" s="43" t="s">
        <v>17198</v>
      </c>
      <c r="C589" s="16" t="str">
        <f t="shared" si="26"/>
        <v>C04257:1</v>
      </c>
      <c r="D589" s="17" t="str">
        <f t="shared" si="27"/>
        <v>C04257 : N-Acetyl-D-mannosamine 6-phosphate</v>
      </c>
    </row>
    <row r="590" spans="1:4">
      <c r="A590" t="s">
        <v>12552</v>
      </c>
      <c r="B590" s="43" t="s">
        <v>17199</v>
      </c>
      <c r="C590" s="16" t="str">
        <f t="shared" si="26"/>
        <v>C04258:1</v>
      </c>
      <c r="D590" s="17" t="str">
        <f t="shared" si="27"/>
        <v>C04258 : N-Formyl-L-methionylaminoacyl-tRNA</v>
      </c>
    </row>
    <row r="591" spans="1:4">
      <c r="A591" t="s">
        <v>12235</v>
      </c>
      <c r="B591" s="43" t="s">
        <v>17200</v>
      </c>
      <c r="C591" s="16" t="str">
        <f t="shared" si="26"/>
        <v>C04261:1</v>
      </c>
      <c r="D591" s="17" t="str">
        <f t="shared" si="27"/>
        <v>C04261 : Protein N(pi)-phospho-L-histidine</v>
      </c>
    </row>
    <row r="592" spans="1:4">
      <c r="A592" t="s">
        <v>12236</v>
      </c>
      <c r="B592" s="43" t="s">
        <v>17201</v>
      </c>
      <c r="C592" s="16" t="str">
        <f t="shared" si="26"/>
        <v>C04262:1</v>
      </c>
      <c r="D592" s="17" t="str">
        <f t="shared" si="27"/>
        <v>C04262 : Protein N(tau)-phospho-L-histidine</v>
      </c>
    </row>
    <row r="593" spans="1:4">
      <c r="A593" t="s">
        <v>9851</v>
      </c>
      <c r="B593" s="43" t="s">
        <v>17202</v>
      </c>
      <c r="C593" s="16" t="str">
        <f t="shared" si="26"/>
        <v>C04272:1</v>
      </c>
      <c r="D593" s="17" t="str">
        <f t="shared" si="27"/>
        <v>C04272 : (R)-2,3-Dihydroxy-3-methylbutanoate</v>
      </c>
    </row>
    <row r="594" spans="1:4">
      <c r="A594" t="s">
        <v>12553</v>
      </c>
      <c r="B594" s="43" t="s">
        <v>17203</v>
      </c>
      <c r="C594" s="16" t="str">
        <f t="shared" si="26"/>
        <v>C04281:1</v>
      </c>
      <c r="D594" s="17" t="str">
        <f t="shared" si="27"/>
        <v>C04281 : L-1-Pyrroline-3-hydroxy-5-carboxylate</v>
      </c>
    </row>
    <row r="595" spans="1:4">
      <c r="A595" t="s">
        <v>12554</v>
      </c>
      <c r="B595" s="43" t="s">
        <v>17204</v>
      </c>
      <c r="C595" s="16" t="str">
        <f t="shared" si="26"/>
        <v>C04287:1</v>
      </c>
      <c r="D595" s="17" t="str">
        <f t="shared" si="27"/>
        <v>C04287 : 3D-3,5/4-Trihydroxycyclohexane-1,2-dione</v>
      </c>
    </row>
    <row r="596" spans="1:4">
      <c r="A596" t="s">
        <v>12237</v>
      </c>
      <c r="B596" s="43" t="s">
        <v>17205</v>
      </c>
      <c r="C596" s="16" t="str">
        <f t="shared" si="26"/>
        <v>C04294:1</v>
      </c>
      <c r="D596" s="17" t="str">
        <f t="shared" si="27"/>
        <v>C04294 : 5-(2-Hydroxyethyl)-4-methylthiazole</v>
      </c>
    </row>
    <row r="597" spans="1:4">
      <c r="A597" t="s">
        <v>8516</v>
      </c>
      <c r="B597" s="43" t="s">
        <v>17206</v>
      </c>
      <c r="C597" s="16" t="str">
        <f t="shared" si="26"/>
        <v>C04302:1</v>
      </c>
      <c r="D597" s="17" t="str">
        <f t="shared" si="27"/>
        <v>C04302 : N-(5-Phospho-D-ribosyl)anthranilate</v>
      </c>
    </row>
    <row r="598" spans="1:4">
      <c r="A598" t="s">
        <v>12555</v>
      </c>
      <c r="B598" s="43" t="s">
        <v>17207</v>
      </c>
      <c r="C598" s="16" t="str">
        <f t="shared" si="26"/>
        <v>C04309:1</v>
      </c>
      <c r="D598" s="17" t="str">
        <f t="shared" si="27"/>
        <v>C04309 : Phosphoenol-4-deoxy-3-tetrulosonate</v>
      </c>
    </row>
    <row r="599" spans="1:4">
      <c r="A599" t="s">
        <v>12238</v>
      </c>
      <c r="B599" s="43" t="s">
        <v>17208</v>
      </c>
      <c r="C599" s="16" t="str">
        <f t="shared" si="26"/>
        <v>C04327:1</v>
      </c>
      <c r="D599" s="17" t="str">
        <f t="shared" si="27"/>
        <v>C04327 : 4-Methyl-5-(2-phosphooxyethyl)thiazole</v>
      </c>
    </row>
    <row r="600" spans="1:4">
      <c r="A600" t="s">
        <v>9608</v>
      </c>
      <c r="B600" s="43" t="s">
        <v>17209</v>
      </c>
      <c r="C600" s="16" t="str">
        <f t="shared" si="26"/>
        <v>C04332:1</v>
      </c>
      <c r="D600" s="17" t="str">
        <f t="shared" si="27"/>
        <v>C04332 : 6,7-Dimethyl-8-(D-ribityl)lumazine</v>
      </c>
    </row>
    <row r="601" spans="1:4">
      <c r="A601" t="s">
        <v>12239</v>
      </c>
      <c r="B601" s="43" t="s">
        <v>17210</v>
      </c>
      <c r="C601" s="16" t="str">
        <f t="shared" si="26"/>
        <v>C04341:1</v>
      </c>
      <c r="D601" s="17" t="str">
        <f t="shared" si="27"/>
        <v>C04341 : Ribosomal-protein N-acetyl-L-alanine</v>
      </c>
    </row>
    <row r="602" spans="1:4">
      <c r="A602" t="s">
        <v>9584</v>
      </c>
      <c r="B602" s="43" t="s">
        <v>17211</v>
      </c>
      <c r="C602" s="16" t="str">
        <f t="shared" si="26"/>
        <v>C04352:1</v>
      </c>
      <c r="D602" s="17" t="str">
        <f t="shared" si="27"/>
        <v>C04352 : (R)-4'-Phosphopantothenoyl-L-cysteine</v>
      </c>
    </row>
    <row r="603" spans="1:4">
      <c r="A603" t="s">
        <v>12556</v>
      </c>
      <c r="B603" s="43" t="s">
        <v>17212</v>
      </c>
      <c r="C603" s="16" t="str">
        <f t="shared" si="26"/>
        <v>C04367:1</v>
      </c>
      <c r="D603" s="17" t="str">
        <f t="shared" si="27"/>
        <v>C04367 : 3-(3,5-Diiodo-4-hydroxyphenyl)lactate</v>
      </c>
    </row>
    <row r="604" spans="1:4">
      <c r="A604" t="s">
        <v>12240</v>
      </c>
      <c r="B604" s="43" t="s">
        <v>17213</v>
      </c>
      <c r="C604" s="16" t="str">
        <f t="shared" si="26"/>
        <v>C04376:1</v>
      </c>
      <c r="D604" s="17" t="str">
        <f t="shared" si="27"/>
        <v>C04376 : 5'-Phosphoribosyl-N-formylglycinamide</v>
      </c>
    </row>
    <row r="605" spans="1:4">
      <c r="A605" t="s">
        <v>12557</v>
      </c>
      <c r="B605" s="43" t="s">
        <v>17214</v>
      </c>
      <c r="C605" s="16" t="str">
        <f t="shared" si="26"/>
        <v>C04377:1</v>
      </c>
      <c r="D605" s="17" t="str">
        <f t="shared" si="27"/>
        <v>C04377 : 5,10-Methylenetetrahydromethanopterin</v>
      </c>
    </row>
    <row r="606" spans="1:4">
      <c r="A606" t="s">
        <v>9800</v>
      </c>
      <c r="B606" s="43" t="s">
        <v>17215</v>
      </c>
      <c r="C606" s="16" t="str">
        <f t="shared" si="26"/>
        <v>C04411:1</v>
      </c>
      <c r="D606" s="17" t="str">
        <f t="shared" si="27"/>
        <v>C04411 : (2R,3S)-3-Isopropylmalate</v>
      </c>
    </row>
    <row r="607" spans="1:4">
      <c r="A607" t="s">
        <v>12241</v>
      </c>
      <c r="B607" s="43" t="s">
        <v>17216</v>
      </c>
      <c r="C607" s="16" t="str">
        <f t="shared" si="26"/>
        <v>C04419:1</v>
      </c>
      <c r="D607" s="17" t="str">
        <f t="shared" si="27"/>
        <v>C04419 : Carboxybiotin-carboxyl-carrier protein</v>
      </c>
    </row>
    <row r="608" spans="1:4">
      <c r="A608" t="s">
        <v>12558</v>
      </c>
      <c r="B608" s="43" t="s">
        <v>17217</v>
      </c>
      <c r="C608" s="16" t="str">
        <f t="shared" si="26"/>
        <v>C04421:1</v>
      </c>
      <c r="D608" s="17" t="str">
        <f t="shared" si="27"/>
        <v>C04421 : N-Succinyl-LL-2,6-diaminoheptanedioate</v>
      </c>
    </row>
    <row r="609" spans="1:4">
      <c r="A609" t="s">
        <v>12559</v>
      </c>
      <c r="B609" s="43" t="s">
        <v>17218</v>
      </c>
      <c r="C609" s="16" t="str">
        <f t="shared" si="26"/>
        <v>C04425:1</v>
      </c>
      <c r="D609" s="17" t="str">
        <f t="shared" si="27"/>
        <v>C04425 : S-Adenosyl-4-methylthio-2-oxobutanoate</v>
      </c>
    </row>
    <row r="610" spans="1:4">
      <c r="A610" t="s">
        <v>12242</v>
      </c>
      <c r="B610" s="43" t="s">
        <v>17219</v>
      </c>
      <c r="C610" s="16" t="str">
        <f t="shared" si="26"/>
        <v>C04432:1</v>
      </c>
      <c r="D610" s="17" t="str">
        <f t="shared" si="27"/>
        <v>C04432 : tRNA containing 6-isopentenyladenosine</v>
      </c>
    </row>
    <row r="611" spans="1:4">
      <c r="A611" t="s">
        <v>12560</v>
      </c>
      <c r="B611" s="43" t="s">
        <v>17220</v>
      </c>
      <c r="C611" s="16" t="str">
        <f t="shared" si="26"/>
        <v>C04454:1</v>
      </c>
      <c r="D611" s="17" t="str">
        <f t="shared" si="27"/>
        <v>C04454 : 5-Amino-6-(5'-phospho-D-ribitylamino)uracil</v>
      </c>
    </row>
    <row r="612" spans="1:4">
      <c r="A612" t="s">
        <v>12243</v>
      </c>
      <c r="B612" s="43" t="s">
        <v>17221</v>
      </c>
      <c r="C612" s="16" t="str">
        <f t="shared" si="26"/>
        <v>C04462:1</v>
      </c>
      <c r="D612" s="17" t="str">
        <f t="shared" si="27"/>
        <v>C04462 : N-Succinyl-2-L-amino-6-oxoheptanedioate</v>
      </c>
    </row>
    <row r="613" spans="1:4">
      <c r="A613" t="s">
        <v>12244</v>
      </c>
      <c r="B613" s="43" t="s">
        <v>17222</v>
      </c>
      <c r="C613" s="16" t="str">
        <f t="shared" si="26"/>
        <v>C04489:1</v>
      </c>
      <c r="D613" s="17" t="str">
        <f t="shared" si="27"/>
        <v>C04489 : 5-Methyltetrahydropteroyltri-L-glutamate</v>
      </c>
    </row>
    <row r="614" spans="1:4">
      <c r="A614" t="s">
        <v>12245</v>
      </c>
      <c r="B614" s="43" t="s">
        <v>17223</v>
      </c>
      <c r="C614" s="16" t="str">
        <f t="shared" si="26"/>
        <v>C04494:1</v>
      </c>
      <c r="D614" s="17" t="str">
        <f t="shared" si="27"/>
        <v>C04494 : Guanosine 3'-diphosphate 5'-triphosphate</v>
      </c>
    </row>
    <row r="615" spans="1:4">
      <c r="A615" t="s">
        <v>12246</v>
      </c>
      <c r="B615" s="43" t="s">
        <v>17224</v>
      </c>
      <c r="C615" s="16" t="str">
        <f t="shared" si="26"/>
        <v>C04501:1</v>
      </c>
      <c r="D615" s="17" t="str">
        <f t="shared" si="27"/>
        <v>C04501 : N-Acetyl-alpha-D-glucosamine 1-phosphate</v>
      </c>
    </row>
    <row r="616" spans="1:4">
      <c r="A616" t="s">
        <v>12561</v>
      </c>
      <c r="B616" s="43" t="s">
        <v>17225</v>
      </c>
      <c r="C616" s="16" t="str">
        <f t="shared" ref="C616:C650" si="28">CONCATENATE(A616,":","1")</f>
        <v>C04517:1</v>
      </c>
      <c r="D616" s="17" t="str">
        <f t="shared" si="27"/>
        <v>C04517 : 1-(1-Alkenyl)-sn-glycero-3-phosphocholine</v>
      </c>
    </row>
    <row r="617" spans="1:4">
      <c r="A617" t="s">
        <v>12247</v>
      </c>
      <c r="B617" s="43" t="s">
        <v>17226</v>
      </c>
      <c r="C617" s="16" t="str">
        <f t="shared" si="28"/>
        <v>C04556:1</v>
      </c>
      <c r="D617" s="17" t="str">
        <f t="shared" si="27"/>
        <v>C04556 : 4-Amino-2-methyl-5-(phosphooxymethyl)pyrimidine</v>
      </c>
    </row>
    <row r="618" spans="1:4">
      <c r="A618" t="s">
        <v>12562</v>
      </c>
      <c r="B618" s="43" t="s">
        <v>17227</v>
      </c>
      <c r="C618" s="16" t="str">
        <f t="shared" si="28"/>
        <v>C04574:1</v>
      </c>
      <c r="D618" s="17" t="str">
        <f t="shared" si="27"/>
        <v>C04574 : di-trans,poly-cis-Undecaprenyl diphosphate</v>
      </c>
    </row>
    <row r="619" spans="1:4">
      <c r="A619" t="s">
        <v>10168</v>
      </c>
      <c r="B619" s="43" t="s">
        <v>17228</v>
      </c>
      <c r="C619" s="16" t="str">
        <f t="shared" si="28"/>
        <v>C04593:1</v>
      </c>
      <c r="D619" s="17" t="str">
        <f t="shared" si="27"/>
        <v>C04593 : (2S,3R)-3-Hydroxybutane-1,2,3-tricarboxylate</v>
      </c>
    </row>
    <row r="620" spans="1:4">
      <c r="A620" t="s">
        <v>8881</v>
      </c>
      <c r="B620" s="43" t="s">
        <v>17229</v>
      </c>
      <c r="C620" s="16" t="str">
        <f t="shared" si="28"/>
        <v>C04618:1</v>
      </c>
      <c r="D620" s="17" t="str">
        <f t="shared" si="27"/>
        <v>C04618 : (3R)-3-Hydroxybutanoyl-[acyl-carrier protein]</v>
      </c>
    </row>
    <row r="621" spans="1:4">
      <c r="A621" t="s">
        <v>12563</v>
      </c>
      <c r="B621" s="43" t="s">
        <v>17230</v>
      </c>
      <c r="C621" s="16" t="str">
        <f t="shared" si="28"/>
        <v>C04619:1</v>
      </c>
      <c r="D621" s="17" t="str">
        <f t="shared" si="27"/>
        <v>C04619 : (3R)-3-Hydroxydecanoyl-[acyl-carrier protein]</v>
      </c>
    </row>
    <row r="622" spans="1:4">
      <c r="A622" t="s">
        <v>12564</v>
      </c>
      <c r="B622" s="43" t="s">
        <v>17231</v>
      </c>
      <c r="C622" s="16" t="str">
        <f t="shared" si="28"/>
        <v>C04620:1</v>
      </c>
      <c r="D622" s="17" t="str">
        <f t="shared" si="27"/>
        <v>C04620 : (3R)-3-Hydroxyoctanoyl-[acyl-carrier protein]</v>
      </c>
    </row>
    <row r="623" spans="1:4">
      <c r="A623" t="s">
        <v>12565</v>
      </c>
      <c r="B623" s="43" t="s">
        <v>17232</v>
      </c>
      <c r="C623" s="16" t="str">
        <f t="shared" si="28"/>
        <v>C04631:1</v>
      </c>
      <c r="D623" s="17" t="str">
        <f t="shared" si="27"/>
        <v>C04631 : UDP-N-acetyl-3-(1-carboxyvinyl)-D-glucosamine</v>
      </c>
    </row>
    <row r="624" spans="1:4">
      <c r="A624" t="s">
        <v>12566</v>
      </c>
      <c r="B624" s="43" t="s">
        <v>17233</v>
      </c>
      <c r="C624" s="16" t="str">
        <f t="shared" si="28"/>
        <v>C04633:1</v>
      </c>
      <c r="D624" s="17" t="str">
        <f t="shared" si="27"/>
        <v>C04633 : (3R)-3-Hydroxypalmitoyl-[acyl-carrier protein]</v>
      </c>
    </row>
    <row r="625" spans="1:4">
      <c r="A625" t="s">
        <v>12567</v>
      </c>
      <c r="B625" s="43" t="s">
        <v>17234</v>
      </c>
      <c r="C625" s="16" t="str">
        <f t="shared" si="28"/>
        <v>C04634:1</v>
      </c>
      <c r="D625" s="17" t="str">
        <f t="shared" si="27"/>
        <v>C04634 : 1,6-Dihydroxycyclohexa-2,4-diene-1-carboxylate</v>
      </c>
    </row>
    <row r="626" spans="1:4">
      <c r="A626" t="s">
        <v>12568</v>
      </c>
      <c r="B626" s="43" t="s">
        <v>17235</v>
      </c>
      <c r="C626" s="16" t="str">
        <f t="shared" si="28"/>
        <v>C04635:1</v>
      </c>
      <c r="D626" s="17" t="str">
        <f t="shared" si="27"/>
        <v>C04635 : 1-(1-Alkenyl)-sn-glycero-3-phosphoethanolamine</v>
      </c>
    </row>
    <row r="627" spans="1:4">
      <c r="A627" t="s">
        <v>12248</v>
      </c>
      <c r="B627" s="43" t="s">
        <v>17236</v>
      </c>
      <c r="C627" s="16" t="str">
        <f t="shared" si="28"/>
        <v>C04640:1</v>
      </c>
      <c r="D627" s="17" t="str">
        <f t="shared" si="27"/>
        <v>C04640 : 2-(Formamido)-N1-(5'-phosphoribosyl)acetamidine</v>
      </c>
    </row>
    <row r="628" spans="1:4">
      <c r="A628" t="s">
        <v>12569</v>
      </c>
      <c r="B628" s="43" t="s">
        <v>17237</v>
      </c>
      <c r="C628" s="16" t="str">
        <f t="shared" si="28"/>
        <v>C04646:1</v>
      </c>
      <c r="D628" s="17" t="str">
        <f t="shared" si="27"/>
        <v>C04646 : 6-Thioinosine-5'-monophosphate</v>
      </c>
    </row>
    <row r="629" spans="1:4">
      <c r="A629" t="s">
        <v>9286</v>
      </c>
      <c r="B629" s="43" t="s">
        <v>17238</v>
      </c>
      <c r="C629" s="16" t="str">
        <f t="shared" si="28"/>
        <v>C04666:1</v>
      </c>
      <c r="D629" s="17" t="str">
        <f t="shared" si="27"/>
        <v>C04666 : D-erythro-1-(Imidazol-4-yl)glycerol 3-phosphate</v>
      </c>
    </row>
    <row r="630" spans="1:4">
      <c r="A630" t="s">
        <v>12249</v>
      </c>
      <c r="B630" s="43" t="s">
        <v>17239</v>
      </c>
      <c r="C630" s="16" t="str">
        <f t="shared" si="28"/>
        <v>C04677:1</v>
      </c>
      <c r="D630" s="17" t="str">
        <f t="shared" si="27"/>
        <v>C04677 : 1-(5'-Phosphoribosyl)-5-amino-4-imidazolecarboxamide</v>
      </c>
    </row>
    <row r="631" spans="1:4">
      <c r="A631" t="s">
        <v>12250</v>
      </c>
      <c r="B631" s="43" t="s">
        <v>17240</v>
      </c>
      <c r="C631" s="16" t="str">
        <f t="shared" si="28"/>
        <v>C04681:1</v>
      </c>
      <c r="D631" s="17" t="str">
        <f t="shared" si="27"/>
        <v>C04681 : [Acetyl-CoA:carbon-dioxide ligase (ADP-forming)]</v>
      </c>
    </row>
    <row r="632" spans="1:4">
      <c r="A632" t="s">
        <v>12570</v>
      </c>
      <c r="B632" s="43" t="s">
        <v>17241</v>
      </c>
      <c r="C632" s="16" t="str">
        <f t="shared" si="28"/>
        <v>C04688:1</v>
      </c>
      <c r="D632" s="17" t="str">
        <f t="shared" si="27"/>
        <v>C04688 : (3R)-3-Hydroxytetradecanoyl-[acyl-carrier protein]</v>
      </c>
    </row>
    <row r="633" spans="1:4">
      <c r="A633" t="s">
        <v>9542</v>
      </c>
      <c r="B633" s="43" t="s">
        <v>17242</v>
      </c>
      <c r="C633" s="16" t="str">
        <f t="shared" si="28"/>
        <v>C04691:1</v>
      </c>
      <c r="D633" s="17" t="str">
        <f t="shared" si="27"/>
        <v>C04691 : 2-Dehydro-3-deoxy-D-arabino-heptonate 7-phosphate</v>
      </c>
    </row>
    <row r="634" spans="1:4">
      <c r="A634" t="s">
        <v>12251</v>
      </c>
      <c r="B634" s="43" t="s">
        <v>17243</v>
      </c>
      <c r="C634" s="16" t="str">
        <f t="shared" si="28"/>
        <v>C04702:1</v>
      </c>
      <c r="D634" s="17" t="str">
        <f t="shared" si="27"/>
        <v>C04702 : UDPMurNAc(oyl-L-Ala-D-gamma-Glu-L-Lys-D-Ala-D-Ala)</v>
      </c>
    </row>
    <row r="635" spans="1:4">
      <c r="A635" t="s">
        <v>12252</v>
      </c>
      <c r="B635" s="43" t="s">
        <v>17244</v>
      </c>
      <c r="C635" s="16" t="str">
        <f t="shared" si="28"/>
        <v>C04732:1</v>
      </c>
      <c r="D635" s="17" t="str">
        <f t="shared" si="27"/>
        <v>C04732 : 5-Amino-6-(1-D-ribitylamino)uracil</v>
      </c>
    </row>
    <row r="636" spans="1:4">
      <c r="A636" t="s">
        <v>10057</v>
      </c>
      <c r="B636" s="43" t="s">
        <v>17245</v>
      </c>
      <c r="C636" s="16" t="str">
        <f t="shared" si="28"/>
        <v>C04734:1</v>
      </c>
      <c r="D636" s="17" t="str">
        <f t="shared" si="27"/>
        <v>C04734 : 1-(5'-Phosphoribosyl)-5-formamido-4-imidazolecarboxamide</v>
      </c>
    </row>
    <row r="637" spans="1:4">
      <c r="A637" t="s">
        <v>12253</v>
      </c>
      <c r="B637" s="43" t="s">
        <v>17246</v>
      </c>
      <c r="C637" s="16" t="str">
        <f t="shared" si="28"/>
        <v>C04735:1</v>
      </c>
      <c r="D637" s="17" t="str">
        <f t="shared" si="27"/>
        <v>C04735 : Apo-[acetyl-CoA:carbon-dioxide ligase (ADP-forming)]</v>
      </c>
    </row>
    <row r="638" spans="1:4">
      <c r="A638" t="s">
        <v>10136</v>
      </c>
      <c r="B638" s="43" t="s">
        <v>17247</v>
      </c>
      <c r="C638" s="16" t="str">
        <f t="shared" si="28"/>
        <v>C04751:1</v>
      </c>
      <c r="D638" s="17" t="str">
        <f t="shared" si="27"/>
        <v>C04751 : 1-(5-Phospho-D-ribosyl)-5-amino-4-imidazolecarboxylate</v>
      </c>
    </row>
    <row r="639" spans="1:4">
      <c r="A639" t="s">
        <v>12254</v>
      </c>
      <c r="B639" s="43" t="s">
        <v>17248</v>
      </c>
      <c r="C639" s="16" t="str">
        <f t="shared" si="28"/>
        <v>C04752:1</v>
      </c>
      <c r="D639" s="17" t="str">
        <f t="shared" si="27"/>
        <v>C04752 : 4-Amino-5-hydroxymethyl-2-methylpyrimidine diphosphate</v>
      </c>
    </row>
    <row r="640" spans="1:4">
      <c r="A640" t="s">
        <v>12255</v>
      </c>
      <c r="B640" s="43" t="s">
        <v>17249</v>
      </c>
      <c r="C640" s="16" t="str">
        <f t="shared" si="28"/>
        <v>C04778:1</v>
      </c>
      <c r="D640" s="17" t="str">
        <f t="shared" si="27"/>
        <v>C04778 : N1-(5-Phospho-alpha-D-ribosyl)-5,6-dimethylbenzimidazole</v>
      </c>
    </row>
    <row r="641" spans="1:4">
      <c r="A641" t="s">
        <v>12256</v>
      </c>
      <c r="B641" s="43" t="s">
        <v>17250</v>
      </c>
      <c r="C641" s="16" t="str">
        <f t="shared" si="28"/>
        <v>C04807:1</v>
      </c>
      <c r="D641" s="17" t="str">
        <f t="shared" si="27"/>
        <v>C04807 : 6-Hydroxymethyl-7,8-dihydropterin diphosphate</v>
      </c>
    </row>
    <row r="642" spans="1:4">
      <c r="A642" t="s">
        <v>8768</v>
      </c>
      <c r="B642" s="43" t="s">
        <v>17251</v>
      </c>
      <c r="C642" s="16" t="str">
        <f t="shared" si="28"/>
        <v>C04823:1</v>
      </c>
      <c r="D642" s="17" t="str">
        <f t="shared" si="27"/>
        <v>C04823 : 1-(5'-Phosphoribosyl)-5-amino-4-(N-succinocarboxamide)-imidazole</v>
      </c>
    </row>
    <row r="643" spans="1:4">
      <c r="A643" t="s">
        <v>12257</v>
      </c>
      <c r="B643" s="43" t="s">
        <v>17252</v>
      </c>
      <c r="C643" s="16" t="str">
        <f t="shared" si="28"/>
        <v>C04851:1</v>
      </c>
      <c r="D643" s="17" t="str">
        <f t="shared" si="27"/>
        <v>C04851 : MurAc(oyl-L-Ala-D-gamma-Glu-L-Lys-D-Ala-D-Ala)-diphospho-undecaprenol</v>
      </c>
    </row>
    <row r="644" spans="1:4">
      <c r="A644" t="s">
        <v>8684</v>
      </c>
      <c r="B644" s="43" t="s">
        <v>17253</v>
      </c>
      <c r="C644" s="16" t="str">
        <f t="shared" si="28"/>
        <v>C04874:1</v>
      </c>
      <c r="D644" s="17" t="str">
        <f t="shared" si="27"/>
        <v>C04874 : 7,8-Dihydroneopterin</v>
      </c>
    </row>
    <row r="645" spans="1:4">
      <c r="A645" t="s">
        <v>12258</v>
      </c>
      <c r="B645" s="43" t="s">
        <v>17254</v>
      </c>
      <c r="C645" s="16" t="str">
        <f t="shared" si="28"/>
        <v>C04877:1</v>
      </c>
      <c r="D645" s="17" t="str">
        <f t="shared" si="27"/>
        <v>C04877 : UDP-N-acetylmuramoyl-L-alanyl-gamma-D-glutamyl-meso-2,6-diaminopimelate</v>
      </c>
    </row>
    <row r="646" spans="1:4">
      <c r="A646" t="s">
        <v>12259</v>
      </c>
      <c r="B646" s="43" t="s">
        <v>17255</v>
      </c>
      <c r="C646" s="16" t="str">
        <f t="shared" si="28"/>
        <v>C04882:1</v>
      </c>
      <c r="D646" s="17" t="str">
        <f t="shared" si="27"/>
        <v>C04882 : UDP-N-acetylmuramoyl-L-alanyl-D-glutamyl-6-carboxy-L-lysyl-D-alanyl-D-alanine</v>
      </c>
    </row>
    <row r="647" spans="1:4">
      <c r="A647" t="s">
        <v>12571</v>
      </c>
      <c r="B647" s="43" t="s">
        <v>17256</v>
      </c>
      <c r="C647" s="16" t="str">
        <f t="shared" si="28"/>
        <v>C04895:1</v>
      </c>
      <c r="D647" s="17" t="str">
        <f t="shared" ref="D647:D710" si="29">CONCATENATE(A647," : ",B647)</f>
        <v>C04895 : 7,8-Dihydroneopterin 3'-triphosphate</v>
      </c>
    </row>
    <row r="648" spans="1:4">
      <c r="A648" t="s">
        <v>9294</v>
      </c>
      <c r="B648" s="43" t="s">
        <v>17257</v>
      </c>
      <c r="C648" s="16" t="str">
        <f t="shared" si="28"/>
        <v>C04896:1</v>
      </c>
      <c r="D648" s="17" t="str">
        <f t="shared" si="29"/>
        <v>C04896 : 5-(5-Phospho-D-ribosylaminoformimino)-1-(5-phosphoribosyl)-imidazole-4-carboxamide</v>
      </c>
    </row>
    <row r="649" spans="1:4">
      <c r="A649" t="s">
        <v>9295</v>
      </c>
      <c r="B649" s="43" t="s">
        <v>17258</v>
      </c>
      <c r="C649" s="16" t="str">
        <f t="shared" si="28"/>
        <v>C04916:1</v>
      </c>
      <c r="D649" s="17" t="str">
        <f t="shared" si="29"/>
        <v>C04916 : N-(5'-Phospho-D-1'-ribulosylformimino)-5-amino-1-(5''-phospho-D-ribosyl)-4-imidazolecarboxamide</v>
      </c>
    </row>
    <row r="650" spans="1:4">
      <c r="A650" t="s">
        <v>12260</v>
      </c>
      <c r="B650" s="43" t="s">
        <v>17259</v>
      </c>
      <c r="C650" s="16" t="str">
        <f t="shared" si="28"/>
        <v>C05125:1</v>
      </c>
      <c r="D650" s="17" t="str">
        <f t="shared" si="29"/>
        <v>C05125 : 2-(alpha-Hydroxyethyl)thiamine diphosphate</v>
      </c>
    </row>
    <row r="651" spans="1:4">
      <c r="A651" t="s">
        <v>9257</v>
      </c>
      <c r="B651" s="43" t="s">
        <v>17260</v>
      </c>
      <c r="C651" s="16" t="str">
        <f>CONCATENATE(A651,":","1000")</f>
        <v>C05167:1000</v>
      </c>
      <c r="D651" s="17" t="str">
        <f t="shared" si="29"/>
        <v>C05167 : alpha-Amino acid</v>
      </c>
    </row>
    <row r="652" spans="1:4">
      <c r="A652" t="s">
        <v>12261</v>
      </c>
      <c r="B652" s="43" t="s">
        <v>17261</v>
      </c>
      <c r="C652" s="16" t="str">
        <f t="shared" ref="C652:C715" si="30">CONCATENATE(A652,":","1")</f>
        <v>C05198:1</v>
      </c>
      <c r="D652" s="17" t="str">
        <f t="shared" si="29"/>
        <v>C05198 : 5'-Deoxyadenosine</v>
      </c>
    </row>
    <row r="653" spans="1:4">
      <c r="A653" t="s">
        <v>12572</v>
      </c>
      <c r="B653" s="43" t="s">
        <v>17262</v>
      </c>
      <c r="C653" s="16" t="str">
        <f t="shared" si="30"/>
        <v>C05223:1</v>
      </c>
      <c r="D653" s="17" t="str">
        <f t="shared" si="29"/>
        <v>C05223 : Dodecanoyl-[acyl-carrier protein]</v>
      </c>
    </row>
    <row r="654" spans="1:4">
      <c r="A654" t="s">
        <v>12262</v>
      </c>
      <c r="B654" s="43" t="s">
        <v>17263</v>
      </c>
      <c r="C654" s="16" t="str">
        <f t="shared" si="30"/>
        <v>C05250:1</v>
      </c>
      <c r="D654" s="17" t="str">
        <f t="shared" si="29"/>
        <v>C05250 : [Protein-PII]</v>
      </c>
    </row>
    <row r="655" spans="1:4">
      <c r="A655" t="s">
        <v>12263</v>
      </c>
      <c r="B655" s="43" t="s">
        <v>17264</v>
      </c>
      <c r="C655" s="16" t="str">
        <f t="shared" si="30"/>
        <v>C05269:1</v>
      </c>
      <c r="D655" s="17" t="str">
        <f t="shared" si="29"/>
        <v>C05269 : 3-Oxohexanoyl-CoA</v>
      </c>
    </row>
    <row r="656" spans="1:4">
      <c r="A656" t="s">
        <v>12573</v>
      </c>
      <c r="B656" s="43" t="s">
        <v>17265</v>
      </c>
      <c r="C656" s="16" t="str">
        <f t="shared" si="30"/>
        <v>C05309:1</v>
      </c>
      <c r="D656" s="17" t="str">
        <f t="shared" si="29"/>
        <v>C05309 : Semiquinone</v>
      </c>
    </row>
    <row r="657" spans="1:4">
      <c r="A657" t="s">
        <v>12264</v>
      </c>
      <c r="B657" s="43" t="s">
        <v>17266</v>
      </c>
      <c r="C657" s="16" t="str">
        <f t="shared" si="30"/>
        <v>C05326:1</v>
      </c>
      <c r="D657" s="17" t="str">
        <f t="shared" si="29"/>
        <v>C05326 : Uridylyl-[protein-PII]</v>
      </c>
    </row>
    <row r="658" spans="1:4">
      <c r="A658" t="s">
        <v>12265</v>
      </c>
      <c r="B658" s="43" t="s">
        <v>17267</v>
      </c>
      <c r="C658" s="16" t="str">
        <f t="shared" si="30"/>
        <v>C05335:1</v>
      </c>
      <c r="D658" s="17" t="str">
        <f t="shared" si="29"/>
        <v>C05335 : L-Selenomethionine</v>
      </c>
    </row>
    <row r="659" spans="1:4">
      <c r="A659" t="s">
        <v>12266</v>
      </c>
      <c r="B659" s="43" t="s">
        <v>17268</v>
      </c>
      <c r="C659" s="16" t="str">
        <f t="shared" si="30"/>
        <v>C05336:1</v>
      </c>
      <c r="D659" s="17" t="str">
        <f t="shared" si="29"/>
        <v>C05336 : Selenomethionyl-tRNA(Met)</v>
      </c>
    </row>
    <row r="660" spans="1:4">
      <c r="A660" t="s">
        <v>10068</v>
      </c>
      <c r="B660" s="43" t="s">
        <v>17269</v>
      </c>
      <c r="C660" s="16" t="str">
        <f t="shared" si="30"/>
        <v>C05345:1</v>
      </c>
      <c r="D660" s="17" t="str">
        <f t="shared" si="29"/>
        <v>C05345 : beta-D-Fructose 6-phosphate</v>
      </c>
    </row>
    <row r="661" spans="1:4">
      <c r="A661" t="s">
        <v>12267</v>
      </c>
      <c r="B661" s="43" t="s">
        <v>17270</v>
      </c>
      <c r="C661" s="16" t="str">
        <f t="shared" si="30"/>
        <v>C05359:1</v>
      </c>
      <c r="D661" s="17" t="str">
        <f t="shared" si="29"/>
        <v>C05359 : e-</v>
      </c>
    </row>
    <row r="662" spans="1:4">
      <c r="A662" t="s">
        <v>11903</v>
      </c>
      <c r="B662" s="43" t="s">
        <v>17271</v>
      </c>
      <c r="C662" s="16" t="str">
        <f t="shared" si="30"/>
        <v>C05378:1</v>
      </c>
      <c r="D662" s="17" t="str">
        <f t="shared" si="29"/>
        <v>C05378 : beta-D-Fructose 1,6-bisphosphate</v>
      </c>
    </row>
    <row r="663" spans="1:4">
      <c r="A663" t="s">
        <v>10190</v>
      </c>
      <c r="B663" s="43" t="s">
        <v>17272</v>
      </c>
      <c r="C663" s="16" t="str">
        <f t="shared" si="30"/>
        <v>C05379:1</v>
      </c>
      <c r="D663" s="17" t="str">
        <f t="shared" si="29"/>
        <v>C05379 : Oxalosuccinate</v>
      </c>
    </row>
    <row r="664" spans="1:4">
      <c r="A664" t="s">
        <v>12268</v>
      </c>
      <c r="B664" s="43" t="s">
        <v>17273</v>
      </c>
      <c r="C664" s="16" t="str">
        <f t="shared" si="30"/>
        <v>C05382:1</v>
      </c>
      <c r="D664" s="17" t="str">
        <f t="shared" si="29"/>
        <v>C05382 : Sedoheptulose 7-phosphate</v>
      </c>
    </row>
    <row r="665" spans="1:4">
      <c r="A665" t="s">
        <v>12574</v>
      </c>
      <c r="B665" s="43" t="s">
        <v>17274</v>
      </c>
      <c r="C665" s="16" t="str">
        <f t="shared" si="30"/>
        <v>C05427:1</v>
      </c>
      <c r="D665" s="17" t="str">
        <f t="shared" si="29"/>
        <v>C05427 : Phytyl diphosphate</v>
      </c>
    </row>
    <row r="666" spans="1:4">
      <c r="A666" t="s">
        <v>12575</v>
      </c>
      <c r="B666" s="43" t="s">
        <v>17275</v>
      </c>
      <c r="C666" s="16" t="str">
        <f t="shared" si="30"/>
        <v>C05444:1</v>
      </c>
      <c r="D666" s="17" t="str">
        <f t="shared" si="29"/>
        <v>C05444 : 3alpha,7alpha,26-Trihydroxy-5beta-cholestane</v>
      </c>
    </row>
    <row r="667" spans="1:4">
      <c r="A667" t="s">
        <v>12576</v>
      </c>
      <c r="B667" s="43" t="s">
        <v>17276</v>
      </c>
      <c r="C667" s="16" t="str">
        <f t="shared" si="30"/>
        <v>C05445:1</v>
      </c>
      <c r="D667" s="17" t="str">
        <f t="shared" si="29"/>
        <v>C05445 : 3alpha,7alpha-Dihydroxy-5beta-cholestan-26-al</v>
      </c>
    </row>
    <row r="668" spans="1:4">
      <c r="A668" t="s">
        <v>12577</v>
      </c>
      <c r="B668" s="43" t="s">
        <v>17277</v>
      </c>
      <c r="C668" s="16" t="str">
        <f t="shared" si="30"/>
        <v>C05512:1</v>
      </c>
      <c r="D668" s="17" t="str">
        <f t="shared" si="29"/>
        <v>C05512 : Deoxyinosine</v>
      </c>
    </row>
    <row r="669" spans="1:4">
      <c r="A669" t="s">
        <v>12578</v>
      </c>
      <c r="B669" s="43" t="s">
        <v>17278</v>
      </c>
      <c r="C669" s="16" t="str">
        <f t="shared" si="30"/>
        <v>C05526:1</v>
      </c>
      <c r="D669" s="17" t="str">
        <f t="shared" si="29"/>
        <v>C05526 : S-Glutathionyl-L-cysteine</v>
      </c>
    </row>
    <row r="670" spans="1:4">
      <c r="A670" t="s">
        <v>16150</v>
      </c>
      <c r="B670" s="43" t="s">
        <v>16151</v>
      </c>
      <c r="C670" s="16" t="str">
        <f t="shared" si="30"/>
        <v>C05527:1</v>
      </c>
      <c r="D670" s="17" t="str">
        <f t="shared" si="29"/>
        <v>C05527 : 3-Sulfinylpyruvate</v>
      </c>
    </row>
    <row r="671" spans="1:4">
      <c r="A671" t="s">
        <v>12579</v>
      </c>
      <c r="B671" s="43" t="s">
        <v>17279</v>
      </c>
      <c r="C671" s="16" t="str">
        <f t="shared" si="30"/>
        <v>C05528:1</v>
      </c>
      <c r="D671" s="17" t="str">
        <f t="shared" si="29"/>
        <v>C05528 : 3-Sulfopyruvate</v>
      </c>
    </row>
    <row r="672" spans="1:4">
      <c r="A672" t="s">
        <v>12580</v>
      </c>
      <c r="B672" s="43" t="s">
        <v>17280</v>
      </c>
      <c r="C672" s="16" t="str">
        <f t="shared" si="30"/>
        <v>C05576:1</v>
      </c>
      <c r="D672" s="17" t="str">
        <f t="shared" si="29"/>
        <v>C05576 : 3,4-Dihydroxyphenylethyleneglycol</v>
      </c>
    </row>
    <row r="673" spans="1:4">
      <c r="A673" t="s">
        <v>12581</v>
      </c>
      <c r="B673" s="43" t="s">
        <v>17281</v>
      </c>
      <c r="C673" s="16" t="str">
        <f t="shared" si="30"/>
        <v>C05577:1</v>
      </c>
      <c r="D673" s="17" t="str">
        <f t="shared" si="29"/>
        <v>C05577 : 3,4-Dihydroxymandelaldehyde</v>
      </c>
    </row>
    <row r="674" spans="1:4">
      <c r="A674" t="s">
        <v>12582</v>
      </c>
      <c r="B674" s="43" t="s">
        <v>17282</v>
      </c>
      <c r="C674" s="16" t="str">
        <f t="shared" si="30"/>
        <v>C05640:1</v>
      </c>
      <c r="D674" s="17" t="str">
        <f t="shared" si="29"/>
        <v>C05640 : Cinnavalininate</v>
      </c>
    </row>
    <row r="675" spans="1:4">
      <c r="A675" t="s">
        <v>12583</v>
      </c>
      <c r="B675" s="43" t="s">
        <v>17283</v>
      </c>
      <c r="C675" s="16" t="str">
        <f t="shared" si="30"/>
        <v>C05670:1</v>
      </c>
      <c r="D675" s="17" t="str">
        <f t="shared" si="29"/>
        <v>C05670 : 3-Aminopropiononitrile</v>
      </c>
    </row>
    <row r="676" spans="1:4">
      <c r="A676" t="s">
        <v>12584</v>
      </c>
      <c r="B676" s="43" t="s">
        <v>17284</v>
      </c>
      <c r="C676" s="16" t="str">
        <f t="shared" si="30"/>
        <v>C05684:1</v>
      </c>
      <c r="D676" s="17" t="str">
        <f t="shared" si="29"/>
        <v>C05684 : Selenite</v>
      </c>
    </row>
    <row r="677" spans="1:4">
      <c r="A677" t="s">
        <v>12269</v>
      </c>
      <c r="B677" s="43" t="s">
        <v>17285</v>
      </c>
      <c r="C677" s="16" t="str">
        <f t="shared" si="30"/>
        <v>C05686:1</v>
      </c>
      <c r="D677" s="17" t="str">
        <f t="shared" si="29"/>
        <v>C05686 : Adenylyl selenate</v>
      </c>
    </row>
    <row r="678" spans="1:4">
      <c r="A678" t="s">
        <v>12270</v>
      </c>
      <c r="B678" s="43" t="s">
        <v>17286</v>
      </c>
      <c r="C678" s="16" t="str">
        <f t="shared" si="30"/>
        <v>C05688:1</v>
      </c>
      <c r="D678" s="17" t="str">
        <f t="shared" si="29"/>
        <v>C05688 : L-Selenocysteine</v>
      </c>
    </row>
    <row r="679" spans="1:4">
      <c r="A679" t="s">
        <v>12271</v>
      </c>
      <c r="B679" s="43" t="s">
        <v>17287</v>
      </c>
      <c r="C679" s="16" t="str">
        <f t="shared" si="30"/>
        <v>C05689:1</v>
      </c>
      <c r="D679" s="17" t="str">
        <f t="shared" si="29"/>
        <v>C05689 : Se-Methyl-L-selenocysteine</v>
      </c>
    </row>
    <row r="680" spans="1:4">
      <c r="A680" t="s">
        <v>12272</v>
      </c>
      <c r="B680" s="43" t="s">
        <v>17288</v>
      </c>
      <c r="C680" s="16" t="str">
        <f t="shared" si="30"/>
        <v>C05691:1</v>
      </c>
      <c r="D680" s="17" t="str">
        <f t="shared" si="29"/>
        <v>C05691 : Se-Adenosylselenomethionine</v>
      </c>
    </row>
    <row r="681" spans="1:4">
      <c r="A681" t="s">
        <v>12273</v>
      </c>
      <c r="B681" s="43" t="s">
        <v>17289</v>
      </c>
      <c r="C681" s="16" t="str">
        <f t="shared" si="30"/>
        <v>C05695:1</v>
      </c>
      <c r="D681" s="17" t="str">
        <f t="shared" si="29"/>
        <v>C05695 : gamma-Glutamyl-Se-methylselenocysteine</v>
      </c>
    </row>
    <row r="682" spans="1:4">
      <c r="A682" t="s">
        <v>12274</v>
      </c>
      <c r="B682" s="43" t="s">
        <v>17290</v>
      </c>
      <c r="C682" s="16" t="str">
        <f t="shared" si="30"/>
        <v>C05697:1</v>
      </c>
      <c r="D682" s="17" t="str">
        <f t="shared" si="29"/>
        <v>C05697 : Selenate</v>
      </c>
    </row>
    <row r="683" spans="1:4">
      <c r="A683" t="s">
        <v>12585</v>
      </c>
      <c r="B683" s="43" t="s">
        <v>17291</v>
      </c>
      <c r="C683" s="16" t="str">
        <f t="shared" si="30"/>
        <v>C05698:1</v>
      </c>
      <c r="D683" s="17" t="str">
        <f t="shared" si="29"/>
        <v>C05698 : Selenohomocysteine</v>
      </c>
    </row>
    <row r="684" spans="1:4">
      <c r="A684" t="s">
        <v>12586</v>
      </c>
      <c r="B684" s="43" t="s">
        <v>17292</v>
      </c>
      <c r="C684" s="16" t="str">
        <f t="shared" si="30"/>
        <v>C05699:1</v>
      </c>
      <c r="D684" s="17" t="str">
        <f t="shared" si="29"/>
        <v>C05699 : L-Selenocystathionine</v>
      </c>
    </row>
    <row r="685" spans="1:4">
      <c r="A685" t="s">
        <v>12587</v>
      </c>
      <c r="B685" s="43" t="s">
        <v>17293</v>
      </c>
      <c r="C685" s="16" t="str">
        <f t="shared" si="30"/>
        <v>C05702:1</v>
      </c>
      <c r="D685" s="17" t="str">
        <f t="shared" si="29"/>
        <v>C05702 : O-Phosphorylhomoserine</v>
      </c>
    </row>
    <row r="686" spans="1:4">
      <c r="A686" t="s">
        <v>12275</v>
      </c>
      <c r="B686" s="43" t="s">
        <v>17294</v>
      </c>
      <c r="C686" s="16" t="str">
        <f t="shared" si="30"/>
        <v>C05703:1</v>
      </c>
      <c r="D686" s="17" t="str">
        <f t="shared" si="29"/>
        <v>C05703 : Methaneselenol</v>
      </c>
    </row>
    <row r="687" spans="1:4">
      <c r="A687" t="s">
        <v>12588</v>
      </c>
      <c r="B687" s="43" t="s">
        <v>17295</v>
      </c>
      <c r="C687" s="16" t="str">
        <f t="shared" si="30"/>
        <v>C05711:1</v>
      </c>
      <c r="D687" s="17" t="str">
        <f t="shared" si="29"/>
        <v>C05711 : gamma-Glutamyl-beta-cyanoalanine</v>
      </c>
    </row>
    <row r="688" spans="1:4">
      <c r="A688" t="s">
        <v>12589</v>
      </c>
      <c r="B688" s="43" t="s">
        <v>17296</v>
      </c>
      <c r="C688" s="16" t="str">
        <f t="shared" si="30"/>
        <v>C05726:1</v>
      </c>
      <c r="D688" s="17" t="str">
        <f t="shared" si="29"/>
        <v>C05726 : S-Substituted L-cysteine</v>
      </c>
    </row>
    <row r="689" spans="1:4">
      <c r="A689" t="s">
        <v>12590</v>
      </c>
      <c r="B689" s="43" t="s">
        <v>17297</v>
      </c>
      <c r="C689" s="16" t="str">
        <f t="shared" si="30"/>
        <v>C05729:1</v>
      </c>
      <c r="D689" s="17" t="str">
        <f t="shared" si="29"/>
        <v>C05729 : R-S-Cysteinylglycine</v>
      </c>
    </row>
    <row r="690" spans="1:4">
      <c r="A690" t="s">
        <v>12591</v>
      </c>
      <c r="B690" s="43" t="s">
        <v>17298</v>
      </c>
      <c r="C690" s="16" t="str">
        <f t="shared" si="30"/>
        <v>C05744:1</v>
      </c>
      <c r="D690" s="17" t="str">
        <f t="shared" si="29"/>
        <v>C05744 : Acetoacetyl-[acp]</v>
      </c>
    </row>
    <row r="691" spans="1:4">
      <c r="A691" t="s">
        <v>12592</v>
      </c>
      <c r="B691" s="43" t="s">
        <v>17299</v>
      </c>
      <c r="C691" s="16" t="str">
        <f t="shared" si="30"/>
        <v>C05745:1</v>
      </c>
      <c r="D691" s="17" t="str">
        <f t="shared" si="29"/>
        <v>C05745 : Butyryl-[acp]</v>
      </c>
    </row>
    <row r="692" spans="1:4">
      <c r="A692" t="s">
        <v>12593</v>
      </c>
      <c r="B692" s="43" t="s">
        <v>17300</v>
      </c>
      <c r="C692" s="16" t="str">
        <f t="shared" si="30"/>
        <v>C05746:1</v>
      </c>
      <c r="D692" s="17" t="str">
        <f t="shared" si="29"/>
        <v>C05746 : 3-Oxohexanoyl-[acp]</v>
      </c>
    </row>
    <row r="693" spans="1:4">
      <c r="A693" t="s">
        <v>12594</v>
      </c>
      <c r="B693" s="43" t="s">
        <v>17301</v>
      </c>
      <c r="C693" s="16" t="str">
        <f t="shared" si="30"/>
        <v>C05747:1</v>
      </c>
      <c r="D693" s="17" t="str">
        <f t="shared" si="29"/>
        <v>C05747 : (3R)-3-Hydroxyhexanoyl-[acyl-carrier protein]</v>
      </c>
    </row>
    <row r="694" spans="1:4">
      <c r="A694" t="s">
        <v>12595</v>
      </c>
      <c r="B694" s="43" t="s">
        <v>17302</v>
      </c>
      <c r="C694" s="16" t="str">
        <f t="shared" si="30"/>
        <v>C05748:1</v>
      </c>
      <c r="D694" s="17" t="str">
        <f t="shared" si="29"/>
        <v>C05748 : trans-Hex-2-enoyl-[acp]</v>
      </c>
    </row>
    <row r="695" spans="1:4">
      <c r="A695" t="s">
        <v>12596</v>
      </c>
      <c r="B695" s="43" t="s">
        <v>17303</v>
      </c>
      <c r="C695" s="16" t="str">
        <f t="shared" si="30"/>
        <v>C05749:1</v>
      </c>
      <c r="D695" s="17" t="str">
        <f t="shared" si="29"/>
        <v>C05749 : Hexanoyl-[acp]</v>
      </c>
    </row>
    <row r="696" spans="1:4">
      <c r="A696" t="s">
        <v>12597</v>
      </c>
      <c r="B696" s="43" t="s">
        <v>17304</v>
      </c>
      <c r="C696" s="16" t="str">
        <f t="shared" si="30"/>
        <v>C05750:1</v>
      </c>
      <c r="D696" s="17" t="str">
        <f t="shared" si="29"/>
        <v>C05750 : 3-Oxooctanoyl-[acp]</v>
      </c>
    </row>
    <row r="697" spans="1:4">
      <c r="A697" t="s">
        <v>12598</v>
      </c>
      <c r="B697" s="43" t="s">
        <v>17305</v>
      </c>
      <c r="C697" s="16" t="str">
        <f t="shared" si="30"/>
        <v>C05751:1</v>
      </c>
      <c r="D697" s="17" t="str">
        <f t="shared" si="29"/>
        <v>C05751 : trans-Oct-2-enoyl-[acp]</v>
      </c>
    </row>
    <row r="698" spans="1:4">
      <c r="A698" t="s">
        <v>12599</v>
      </c>
      <c r="B698" s="43" t="s">
        <v>17306</v>
      </c>
      <c r="C698" s="16" t="str">
        <f t="shared" si="30"/>
        <v>C05752:1</v>
      </c>
      <c r="D698" s="17" t="str">
        <f t="shared" si="29"/>
        <v>C05752 : Octanoyl-[acp]</v>
      </c>
    </row>
    <row r="699" spans="1:4">
      <c r="A699" t="s">
        <v>12600</v>
      </c>
      <c r="B699" s="43" t="s">
        <v>17307</v>
      </c>
      <c r="C699" s="16" t="str">
        <f t="shared" si="30"/>
        <v>C05753:1</v>
      </c>
      <c r="D699" s="17" t="str">
        <f t="shared" si="29"/>
        <v>C05753 : 3-Oxodecanoyl-[acp]</v>
      </c>
    </row>
    <row r="700" spans="1:4">
      <c r="A700" t="s">
        <v>12601</v>
      </c>
      <c r="B700" s="43" t="s">
        <v>17308</v>
      </c>
      <c r="C700" s="16" t="str">
        <f t="shared" si="30"/>
        <v>C05754:1</v>
      </c>
      <c r="D700" s="17" t="str">
        <f t="shared" si="29"/>
        <v>C05754 : trans-Dec-2-enoyl-[acp]</v>
      </c>
    </row>
    <row r="701" spans="1:4">
      <c r="A701" t="s">
        <v>12602</v>
      </c>
      <c r="B701" s="43" t="s">
        <v>17309</v>
      </c>
      <c r="C701" s="16" t="str">
        <f t="shared" si="30"/>
        <v>C05755:1</v>
      </c>
      <c r="D701" s="17" t="str">
        <f t="shared" si="29"/>
        <v>C05755 : Decanoyl-[acp]</v>
      </c>
    </row>
    <row r="702" spans="1:4">
      <c r="A702" t="s">
        <v>12603</v>
      </c>
      <c r="B702" s="43" t="s">
        <v>17310</v>
      </c>
      <c r="C702" s="16" t="str">
        <f t="shared" si="30"/>
        <v>C05756:1</v>
      </c>
      <c r="D702" s="17" t="str">
        <f t="shared" si="29"/>
        <v>C05756 : 3-Oxododecanoyl-[acp]</v>
      </c>
    </row>
    <row r="703" spans="1:4">
      <c r="A703" t="s">
        <v>12604</v>
      </c>
      <c r="B703" s="43" t="s">
        <v>17311</v>
      </c>
      <c r="C703" s="16" t="str">
        <f t="shared" si="30"/>
        <v>C05757:1</v>
      </c>
      <c r="D703" s="17" t="str">
        <f t="shared" si="29"/>
        <v>C05757 : (3R)-3-Hydroxydodecanoyl-[acyl-carrier protein]</v>
      </c>
    </row>
    <row r="704" spans="1:4">
      <c r="A704" t="s">
        <v>12605</v>
      </c>
      <c r="B704" s="43" t="s">
        <v>17312</v>
      </c>
      <c r="C704" s="16" t="str">
        <f t="shared" si="30"/>
        <v>C05758:1</v>
      </c>
      <c r="D704" s="17" t="str">
        <f t="shared" si="29"/>
        <v>C05758 : trans-Dodec-2-enoyl-[acp]</v>
      </c>
    </row>
    <row r="705" spans="1:4">
      <c r="A705" t="s">
        <v>12606</v>
      </c>
      <c r="B705" s="43" t="s">
        <v>17313</v>
      </c>
      <c r="C705" s="16" t="str">
        <f t="shared" si="30"/>
        <v>C05759:1</v>
      </c>
      <c r="D705" s="17" t="str">
        <f t="shared" si="29"/>
        <v>C05759 : 3-Oxotetradecanoyl-[acp]</v>
      </c>
    </row>
    <row r="706" spans="1:4">
      <c r="A706" t="s">
        <v>12607</v>
      </c>
      <c r="B706" s="43" t="s">
        <v>17314</v>
      </c>
      <c r="C706" s="16" t="str">
        <f t="shared" si="30"/>
        <v>C05760:1</v>
      </c>
      <c r="D706" s="17" t="str">
        <f t="shared" si="29"/>
        <v>C05760 : trans-Tetradec-2-enoyl-[acp]</v>
      </c>
    </row>
    <row r="707" spans="1:4">
      <c r="A707" t="s">
        <v>12608</v>
      </c>
      <c r="B707" s="43" t="s">
        <v>17315</v>
      </c>
      <c r="C707" s="16" t="str">
        <f t="shared" si="30"/>
        <v>C05761:1</v>
      </c>
      <c r="D707" s="17" t="str">
        <f t="shared" si="29"/>
        <v>C05761 : Tetradecanoyl-[acp]</v>
      </c>
    </row>
    <row r="708" spans="1:4">
      <c r="A708" t="s">
        <v>12609</v>
      </c>
      <c r="B708" s="43" t="s">
        <v>17316</v>
      </c>
      <c r="C708" s="16" t="str">
        <f t="shared" si="30"/>
        <v>C05762:1</v>
      </c>
      <c r="D708" s="17" t="str">
        <f t="shared" si="29"/>
        <v>C05762 : 3-Oxohexadecanoyl-[acp]</v>
      </c>
    </row>
    <row r="709" spans="1:4">
      <c r="A709" t="s">
        <v>12610</v>
      </c>
      <c r="B709" s="43" t="s">
        <v>17317</v>
      </c>
      <c r="C709" s="16" t="str">
        <f t="shared" si="30"/>
        <v>C05763:1</v>
      </c>
      <c r="D709" s="17" t="str">
        <f t="shared" si="29"/>
        <v>C05763 : trans-Hexadec-2-enoyl-[acp]</v>
      </c>
    </row>
    <row r="710" spans="1:4">
      <c r="A710" t="s">
        <v>12611</v>
      </c>
      <c r="B710" s="43" t="s">
        <v>17318</v>
      </c>
      <c r="C710" s="16" t="str">
        <f t="shared" si="30"/>
        <v>C05764:1</v>
      </c>
      <c r="D710" s="17" t="str">
        <f t="shared" si="29"/>
        <v>C05764 : Hexadecanoyl-[acp]</v>
      </c>
    </row>
    <row r="711" spans="1:4">
      <c r="A711" t="s">
        <v>10281</v>
      </c>
      <c r="B711" s="43" t="s">
        <v>17319</v>
      </c>
      <c r="C711" s="16" t="str">
        <f t="shared" si="30"/>
        <v>C05766:1</v>
      </c>
      <c r="D711" s="17" t="str">
        <f t="shared" ref="D711:D774" si="31">CONCATENATE(A711," : ",B711)</f>
        <v>C05766 : Uroporphyrinogen I</v>
      </c>
    </row>
    <row r="712" spans="1:4">
      <c r="A712" t="s">
        <v>12612</v>
      </c>
      <c r="B712" s="43" t="s">
        <v>17320</v>
      </c>
      <c r="C712" s="16" t="str">
        <f t="shared" si="30"/>
        <v>C05768:1</v>
      </c>
      <c r="D712" s="17" t="str">
        <f t="shared" si="31"/>
        <v>C05768 : Coproporphyrinogen I</v>
      </c>
    </row>
    <row r="713" spans="1:4">
      <c r="A713" t="s">
        <v>12276</v>
      </c>
      <c r="B713" s="43" t="s">
        <v>17321</v>
      </c>
      <c r="C713" s="16" t="str">
        <f t="shared" si="30"/>
        <v>C05774:1</v>
      </c>
      <c r="D713" s="17" t="str">
        <f t="shared" si="31"/>
        <v>C05774 : Cobinamide</v>
      </c>
    </row>
    <row r="714" spans="1:4">
      <c r="A714" t="s">
        <v>12277</v>
      </c>
      <c r="B714" s="43" t="s">
        <v>17322</v>
      </c>
      <c r="C714" s="16" t="str">
        <f t="shared" si="30"/>
        <v>C05775:1</v>
      </c>
      <c r="D714" s="17" t="str">
        <f t="shared" si="31"/>
        <v>C05775 : alpha-Ribazole</v>
      </c>
    </row>
    <row r="715" spans="1:4">
      <c r="A715" t="s">
        <v>12278</v>
      </c>
      <c r="B715" s="43" t="s">
        <v>17323</v>
      </c>
      <c r="C715" s="16" t="str">
        <f t="shared" si="30"/>
        <v>C05778:1</v>
      </c>
      <c r="D715" s="17" t="str">
        <f t="shared" si="31"/>
        <v>C05778 : Sirohydrochlorin</v>
      </c>
    </row>
    <row r="716" spans="1:4">
      <c r="A716" t="s">
        <v>10252</v>
      </c>
      <c r="B716" s="43" t="s">
        <v>17324</v>
      </c>
      <c r="C716" s="16" t="str">
        <f t="shared" ref="C716:C779" si="32">CONCATENATE(A716,":","1")</f>
        <v>C05817:1</v>
      </c>
      <c r="D716" s="17" t="str">
        <f t="shared" si="31"/>
        <v>C05817 : (1R,6R)-6-Hydroxy-2-succinylcyclohexa-2,4-diene-1-carboxylate</v>
      </c>
    </row>
    <row r="717" spans="1:4">
      <c r="A717" t="s">
        <v>12613</v>
      </c>
      <c r="B717" s="43" t="s">
        <v>17325</v>
      </c>
      <c r="C717" s="16" t="str">
        <f t="shared" si="32"/>
        <v>C05819:1</v>
      </c>
      <c r="D717" s="17" t="str">
        <f t="shared" si="31"/>
        <v>C05819 : Menaquinol</v>
      </c>
    </row>
    <row r="718" spans="1:4">
      <c r="A718" t="s">
        <v>12614</v>
      </c>
      <c r="B718" s="43" t="s">
        <v>17326</v>
      </c>
      <c r="C718" s="16" t="str">
        <f t="shared" si="32"/>
        <v>C05823:1</v>
      </c>
      <c r="D718" s="17" t="str">
        <f t="shared" si="31"/>
        <v>C05823 : 3-Mercaptolactate</v>
      </c>
    </row>
    <row r="719" spans="1:4">
      <c r="A719" t="s">
        <v>12615</v>
      </c>
      <c r="B719" s="43" t="s">
        <v>17327</v>
      </c>
      <c r="C719" s="16" t="str">
        <f t="shared" si="32"/>
        <v>C05840:1</v>
      </c>
      <c r="D719" s="17" t="str">
        <f t="shared" si="31"/>
        <v>C05840 : Iminoaspartate</v>
      </c>
    </row>
    <row r="720" spans="1:4">
      <c r="A720" t="s">
        <v>12616</v>
      </c>
      <c r="B720" s="43" t="s">
        <v>17328</v>
      </c>
      <c r="C720" s="16" t="str">
        <f t="shared" si="32"/>
        <v>C05841:1</v>
      </c>
      <c r="D720" s="17" t="str">
        <f t="shared" si="31"/>
        <v>C05841 : Nicotinate D-ribonucleoside</v>
      </c>
    </row>
    <row r="721" spans="1:4">
      <c r="A721" t="s">
        <v>12279</v>
      </c>
      <c r="B721" s="43" t="s">
        <v>17329</v>
      </c>
      <c r="C721" s="16" t="str">
        <f t="shared" si="32"/>
        <v>C05844:1</v>
      </c>
      <c r="D721" s="17" t="str">
        <f t="shared" si="31"/>
        <v>C05844 : 5-L-Glutamyl-taurine</v>
      </c>
    </row>
    <row r="722" spans="1:4">
      <c r="A722" t="s">
        <v>12617</v>
      </c>
      <c r="B722" s="43" t="s">
        <v>17330</v>
      </c>
      <c r="C722" s="16" t="str">
        <f t="shared" si="32"/>
        <v>C05847:1</v>
      </c>
      <c r="D722" s="17" t="str">
        <f t="shared" si="31"/>
        <v>C05847 : all-trans-Polyprenyl diphosphate</v>
      </c>
    </row>
    <row r="723" spans="1:4">
      <c r="A723" t="s">
        <v>12618</v>
      </c>
      <c r="B723" s="43" t="s">
        <v>17331</v>
      </c>
      <c r="C723" s="16" t="str">
        <f t="shared" si="32"/>
        <v>C05850:1</v>
      </c>
      <c r="D723" s="17" t="str">
        <f t="shared" si="31"/>
        <v>C05850 : Reduced Vitamin K</v>
      </c>
    </row>
    <row r="724" spans="1:4">
      <c r="A724" t="s">
        <v>12280</v>
      </c>
      <c r="B724" s="43" t="s">
        <v>17332</v>
      </c>
      <c r="C724" s="16" t="str">
        <f t="shared" si="32"/>
        <v>C05892:1</v>
      </c>
      <c r="D724" s="17" t="str">
        <f t="shared" si="31"/>
        <v>C05892 : UDP-N-acetylmuramoyl-L-alanyl-gamma-D-glutamyl-L-lysine</v>
      </c>
    </row>
    <row r="725" spans="1:4">
      <c r="A725" t="s">
        <v>12619</v>
      </c>
      <c r="B725" s="43" t="s">
        <v>17333</v>
      </c>
      <c r="C725" s="16" t="str">
        <f t="shared" si="32"/>
        <v>C05893:1</v>
      </c>
      <c r="D725" s="17" t="str">
        <f t="shared" si="31"/>
        <v>C05893 : Undecaprenyl-diphospho-N-acetylmuramoyl-(N-acetylglucosamine)-L-alanyl-gamma-D-glutamyl-L-lysyl-D-alanyl-D-alanine</v>
      </c>
    </row>
    <row r="726" spans="1:4">
      <c r="A726" t="s">
        <v>12281</v>
      </c>
      <c r="B726" s="43" t="s">
        <v>17334</v>
      </c>
      <c r="C726" s="16" t="str">
        <f t="shared" si="32"/>
        <v>C05897:1</v>
      </c>
      <c r="D726" s="17" t="str">
        <f t="shared" si="31"/>
        <v>C05897 : Undecaprenyl-diphospho-N-acetylmuramoyl-L-alanyl-D-glutamyl-meso-2,6-diaminopimeloyl-D-alanyl-D-alanine</v>
      </c>
    </row>
    <row r="727" spans="1:4">
      <c r="A727" t="s">
        <v>12620</v>
      </c>
      <c r="B727" s="43" t="s">
        <v>17335</v>
      </c>
      <c r="C727" s="16" t="str">
        <f t="shared" si="32"/>
        <v>C05898:1</v>
      </c>
      <c r="D727" s="17" t="str">
        <f t="shared" si="31"/>
        <v>C05898 : Undecaprenyl-diphospho-N-acetylmuramoyl-(N-acetylglucosamine)-L-alanyl-D-glutamyl-meso-2,6-diaminopimeloyl-D-alanyl-D-alanine</v>
      </c>
    </row>
    <row r="728" spans="1:4">
      <c r="A728" t="s">
        <v>12282</v>
      </c>
      <c r="B728" s="43" t="s">
        <v>17336</v>
      </c>
      <c r="C728" s="16" t="str">
        <f t="shared" si="32"/>
        <v>C05921:1</v>
      </c>
      <c r="D728" s="17" t="str">
        <f t="shared" si="31"/>
        <v>C05921 : Biotinyl-5'-AMP</v>
      </c>
    </row>
    <row r="729" spans="1:4">
      <c r="A729" t="s">
        <v>11937</v>
      </c>
      <c r="B729" s="43" t="s">
        <v>17337</v>
      </c>
      <c r="C729" s="16" t="str">
        <f t="shared" si="32"/>
        <v>C05922:1</v>
      </c>
      <c r="D729" s="17" t="str">
        <f t="shared" si="31"/>
        <v>C05922 : Formamidopyrimidine nucleoside triphosphate</v>
      </c>
    </row>
    <row r="730" spans="1:4">
      <c r="A730" t="s">
        <v>11944</v>
      </c>
      <c r="B730" s="43" t="s">
        <v>17338</v>
      </c>
      <c r="C730" s="16" t="str">
        <f t="shared" si="32"/>
        <v>C05923:1</v>
      </c>
      <c r="D730" s="17" t="str">
        <f t="shared" si="31"/>
        <v>C05923 : 2,5-Diaminopyrimidine nucleoside triphosphate</v>
      </c>
    </row>
    <row r="731" spans="1:4">
      <c r="A731" t="s">
        <v>12621</v>
      </c>
      <c r="B731" s="43" t="s">
        <v>16156</v>
      </c>
      <c r="C731" s="16" t="str">
        <f t="shared" si="32"/>
        <v>C05924:1</v>
      </c>
      <c r="D731" s="17" t="str">
        <f t="shared" si="31"/>
        <v>C05924 : Molybdopterin</v>
      </c>
    </row>
    <row r="732" spans="1:4">
      <c r="A732" t="s">
        <v>12283</v>
      </c>
      <c r="B732" s="43" t="s">
        <v>17339</v>
      </c>
      <c r="C732" s="16" t="str">
        <f t="shared" si="32"/>
        <v>C05928:1</v>
      </c>
      <c r="D732" s="17" t="str">
        <f t="shared" si="31"/>
        <v>C05928 : (6R)-10-Formyltetrahydropteroyldiglutamate</v>
      </c>
    </row>
    <row r="733" spans="1:4">
      <c r="A733" t="s">
        <v>12284</v>
      </c>
      <c r="B733" s="43" t="s">
        <v>17340</v>
      </c>
      <c r="C733" s="16" t="str">
        <f t="shared" si="32"/>
        <v>C05929:1</v>
      </c>
      <c r="D733" s="17" t="str">
        <f t="shared" si="31"/>
        <v>C05929 : 10-Formyltetrahydrofolylpolyglutamate</v>
      </c>
    </row>
    <row r="734" spans="1:4">
      <c r="A734" t="s">
        <v>16154</v>
      </c>
      <c r="B734" s="43" t="s">
        <v>16155</v>
      </c>
      <c r="C734" s="16" t="str">
        <f t="shared" si="32"/>
        <v>C05946:1</v>
      </c>
      <c r="D734" s="17" t="str">
        <f t="shared" si="31"/>
        <v>C05946 : D-4-Hydroxy-2-oxoglutarate</v>
      </c>
    </row>
    <row r="735" spans="1:4">
      <c r="A735" t="s">
        <v>16152</v>
      </c>
      <c r="B735" s="43" t="s">
        <v>16153</v>
      </c>
      <c r="C735" s="16" t="str">
        <f t="shared" si="32"/>
        <v>C05947:1</v>
      </c>
      <c r="D735" s="17" t="str">
        <f t="shared" si="31"/>
        <v>C05947 : L-erythro-4-Hydroxyglutamate</v>
      </c>
    </row>
    <row r="736" spans="1:4">
      <c r="A736" t="s">
        <v>12622</v>
      </c>
      <c r="B736" s="43" t="s">
        <v>17341</v>
      </c>
      <c r="C736" s="16" t="str">
        <f t="shared" si="32"/>
        <v>C05951:1</v>
      </c>
      <c r="D736" s="17" t="str">
        <f t="shared" si="31"/>
        <v>C05951 : Leukotriene D4</v>
      </c>
    </row>
    <row r="737" spans="1:4">
      <c r="A737" t="s">
        <v>12623</v>
      </c>
      <c r="B737" s="43" t="s">
        <v>17342</v>
      </c>
      <c r="C737" s="16" t="str">
        <f t="shared" si="32"/>
        <v>C05984:1</v>
      </c>
      <c r="D737" s="17" t="str">
        <f t="shared" si="31"/>
        <v>C05984 : 2-Hydroxybutanoic acid</v>
      </c>
    </row>
    <row r="738" spans="1:4">
      <c r="A738" t="s">
        <v>9832</v>
      </c>
      <c r="B738" s="43" t="s">
        <v>17343</v>
      </c>
      <c r="C738" s="16" t="str">
        <f t="shared" si="32"/>
        <v>C06006:1</v>
      </c>
      <c r="D738" s="17" t="str">
        <f t="shared" si="31"/>
        <v>C06006 : (S)-2-Aceto-2-hydroxybutanoate</v>
      </c>
    </row>
    <row r="739" spans="1:4">
      <c r="A739" t="s">
        <v>12624</v>
      </c>
      <c r="B739" s="43" t="s">
        <v>17344</v>
      </c>
      <c r="C739" s="16" t="str">
        <f t="shared" si="32"/>
        <v>C06007:1</v>
      </c>
      <c r="D739" s="17" t="str">
        <f t="shared" si="31"/>
        <v>C06007 : (R)-2,3-Dihydroxy-3-methylpentanoate</v>
      </c>
    </row>
    <row r="740" spans="1:4">
      <c r="A740" t="s">
        <v>9835</v>
      </c>
      <c r="B740" s="43" t="s">
        <v>17345</v>
      </c>
      <c r="C740" s="16" t="str">
        <f t="shared" si="32"/>
        <v>C06010:1</v>
      </c>
      <c r="D740" s="17" t="str">
        <f t="shared" si="31"/>
        <v>C06010 : (S)-2-Acetolactate</v>
      </c>
    </row>
    <row r="741" spans="1:4">
      <c r="A741" t="s">
        <v>12625</v>
      </c>
      <c r="B741" s="43" t="s">
        <v>17346</v>
      </c>
      <c r="C741" s="16" t="str">
        <f t="shared" si="32"/>
        <v>C06032:1</v>
      </c>
      <c r="D741" s="17" t="str">
        <f t="shared" si="31"/>
        <v>C06032 : D-erythro-3-Methylmalate</v>
      </c>
    </row>
    <row r="742" spans="1:4">
      <c r="A742" t="s">
        <v>12626</v>
      </c>
      <c r="B742" s="43" t="s">
        <v>17347</v>
      </c>
      <c r="C742" s="16" t="str">
        <f t="shared" si="32"/>
        <v>C06054:1</v>
      </c>
      <c r="D742" s="17" t="str">
        <f t="shared" si="31"/>
        <v>C06054 : 2-Oxo-3-hydroxy-4-phosphobutanoate</v>
      </c>
    </row>
    <row r="743" spans="1:4">
      <c r="A743" t="s">
        <v>12627</v>
      </c>
      <c r="B743" s="43" t="s">
        <v>17348</v>
      </c>
      <c r="C743" s="16" t="str">
        <f t="shared" si="32"/>
        <v>C06055:1</v>
      </c>
      <c r="D743" s="17" t="str">
        <f t="shared" si="31"/>
        <v>C06055 : O-Phospho-4-hydroxy-L-threonine</v>
      </c>
    </row>
    <row r="744" spans="1:4">
      <c r="A744" t="s">
        <v>12628</v>
      </c>
      <c r="B744" s="43" t="s">
        <v>17349</v>
      </c>
      <c r="C744" s="16" t="str">
        <f t="shared" si="32"/>
        <v>C06056:1</v>
      </c>
      <c r="D744" s="17" t="str">
        <f t="shared" si="31"/>
        <v>C06056 : 4-Hydroxy-L-threonine</v>
      </c>
    </row>
    <row r="745" spans="1:4">
      <c r="A745" t="s">
        <v>12629</v>
      </c>
      <c r="B745" s="43" t="s">
        <v>17350</v>
      </c>
      <c r="C745" s="16" t="str">
        <f t="shared" si="32"/>
        <v>C06114:1</v>
      </c>
      <c r="D745" s="17" t="str">
        <f t="shared" si="31"/>
        <v>C06114 : gamma-Glutamyl-beta-aminopropiononitrile</v>
      </c>
    </row>
    <row r="746" spans="1:4">
      <c r="A746" t="s">
        <v>11939</v>
      </c>
      <c r="B746" s="43" t="s">
        <v>17351</v>
      </c>
      <c r="C746" s="16" t="str">
        <f t="shared" si="32"/>
        <v>C06148:1</v>
      </c>
      <c r="D746" s="17" t="str">
        <f t="shared" si="31"/>
        <v>C06148 : 2,5-Diamino-6-(5'-triphosphoryl-3',4'-trihydroxy-2'-oxopentyl)-amino-4-oxopyrimidine</v>
      </c>
    </row>
    <row r="747" spans="1:4">
      <c r="A747" t="s">
        <v>10223</v>
      </c>
      <c r="B747" s="43" t="s">
        <v>17352</v>
      </c>
      <c r="C747" s="16" t="str">
        <f t="shared" si="32"/>
        <v>C06156:1</v>
      </c>
      <c r="D747" s="17" t="str">
        <f t="shared" si="31"/>
        <v>C06156 : alpha-D-Glucosamine 1-phosphate</v>
      </c>
    </row>
    <row r="748" spans="1:4">
      <c r="A748" t="s">
        <v>12630</v>
      </c>
      <c r="B748" s="43" t="s">
        <v>17353</v>
      </c>
      <c r="C748" s="16" t="str">
        <f t="shared" si="32"/>
        <v>C06196:1</v>
      </c>
      <c r="D748" s="17" t="str">
        <f t="shared" si="31"/>
        <v>C06196 : 2'-Deoxyinosine 5'-phosphate</v>
      </c>
    </row>
    <row r="749" spans="1:4">
      <c r="A749" t="s">
        <v>12631</v>
      </c>
      <c r="B749" s="43" t="s">
        <v>17354</v>
      </c>
      <c r="C749" s="16" t="str">
        <f t="shared" si="32"/>
        <v>C06206:1</v>
      </c>
      <c r="D749" s="17" t="str">
        <f t="shared" si="31"/>
        <v>C06206 : Benzoyl phosphate</v>
      </c>
    </row>
    <row r="750" spans="1:4">
      <c r="A750" t="s">
        <v>12285</v>
      </c>
      <c r="B750" s="43" t="s">
        <v>17355</v>
      </c>
      <c r="C750" s="16" t="str">
        <f t="shared" si="32"/>
        <v>C06249:1</v>
      </c>
      <c r="D750" s="17" t="str">
        <f t="shared" si="31"/>
        <v>C06249 : Apo-[carboxylase]</v>
      </c>
    </row>
    <row r="751" spans="1:4">
      <c r="A751" t="s">
        <v>12286</v>
      </c>
      <c r="B751" s="43" t="s">
        <v>17356</v>
      </c>
      <c r="C751" s="16" t="str">
        <f t="shared" si="32"/>
        <v>C06250:1</v>
      </c>
      <c r="D751" s="17" t="str">
        <f t="shared" si="31"/>
        <v>C06250 : Holo-[carboxylase]</v>
      </c>
    </row>
    <row r="752" spans="1:4">
      <c r="A752" t="s">
        <v>12632</v>
      </c>
      <c r="B752" s="43" t="s">
        <v>17357</v>
      </c>
      <c r="C752" s="16" t="str">
        <f t="shared" si="32"/>
        <v>C06321:1</v>
      </c>
      <c r="D752" s="17" t="str">
        <f t="shared" si="31"/>
        <v>C06321 : (1R,6S)-1,6-Dihydroxycyclohexa-2,4-diene-1-carboxylate</v>
      </c>
    </row>
    <row r="753" spans="1:4">
      <c r="A753" t="s">
        <v>9268</v>
      </c>
      <c r="B753" s="43" t="s">
        <v>17358</v>
      </c>
      <c r="C753" s="16" t="str">
        <f t="shared" si="32"/>
        <v>C06400:1</v>
      </c>
      <c r="D753" s="17" t="str">
        <f t="shared" si="31"/>
        <v>C06400 : 1-alpha-D-[(1-&gt;4)-alpha-D-Glucosyl](n-1)-alpha-D-glucopyranoside</v>
      </c>
    </row>
    <row r="754" spans="1:4">
      <c r="A754" t="s">
        <v>12287</v>
      </c>
      <c r="B754" s="43" t="s">
        <v>17359</v>
      </c>
      <c r="C754" s="16" t="str">
        <f t="shared" si="32"/>
        <v>C06481:1</v>
      </c>
      <c r="D754" s="17" t="str">
        <f t="shared" si="31"/>
        <v>C06481 : L-Seryl-tRNA(Sec)</v>
      </c>
    </row>
    <row r="755" spans="1:4">
      <c r="A755" t="s">
        <v>12288</v>
      </c>
      <c r="B755" s="43" t="s">
        <v>17360</v>
      </c>
      <c r="C755" s="16" t="str">
        <f t="shared" si="32"/>
        <v>C06504:1</v>
      </c>
      <c r="D755" s="17" t="str">
        <f t="shared" si="31"/>
        <v>C06504 : Cob(II)yrinate a,c diamide</v>
      </c>
    </row>
    <row r="756" spans="1:4">
      <c r="A756" t="s">
        <v>12633</v>
      </c>
      <c r="B756" s="43" t="s">
        <v>17361</v>
      </c>
      <c r="C756" s="16" t="str">
        <f t="shared" si="32"/>
        <v>C06505:1</v>
      </c>
      <c r="D756" s="17" t="str">
        <f t="shared" si="31"/>
        <v>C06505 : Cob(I)yrinate a,c diamide</v>
      </c>
    </row>
    <row r="757" spans="1:4">
      <c r="A757" t="s">
        <v>12289</v>
      </c>
      <c r="B757" s="43" t="s">
        <v>17362</v>
      </c>
      <c r="C757" s="16" t="str">
        <f t="shared" si="32"/>
        <v>C06506:1</v>
      </c>
      <c r="D757" s="17" t="str">
        <f t="shared" si="31"/>
        <v>C06506 : Adenosyl cobyrinate a,c diamide</v>
      </c>
    </row>
    <row r="758" spans="1:4">
      <c r="A758" t="s">
        <v>12290</v>
      </c>
      <c r="B758" s="43" t="s">
        <v>17363</v>
      </c>
      <c r="C758" s="16" t="str">
        <f t="shared" si="32"/>
        <v>C06508:1</v>
      </c>
      <c r="D758" s="17" t="str">
        <f t="shared" si="31"/>
        <v>C06508 : Adenosyl cobinamide</v>
      </c>
    </row>
    <row r="759" spans="1:4">
      <c r="A759" t="s">
        <v>12634</v>
      </c>
      <c r="B759" s="43" t="s">
        <v>17364</v>
      </c>
      <c r="C759" s="16" t="str">
        <f t="shared" si="32"/>
        <v>C06509:1</v>
      </c>
      <c r="D759" s="17" t="str">
        <f t="shared" si="31"/>
        <v>C06509 : Adenosyl cobinamide phosphate</v>
      </c>
    </row>
    <row r="760" spans="1:4">
      <c r="A760" t="s">
        <v>12635</v>
      </c>
      <c r="B760" s="43" t="s">
        <v>17365</v>
      </c>
      <c r="C760" s="16" t="str">
        <f t="shared" si="32"/>
        <v>C06510:1</v>
      </c>
      <c r="D760" s="17" t="str">
        <f t="shared" si="31"/>
        <v>C06510 : Adenosine-GDP-cobinamide</v>
      </c>
    </row>
    <row r="761" spans="1:4">
      <c r="A761" t="s">
        <v>12636</v>
      </c>
      <c r="B761" s="43" t="s">
        <v>17366</v>
      </c>
      <c r="C761" s="16" t="str">
        <f t="shared" si="32"/>
        <v>C06611:1</v>
      </c>
      <c r="D761" s="17" t="str">
        <f t="shared" si="31"/>
        <v>C06611 : trans-3-Chloro-2-propene-1-ol</v>
      </c>
    </row>
    <row r="762" spans="1:4">
      <c r="A762" t="s">
        <v>12637</v>
      </c>
      <c r="B762" s="43" t="s">
        <v>17367</v>
      </c>
      <c r="C762" s="16" t="str">
        <f t="shared" si="32"/>
        <v>C06612:1</v>
      </c>
      <c r="D762" s="17" t="str">
        <f t="shared" si="31"/>
        <v>C06612 : cis-3-Chloro-2-propene-1-ol</v>
      </c>
    </row>
    <row r="763" spans="1:4">
      <c r="A763" t="s">
        <v>12638</v>
      </c>
      <c r="B763" s="43" t="s">
        <v>17368</v>
      </c>
      <c r="C763" s="16" t="str">
        <f t="shared" si="32"/>
        <v>C06613:1</v>
      </c>
      <c r="D763" s="17" t="str">
        <f t="shared" si="31"/>
        <v>C06613 : trans-3-Chloroallyl aldehyde</v>
      </c>
    </row>
    <row r="764" spans="1:4">
      <c r="A764" t="s">
        <v>12639</v>
      </c>
      <c r="B764" s="43" t="s">
        <v>17369</v>
      </c>
      <c r="C764" s="16" t="str">
        <f t="shared" si="32"/>
        <v>C06672:1</v>
      </c>
      <c r="D764" s="17" t="str">
        <f t="shared" si="31"/>
        <v>C06672 : Vanillate</v>
      </c>
    </row>
    <row r="765" spans="1:4">
      <c r="A765" t="s">
        <v>12640</v>
      </c>
      <c r="B765" s="43" t="s">
        <v>17370</v>
      </c>
      <c r="C765" s="16" t="str">
        <f t="shared" si="32"/>
        <v>C06697:1</v>
      </c>
      <c r="D765" s="17" t="str">
        <f t="shared" si="31"/>
        <v>C06697 : Arsenite</v>
      </c>
    </row>
    <row r="766" spans="1:4">
      <c r="A766" t="s">
        <v>12291</v>
      </c>
      <c r="B766" s="43" t="s">
        <v>17371</v>
      </c>
      <c r="C766" s="16" t="str">
        <f t="shared" si="32"/>
        <v>C06717:1</v>
      </c>
      <c r="D766" s="17" t="str">
        <f t="shared" si="31"/>
        <v>C06717 : Mycothiol</v>
      </c>
    </row>
    <row r="767" spans="1:4">
      <c r="A767" t="s">
        <v>12641</v>
      </c>
      <c r="B767" s="43" t="s">
        <v>17372</v>
      </c>
      <c r="C767" s="16" t="str">
        <f t="shared" si="32"/>
        <v>C06718:1</v>
      </c>
      <c r="D767" s="17" t="str">
        <f t="shared" si="31"/>
        <v>C06718 : S-Formylmycothiol</v>
      </c>
    </row>
    <row r="768" spans="1:4">
      <c r="A768" t="s">
        <v>12642</v>
      </c>
      <c r="B768" s="43" t="s">
        <v>17373</v>
      </c>
      <c r="C768" s="16" t="str">
        <f t="shared" si="32"/>
        <v>C06730:1</v>
      </c>
      <c r="D768" s="17" t="str">
        <f t="shared" si="31"/>
        <v>C06730 : 4-Methylcatechol</v>
      </c>
    </row>
    <row r="769" spans="1:4">
      <c r="A769" t="s">
        <v>10425</v>
      </c>
      <c r="B769" s="43" t="s">
        <v>17374</v>
      </c>
      <c r="C769" s="16" t="str">
        <f t="shared" si="32"/>
        <v>C06892:1</v>
      </c>
      <c r="D769" s="17" t="str">
        <f t="shared" si="31"/>
        <v>C06892 : 2-Deoxy-5-keto-D-gluconic acid</v>
      </c>
    </row>
    <row r="770" spans="1:4">
      <c r="A770" t="s">
        <v>12643</v>
      </c>
      <c r="B770" s="43" t="s">
        <v>17375</v>
      </c>
      <c r="C770" s="16" t="str">
        <f t="shared" si="32"/>
        <v>C06893:1</v>
      </c>
      <c r="D770" s="17" t="str">
        <f t="shared" si="31"/>
        <v>C06893 : 2-Deoxy-5-keto-D-gluconic acid 6-phosphate</v>
      </c>
    </row>
    <row r="771" spans="1:4">
      <c r="A771" t="s">
        <v>12644</v>
      </c>
      <c r="B771" s="43" t="s">
        <v>17376</v>
      </c>
      <c r="C771" s="16" t="str">
        <f t="shared" si="32"/>
        <v>C06899:1</v>
      </c>
      <c r="D771" s="17" t="str">
        <f t="shared" si="31"/>
        <v>C06899 : Chloral hydrate</v>
      </c>
    </row>
    <row r="772" spans="1:4">
      <c r="A772" t="s">
        <v>12292</v>
      </c>
      <c r="B772" s="43" t="s">
        <v>17377</v>
      </c>
      <c r="C772" s="16" t="str">
        <f t="shared" si="32"/>
        <v>C07292:1</v>
      </c>
      <c r="D772" s="17" t="str">
        <f t="shared" si="31"/>
        <v>C07292 : Glutaredoxin</v>
      </c>
    </row>
    <row r="773" spans="1:4">
      <c r="A773" t="s">
        <v>12293</v>
      </c>
      <c r="B773" s="43" t="s">
        <v>17378</v>
      </c>
      <c r="C773" s="16" t="str">
        <f t="shared" si="32"/>
        <v>C07293:1</v>
      </c>
      <c r="D773" s="17" t="str">
        <f t="shared" si="31"/>
        <v>C07293 : Glutaredoxin disulfide</v>
      </c>
    </row>
    <row r="774" spans="1:4">
      <c r="A774" t="s">
        <v>12645</v>
      </c>
      <c r="B774" s="43" t="s">
        <v>17379</v>
      </c>
      <c r="C774" s="16" t="str">
        <f t="shared" si="32"/>
        <v>C07490:1</v>
      </c>
      <c r="D774" s="17" t="str">
        <f t="shared" si="31"/>
        <v>C07490 : Trichloroethanol</v>
      </c>
    </row>
    <row r="775" spans="1:4">
      <c r="A775" t="s">
        <v>12646</v>
      </c>
      <c r="B775" s="43" t="s">
        <v>17380</v>
      </c>
      <c r="C775" s="16" t="str">
        <f t="shared" si="32"/>
        <v>C07645:1</v>
      </c>
      <c r="D775" s="17" t="str">
        <f t="shared" ref="D775:D838" si="33">CONCATENATE(A775," : ",B775)</f>
        <v>C07645 : Aldophosphamide</v>
      </c>
    </row>
    <row r="776" spans="1:4">
      <c r="A776" t="s">
        <v>12647</v>
      </c>
      <c r="B776" s="43" t="s">
        <v>17381</v>
      </c>
      <c r="C776" s="16" t="str">
        <f t="shared" si="32"/>
        <v>C07648:1</v>
      </c>
      <c r="D776" s="17" t="str">
        <f t="shared" si="33"/>
        <v>C07648 : Thioguanine</v>
      </c>
    </row>
    <row r="777" spans="1:4">
      <c r="A777" t="s">
        <v>16076</v>
      </c>
      <c r="B777" s="43" t="s">
        <v>16077</v>
      </c>
      <c r="C777" s="16" t="str">
        <f t="shared" si="32"/>
        <v>C07649:1</v>
      </c>
      <c r="D777" s="17" t="str">
        <f t="shared" si="33"/>
        <v>C07649 : Fluorouracil</v>
      </c>
    </row>
    <row r="778" spans="1:4">
      <c r="A778" t="s">
        <v>9857</v>
      </c>
      <c r="B778" s="43" t="s">
        <v>17382</v>
      </c>
      <c r="C778" s="16" t="str">
        <f t="shared" si="32"/>
        <v>C08353:1</v>
      </c>
      <c r="D778" s="17" t="str">
        <f t="shared" si="33"/>
        <v>C08353 : beta-D-Ribopyranose</v>
      </c>
    </row>
    <row r="779" spans="1:4">
      <c r="A779" t="s">
        <v>12648</v>
      </c>
      <c r="B779" s="43" t="s">
        <v>17383</v>
      </c>
      <c r="C779" s="16" t="str">
        <f t="shared" si="32"/>
        <v>C08492:1</v>
      </c>
      <c r="D779" s="17" t="str">
        <f t="shared" si="33"/>
        <v>C08492 : 3-Hexenol</v>
      </c>
    </row>
    <row r="780" spans="1:4">
      <c r="A780" t="s">
        <v>12294</v>
      </c>
      <c r="B780" s="43" t="s">
        <v>17384</v>
      </c>
      <c r="C780" s="16" t="str">
        <f t="shared" ref="C780:C843" si="34">CONCATENATE(A780,":","1")</f>
        <v>C09332:1</v>
      </c>
      <c r="D780" s="17" t="str">
        <f t="shared" si="33"/>
        <v>C09332 : THF-L-glutamate</v>
      </c>
    </row>
    <row r="781" spans="1:4">
      <c r="A781" t="s">
        <v>12649</v>
      </c>
      <c r="B781" s="43" t="s">
        <v>17385</v>
      </c>
      <c r="C781" s="16" t="str">
        <f t="shared" si="34"/>
        <v>C11038:1</v>
      </c>
      <c r="D781" s="17" t="str">
        <f t="shared" si="33"/>
        <v>C11038 : 2'-Deoxy-5-hydroxymethylcytidine-5'-diphosphate</v>
      </c>
    </row>
    <row r="782" spans="1:4">
      <c r="A782" t="s">
        <v>9241</v>
      </c>
      <c r="B782" s="43" t="s">
        <v>17386</v>
      </c>
      <c r="C782" s="16" t="str">
        <f t="shared" si="34"/>
        <v>C11039:1</v>
      </c>
      <c r="D782" s="17" t="str">
        <f t="shared" si="33"/>
        <v>C11039 : 2'-Deoxy-5-hydroxymethylcytidine-5'-triphosphate</v>
      </c>
    </row>
    <row r="783" spans="1:4">
      <c r="A783" t="s">
        <v>12650</v>
      </c>
      <c r="B783" s="43" t="s">
        <v>17387</v>
      </c>
      <c r="C783" s="16" t="str">
        <f t="shared" si="34"/>
        <v>C11215:1</v>
      </c>
      <c r="D783" s="17" t="str">
        <f t="shared" si="33"/>
        <v>C11215 : Arsenate ion</v>
      </c>
    </row>
    <row r="784" spans="1:4">
      <c r="A784" t="s">
        <v>8793</v>
      </c>
      <c r="B784" s="43" t="s">
        <v>17388</v>
      </c>
      <c r="C784" s="16" t="str">
        <f t="shared" si="34"/>
        <v>C11355:1</v>
      </c>
      <c r="D784" s="17" t="str">
        <f t="shared" si="33"/>
        <v>C11355 : 4-Amino-4-deoxychorismate</v>
      </c>
    </row>
    <row r="785" spans="1:4">
      <c r="A785" t="s">
        <v>12651</v>
      </c>
      <c r="B785" s="43" t="s">
        <v>17389</v>
      </c>
      <c r="C785" s="16" t="str">
        <f t="shared" si="34"/>
        <v>C11434:1</v>
      </c>
      <c r="D785" s="17" t="str">
        <f t="shared" si="33"/>
        <v>C11434 : 2-C-Methyl-D-erythritol 4-phosphate</v>
      </c>
    </row>
    <row r="786" spans="1:4">
      <c r="A786" t="s">
        <v>12652</v>
      </c>
      <c r="B786" s="43" t="s">
        <v>17390</v>
      </c>
      <c r="C786" s="16" t="str">
        <f t="shared" si="34"/>
        <v>C11435:1</v>
      </c>
      <c r="D786" s="17" t="str">
        <f t="shared" si="33"/>
        <v>C11435 : 4-(Cytidine 5'-diphospho)-2-C-methyl-D-erythritol</v>
      </c>
    </row>
    <row r="787" spans="1:4">
      <c r="A787" t="s">
        <v>8713</v>
      </c>
      <c r="B787" s="43" t="s">
        <v>17391</v>
      </c>
      <c r="C787" s="16" t="str">
        <f t="shared" si="34"/>
        <v>C11436:1</v>
      </c>
      <c r="D787" s="17" t="str">
        <f t="shared" si="33"/>
        <v>C11436 : 2-Phospho-4-(cytidine 5'-diphospho)-2-C-methyl-D-erythritol</v>
      </c>
    </row>
    <row r="788" spans="1:4">
      <c r="A788" t="s">
        <v>12653</v>
      </c>
      <c r="B788" s="43" t="s">
        <v>17392</v>
      </c>
      <c r="C788" s="16" t="str">
        <f t="shared" si="34"/>
        <v>C11437:1</v>
      </c>
      <c r="D788" s="17" t="str">
        <f t="shared" si="33"/>
        <v>C11437 : 1-Deoxy-D-xylulose 5-phosphate</v>
      </c>
    </row>
    <row r="789" spans="1:4">
      <c r="A789" t="s">
        <v>12654</v>
      </c>
      <c r="B789" s="43" t="s">
        <v>17393</v>
      </c>
      <c r="C789" s="16" t="str">
        <f t="shared" si="34"/>
        <v>C11439:1</v>
      </c>
      <c r="D789" s="17" t="str">
        <f t="shared" si="33"/>
        <v>C11439 : Formyl-L-methionyl peptide</v>
      </c>
    </row>
    <row r="790" spans="1:4">
      <c r="A790" t="s">
        <v>12655</v>
      </c>
      <c r="B790" s="43" t="s">
        <v>17394</v>
      </c>
      <c r="C790" s="16" t="str">
        <f t="shared" si="34"/>
        <v>C11440:1</v>
      </c>
      <c r="D790" s="17" t="str">
        <f t="shared" si="33"/>
        <v>C11440 : Methionyl peptide</v>
      </c>
    </row>
    <row r="791" spans="1:4">
      <c r="A791" t="s">
        <v>12656</v>
      </c>
      <c r="B791" s="43" t="s">
        <v>17395</v>
      </c>
      <c r="C791" s="16" t="str">
        <f t="shared" si="34"/>
        <v>C11453:1</v>
      </c>
      <c r="D791" s="17" t="str">
        <f t="shared" si="33"/>
        <v>C11453 : 2-C-Methyl-D-erythritol 2,4-cyclodiphosphate</v>
      </c>
    </row>
    <row r="792" spans="1:4">
      <c r="A792" t="s">
        <v>12657</v>
      </c>
      <c r="B792" s="43" t="s">
        <v>17396</v>
      </c>
      <c r="C792" s="16" t="str">
        <f t="shared" si="34"/>
        <v>C11457:1</v>
      </c>
      <c r="D792" s="17" t="str">
        <f t="shared" si="33"/>
        <v>C11457 : 3-(3-Hydroxyphenyl)propanoic acid</v>
      </c>
    </row>
    <row r="793" spans="1:4">
      <c r="A793" t="s">
        <v>12295</v>
      </c>
      <c r="B793" s="43" t="s">
        <v>17397</v>
      </c>
      <c r="C793" s="16" t="str">
        <f t="shared" si="34"/>
        <v>C11475:1</v>
      </c>
      <c r="D793" s="17" t="str">
        <f t="shared" si="33"/>
        <v>C11475 : DNA containing guanine</v>
      </c>
    </row>
    <row r="794" spans="1:4">
      <c r="A794" t="s">
        <v>12658</v>
      </c>
      <c r="B794" s="43" t="s">
        <v>17398</v>
      </c>
      <c r="C794" s="16" t="str">
        <f t="shared" si="34"/>
        <v>C11502:1</v>
      </c>
      <c r="D794" s="17" t="str">
        <f t="shared" si="33"/>
        <v>C11502 : Mycothione</v>
      </c>
    </row>
    <row r="795" spans="1:4">
      <c r="A795" t="s">
        <v>12659</v>
      </c>
      <c r="B795" s="43" t="s">
        <v>17399</v>
      </c>
      <c r="C795" s="16" t="str">
        <f t="shared" si="34"/>
        <v>C11537:1</v>
      </c>
      <c r="D795" s="17" t="str">
        <f t="shared" si="33"/>
        <v>C11537 : (2R)-3-Sulfolactate</v>
      </c>
    </row>
    <row r="796" spans="1:4">
      <c r="A796" t="s">
        <v>12660</v>
      </c>
      <c r="B796" s="43" t="s">
        <v>17400</v>
      </c>
      <c r="C796" s="16" t="str">
        <f t="shared" si="34"/>
        <v>C11735:1</v>
      </c>
      <c r="D796" s="17" t="str">
        <f t="shared" si="33"/>
        <v>C11735 : N-Ethylglycine</v>
      </c>
    </row>
    <row r="797" spans="1:4">
      <c r="A797" t="s">
        <v>12661</v>
      </c>
      <c r="B797" s="43" t="s">
        <v>17401</v>
      </c>
      <c r="C797" s="16" t="str">
        <f t="shared" si="34"/>
        <v>C11811:1</v>
      </c>
      <c r="D797" s="17" t="str">
        <f t="shared" si="33"/>
        <v>C11811 : 1-Hydroxy-2-methyl-2-butenyl 4-diphosphate</v>
      </c>
    </row>
    <row r="798" spans="1:4">
      <c r="A798" t="s">
        <v>12296</v>
      </c>
      <c r="B798" s="43" t="s">
        <v>17402</v>
      </c>
      <c r="C798" s="16" t="str">
        <f t="shared" si="34"/>
        <v>C11826:1</v>
      </c>
      <c r="D798" s="17" t="str">
        <f t="shared" si="33"/>
        <v>C11826 : [GlcNAc-(1-&gt;4)-Mur2Ac(oyl-L-Ala-g-D-Glu-L-Lys-D-Ala-D-Ala)]n-diphosphoundecaprenol</v>
      </c>
    </row>
    <row r="799" spans="1:4">
      <c r="A799" t="s">
        <v>12297</v>
      </c>
      <c r="B799" s="43" t="s">
        <v>17403</v>
      </c>
      <c r="C799" s="16" t="str">
        <f t="shared" si="34"/>
        <v>C11827:1</v>
      </c>
      <c r="D799" s="17" t="str">
        <f t="shared" si="33"/>
        <v>C11827 : [GlcNAc-(1-&gt;4)-Mur2Ac(oyl-L-Ala-g-D-Glu-A2pm-D-Ala-D-Ala)]n-diphosphoundecaprenol</v>
      </c>
    </row>
    <row r="800" spans="1:4">
      <c r="A800" t="s">
        <v>12662</v>
      </c>
      <c r="B800" s="43" t="s">
        <v>17404</v>
      </c>
      <c r="C800" s="16" t="str">
        <f t="shared" si="34"/>
        <v>C11907:1</v>
      </c>
      <c r="D800" s="17" t="str">
        <f t="shared" si="33"/>
        <v>C11907 : dTDP-4-oxo-6-deoxy-D-glucose</v>
      </c>
    </row>
    <row r="801" spans="1:4">
      <c r="A801" t="s">
        <v>12663</v>
      </c>
      <c r="B801" s="43" t="s">
        <v>17405</v>
      </c>
      <c r="C801" s="16" t="str">
        <f t="shared" si="34"/>
        <v>C12214:1</v>
      </c>
      <c r="D801" s="17" t="str">
        <f t="shared" si="33"/>
        <v>C12214 : Aminofructose 6-phosphate</v>
      </c>
    </row>
    <row r="802" spans="1:4">
      <c r="A802" t="s">
        <v>12664</v>
      </c>
      <c r="B802" s="43" t="s">
        <v>17406</v>
      </c>
      <c r="C802" s="16" t="str">
        <f t="shared" si="34"/>
        <v>C12215:1</v>
      </c>
      <c r="D802" s="17" t="str">
        <f t="shared" si="33"/>
        <v>C12215 : Iminoerythrose 4-phosphate</v>
      </c>
    </row>
    <row r="803" spans="1:4">
      <c r="A803" t="s">
        <v>12665</v>
      </c>
      <c r="B803" s="43" t="s">
        <v>17407</v>
      </c>
      <c r="C803" s="16" t="str">
        <f t="shared" si="34"/>
        <v>C12621:1</v>
      </c>
      <c r="D803" s="17" t="str">
        <f t="shared" si="33"/>
        <v>C12621 : trans-3-Hydroxycinnamate</v>
      </c>
    </row>
    <row r="804" spans="1:4">
      <c r="A804" t="s">
        <v>12666</v>
      </c>
      <c r="B804" s="43" t="s">
        <v>17408</v>
      </c>
      <c r="C804" s="16" t="str">
        <f t="shared" si="34"/>
        <v>C12623:1</v>
      </c>
      <c r="D804" s="17" t="str">
        <f t="shared" si="33"/>
        <v>C12623 : trans-2,3-Dihydroxycinnamate</v>
      </c>
    </row>
    <row r="805" spans="1:4">
      <c r="A805" t="s">
        <v>12667</v>
      </c>
      <c r="B805" s="43" t="s">
        <v>17409</v>
      </c>
      <c r="C805" s="16" t="str">
        <f t="shared" si="34"/>
        <v>C13378:1</v>
      </c>
      <c r="D805" s="17" t="str">
        <f t="shared" si="33"/>
        <v>C13378 : alpha,beta-Dihydroxyethyl-TPP</v>
      </c>
    </row>
    <row r="806" spans="1:4">
      <c r="A806" t="s">
        <v>12668</v>
      </c>
      <c r="B806" s="43" t="s">
        <v>17410</v>
      </c>
      <c r="C806" s="16" t="str">
        <f t="shared" si="34"/>
        <v>C14089:1</v>
      </c>
      <c r="D806" s="17" t="str">
        <f t="shared" si="33"/>
        <v>C14089 : 1-Hydroxymethylnaphthalene</v>
      </c>
    </row>
    <row r="807" spans="1:4">
      <c r="A807" t="s">
        <v>12669</v>
      </c>
      <c r="B807" s="43" t="s">
        <v>17411</v>
      </c>
      <c r="C807" s="16" t="str">
        <f t="shared" si="34"/>
        <v>C14090:1</v>
      </c>
      <c r="D807" s="17" t="str">
        <f t="shared" si="33"/>
        <v>C14090 : 1-Naphthaldehyde</v>
      </c>
    </row>
    <row r="808" spans="1:4">
      <c r="A808" t="s">
        <v>12670</v>
      </c>
      <c r="B808" s="43" t="s">
        <v>17412</v>
      </c>
      <c r="C808" s="16" t="str">
        <f t="shared" si="34"/>
        <v>C14099:1</v>
      </c>
      <c r="D808" s="17" t="str">
        <f t="shared" si="33"/>
        <v>C14099 : 2-Naphthaldehyde</v>
      </c>
    </row>
    <row r="809" spans="1:4">
      <c r="A809" t="s">
        <v>9833</v>
      </c>
      <c r="B809" s="43" t="s">
        <v>17413</v>
      </c>
      <c r="C809" s="16" t="str">
        <f t="shared" si="34"/>
        <v>C14463:1</v>
      </c>
      <c r="D809" s="17" t="str">
        <f t="shared" si="33"/>
        <v>C14463 : (R)-3-Hydroxy-3-methyl-2-oxopentanoate</v>
      </c>
    </row>
    <row r="810" spans="1:4">
      <c r="A810" t="s">
        <v>9000</v>
      </c>
      <c r="B810" s="43" t="s">
        <v>17414</v>
      </c>
      <c r="C810" s="16" t="str">
        <f t="shared" si="34"/>
        <v>C14610:1</v>
      </c>
      <c r="D810" s="17" t="str">
        <f t="shared" si="33"/>
        <v>C14610 : (S)-5-Oxo-2,5-dihydrofuran-2-acetate</v>
      </c>
    </row>
    <row r="811" spans="1:4">
      <c r="A811" t="s">
        <v>12298</v>
      </c>
      <c r="B811" s="43" t="s">
        <v>17415</v>
      </c>
      <c r="C811" s="16" t="str">
        <f t="shared" si="34"/>
        <v>C14818:1</v>
      </c>
      <c r="D811" s="17" t="str">
        <f t="shared" si="33"/>
        <v>C14818 : Fe2+</v>
      </c>
    </row>
    <row r="812" spans="1:4">
      <c r="A812" t="s">
        <v>12299</v>
      </c>
      <c r="B812" s="43" t="s">
        <v>17416</v>
      </c>
      <c r="C812" s="16" t="str">
        <f t="shared" si="34"/>
        <v>C15498:1</v>
      </c>
      <c r="D812" s="17" t="str">
        <f t="shared" si="33"/>
        <v>C15498 : ROOH</v>
      </c>
    </row>
    <row r="813" spans="1:4">
      <c r="A813" t="s">
        <v>10256</v>
      </c>
      <c r="B813" s="43" t="s">
        <v>17417</v>
      </c>
      <c r="C813" s="16" t="str">
        <f t="shared" si="34"/>
        <v>C15522:1</v>
      </c>
      <c r="D813" s="17" t="str">
        <f t="shared" si="33"/>
        <v>C15522 : 4a-Hydroxytetrahydrobiopterin</v>
      </c>
    </row>
    <row r="814" spans="1:4">
      <c r="A814" t="s">
        <v>12300</v>
      </c>
      <c r="B814" s="43" t="s">
        <v>17418</v>
      </c>
      <c r="C814" s="16" t="str">
        <f t="shared" si="34"/>
        <v>C15527:1</v>
      </c>
      <c r="D814" s="17" t="str">
        <f t="shared" si="33"/>
        <v>C15527 : Precorrin 1</v>
      </c>
    </row>
    <row r="815" spans="1:4">
      <c r="A815" t="s">
        <v>12671</v>
      </c>
      <c r="B815" s="43" t="s">
        <v>17419</v>
      </c>
      <c r="C815" s="16" t="str">
        <f t="shared" si="34"/>
        <v>C15541:1</v>
      </c>
      <c r="D815" s="17" t="str">
        <f t="shared" si="33"/>
        <v>C15541 : NDP-glucose</v>
      </c>
    </row>
    <row r="816" spans="1:4">
      <c r="A816" t="s">
        <v>12672</v>
      </c>
      <c r="B816" s="43" t="s">
        <v>17420</v>
      </c>
      <c r="C816" s="16" t="str">
        <f t="shared" si="34"/>
        <v>C15547:1</v>
      </c>
      <c r="D816" s="17" t="str">
        <f t="shared" si="33"/>
        <v>C15547 : 1,4-Dihydroxy-2-naphthoyl-CoA</v>
      </c>
    </row>
    <row r="817" spans="1:4">
      <c r="A817" t="s">
        <v>12301</v>
      </c>
      <c r="B817" s="43" t="s">
        <v>17421</v>
      </c>
      <c r="C817" s="16" t="str">
        <f t="shared" si="34"/>
        <v>C15556:1</v>
      </c>
      <c r="D817" s="17" t="str">
        <f t="shared" si="33"/>
        <v>C15556 : L-3,4-Dihydroxybutan-2-one 4-phosphate</v>
      </c>
    </row>
    <row r="818" spans="1:4">
      <c r="A818" t="s">
        <v>12302</v>
      </c>
      <c r="B818" s="43" t="s">
        <v>17422</v>
      </c>
      <c r="C818" s="16" t="str">
        <f t="shared" si="34"/>
        <v>C15602:1</v>
      </c>
      <c r="D818" s="17" t="str">
        <f t="shared" si="33"/>
        <v>C15602 : Quinone</v>
      </c>
    </row>
    <row r="819" spans="1:4">
      <c r="A819" t="s">
        <v>12303</v>
      </c>
      <c r="B819" s="43" t="s">
        <v>17423</v>
      </c>
      <c r="C819" s="16" t="str">
        <f t="shared" si="34"/>
        <v>C15603:1</v>
      </c>
      <c r="D819" s="17" t="str">
        <f t="shared" si="33"/>
        <v>C15603 : Hydroquinone</v>
      </c>
    </row>
    <row r="820" spans="1:4">
      <c r="A820" t="s">
        <v>12673</v>
      </c>
      <c r="B820" s="43" t="s">
        <v>17424</v>
      </c>
      <c r="C820" s="16" t="str">
        <f t="shared" si="34"/>
        <v>C15653:1</v>
      </c>
      <c r="D820" s="17" t="str">
        <f t="shared" si="33"/>
        <v>C15653 : Peptide-L-methionine (R)-S-oxide</v>
      </c>
    </row>
    <row r="821" spans="1:4">
      <c r="A821" t="s">
        <v>10139</v>
      </c>
      <c r="B821" s="43" t="s">
        <v>17425</v>
      </c>
      <c r="C821" s="16" t="str">
        <f t="shared" si="34"/>
        <v>C15667:1</v>
      </c>
      <c r="D821" s="17" t="str">
        <f t="shared" si="33"/>
        <v>C15667 : 5-Carboxyamino-1-(5-phospho-D-ribosyl)imidazole</v>
      </c>
    </row>
    <row r="822" spans="1:4">
      <c r="A822" t="s">
        <v>12674</v>
      </c>
      <c r="B822" s="43" t="s">
        <v>17426</v>
      </c>
      <c r="C822" s="16" t="str">
        <f t="shared" si="34"/>
        <v>C15670:1</v>
      </c>
      <c r="D822" s="17" t="str">
        <f t="shared" si="33"/>
        <v>C15670 : Heme A</v>
      </c>
    </row>
    <row r="823" spans="1:4">
      <c r="A823" t="s">
        <v>12675</v>
      </c>
      <c r="B823" s="43" t="s">
        <v>17427</v>
      </c>
      <c r="C823" s="16" t="str">
        <f t="shared" si="34"/>
        <v>C15672:1</v>
      </c>
      <c r="D823" s="17" t="str">
        <f t="shared" si="33"/>
        <v>C15672 : Heme O</v>
      </c>
    </row>
    <row r="824" spans="1:4">
      <c r="A824" t="s">
        <v>12304</v>
      </c>
      <c r="B824" s="43" t="s">
        <v>17428</v>
      </c>
      <c r="C824" s="16" t="str">
        <f t="shared" si="34"/>
        <v>C15809:1</v>
      </c>
      <c r="D824" s="17" t="str">
        <f t="shared" si="33"/>
        <v>C15809 : Iminoglycine</v>
      </c>
    </row>
    <row r="825" spans="1:4">
      <c r="A825" t="s">
        <v>12305</v>
      </c>
      <c r="B825" s="43" t="s">
        <v>17429</v>
      </c>
      <c r="C825" s="16" t="str">
        <f t="shared" si="34"/>
        <v>C15810:1</v>
      </c>
      <c r="D825" s="17" t="str">
        <f t="shared" si="33"/>
        <v>C15810 : Sulfur-carrier protein</v>
      </c>
    </row>
    <row r="826" spans="1:4">
      <c r="A826" t="s">
        <v>12676</v>
      </c>
      <c r="B826" s="43" t="s">
        <v>17430</v>
      </c>
      <c r="C826" s="16" t="str">
        <f t="shared" si="34"/>
        <v>C15811:1</v>
      </c>
      <c r="D826" s="17" t="str">
        <f t="shared" si="33"/>
        <v>C15811 : [Enzyme]-cysteine</v>
      </c>
    </row>
    <row r="827" spans="1:4">
      <c r="A827" t="s">
        <v>12677</v>
      </c>
      <c r="B827" s="43" t="s">
        <v>17431</v>
      </c>
      <c r="C827" s="16" t="str">
        <f t="shared" si="34"/>
        <v>C15812:1</v>
      </c>
      <c r="D827" s="17" t="str">
        <f t="shared" si="33"/>
        <v>C15812 : [Enzyme]-S-sulfanylcysteine</v>
      </c>
    </row>
    <row r="828" spans="1:4">
      <c r="A828" t="s">
        <v>12306</v>
      </c>
      <c r="B828" s="43" t="s">
        <v>17432</v>
      </c>
      <c r="C828" s="16" t="str">
        <f t="shared" si="34"/>
        <v>C15814:1</v>
      </c>
      <c r="D828" s="17" t="str">
        <f t="shared" si="33"/>
        <v>C15814 : Thiocarboxy-[sulfur-carrier protein]</v>
      </c>
    </row>
    <row r="829" spans="1:4">
      <c r="A829" t="s">
        <v>12307</v>
      </c>
      <c r="B829" s="43" t="s">
        <v>17433</v>
      </c>
      <c r="C829" s="16" t="str">
        <f t="shared" si="34"/>
        <v>C15972:1</v>
      </c>
      <c r="D829" s="17" t="str">
        <f t="shared" si="33"/>
        <v>C15972 : Enzyme N6-(lipoyl)lysine</v>
      </c>
    </row>
    <row r="830" spans="1:4">
      <c r="A830" t="s">
        <v>12678</v>
      </c>
      <c r="B830" s="43" t="s">
        <v>17434</v>
      </c>
      <c r="C830" s="16" t="str">
        <f t="shared" si="34"/>
        <v>C15973:1</v>
      </c>
      <c r="D830" s="17" t="str">
        <f t="shared" si="33"/>
        <v>C15973 : Enzyme N6-(dihydrolipoyl)lysine</v>
      </c>
    </row>
    <row r="831" spans="1:4">
      <c r="A831" t="s">
        <v>12679</v>
      </c>
      <c r="B831" s="43" t="s">
        <v>17435</v>
      </c>
      <c r="C831" s="16" t="str">
        <f t="shared" si="34"/>
        <v>C15999:1</v>
      </c>
      <c r="D831" s="17" t="str">
        <f t="shared" si="33"/>
        <v>C15999 : L-Methionine (S)-S-oxide</v>
      </c>
    </row>
    <row r="832" spans="1:4">
      <c r="A832" t="s">
        <v>12680</v>
      </c>
      <c r="B832" s="43" t="s">
        <v>17436</v>
      </c>
      <c r="C832" s="16" t="str">
        <f t="shared" si="34"/>
        <v>C16219:1</v>
      </c>
      <c r="D832" s="17" t="str">
        <f t="shared" si="33"/>
        <v>C16219 : 3-Oxostearoyl-[acp]</v>
      </c>
    </row>
    <row r="833" spans="1:4">
      <c r="A833" t="s">
        <v>12681</v>
      </c>
      <c r="B833" s="43" t="s">
        <v>17437</v>
      </c>
      <c r="C833" s="16" t="str">
        <f t="shared" si="34"/>
        <v>C16220:1</v>
      </c>
      <c r="D833" s="17" t="str">
        <f t="shared" si="33"/>
        <v>C16220 : (3R)-3-Hydroxyoctadecanoyl-[acyl-carrier protein]</v>
      </c>
    </row>
    <row r="834" spans="1:4">
      <c r="A834" t="s">
        <v>12682</v>
      </c>
      <c r="B834" s="43" t="s">
        <v>17438</v>
      </c>
      <c r="C834" s="16" t="str">
        <f t="shared" si="34"/>
        <v>C16236:1</v>
      </c>
      <c r="D834" s="17" t="str">
        <f t="shared" si="33"/>
        <v>C16236 : [Protein]-N6-(octanoyl)-L-lysine</v>
      </c>
    </row>
    <row r="835" spans="1:4">
      <c r="A835" t="s">
        <v>12683</v>
      </c>
      <c r="B835" s="43" t="s">
        <v>17439</v>
      </c>
      <c r="C835" s="16" t="str">
        <f t="shared" si="34"/>
        <v>C16237:1</v>
      </c>
      <c r="D835" s="17" t="str">
        <f t="shared" si="33"/>
        <v>C16237 : Protein N6-(lipoyl)lysine</v>
      </c>
    </row>
    <row r="836" spans="1:4">
      <c r="A836" t="s">
        <v>12684</v>
      </c>
      <c r="B836" s="43" t="s">
        <v>17440</v>
      </c>
      <c r="C836" s="16" t="str">
        <f t="shared" si="34"/>
        <v>C16239:1</v>
      </c>
      <c r="D836" s="17" t="str">
        <f t="shared" si="33"/>
        <v>C16239 : Lipoyl-[acp]</v>
      </c>
    </row>
    <row r="837" spans="1:4">
      <c r="A837" t="s">
        <v>12308</v>
      </c>
      <c r="B837" s="43" t="s">
        <v>17441</v>
      </c>
      <c r="C837" s="16" t="str">
        <f t="shared" si="34"/>
        <v>C16240:1</v>
      </c>
      <c r="D837" s="17" t="str">
        <f t="shared" si="33"/>
        <v>C16240 : [Lipoyl-carrier protein]-L-lysine</v>
      </c>
    </row>
    <row r="838" spans="1:4">
      <c r="A838" t="s">
        <v>12685</v>
      </c>
      <c r="B838" s="43" t="s">
        <v>17442</v>
      </c>
      <c r="C838" s="16" t="str">
        <f t="shared" si="34"/>
        <v>C16255:1</v>
      </c>
      <c r="D838" s="17" t="str">
        <f t="shared" si="33"/>
        <v>C16255 : [Dihydrolipoyllysine-residue acetyltransferase] S-acetyldihydrolipoyllysine</v>
      </c>
    </row>
    <row r="839" spans="1:4">
      <c r="A839" t="s">
        <v>12686</v>
      </c>
      <c r="B839" s="43" t="s">
        <v>17443</v>
      </c>
      <c r="C839" s="16" t="str">
        <f t="shared" si="34"/>
        <v>C16310:1</v>
      </c>
      <c r="D839" s="17" t="str">
        <f t="shared" ref="D839:D903" si="35">CONCATENATE(A839," : ",B839)</f>
        <v>C16310 : 3-Hexenal</v>
      </c>
    </row>
    <row r="840" spans="1:4">
      <c r="A840" t="s">
        <v>12687</v>
      </c>
      <c r="B840" s="43" t="s">
        <v>17444</v>
      </c>
      <c r="C840" s="16" t="str">
        <f t="shared" si="34"/>
        <v>C16348:1</v>
      </c>
      <c r="D840" s="17" t="str">
        <f t="shared" si="35"/>
        <v>C16348 : cis-3-Chloroallyl aldehyde</v>
      </c>
    </row>
    <row r="841" spans="1:4">
      <c r="A841" t="s">
        <v>12688</v>
      </c>
      <c r="B841" s="43" t="s">
        <v>17445</v>
      </c>
      <c r="C841" s="16" t="str">
        <f t="shared" si="34"/>
        <v>C16472:1</v>
      </c>
      <c r="D841" s="17" t="str">
        <f t="shared" si="35"/>
        <v>C16472 : 3-Fluorocatechol</v>
      </c>
    </row>
    <row r="842" spans="1:4">
      <c r="A842" t="s">
        <v>12689</v>
      </c>
      <c r="B842" s="43" t="s">
        <v>17446</v>
      </c>
      <c r="C842" s="16" t="str">
        <f t="shared" si="34"/>
        <v>C16473:1</v>
      </c>
      <c r="D842" s="17" t="str">
        <f t="shared" si="35"/>
        <v>C16473 : 4-Fluorocatechol</v>
      </c>
    </row>
    <row r="843" spans="1:4">
      <c r="A843" t="s">
        <v>8993</v>
      </c>
      <c r="B843" s="43" t="s">
        <v>17447</v>
      </c>
      <c r="C843" s="16" t="str">
        <f t="shared" si="34"/>
        <v>C16474:1</v>
      </c>
      <c r="D843" s="17" t="str">
        <f t="shared" si="35"/>
        <v>C16474 : 3-Fluoro-cis,cis-muconate</v>
      </c>
    </row>
    <row r="844" spans="1:4">
      <c r="A844" t="s">
        <v>8991</v>
      </c>
      <c r="B844" s="43" t="s">
        <v>17448</v>
      </c>
      <c r="C844" s="16" t="str">
        <f t="shared" ref="C844:C908" si="36">CONCATENATE(A844,":","1")</f>
        <v>C16475:1</v>
      </c>
      <c r="D844" s="17" t="str">
        <f t="shared" si="35"/>
        <v>C16475 : 2-Fluoro-cis,cis-muconate</v>
      </c>
    </row>
    <row r="845" spans="1:4">
      <c r="A845" t="s">
        <v>12690</v>
      </c>
      <c r="B845" s="43" t="s">
        <v>17449</v>
      </c>
      <c r="C845" s="16" t="str">
        <f t="shared" si="36"/>
        <v>C16478:1</v>
      </c>
      <c r="D845" s="17" t="str">
        <f t="shared" si="35"/>
        <v>C16478 : 3-Fluorocyclohexadiene-cis,cis-1,2-diol-1-carboxylate</v>
      </c>
    </row>
    <row r="846" spans="1:4">
      <c r="A846" t="s">
        <v>12691</v>
      </c>
      <c r="B846" s="43" t="s">
        <v>17450</v>
      </c>
      <c r="C846" s="16" t="str">
        <f t="shared" si="36"/>
        <v>C16479:1</v>
      </c>
      <c r="D846" s="17" t="str">
        <f t="shared" si="35"/>
        <v>C16479 : 5-Fluorocyclohexadiene-cis,cis-1,2-diol-1-carboxylate</v>
      </c>
    </row>
    <row r="847" spans="1:4">
      <c r="A847" t="s">
        <v>12692</v>
      </c>
      <c r="B847" s="43" t="s">
        <v>17451</v>
      </c>
      <c r="C847" s="16" t="str">
        <f t="shared" si="36"/>
        <v>C16480:1</v>
      </c>
      <c r="D847" s="17" t="str">
        <f t="shared" si="35"/>
        <v>C16480 : 4-Fluorocyclohexadiene-cis,cis-1,2-diol-1-carboxylate</v>
      </c>
    </row>
    <row r="848" spans="1:4">
      <c r="A848" t="s">
        <v>12693</v>
      </c>
      <c r="B848" s="43" t="s">
        <v>17452</v>
      </c>
      <c r="C848" s="16" t="str">
        <f t="shared" si="36"/>
        <v>C16481:1</v>
      </c>
      <c r="D848" s="17" t="str">
        <f t="shared" si="35"/>
        <v>C16481 : 6-Fluorocyclohexadiene-cis,cis-1,2-diol-1-carboxylate</v>
      </c>
    </row>
    <row r="849" spans="1:4">
      <c r="A849" t="s">
        <v>12694</v>
      </c>
      <c r="B849" s="43" t="s">
        <v>17453</v>
      </c>
      <c r="C849" s="16" t="str">
        <f t="shared" si="36"/>
        <v>C16482:1</v>
      </c>
      <c r="D849" s="17" t="str">
        <f t="shared" si="35"/>
        <v>C16482 : 2-Fluorocyclohexadiene-cis,cis-1,2-diol-1-carboxylate</v>
      </c>
    </row>
    <row r="850" spans="1:4">
      <c r="A850" t="s">
        <v>12695</v>
      </c>
      <c r="B850" s="43" t="s">
        <v>17454</v>
      </c>
      <c r="C850" s="16" t="str">
        <f t="shared" si="36"/>
        <v>C16519:1</v>
      </c>
      <c r="D850" s="17" t="str">
        <f t="shared" si="35"/>
        <v>C16519 : 2-Succinyl-5-enolpyruvyl-6-hydroxy-3-cyclohexene-1-carboxylate</v>
      </c>
    </row>
    <row r="851" spans="1:4">
      <c r="A851" t="s">
        <v>12696</v>
      </c>
      <c r="B851" s="43" t="s">
        <v>17455</v>
      </c>
      <c r="C851" s="16" t="str">
        <f t="shared" si="36"/>
        <v>C16551:1</v>
      </c>
      <c r="D851" s="17" t="str">
        <f t="shared" si="35"/>
        <v>C16551 : Alcophosphamide</v>
      </c>
    </row>
    <row r="852" spans="1:4">
      <c r="A852" t="s">
        <v>12309</v>
      </c>
      <c r="B852" s="43" t="s">
        <v>17456</v>
      </c>
      <c r="C852" s="16" t="str">
        <f t="shared" si="36"/>
        <v>C16565:1</v>
      </c>
      <c r="D852" s="17" t="str">
        <f t="shared" si="35"/>
        <v>C16565 : Aminopropylcadaverine</v>
      </c>
    </row>
    <row r="853" spans="1:4">
      <c r="A853" t="s">
        <v>12697</v>
      </c>
      <c r="B853" s="43" t="s">
        <v>17457</v>
      </c>
      <c r="C853" s="16" t="str">
        <f t="shared" si="36"/>
        <v>C16586:1</v>
      </c>
      <c r="D853" s="17" t="str">
        <f t="shared" si="35"/>
        <v>C16586 : 2-Phenyl-1,3-propanediol monocarbamate</v>
      </c>
    </row>
    <row r="854" spans="1:4">
      <c r="A854" t="s">
        <v>12698</v>
      </c>
      <c r="B854" s="43" t="s">
        <v>17458</v>
      </c>
      <c r="C854" s="16" t="str">
        <f t="shared" si="36"/>
        <v>C16587:1</v>
      </c>
      <c r="D854" s="17" t="str">
        <f t="shared" si="35"/>
        <v>C16587 : 3-Carbamoyl-2-phenylpropionaldehyde</v>
      </c>
    </row>
    <row r="855" spans="1:4">
      <c r="A855" t="s">
        <v>12699</v>
      </c>
      <c r="B855" s="43" t="s">
        <v>17459</v>
      </c>
      <c r="C855" s="16" t="str">
        <f t="shared" si="36"/>
        <v>C16595:1</v>
      </c>
      <c r="D855" s="17" t="str">
        <f t="shared" si="35"/>
        <v>C16595 : 4-Hydroxy-5-phenyltetrahydro-1,3-oxazin-2-one</v>
      </c>
    </row>
    <row r="856" spans="1:4">
      <c r="A856" t="s">
        <v>12700</v>
      </c>
      <c r="B856" s="43" t="s">
        <v>17460</v>
      </c>
      <c r="C856" s="16" t="str">
        <f t="shared" si="36"/>
        <v>C16596:1</v>
      </c>
      <c r="D856" s="17" t="str">
        <f t="shared" si="35"/>
        <v>C16596 : 5-Phenyl-1,3-oxazinane-2,4-dione</v>
      </c>
    </row>
    <row r="857" spans="1:4">
      <c r="A857" t="s">
        <v>12701</v>
      </c>
      <c r="B857" s="43" t="s">
        <v>17461</v>
      </c>
      <c r="C857" s="16" t="str">
        <f t="shared" si="36"/>
        <v>C16614:1</v>
      </c>
      <c r="D857" s="17" t="str">
        <f t="shared" si="35"/>
        <v>C16614 : 6-Methylmercaptopurine</v>
      </c>
    </row>
    <row r="858" spans="1:4">
      <c r="A858" t="s">
        <v>12702</v>
      </c>
      <c r="B858" s="43" t="s">
        <v>17462</v>
      </c>
      <c r="C858" s="16" t="str">
        <f t="shared" si="36"/>
        <v>C16615:1</v>
      </c>
      <c r="D858" s="17" t="str">
        <f t="shared" si="35"/>
        <v>C16615 : 6-Methylthiopurine 5'-monophosphate ribonucleotide</v>
      </c>
    </row>
    <row r="859" spans="1:4">
      <c r="A859" t="s">
        <v>12703</v>
      </c>
      <c r="B859" s="43" t="s">
        <v>17463</v>
      </c>
      <c r="C859" s="16" t="str">
        <f t="shared" si="36"/>
        <v>C16617:1</v>
      </c>
      <c r="D859" s="17" t="str">
        <f t="shared" si="35"/>
        <v>C16617 : 6-Mercaptopurine ribonucleoside triphosphate</v>
      </c>
    </row>
    <row r="860" spans="1:4">
      <c r="A860" t="s">
        <v>12704</v>
      </c>
      <c r="B860" s="43" t="s">
        <v>17464</v>
      </c>
      <c r="C860" s="16" t="str">
        <f t="shared" si="36"/>
        <v>C16618:1</v>
      </c>
      <c r="D860" s="17" t="str">
        <f t="shared" si="35"/>
        <v>C16618 : 6-Thioxanthine 5'-monophosphate</v>
      </c>
    </row>
    <row r="861" spans="1:4">
      <c r="A861" t="s">
        <v>12705</v>
      </c>
      <c r="B861" s="43" t="s">
        <v>17465</v>
      </c>
      <c r="C861" s="16" t="str">
        <f t="shared" si="36"/>
        <v>C16619:1</v>
      </c>
      <c r="D861" s="17" t="str">
        <f t="shared" si="35"/>
        <v>C16619 : 6-Thioguanosine monophosphate</v>
      </c>
    </row>
    <row r="862" spans="1:4">
      <c r="A862" t="s">
        <v>12706</v>
      </c>
      <c r="B862" s="43" t="s">
        <v>17466</v>
      </c>
      <c r="C862" s="16" t="str">
        <f t="shared" si="36"/>
        <v>C16634:1</v>
      </c>
      <c r="D862" s="17" t="str">
        <f t="shared" si="35"/>
        <v>C16634 : 5-Fluorouridine monophosphate</v>
      </c>
    </row>
    <row r="863" spans="1:4">
      <c r="A863" t="s">
        <v>12310</v>
      </c>
      <c r="B863" s="43" t="s">
        <v>17467</v>
      </c>
      <c r="C863" s="16" t="str">
        <f t="shared" si="36"/>
        <v>C16636:1</v>
      </c>
      <c r="D863" s="17" t="str">
        <f t="shared" si="35"/>
        <v>C16636 : tRNA(Sec)</v>
      </c>
    </row>
    <row r="864" spans="1:4">
      <c r="A864" t="s">
        <v>9858</v>
      </c>
      <c r="B864" s="43" t="s">
        <v>17468</v>
      </c>
      <c r="C864" s="16" t="str">
        <f t="shared" si="36"/>
        <v>C16639:1</v>
      </c>
      <c r="D864" s="17" t="str">
        <f t="shared" si="35"/>
        <v>C16639 : beta-D-Ribofuranose</v>
      </c>
    </row>
    <row r="865" spans="1:4">
      <c r="A865" t="s">
        <v>12311</v>
      </c>
      <c r="B865" s="43" t="s">
        <v>17469</v>
      </c>
      <c r="C865" s="16" t="str">
        <f t="shared" si="36"/>
        <v>C16663:1</v>
      </c>
      <c r="D865" s="17" t="str">
        <f t="shared" si="35"/>
        <v>C16663 : Tryparedoxin</v>
      </c>
    </row>
    <row r="866" spans="1:4">
      <c r="A866" t="s">
        <v>12312</v>
      </c>
      <c r="B866" s="43" t="s">
        <v>17470</v>
      </c>
      <c r="C866" s="16" t="str">
        <f t="shared" si="36"/>
        <v>C16664:1</v>
      </c>
      <c r="D866" s="17" t="str">
        <f t="shared" si="35"/>
        <v>C16664 : Tryparedoxin disulfide</v>
      </c>
    </row>
    <row r="867" spans="1:4">
      <c r="A867" t="s">
        <v>12313</v>
      </c>
      <c r="B867" s="43" t="s">
        <v>17471</v>
      </c>
      <c r="C867" s="16" t="str">
        <f t="shared" si="36"/>
        <v>C16675:1</v>
      </c>
      <c r="D867" s="17" t="str">
        <f t="shared" si="35"/>
        <v>C16675 : 7-Aminomethyl-7-carbaguanine</v>
      </c>
    </row>
    <row r="868" spans="1:4">
      <c r="A868" t="s">
        <v>12707</v>
      </c>
      <c r="B868" s="43" t="s">
        <v>17472</v>
      </c>
      <c r="C868" s="16" t="str">
        <f t="shared" si="36"/>
        <v>C16688:1</v>
      </c>
      <c r="D868" s="17" t="str">
        <f t="shared" si="35"/>
        <v>C16688 : Sucrose 6-phosphate</v>
      </c>
    </row>
    <row r="869" spans="1:4">
      <c r="A869" t="s">
        <v>10421</v>
      </c>
      <c r="B869" s="43" t="s">
        <v>17473</v>
      </c>
      <c r="C869" s="16" t="str">
        <f t="shared" si="36"/>
        <v>C16737:1</v>
      </c>
      <c r="D869" s="17" t="str">
        <f t="shared" si="35"/>
        <v>C16737 : 5-Deoxy-D-glucuronate</v>
      </c>
    </row>
    <row r="870" spans="1:4">
      <c r="A870" t="s">
        <v>12708</v>
      </c>
      <c r="B870" s="43" t="s">
        <v>17474</v>
      </c>
      <c r="C870" s="16" t="str">
        <f t="shared" si="36"/>
        <v>C16832:1</v>
      </c>
      <c r="D870" s="17" t="str">
        <f t="shared" si="35"/>
        <v>C16832 : [Protein]-N6-[(R)-dihydrolipoyl]-L-lysine</v>
      </c>
    </row>
    <row r="871" spans="1:4">
      <c r="A871" t="s">
        <v>12314</v>
      </c>
      <c r="B871" s="43" t="s">
        <v>17475</v>
      </c>
      <c r="C871" s="16" t="str">
        <f t="shared" si="36"/>
        <v>C17023:1</v>
      </c>
      <c r="D871" s="17" t="str">
        <f t="shared" si="35"/>
        <v>C17023 : Sulfur donor</v>
      </c>
    </row>
    <row r="872" spans="1:4">
      <c r="A872" t="s">
        <v>9252</v>
      </c>
      <c r="B872" s="43" t="s">
        <v>17476</v>
      </c>
      <c r="C872" s="16" t="str">
        <f t="shared" si="36"/>
        <v>C17234:1</v>
      </c>
      <c r="D872" s="17" t="str">
        <f t="shared" si="35"/>
        <v>C17234 : 2-Aminobut-2-enoate</v>
      </c>
    </row>
    <row r="873" spans="1:4">
      <c r="A873" t="s">
        <v>17930</v>
      </c>
      <c r="B873" s="43" t="s">
        <v>17931</v>
      </c>
      <c r="C873" s="16" t="str">
        <f t="shared" si="36"/>
        <v>C17322:1</v>
      </c>
      <c r="D873" s="17" t="str">
        <f t="shared" si="35"/>
        <v>C17322 : tRNA containing 2-thiouridine</v>
      </c>
    </row>
    <row r="874" spans="1:4">
      <c r="A874" t="s">
        <v>12315</v>
      </c>
      <c r="B874" s="43" t="s">
        <v>17477</v>
      </c>
      <c r="C874" s="16" t="str">
        <f t="shared" si="36"/>
        <v>C17324:1</v>
      </c>
      <c r="D874" s="17" t="str">
        <f t="shared" si="35"/>
        <v>C17324 : tRNA adenine</v>
      </c>
    </row>
    <row r="875" spans="1:4">
      <c r="A875" t="s">
        <v>12316</v>
      </c>
      <c r="B875" s="43" t="s">
        <v>17478</v>
      </c>
      <c r="C875" s="16" t="str">
        <f t="shared" si="36"/>
        <v>C17556:1</v>
      </c>
      <c r="D875" s="17" t="str">
        <f t="shared" si="35"/>
        <v>C17556 : di-trans,poly-cis-Undecaprenyl phosphate</v>
      </c>
    </row>
    <row r="876" spans="1:4">
      <c r="A876" t="s">
        <v>9878</v>
      </c>
      <c r="B876" s="43" t="s">
        <v>17479</v>
      </c>
      <c r="C876" s="16" t="str">
        <f t="shared" si="36"/>
        <v>C18026:1</v>
      </c>
      <c r="D876" s="17" t="str">
        <f t="shared" si="35"/>
        <v>C18026 : (2S)-Ethylmalonyl-CoA</v>
      </c>
    </row>
    <row r="877" spans="1:4">
      <c r="A877" t="s">
        <v>12709</v>
      </c>
      <c r="B877" s="43" t="s">
        <v>17480</v>
      </c>
      <c r="C877" s="16" t="str">
        <f t="shared" si="36"/>
        <v>C18091:1</v>
      </c>
      <c r="D877" s="17" t="str">
        <f t="shared" si="35"/>
        <v>C18091 : Ethylnitronate</v>
      </c>
    </row>
    <row r="878" spans="1:4">
      <c r="A878" t="s">
        <v>11842</v>
      </c>
      <c r="B878" s="43" t="s">
        <v>17481</v>
      </c>
      <c r="C878" s="16" t="str">
        <f t="shared" si="36"/>
        <v>C18094:1</v>
      </c>
      <c r="D878" s="17" t="str">
        <f t="shared" si="35"/>
        <v>C18094 : UDP-L-arabinofuranose</v>
      </c>
    </row>
    <row r="879" spans="1:4">
      <c r="A879" t="s">
        <v>8962</v>
      </c>
      <c r="B879" s="43" t="s">
        <v>17482</v>
      </c>
      <c r="C879" s="16" t="str">
        <f t="shared" si="36"/>
        <v>C18096:1</v>
      </c>
      <c r="D879" s="17" t="str">
        <f t="shared" si="35"/>
        <v>C18096 : D-Allulose 6-phosphate</v>
      </c>
    </row>
    <row r="880" spans="1:4">
      <c r="A880" t="s">
        <v>12710</v>
      </c>
      <c r="B880" s="43" t="s">
        <v>17483</v>
      </c>
      <c r="C880" s="16" t="str">
        <f t="shared" si="36"/>
        <v>C18235:1</v>
      </c>
      <c r="D880" s="17" t="str">
        <f t="shared" si="35"/>
        <v>C18235 : S-(Hydroxymethyl)mycothiol</v>
      </c>
    </row>
    <row r="881" spans="1:4">
      <c r="A881" t="s">
        <v>12711</v>
      </c>
      <c r="B881" s="43" t="s">
        <v>17484</v>
      </c>
      <c r="C881" s="16" t="str">
        <f t="shared" si="36"/>
        <v>C18237:1</v>
      </c>
      <c r="D881" s="17" t="str">
        <f t="shared" si="35"/>
        <v>C18237 : Molybdoenzyme molybdenum cofactor</v>
      </c>
    </row>
    <row r="882" spans="1:4">
      <c r="A882" t="s">
        <v>12712</v>
      </c>
      <c r="B882" s="43" t="s">
        <v>17485</v>
      </c>
      <c r="C882" s="16" t="str">
        <f t="shared" si="36"/>
        <v>C18239:1</v>
      </c>
      <c r="D882" s="17" t="str">
        <f t="shared" si="35"/>
        <v>C18239 : Precursor Z</v>
      </c>
    </row>
    <row r="883" spans="1:4">
      <c r="A883" t="s">
        <v>12713</v>
      </c>
      <c r="B883" s="43" t="s">
        <v>17486</v>
      </c>
      <c r="C883" s="16" t="str">
        <f t="shared" si="36"/>
        <v>C18240:1</v>
      </c>
      <c r="D883" s="17" t="str">
        <f t="shared" si="35"/>
        <v>C18240 : Tetrachlorocatechol</v>
      </c>
    </row>
    <row r="884" spans="1:4">
      <c r="A884" t="s">
        <v>8995</v>
      </c>
      <c r="B884" s="43" t="s">
        <v>17487</v>
      </c>
      <c r="C884" s="16" t="str">
        <f t="shared" si="36"/>
        <v>C18241:1</v>
      </c>
      <c r="D884" s="17" t="str">
        <f t="shared" si="35"/>
        <v>C18241 : Tetrachloro-cis,cis-muconate</v>
      </c>
    </row>
    <row r="885" spans="1:4">
      <c r="A885" t="s">
        <v>12317</v>
      </c>
      <c r="B885" s="43" t="s">
        <v>17488</v>
      </c>
      <c r="C885" s="16" t="str">
        <f t="shared" si="36"/>
        <v>C18902:1</v>
      </c>
      <c r="D885" s="17" t="str">
        <f t="shared" si="35"/>
        <v>C18902 : Methylselenic acid</v>
      </c>
    </row>
    <row r="886" spans="1:4">
      <c r="A886" t="s">
        <v>12714</v>
      </c>
      <c r="B886" s="43" t="s">
        <v>17489</v>
      </c>
      <c r="C886" s="16" t="str">
        <f t="shared" si="36"/>
        <v>C19078:1</v>
      </c>
      <c r="D886" s="17" t="str">
        <f t="shared" si="35"/>
        <v>C19078 : tRNA with a 3' cytidine</v>
      </c>
    </row>
    <row r="887" spans="1:4">
      <c r="A887" t="s">
        <v>12715</v>
      </c>
      <c r="B887" s="43" t="s">
        <v>17490</v>
      </c>
      <c r="C887" s="16" t="str">
        <f t="shared" si="36"/>
        <v>C19080:1</v>
      </c>
      <c r="D887" s="17" t="str">
        <f t="shared" si="35"/>
        <v>C19080 : tRNA with a 3' CC end</v>
      </c>
    </row>
    <row r="888" spans="1:4">
      <c r="A888" t="s">
        <v>12716</v>
      </c>
      <c r="B888" s="43" t="s">
        <v>17491</v>
      </c>
      <c r="C888" s="16" t="str">
        <f t="shared" si="36"/>
        <v>C19085:1</v>
      </c>
      <c r="D888" s="17" t="str">
        <f t="shared" si="35"/>
        <v>C19085 : tRNA with a 3' CCA end</v>
      </c>
    </row>
    <row r="889" spans="1:4">
      <c r="A889" t="s">
        <v>12318</v>
      </c>
      <c r="B889" s="43" t="s">
        <v>17492</v>
      </c>
      <c r="C889" s="16" t="str">
        <f t="shared" si="36"/>
        <v>C19609:1</v>
      </c>
      <c r="D889" s="17" t="str">
        <f t="shared" si="35"/>
        <v>C19609 : Nickel(2+)</v>
      </c>
    </row>
    <row r="890" spans="1:4">
      <c r="A890" t="s">
        <v>12717</v>
      </c>
      <c r="B890" s="43" t="s">
        <v>17493</v>
      </c>
      <c r="C890" s="16" t="str">
        <f t="shared" si="36"/>
        <v>C19702:1</v>
      </c>
      <c r="D890" s="17" t="str">
        <f t="shared" si="35"/>
        <v>C19702 : 1-O-(2-Amino-2-deoxy-alpha-D-glucopyranosyl)-1D-myo-inositol</v>
      </c>
    </row>
    <row r="891" spans="1:4">
      <c r="A891" t="s">
        <v>12718</v>
      </c>
      <c r="B891" s="43" t="s">
        <v>17494</v>
      </c>
      <c r="C891" s="16" t="str">
        <f t="shared" si="36"/>
        <v>C19703:1</v>
      </c>
      <c r="D891" s="17" t="str">
        <f t="shared" si="35"/>
        <v>C19703 : 1-O-[2-(L-Cysteinamido)-2-deoxy-alpha-D-glucopyranosyl]-1D-myo-inositol</v>
      </c>
    </row>
    <row r="892" spans="1:4">
      <c r="A892" t="s">
        <v>12719</v>
      </c>
      <c r="B892" s="43" t="s">
        <v>17495</v>
      </c>
      <c r="C892" s="16" t="str">
        <f t="shared" si="36"/>
        <v>C19722:1</v>
      </c>
      <c r="D892" s="17" t="str">
        <f t="shared" si="35"/>
        <v>C19722 : [tRNA(Ile2)]-cytidine34</v>
      </c>
    </row>
    <row r="893" spans="1:4">
      <c r="A893" t="s">
        <v>12720</v>
      </c>
      <c r="B893" s="43" t="s">
        <v>17496</v>
      </c>
      <c r="C893" s="16" t="str">
        <f t="shared" si="36"/>
        <v>C19723:1</v>
      </c>
      <c r="D893" s="17" t="str">
        <f t="shared" si="35"/>
        <v>C19723 : [tRNA(Ile2)]-lysidine34</v>
      </c>
    </row>
    <row r="894" spans="1:4">
      <c r="A894" t="s">
        <v>12721</v>
      </c>
      <c r="B894" s="43" t="s">
        <v>17497</v>
      </c>
      <c r="C894" s="16" t="str">
        <f t="shared" si="36"/>
        <v>C19761:1</v>
      </c>
      <c r="D894" s="17" t="str">
        <f t="shared" si="35"/>
        <v>C19761 : 1-O-(2-Acetamido-2-deoxy-alpha-D-glucopyranosyl)-1D-myo-inositol 3-phosphate</v>
      </c>
    </row>
    <row r="895" spans="1:4">
      <c r="A895" t="s">
        <v>12722</v>
      </c>
      <c r="B895" s="43" t="s">
        <v>17498</v>
      </c>
      <c r="C895" s="16" t="str">
        <f t="shared" si="36"/>
        <v>C19784:1</v>
      </c>
      <c r="D895" s="17" t="str">
        <f t="shared" si="35"/>
        <v>C19784 : 1-O-(2-Acetamido-2-deoxy-alpha-D-glucopyranosyl)-1D-myo-inositol</v>
      </c>
    </row>
    <row r="896" spans="1:4">
      <c r="A896" t="s">
        <v>12319</v>
      </c>
      <c r="B896" s="43" t="s">
        <v>17499</v>
      </c>
      <c r="C896" s="16" t="str">
        <f t="shared" si="36"/>
        <v>C19791:1</v>
      </c>
      <c r="D896" s="17" t="str">
        <f t="shared" si="35"/>
        <v>C19791 : 2-O-(alpha-D-Glucopyranosyl)-3-phospho-D-glycerate</v>
      </c>
    </row>
    <row r="897" spans="1:4">
      <c r="A897" t="s">
        <v>12320</v>
      </c>
      <c r="B897" s="43" t="s">
        <v>17500</v>
      </c>
      <c r="C897" s="16" t="str">
        <f t="shared" si="36"/>
        <v>C19803:1</v>
      </c>
      <c r="D897" s="17" t="str">
        <f t="shared" si="35"/>
        <v>C19803 : [Protein]-L-threonine</v>
      </c>
    </row>
    <row r="898" spans="1:4">
      <c r="A898" t="s">
        <v>12723</v>
      </c>
      <c r="B898" s="43" t="s">
        <v>17501</v>
      </c>
      <c r="C898" s="16" t="str">
        <f t="shared" si="36"/>
        <v>C19847:1</v>
      </c>
      <c r="D898" s="17" t="str">
        <f t="shared" si="35"/>
        <v>C19847 : Demethylmenaquinol</v>
      </c>
    </row>
    <row r="899" spans="1:4">
      <c r="A899" t="s">
        <v>12724</v>
      </c>
      <c r="B899" s="43" t="s">
        <v>17502</v>
      </c>
      <c r="C899" s="16" t="str">
        <f t="shared" si="36"/>
        <v>C19871:1</v>
      </c>
      <c r="D899" s="17" t="str">
        <f t="shared" si="35"/>
        <v>C19871 : Guanylyl molybdenum cofactor</v>
      </c>
    </row>
    <row r="900" spans="1:4">
      <c r="A900" t="s">
        <v>12725</v>
      </c>
      <c r="B900" s="43" t="s">
        <v>17503</v>
      </c>
      <c r="C900" s="16" t="str">
        <f t="shared" si="36"/>
        <v>C20237:1</v>
      </c>
      <c r="D900" s="17" t="str">
        <f t="shared" si="35"/>
        <v>C20237 : alpha-Maltose 1-phosphate</v>
      </c>
    </row>
    <row r="901" spans="1:4">
      <c r="A901" t="s">
        <v>9879</v>
      </c>
      <c r="B901" s="43" t="s">
        <v>17504</v>
      </c>
      <c r="C901" s="16" t="str">
        <f t="shared" si="36"/>
        <v>C20238:1</v>
      </c>
      <c r="D901" s="17" t="str">
        <f t="shared" si="35"/>
        <v>C20238 : (2R)-Ethylmalonyl-CoA</v>
      </c>
    </row>
    <row r="902" spans="1:4">
      <c r="A902" t="s">
        <v>12321</v>
      </c>
      <c r="B902" s="43" t="s">
        <v>17505</v>
      </c>
      <c r="C902" s="16" t="str">
        <f t="shared" si="36"/>
        <v>C20246:1</v>
      </c>
      <c r="D902" s="17" t="str">
        <f t="shared" si="35"/>
        <v>C20246 : 2-[(2R,5Z)-2-Carboxy-4-methylthiazol-5(2H)-ylidene]ethyl phosphate</v>
      </c>
    </row>
    <row r="903" spans="1:4">
      <c r="A903" t="s">
        <v>12322</v>
      </c>
      <c r="B903" s="43" t="s">
        <v>17506</v>
      </c>
      <c r="C903" s="16" t="str">
        <f t="shared" si="36"/>
        <v>C20247:1</v>
      </c>
      <c r="D903" s="17" t="str">
        <f t="shared" si="35"/>
        <v>C20247 : 2-(2-Carboxy-4-methylthiazol-5-yl)ethyl phosphate</v>
      </c>
    </row>
    <row r="904" spans="1:4">
      <c r="A904" t="s">
        <v>12726</v>
      </c>
      <c r="B904" s="43" t="s">
        <v>17507</v>
      </c>
      <c r="C904" s="16" t="str">
        <f t="shared" si="36"/>
        <v>C20258:1</v>
      </c>
      <c r="D904" s="17" t="str">
        <f t="shared" ref="D904:D967" si="37">CONCATENATE(A904," : ",B904)</f>
        <v>C20258 : (2S,4S)-4-Hydroxy-2,3,4,5-tetrahydrodipicolinate</v>
      </c>
    </row>
    <row r="905" spans="1:4">
      <c r="A905" t="s">
        <v>12727</v>
      </c>
      <c r="B905" s="43" t="s">
        <v>17508</v>
      </c>
      <c r="C905" s="16" t="str">
        <f t="shared" si="36"/>
        <v>C20352:1</v>
      </c>
      <c r="D905" s="17" t="str">
        <f t="shared" si="37"/>
        <v>C20352 : trans,octacis-Decaprenylphospho-beta-D-ribofuranose 5-phosphate</v>
      </c>
    </row>
    <row r="906" spans="1:4">
      <c r="A906" t="s">
        <v>12728</v>
      </c>
      <c r="B906" s="43" t="s">
        <v>17509</v>
      </c>
      <c r="C906" s="16" t="str">
        <f t="shared" si="36"/>
        <v>C20369:1</v>
      </c>
      <c r="D906" s="17" t="str">
        <f t="shared" si="37"/>
        <v>C20369 : trans,octacis-Decaprenylphospho-beta-D-erythro-pentofuranosid-2-ulose</v>
      </c>
    </row>
    <row r="907" spans="1:4">
      <c r="A907" t="s">
        <v>12729</v>
      </c>
      <c r="B907" s="43" t="s">
        <v>17510</v>
      </c>
      <c r="C907" s="16" t="str">
        <f t="shared" si="36"/>
        <v>C20370:1</v>
      </c>
      <c r="D907" s="17" t="str">
        <f t="shared" si="37"/>
        <v>C20370 : trans,octacis-Decaprenylphospho-beta-D-arabinofuranose</v>
      </c>
    </row>
    <row r="908" spans="1:4">
      <c r="A908" t="s">
        <v>12730</v>
      </c>
      <c r="B908" s="43" t="s">
        <v>17511</v>
      </c>
      <c r="C908" s="16" t="str">
        <f t="shared" si="36"/>
        <v>C20372:1</v>
      </c>
      <c r="D908" s="17" t="str">
        <f t="shared" si="37"/>
        <v>C20372 : 3-Ketoglutaryl-[acp] methyl ester</v>
      </c>
    </row>
    <row r="909" spans="1:4">
      <c r="A909" t="s">
        <v>12731</v>
      </c>
      <c r="B909" s="43" t="s">
        <v>17512</v>
      </c>
      <c r="C909" s="16" t="str">
        <f t="shared" ref="C909:C972" si="38">CONCATENATE(A909,":","1")</f>
        <v>C20373:1</v>
      </c>
      <c r="D909" s="17" t="str">
        <f t="shared" si="37"/>
        <v>C20373 : 3-Hydroxyglutaryl-[acp] methyl ester</v>
      </c>
    </row>
    <row r="910" spans="1:4">
      <c r="A910" t="s">
        <v>12732</v>
      </c>
      <c r="B910" s="43" t="s">
        <v>17513</v>
      </c>
      <c r="C910" s="16" t="str">
        <f t="shared" si="38"/>
        <v>C20376:1</v>
      </c>
      <c r="D910" s="17" t="str">
        <f t="shared" si="37"/>
        <v>C20376 : 3-Ketopimeloyl-[acp] methyl ester</v>
      </c>
    </row>
    <row r="911" spans="1:4">
      <c r="A911" t="s">
        <v>12733</v>
      </c>
      <c r="B911" s="43" t="s">
        <v>17514</v>
      </c>
      <c r="C911" s="16" t="str">
        <f t="shared" si="38"/>
        <v>C20377:1</v>
      </c>
      <c r="D911" s="17" t="str">
        <f t="shared" si="37"/>
        <v>C20377 : 3-Hydroxypimeloyl-[acp] methyl ester</v>
      </c>
    </row>
    <row r="912" spans="1:4">
      <c r="A912" t="s">
        <v>12734</v>
      </c>
      <c r="B912" s="43" t="s">
        <v>17515</v>
      </c>
      <c r="C912" s="16" t="str">
        <f t="shared" si="38"/>
        <v>C20446:1</v>
      </c>
      <c r="D912" s="17" t="str">
        <f t="shared" si="37"/>
        <v>C20446 : tRNA 7-aminomethyl-7-carbaguanine</v>
      </c>
    </row>
    <row r="913" spans="1:4">
      <c r="A913" t="s">
        <v>12735</v>
      </c>
      <c r="B913" s="43" t="s">
        <v>17516</v>
      </c>
      <c r="C913" s="16" t="str">
        <f t="shared" si="38"/>
        <v>C20451:1</v>
      </c>
      <c r="D913" s="17" t="str">
        <f t="shared" si="37"/>
        <v>C20451 : tRNA hypoxanthine</v>
      </c>
    </row>
    <row r="914" spans="1:4">
      <c r="A914" t="s">
        <v>12323</v>
      </c>
      <c r="B914" s="43" t="s">
        <v>17517</v>
      </c>
      <c r="C914" s="16" t="str">
        <f t="shared" si="38"/>
        <v>C20565:1</v>
      </c>
      <c r="D914" s="17" t="str">
        <f t="shared" si="37"/>
        <v>C20565 : Cyclic di-3',5'-adenylate</v>
      </c>
    </row>
    <row r="915" spans="1:4">
      <c r="A915" t="s">
        <v>12736</v>
      </c>
      <c r="B915" s="43" t="s">
        <v>17518</v>
      </c>
      <c r="C915" s="16" t="str">
        <f t="shared" si="38"/>
        <v>C20641:1</v>
      </c>
      <c r="D915" s="17" t="str">
        <f t="shared" si="37"/>
        <v>C20641 : L-Threonylcarbamoyladenylate</v>
      </c>
    </row>
    <row r="916" spans="1:4">
      <c r="A916" t="s">
        <v>12324</v>
      </c>
      <c r="B916" s="43" t="s">
        <v>17519</v>
      </c>
      <c r="C916" s="16" t="str">
        <f t="shared" si="38"/>
        <v>C20648:1</v>
      </c>
      <c r="D916" s="17" t="str">
        <f t="shared" si="37"/>
        <v>C20648 : Adenine in rRNA</v>
      </c>
    </row>
    <row r="917" spans="1:4">
      <c r="A917" t="s">
        <v>12325</v>
      </c>
      <c r="B917" s="43" t="s">
        <v>17520</v>
      </c>
      <c r="C917" s="16" t="str">
        <f t="shared" si="38"/>
        <v>C20658:1</v>
      </c>
      <c r="D917" s="17" t="str">
        <f t="shared" si="37"/>
        <v>C20658 : O-Acetyl-ADP-ribose</v>
      </c>
    </row>
    <row r="918" spans="1:4">
      <c r="A918" t="s">
        <v>12326</v>
      </c>
      <c r="B918" s="43" t="s">
        <v>17521</v>
      </c>
      <c r="C918" s="16" t="str">
        <f t="shared" si="38"/>
        <v>C20722:1</v>
      </c>
      <c r="D918" s="17" t="str">
        <f t="shared" si="37"/>
        <v>C20722 : 3-O-(alpha-D-Mannosyl)-L-threonyl-[protein]</v>
      </c>
    </row>
    <row r="919" spans="1:4">
      <c r="A919" t="s">
        <v>12327</v>
      </c>
      <c r="B919" s="43" t="s">
        <v>17522</v>
      </c>
      <c r="C919" s="16" t="str">
        <f t="shared" si="38"/>
        <v>C20743:1</v>
      </c>
      <c r="D919" s="17" t="str">
        <f t="shared" si="37"/>
        <v>C20743 : Protein N6-acetyl-L-lysine</v>
      </c>
    </row>
    <row r="920" spans="1:4">
      <c r="A920" t="s">
        <v>12328</v>
      </c>
      <c r="B920" s="43" t="s">
        <v>17523</v>
      </c>
      <c r="C920" s="16" t="str">
        <f t="shared" si="38"/>
        <v>C20751:1</v>
      </c>
      <c r="D920" s="17" t="str">
        <f t="shared" si="37"/>
        <v>C20751 : N6-L-Threonylcarbamoyladenine in tRNA</v>
      </c>
    </row>
    <row r="921" spans="1:4">
      <c r="A921" t="s">
        <v>12737</v>
      </c>
      <c r="B921" s="43" t="s">
        <v>17524</v>
      </c>
      <c r="C921" s="16" t="str">
        <f t="shared" si="38"/>
        <v>C20753:1</v>
      </c>
      <c r="D921" s="17" t="str">
        <f t="shared" si="37"/>
        <v>C20753 : 2-Methylthio-N6-dimethylallyladenine in tRNA</v>
      </c>
    </row>
    <row r="922" spans="1:4">
      <c r="A922" t="s">
        <v>12738</v>
      </c>
      <c r="B922" s="43" t="s">
        <v>17525</v>
      </c>
      <c r="C922" s="16" t="str">
        <f t="shared" si="38"/>
        <v>C20755:1</v>
      </c>
      <c r="D922" s="17" t="str">
        <f t="shared" si="37"/>
        <v>C20755 : 2-Thio-N6-dimethylallyladenine in tRNA</v>
      </c>
    </row>
    <row r="923" spans="1:4">
      <c r="A923" t="s">
        <v>12329</v>
      </c>
      <c r="B923" s="43" t="s">
        <v>17526</v>
      </c>
      <c r="C923" s="16" t="str">
        <f t="shared" si="38"/>
        <v>C20796:1</v>
      </c>
      <c r="D923" s="17" t="str">
        <f t="shared" si="37"/>
        <v>C20796 : N6-Dimethyladenine in rRNA</v>
      </c>
    </row>
    <row r="924" spans="1:4">
      <c r="A924" t="s">
        <v>12739</v>
      </c>
      <c r="B924" s="43" t="s">
        <v>17527</v>
      </c>
      <c r="C924" s="16" t="str">
        <f t="shared" si="38"/>
        <v>C20858:1</v>
      </c>
      <c r="D924" s="17" t="str">
        <f t="shared" si="37"/>
        <v>C20858 : Protein N5-methyl-L-glutamine</v>
      </c>
    </row>
    <row r="925" spans="1:4">
      <c r="A925" t="s">
        <v>12740</v>
      </c>
      <c r="B925" s="43" t="s">
        <v>17528</v>
      </c>
      <c r="C925" s="16" t="str">
        <f t="shared" si="38"/>
        <v>C20864:1</v>
      </c>
      <c r="D925" s="17" t="str">
        <f t="shared" si="37"/>
        <v>C20864 : 5'-Triphospho-[mRNA]</v>
      </c>
    </row>
    <row r="926" spans="1:4">
      <c r="A926" t="s">
        <v>9519</v>
      </c>
      <c r="B926" s="43" t="s">
        <v>17529</v>
      </c>
      <c r="C926" s="16" t="str">
        <f t="shared" si="38"/>
        <v>C20904:1</v>
      </c>
      <c r="D926" s="17" t="str">
        <f t="shared" si="37"/>
        <v>C20904 : 2-Iminopropanoate</v>
      </c>
    </row>
    <row r="927" spans="1:4">
      <c r="A927" t="s">
        <v>9253</v>
      </c>
      <c r="B927" s="43" t="s">
        <v>17530</v>
      </c>
      <c r="C927" s="16" t="str">
        <f t="shared" si="38"/>
        <v>C20905:1</v>
      </c>
      <c r="D927" s="17" t="str">
        <f t="shared" si="37"/>
        <v>C20905 : 2-Iminobutanoate</v>
      </c>
    </row>
    <row r="928" spans="1:4">
      <c r="A928" t="s">
        <v>12330</v>
      </c>
      <c r="B928" s="43" t="s">
        <v>17531</v>
      </c>
      <c r="C928" s="16" t="str">
        <f t="shared" si="38"/>
        <v>C20969:1</v>
      </c>
      <c r="D928" s="17" t="str">
        <f t="shared" si="37"/>
        <v>C20969 : Carboxyphosphate</v>
      </c>
    </row>
    <row r="929" spans="1:4">
      <c r="A929" t="s">
        <v>12331</v>
      </c>
      <c r="B929" s="43" t="s">
        <v>17532</v>
      </c>
      <c r="C929" s="16" t="str">
        <f t="shared" si="38"/>
        <v>C21015:1</v>
      </c>
      <c r="D929" s="17" t="str">
        <f t="shared" si="37"/>
        <v>C21015 : gamma-L-Glutamyl-L-2-aminobutyrate</v>
      </c>
    </row>
    <row r="930" spans="1:4">
      <c r="A930" t="s">
        <v>9242</v>
      </c>
      <c r="B930" s="43" t="s">
        <v>17533</v>
      </c>
      <c r="C930" s="16" t="str">
        <f t="shared" si="38"/>
        <v>C21031:1</v>
      </c>
      <c r="D930" s="17" t="str">
        <f t="shared" si="37"/>
        <v>C21031 : 5-Hydroxymethylcytosine in DNA</v>
      </c>
    </row>
    <row r="931" spans="1:4">
      <c r="A931" t="s">
        <v>12332</v>
      </c>
      <c r="B931" s="43" t="s">
        <v>17534</v>
      </c>
      <c r="C931" s="16" t="str">
        <f t="shared" si="38"/>
        <v>C21153:1</v>
      </c>
      <c r="D931" s="17" t="str">
        <f t="shared" si="37"/>
        <v>C21153 : Adenosylcobalamin 5'-phosphate</v>
      </c>
    </row>
    <row r="932" spans="1:4">
      <c r="A932" t="s">
        <v>12741</v>
      </c>
      <c r="B932" s="43" t="s">
        <v>17535</v>
      </c>
      <c r="C932" s="16" t="str">
        <f t="shared" si="38"/>
        <v>C21166:1</v>
      </c>
      <c r="D932" s="17" t="str">
        <f t="shared" si="37"/>
        <v>C21166 : 4-Hydroxy-3-methylbenzaldehyde</v>
      </c>
    </row>
    <row r="933" spans="1:4">
      <c r="A933" t="s">
        <v>12742</v>
      </c>
      <c r="B933" s="43" t="s">
        <v>17536</v>
      </c>
      <c r="C933" s="16" t="str">
        <f t="shared" si="38"/>
        <v>C21167:1</v>
      </c>
      <c r="D933" s="17" t="str">
        <f t="shared" si="37"/>
        <v>C21167 : 4-Hydroxy-3-methylbenzoate</v>
      </c>
    </row>
    <row r="934" spans="1:4">
      <c r="A934" t="s">
        <v>12333</v>
      </c>
      <c r="B934" s="43" t="s">
        <v>17537</v>
      </c>
      <c r="C934" s="16" t="str">
        <f t="shared" si="38"/>
        <v>C21177:1</v>
      </c>
      <c r="D934" s="17" t="str">
        <f t="shared" si="37"/>
        <v>C21177 : Prokaryotic ubiquitin-like protein</v>
      </c>
    </row>
    <row r="935" spans="1:4">
      <c r="A935" t="s">
        <v>12334</v>
      </c>
      <c r="B935" s="43" t="s">
        <v>17538</v>
      </c>
      <c r="C935" s="16" t="str">
        <f t="shared" si="38"/>
        <v>C21178:1</v>
      </c>
      <c r="D935" s="17" t="str">
        <f t="shared" si="37"/>
        <v>C21178 : Pupylated protein</v>
      </c>
    </row>
    <row r="936" spans="1:4">
      <c r="A936" t="s">
        <v>12743</v>
      </c>
      <c r="B936" s="43" t="s">
        <v>17539</v>
      </c>
      <c r="C936" s="16" t="str">
        <f t="shared" si="38"/>
        <v>C21179:1</v>
      </c>
      <c r="D936" s="17" t="str">
        <f t="shared" si="37"/>
        <v>C21179 : [Prokaryotic ubiquitin-like protein]-L-glutamine</v>
      </c>
    </row>
    <row r="937" spans="1:4">
      <c r="A937" t="s">
        <v>12744</v>
      </c>
      <c r="B937" s="43" t="s">
        <v>17540</v>
      </c>
      <c r="C937" s="16" t="str">
        <f t="shared" si="38"/>
        <v>C21284:1</v>
      </c>
      <c r="D937" s="17" t="str">
        <f t="shared" si="37"/>
        <v>C21284 : Fe-coproporphyrin III</v>
      </c>
    </row>
    <row r="938" spans="1:4">
      <c r="A938" t="s">
        <v>12745</v>
      </c>
      <c r="B938" s="43" t="s">
        <v>17541</v>
      </c>
      <c r="C938" s="16" t="str">
        <f t="shared" si="38"/>
        <v>C21310:1</v>
      </c>
      <c r="D938" s="17" t="str">
        <f t="shared" si="37"/>
        <v>C21310 : (8S)-3',8-Cyclo-7,8-dihydroguanosine 5'-triphosphate</v>
      </c>
    </row>
    <row r="939" spans="1:4">
      <c r="A939" t="s">
        <v>12335</v>
      </c>
      <c r="B939" s="43" t="s">
        <v>17542</v>
      </c>
      <c r="C939" s="16" t="str">
        <f t="shared" si="38"/>
        <v>C21440:1</v>
      </c>
      <c r="D939" s="17" t="str">
        <f t="shared" si="37"/>
        <v>C21440 : [Protein]-S-sulfanyl-L-cysteine</v>
      </c>
    </row>
    <row r="940" spans="1:4">
      <c r="A940" t="s">
        <v>12336</v>
      </c>
      <c r="B940" s="43" t="s">
        <v>17543</v>
      </c>
      <c r="C940" s="16" t="str">
        <f t="shared" si="38"/>
        <v>C21606:1</v>
      </c>
      <c r="D940" s="17" t="str">
        <f t="shared" si="37"/>
        <v>C21606 : 2-O-(alpha-D-Mannosyl)-1-phosphatidyl-1D-myo-inositol</v>
      </c>
    </row>
    <row r="941" spans="1:4">
      <c r="A941" t="s">
        <v>12337</v>
      </c>
      <c r="B941" s="43" t="s">
        <v>17544</v>
      </c>
      <c r="C941" s="16" t="str">
        <f t="shared" si="38"/>
        <v>C21607:1</v>
      </c>
      <c r="D941" s="17" t="str">
        <f t="shared" si="37"/>
        <v>C21607 : 2,6-Di-O-alpha-D-mannosyl-1-phosphatidyl-1D-myo-inositol</v>
      </c>
    </row>
    <row r="942" spans="1:4">
      <c r="A942" t="s">
        <v>12338</v>
      </c>
      <c r="B942" s="43" t="s">
        <v>17545</v>
      </c>
      <c r="C942" s="16" t="str">
        <f t="shared" si="38"/>
        <v>C21608:1</v>
      </c>
      <c r="D942" s="17" t="str">
        <f t="shared" si="37"/>
        <v>C21608 : 2-O-(6-O-Acyl-alpha-D-mannosyl)-6-O-alpha-D-mannosyl-1-phosphatidyl-1D-myo-inositol</v>
      </c>
    </row>
    <row r="943" spans="1:4">
      <c r="A943" t="s">
        <v>12339</v>
      </c>
      <c r="B943" s="43" t="s">
        <v>17546</v>
      </c>
      <c r="C943" s="16" t="str">
        <f t="shared" si="38"/>
        <v>C21609:1</v>
      </c>
      <c r="D943" s="17" t="str">
        <f t="shared" si="37"/>
        <v>C21609 : 2-O-(6-O-Acyl-alpha-D-mannosyl)-1-phosphatidyl-1D-myo-inositol</v>
      </c>
    </row>
    <row r="944" spans="1:4">
      <c r="A944" t="s">
        <v>12340</v>
      </c>
      <c r="B944" s="43" t="s">
        <v>17547</v>
      </c>
      <c r="C944" s="16" t="str">
        <f t="shared" si="38"/>
        <v>C21748:1</v>
      </c>
      <c r="D944" s="17" t="str">
        <f t="shared" si="37"/>
        <v>C21748 : 5-Fluorouridine diphosphate</v>
      </c>
    </row>
    <row r="945" spans="1:4">
      <c r="A945" t="s">
        <v>12341</v>
      </c>
      <c r="B945" s="43" t="s">
        <v>17548</v>
      </c>
      <c r="C945" s="16" t="str">
        <f t="shared" si="38"/>
        <v>C21749:1</v>
      </c>
      <c r="D945" s="17" t="str">
        <f t="shared" si="37"/>
        <v>C21749 : 5-Fluorouridine triphosphate</v>
      </c>
    </row>
    <row r="946" spans="1:4">
      <c r="A946" t="s">
        <v>12342</v>
      </c>
      <c r="B946" s="43" t="s">
        <v>17549</v>
      </c>
      <c r="C946" s="16" t="str">
        <f t="shared" si="38"/>
        <v>C21750:1</v>
      </c>
      <c r="D946" s="17" t="str">
        <f t="shared" si="37"/>
        <v>C21750 : 5-Fluorodeoxyuridine diphosphate</v>
      </c>
    </row>
    <row r="947" spans="1:4">
      <c r="A947" t="s">
        <v>12343</v>
      </c>
      <c r="B947" s="43" t="s">
        <v>17550</v>
      </c>
      <c r="C947" s="16" t="str">
        <f t="shared" si="38"/>
        <v>C21751:1</v>
      </c>
      <c r="D947" s="17" t="str">
        <f t="shared" si="37"/>
        <v>C21751 : 5-Fluorodeoxyuridine triphosphate</v>
      </c>
    </row>
    <row r="948" spans="1:4">
      <c r="A948" t="s">
        <v>12746</v>
      </c>
      <c r="B948" s="43" t="s">
        <v>17551</v>
      </c>
      <c r="C948" s="16" t="str">
        <f t="shared" si="38"/>
        <v>C21767:1</v>
      </c>
      <c r="D948" s="17" t="str">
        <f t="shared" si="37"/>
        <v>C21767 : Pyridinium-3,5-bisthiocarboxylate mononucleotide</v>
      </c>
    </row>
    <row r="949" spans="1:4">
      <c r="A949" t="s">
        <v>8933</v>
      </c>
      <c r="B949" s="43" t="s">
        <v>17552</v>
      </c>
      <c r="C949" s="16" t="str">
        <f t="shared" si="38"/>
        <v>C21769:1</v>
      </c>
      <c r="D949" s="17" t="str">
        <f t="shared" si="37"/>
        <v>C21769 : Ni(II)-pyridinium-3,5-bisthiocarboxylate mononucleotide</v>
      </c>
    </row>
    <row r="950" spans="1:4">
      <c r="A950" t="s">
        <v>12344</v>
      </c>
      <c r="B950" s="43" t="s">
        <v>17553</v>
      </c>
      <c r="C950" s="16" t="str">
        <f t="shared" si="38"/>
        <v>C22150:1</v>
      </c>
      <c r="D950" s="17" t="str">
        <f t="shared" si="37"/>
        <v>C22150 : Reduced [2Fe-2S] ferredoxin</v>
      </c>
    </row>
    <row r="951" spans="1:4">
      <c r="A951" t="s">
        <v>12769</v>
      </c>
      <c r="B951" s="43" t="s">
        <v>17554</v>
      </c>
      <c r="C951" s="16" t="str">
        <f t="shared" si="38"/>
        <v>C22151:1</v>
      </c>
      <c r="D951" s="17" t="str">
        <f t="shared" si="37"/>
        <v>C22151 : Oxidized [2Fe-2S] ferredoxin</v>
      </c>
    </row>
    <row r="952" spans="1:4">
      <c r="A952" t="s">
        <v>12345</v>
      </c>
      <c r="B952" s="43" t="s">
        <v>17555</v>
      </c>
      <c r="C952" s="16" t="str">
        <f t="shared" si="38"/>
        <v>C22154:1</v>
      </c>
      <c r="D952" s="17" t="str">
        <f t="shared" si="37"/>
        <v>C22154 : [Fe-S] cluster scaffold protein carrying a [4Fe-4S]2+ cluster</v>
      </c>
    </row>
    <row r="953" spans="1:4">
      <c r="A953" t="s">
        <v>12346</v>
      </c>
      <c r="B953" s="43" t="s">
        <v>17556</v>
      </c>
      <c r="C953" s="16" t="str">
        <f t="shared" si="38"/>
        <v>C22155:1</v>
      </c>
      <c r="D953" s="17" t="str">
        <f t="shared" si="37"/>
        <v>C22155 : [Fe-S] cluster scaffold protein</v>
      </c>
    </row>
    <row r="954" spans="1:4">
      <c r="A954" t="s">
        <v>12347</v>
      </c>
      <c r="B954" s="43" t="s">
        <v>17557</v>
      </c>
      <c r="C954" s="16" t="str">
        <f t="shared" si="38"/>
        <v>C22157:1</v>
      </c>
      <c r="D954" s="17" t="str">
        <f t="shared" si="37"/>
        <v>C22157 : Glycine cleavage system H</v>
      </c>
    </row>
    <row r="955" spans="1:4">
      <c r="A955" t="s">
        <v>12348</v>
      </c>
      <c r="B955" s="43" t="s">
        <v>17558</v>
      </c>
      <c r="C955" s="16" t="str">
        <f t="shared" si="38"/>
        <v>C22158:1</v>
      </c>
      <c r="D955" s="17" t="str">
        <f t="shared" si="37"/>
        <v>C22158 : Lipoyl-carrier protein E2</v>
      </c>
    </row>
    <row r="956" spans="1:4">
      <c r="A956" t="s">
        <v>12747</v>
      </c>
      <c r="B956" s="43" t="s">
        <v>17559</v>
      </c>
      <c r="C956" s="16" t="str">
        <f t="shared" si="38"/>
        <v>C22159:1</v>
      </c>
      <c r="D956" s="17" t="str">
        <f t="shared" si="37"/>
        <v>C22159 : [Glycine cleavage system H]-N6-octanoyl-L-lysine</v>
      </c>
    </row>
    <row r="957" spans="1:4">
      <c r="A957" t="s">
        <v>12748</v>
      </c>
      <c r="B957" s="43" t="s">
        <v>17560</v>
      </c>
      <c r="C957" s="16" t="str">
        <f t="shared" si="38"/>
        <v>C22160:1</v>
      </c>
      <c r="D957" s="17" t="str">
        <f t="shared" si="37"/>
        <v>C22160 : [Lipoyl-carrier protein E2]-N6-octanoyl-L-lysine</v>
      </c>
    </row>
    <row r="958" spans="1:4">
      <c r="A958" t="s">
        <v>12749</v>
      </c>
      <c r="B958" s="43" t="s">
        <v>17561</v>
      </c>
      <c r="C958" s="16" t="str">
        <f t="shared" si="38"/>
        <v>C22173:1</v>
      </c>
      <c r="D958" s="17" t="str">
        <f t="shared" si="37"/>
        <v>C22173 : Harderoheme III</v>
      </c>
    </row>
    <row r="959" spans="1:4">
      <c r="A959" t="s">
        <v>12750</v>
      </c>
      <c r="B959" s="43" t="s">
        <v>17562</v>
      </c>
      <c r="C959" s="16" t="str">
        <f t="shared" si="38"/>
        <v>C22328:1</v>
      </c>
      <c r="D959" s="17" t="str">
        <f t="shared" si="37"/>
        <v>C22328 : Heme I</v>
      </c>
    </row>
    <row r="960" spans="1:4">
      <c r="A960" t="s">
        <v>9658</v>
      </c>
      <c r="B960" s="43" t="s">
        <v>17563</v>
      </c>
      <c r="C960" s="16" t="str">
        <f t="shared" si="38"/>
        <v>C22329:1</v>
      </c>
      <c r="D960" s="17" t="str">
        <f t="shared" si="37"/>
        <v>C22329 : Hydroxyheme I</v>
      </c>
    </row>
    <row r="961" spans="1:4">
      <c r="A961" t="s">
        <v>8770</v>
      </c>
      <c r="B961" s="43" t="s">
        <v>17564</v>
      </c>
      <c r="C961" s="16" t="str">
        <f t="shared" si="38"/>
        <v>C22395:1</v>
      </c>
      <c r="D961" s="17" t="str">
        <f t="shared" si="37"/>
        <v>C22395 : N6-Succino-2-amino-2'-deoxyadenylate</v>
      </c>
    </row>
    <row r="962" spans="1:4">
      <c r="A962" t="s">
        <v>12751</v>
      </c>
      <c r="B962" s="43" t="s">
        <v>17565</v>
      </c>
      <c r="C962" s="16" t="str">
        <f t="shared" si="38"/>
        <v>C22438:1</v>
      </c>
      <c r="D962" s="17" t="str">
        <f t="shared" si="37"/>
        <v>C22438 : 3,5-Dehydroshikimate</v>
      </c>
    </row>
    <row r="963" spans="1:4">
      <c r="A963" t="s">
        <v>12752</v>
      </c>
      <c r="B963" s="43" t="s">
        <v>17566</v>
      </c>
      <c r="C963" s="16" t="str">
        <f t="shared" si="38"/>
        <v>C22441:1</v>
      </c>
      <c r="D963" s="17" t="str">
        <f t="shared" si="37"/>
        <v>C22441 : dZMP</v>
      </c>
    </row>
    <row r="964" spans="1:4">
      <c r="A964" t="s">
        <v>12753</v>
      </c>
      <c r="B964" s="43" t="s">
        <v>17567</v>
      </c>
      <c r="C964" s="16" t="str">
        <f t="shared" si="38"/>
        <v>C22442:1</v>
      </c>
      <c r="D964" s="17" t="str">
        <f t="shared" si="37"/>
        <v>C22442 : dZDP</v>
      </c>
    </row>
    <row r="965" spans="1:4">
      <c r="A965" t="s">
        <v>12754</v>
      </c>
      <c r="B965" s="43" t="s">
        <v>17568</v>
      </c>
      <c r="C965" s="16" t="str">
        <f t="shared" si="38"/>
        <v>C22443:1</v>
      </c>
      <c r="D965" s="17" t="str">
        <f t="shared" si="37"/>
        <v>C22443 : dZTP</v>
      </c>
    </row>
    <row r="966" spans="1:4">
      <c r="A966" t="s">
        <v>8755</v>
      </c>
      <c r="B966" s="43" t="s">
        <v>17569</v>
      </c>
      <c r="C966" s="16" t="str">
        <f t="shared" si="38"/>
        <v>C22458:1</v>
      </c>
      <c r="D966" s="17" t="str">
        <f t="shared" si="37"/>
        <v>C22458 : 8-Amino-7-(carboxyamino)nonanoate</v>
      </c>
    </row>
    <row r="967" spans="1:4">
      <c r="A967" t="s">
        <v>9103</v>
      </c>
      <c r="B967" s="43" t="s">
        <v>16769</v>
      </c>
      <c r="C967" s="16" t="str">
        <f t="shared" si="38"/>
        <v>G00275:1</v>
      </c>
      <c r="D967" s="17" t="str">
        <f t="shared" si="37"/>
        <v>G00275 : Maltose</v>
      </c>
    </row>
    <row r="968" spans="1:4">
      <c r="A968" t="s">
        <v>9104</v>
      </c>
      <c r="B968" s="43" t="s">
        <v>17570</v>
      </c>
      <c r="C968" s="16" t="str">
        <f t="shared" si="38"/>
        <v>G00293:1</v>
      </c>
      <c r="D968" s="17" t="str">
        <f t="shared" ref="D968:D1000" si="39">CONCATENATE(A968," : ",B968)</f>
        <v>G00293 : Trehalose</v>
      </c>
    </row>
    <row r="969" spans="1:4">
      <c r="A969" t="s">
        <v>12349</v>
      </c>
      <c r="B969" s="43" t="s">
        <v>17571</v>
      </c>
      <c r="C969" s="16" t="str">
        <f t="shared" si="38"/>
        <v>G09795:1</v>
      </c>
      <c r="D969" s="17" t="str">
        <f t="shared" si="39"/>
        <v>G09795 : Trehalose 6-phosphate</v>
      </c>
    </row>
    <row r="970" spans="1:4">
      <c r="A970" t="s">
        <v>9109</v>
      </c>
      <c r="B970" s="43" t="s">
        <v>17572</v>
      </c>
      <c r="C970" s="16" t="str">
        <f t="shared" si="38"/>
        <v>G10495:1</v>
      </c>
      <c r="D970" s="17" t="str">
        <f t="shared" si="39"/>
        <v>G10495 : 1,4-alpha-D-Glucan</v>
      </c>
    </row>
    <row r="971" spans="1:4">
      <c r="A971" t="s">
        <v>9872</v>
      </c>
      <c r="B971" s="43" t="s">
        <v>16843</v>
      </c>
      <c r="C971" s="16" t="str">
        <f t="shared" si="38"/>
        <v>G10545:1</v>
      </c>
      <c r="D971" s="17" t="str">
        <f t="shared" si="39"/>
        <v>G10545 : Starch</v>
      </c>
    </row>
    <row r="972" spans="1:4">
      <c r="A972" t="s">
        <v>12755</v>
      </c>
      <c r="B972" s="43" t="s">
        <v>17573</v>
      </c>
      <c r="C972" s="16" t="str">
        <f t="shared" si="38"/>
        <v>G10550:1</v>
      </c>
      <c r="D972" s="17" t="str">
        <f t="shared" si="39"/>
        <v>G10550 : (GlcNAc)1 (MurNAc)1 (D-Ala-D-Ala-Lys-D-Glu-Ala)1 (PP-Und)1</v>
      </c>
    </row>
    <row r="973" spans="1:4">
      <c r="A973" t="s">
        <v>12756</v>
      </c>
      <c r="B973" s="43" t="s">
        <v>17574</v>
      </c>
      <c r="C973" s="16" t="str">
        <f t="shared" ref="C973:C1000" si="40">CONCATENATE(A973,":","1")</f>
        <v>G10551:1</v>
      </c>
      <c r="D973" s="17" t="str">
        <f t="shared" si="39"/>
        <v>G10551 : (MurNAc)1 (D-Ala-D-Ala-Lys-D-Glu-Ala)1 (PP-Und)1</v>
      </c>
    </row>
    <row r="974" spans="1:4">
      <c r="A974" t="s">
        <v>12757</v>
      </c>
      <c r="B974" s="43" t="s">
        <v>17575</v>
      </c>
      <c r="C974" s="16" t="str">
        <f t="shared" si="40"/>
        <v>G10552:1</v>
      </c>
      <c r="D974" s="17" t="str">
        <f t="shared" si="39"/>
        <v>G10552 : (MurNAc)1 (D-Ala-D-Ala-Lys-gamma-D-Glu-Ala)1 (PP-Und)1</v>
      </c>
    </row>
    <row r="975" spans="1:4">
      <c r="A975" t="s">
        <v>12758</v>
      </c>
      <c r="B975" s="43" t="s">
        <v>17576</v>
      </c>
      <c r="C975" s="16" t="str">
        <f t="shared" si="40"/>
        <v>G10553:1</v>
      </c>
      <c r="D975" s="17" t="str">
        <f t="shared" si="39"/>
        <v>G10553 : (GlcNAc)1 (MurNAc)1 (D-Ala-D-Ala-Lys-gamma-D-Glu-Ala)1 (PP-Und)1</v>
      </c>
    </row>
    <row r="976" spans="1:4">
      <c r="A976" t="s">
        <v>12350</v>
      </c>
      <c r="B976" s="43" t="s">
        <v>17577</v>
      </c>
      <c r="C976" s="16" t="str">
        <f t="shared" si="40"/>
        <v>G10554:1</v>
      </c>
      <c r="D976" s="17" t="str">
        <f t="shared" si="39"/>
        <v>G10554 : (GlcNAc)1 (MurNAc)1 (*)1 (D-Ala-D-Ala-Lys-gamma-D-Glu-Ala)1 (PP-Und)1</v>
      </c>
    </row>
    <row r="977" spans="1:4">
      <c r="A977" t="s">
        <v>12759</v>
      </c>
      <c r="B977" s="43" t="s">
        <v>17578</v>
      </c>
      <c r="C977" s="16" t="str">
        <f t="shared" si="40"/>
        <v>G10555:1</v>
      </c>
      <c r="D977" s="17" t="str">
        <f t="shared" si="39"/>
        <v>G10555 : (GlcNAc)1 (MurNAc)1 (D-Ala-D-Ala-A2pm-gamma-D-Glu-Ala)1 (PP-Und)1</v>
      </c>
    </row>
    <row r="978" spans="1:4">
      <c r="A978" t="s">
        <v>12760</v>
      </c>
      <c r="B978" s="43" t="s">
        <v>17579</v>
      </c>
      <c r="C978" s="16" t="str">
        <f t="shared" si="40"/>
        <v>G10556:1</v>
      </c>
      <c r="D978" s="17" t="str">
        <f t="shared" si="39"/>
        <v>G10556 : (MurNAc)1 (D-Ala-D-Ala-A2pm-gamma-D-Glu-Ala)1 (PP-Und)1</v>
      </c>
    </row>
    <row r="979" spans="1:4">
      <c r="A979" t="s">
        <v>12351</v>
      </c>
      <c r="B979" s="43" t="s">
        <v>17580</v>
      </c>
      <c r="C979" s="16" t="str">
        <f t="shared" si="40"/>
        <v>G10557:1</v>
      </c>
      <c r="D979" s="17" t="str">
        <f t="shared" si="39"/>
        <v>G10557 : (GlcNAc)1 (MurNAc)1 (*)1 (D-Ala-D-Ala-A2pm-gamma-D-Glu-Ala)1 (PP-Und)1</v>
      </c>
    </row>
    <row r="980" spans="1:4">
      <c r="A980" t="s">
        <v>9270</v>
      </c>
      <c r="B980" s="43" t="s">
        <v>17581</v>
      </c>
      <c r="C980" s="16" t="str">
        <f t="shared" si="40"/>
        <v>G10589:1</v>
      </c>
      <c r="D980" s="17" t="str">
        <f t="shared" si="39"/>
        <v>G10589 : (Glc)3 (*)1</v>
      </c>
    </row>
    <row r="981" spans="1:4">
      <c r="A981" t="s">
        <v>12761</v>
      </c>
      <c r="B981" s="43" t="s">
        <v>17582</v>
      </c>
      <c r="C981" s="16" t="str">
        <f t="shared" si="40"/>
        <v>G10608:1</v>
      </c>
      <c r="D981" s="17" t="str">
        <f t="shared" si="39"/>
        <v>G10608 : UDP-D-glucose</v>
      </c>
    </row>
    <row r="982" spans="1:4">
      <c r="A982" t="s">
        <v>12352</v>
      </c>
      <c r="B982" s="43" t="s">
        <v>17583</v>
      </c>
      <c r="C982" s="16" t="str">
        <f t="shared" si="40"/>
        <v>G10610:1</v>
      </c>
      <c r="D982" s="17" t="str">
        <f t="shared" si="39"/>
        <v>G10610 : UDP-N-acetyl-D-glucosamine</v>
      </c>
    </row>
    <row r="983" spans="1:4">
      <c r="A983" t="s">
        <v>12762</v>
      </c>
      <c r="B983" s="43" t="s">
        <v>17584</v>
      </c>
      <c r="C983" s="16" t="str">
        <f t="shared" si="40"/>
        <v>G10614:1</v>
      </c>
      <c r="D983" s="17" t="str">
        <f t="shared" si="39"/>
        <v>G10614 : GDP-D-mannose</v>
      </c>
    </row>
    <row r="984" spans="1:4">
      <c r="A984" t="s">
        <v>12763</v>
      </c>
      <c r="B984" s="43" t="s">
        <v>17170</v>
      </c>
      <c r="C984" s="16" t="str">
        <f t="shared" si="40"/>
        <v>G10617:1</v>
      </c>
      <c r="D984" s="17" t="str">
        <f t="shared" si="39"/>
        <v>G10617 : Dolichyl phosphate D-mannose</v>
      </c>
    </row>
    <row r="985" spans="1:4">
      <c r="A985" t="s">
        <v>12353</v>
      </c>
      <c r="B985" s="43" t="s">
        <v>16636</v>
      </c>
      <c r="C985" s="16" t="str">
        <f t="shared" si="40"/>
        <v>G10619:1</v>
      </c>
      <c r="D985" s="17" t="str">
        <f t="shared" si="39"/>
        <v>G10619 : UDP</v>
      </c>
    </row>
    <row r="986" spans="1:4">
      <c r="A986" t="s">
        <v>12764</v>
      </c>
      <c r="B986" s="43" t="s">
        <v>16654</v>
      </c>
      <c r="C986" s="16" t="str">
        <f t="shared" si="40"/>
        <v>G10620:1</v>
      </c>
      <c r="D986" s="17" t="str">
        <f t="shared" si="39"/>
        <v>G10620 : GDP</v>
      </c>
    </row>
    <row r="987" spans="1:4">
      <c r="A987" t="s">
        <v>12765</v>
      </c>
      <c r="B987" s="43" t="s">
        <v>16715</v>
      </c>
      <c r="C987" s="16" t="str">
        <f t="shared" si="40"/>
        <v>G10622:1</v>
      </c>
      <c r="D987" s="17" t="str">
        <f t="shared" si="39"/>
        <v>G10622 : Dolichyl phosphate</v>
      </c>
    </row>
    <row r="988" spans="1:4">
      <c r="A988" t="s">
        <v>12354</v>
      </c>
      <c r="B988" s="43" t="s">
        <v>16876</v>
      </c>
      <c r="C988" s="16" t="str">
        <f t="shared" si="40"/>
        <v>G11109:1</v>
      </c>
      <c r="D988" s="17" t="str">
        <f t="shared" si="39"/>
        <v>G11109 : ADP-glucose</v>
      </c>
    </row>
    <row r="989" spans="1:4">
      <c r="A989" t="s">
        <v>12355</v>
      </c>
      <c r="B989" s="43" t="s">
        <v>16629</v>
      </c>
      <c r="C989" s="16" t="str">
        <f t="shared" si="40"/>
        <v>G11113:1</v>
      </c>
      <c r="D989" s="17" t="str">
        <f t="shared" si="39"/>
        <v>G11113 : ADP</v>
      </c>
    </row>
    <row r="990" spans="1:4">
      <c r="A990" t="s">
        <v>12766</v>
      </c>
      <c r="B990" s="43" t="s">
        <v>17371</v>
      </c>
      <c r="C990" s="16" t="str">
        <f t="shared" si="40"/>
        <v>G11174:1</v>
      </c>
      <c r="D990" s="17" t="str">
        <f t="shared" si="39"/>
        <v>G11174 : Mycothiol</v>
      </c>
    </row>
    <row r="991" spans="1:4">
      <c r="A991" t="s">
        <v>12767</v>
      </c>
      <c r="B991" s="43" t="s">
        <v>17398</v>
      </c>
      <c r="C991" s="16" t="str">
        <f t="shared" si="40"/>
        <v>G11175:1</v>
      </c>
      <c r="D991" s="17" t="str">
        <f t="shared" si="39"/>
        <v>G11175 : Mycothione</v>
      </c>
    </row>
    <row r="992" spans="1:4">
      <c r="A992" t="s">
        <v>12356</v>
      </c>
      <c r="B992" s="43" t="s">
        <v>17585</v>
      </c>
      <c r="C992" s="16" t="str">
        <f t="shared" si="40"/>
        <v>G11291:1</v>
      </c>
      <c r="D992" s="17" t="str">
        <f t="shared" si="39"/>
        <v>G11291 : Phosphatidyl-myo-inositol monomannoside</v>
      </c>
    </row>
    <row r="993" spans="1:4">
      <c r="A993" t="s">
        <v>12357</v>
      </c>
      <c r="B993" s="43" t="s">
        <v>17586</v>
      </c>
      <c r="C993" s="16" t="str">
        <f t="shared" si="40"/>
        <v>G13027:1</v>
      </c>
      <c r="D993" s="17" t="str">
        <f t="shared" si="39"/>
        <v>G13027 : (Man)1 (Ser/Thr)1</v>
      </c>
    </row>
    <row r="994" spans="1:4">
      <c r="A994" t="s">
        <v>12358</v>
      </c>
      <c r="B994" s="43" t="s">
        <v>17587</v>
      </c>
      <c r="C994" s="16" t="str">
        <f t="shared" si="40"/>
        <v>G13102:1</v>
      </c>
      <c r="D994" s="17" t="str">
        <f t="shared" si="39"/>
        <v>G13102 : Phosphatidyl-myo-inositol dimannoside</v>
      </c>
    </row>
    <row r="995" spans="1:4">
      <c r="A995" t="s">
        <v>12359</v>
      </c>
      <c r="B995" s="43" t="s">
        <v>17588</v>
      </c>
      <c r="C995" s="16" t="str">
        <f t="shared" si="40"/>
        <v>G13107:1</v>
      </c>
      <c r="D995" s="17" t="str">
        <f t="shared" si="39"/>
        <v>G13107 : Triacylated phosphatidyl-myo-inositol monomannoside</v>
      </c>
    </row>
    <row r="996" spans="1:4">
      <c r="A996" t="s">
        <v>12360</v>
      </c>
      <c r="B996" s="43" t="s">
        <v>17589</v>
      </c>
      <c r="C996" s="16" t="str">
        <f t="shared" si="40"/>
        <v>G13108:1</v>
      </c>
      <c r="D996" s="17" t="str">
        <f t="shared" si="39"/>
        <v>G13108 : Triacylated phosphatidyl-myo-inositol dimannoside</v>
      </c>
    </row>
    <row r="997" spans="1:4">
      <c r="A997" t="s">
        <v>12361</v>
      </c>
      <c r="B997" s="43" t="s">
        <v>17590</v>
      </c>
      <c r="C997" s="16" t="str">
        <f t="shared" si="40"/>
        <v>G13119:1</v>
      </c>
      <c r="D997" s="17" t="str">
        <f t="shared" si="39"/>
        <v>G13119 : Rhamnosyl-N-acetyl-glucosaminyl-decaprenyl diphosphate</v>
      </c>
    </row>
    <row r="998" spans="1:4">
      <c r="A998" t="s">
        <v>12362</v>
      </c>
      <c r="B998" s="43" t="s">
        <v>17591</v>
      </c>
      <c r="C998" s="16" t="str">
        <f t="shared" si="40"/>
        <v>G13120:1</v>
      </c>
      <c r="D998" s="17" t="str">
        <f t="shared" si="39"/>
        <v>G13120 : Glycolipid 3</v>
      </c>
    </row>
    <row r="999" spans="1:4">
      <c r="A999" t="s">
        <v>12363</v>
      </c>
      <c r="B999" s="43" t="s">
        <v>17592</v>
      </c>
      <c r="C999" s="16" t="str">
        <f t="shared" si="40"/>
        <v>G13121:1</v>
      </c>
      <c r="D999" s="17" t="str">
        <f t="shared" si="39"/>
        <v>G13121 : Glycolipid 4</v>
      </c>
    </row>
    <row r="1000" spans="1:4">
      <c r="A1000" t="s">
        <v>12768</v>
      </c>
      <c r="B1000" s="43" t="s">
        <v>17160</v>
      </c>
      <c r="C1000" s="16" t="str">
        <f t="shared" si="40"/>
        <v>G13125:1</v>
      </c>
      <c r="D1000" s="17" t="str">
        <f t="shared" si="39"/>
        <v>G13125 : UDP-alpha-D-galactofuranose</v>
      </c>
    </row>
    <row r="1001" spans="1:4">
      <c r="A1001" t="s">
        <v>16434</v>
      </c>
      <c r="B1001" t="s">
        <v>16543</v>
      </c>
      <c r="C1001" s="16" t="str">
        <f t="shared" ref="C1001:C1064" si="41">CONCATENATE(A1001,":","1")</f>
        <v>C00164:1</v>
      </c>
      <c r="D1001" s="17" t="str">
        <f t="shared" ref="D1001:D1064" si="42">CONCATENATE(A1001," : ",B1001)</f>
        <v>C00164 : Acetoacetate</v>
      </c>
    </row>
    <row r="1002" spans="1:4">
      <c r="A1002" t="s">
        <v>16440</v>
      </c>
      <c r="B1002" t="s">
        <v>16544</v>
      </c>
      <c r="C1002" s="16" t="str">
        <f t="shared" si="41"/>
        <v>C00178:1</v>
      </c>
      <c r="D1002" s="17" t="str">
        <f t="shared" si="42"/>
        <v>C00178 : Thymine</v>
      </c>
    </row>
    <row r="1003" spans="1:4">
      <c r="A1003" t="s">
        <v>16441</v>
      </c>
      <c r="B1003" t="s">
        <v>16545</v>
      </c>
      <c r="C1003" s="16" t="str">
        <f t="shared" si="41"/>
        <v>C00198:1</v>
      </c>
      <c r="D1003" s="17" t="str">
        <f t="shared" si="42"/>
        <v>C00198 : D-Glucono-1,5-lactone</v>
      </c>
    </row>
    <row r="1004" spans="1:4">
      <c r="A1004" t="s">
        <v>16442</v>
      </c>
      <c r="B1004" t="s">
        <v>16518</v>
      </c>
      <c r="C1004" s="16" t="str">
        <f t="shared" si="41"/>
        <v>C00264:1</v>
      </c>
      <c r="D1004" s="17" t="str">
        <f t="shared" si="42"/>
        <v>C00264 : 3-Oxoacyl-CoA</v>
      </c>
    </row>
    <row r="1005" spans="1:4">
      <c r="A1005" t="s">
        <v>16433</v>
      </c>
      <c r="B1005" t="s">
        <v>16546</v>
      </c>
      <c r="C1005" s="16" t="str">
        <f t="shared" si="41"/>
        <v>C00270:1</v>
      </c>
      <c r="D1005" s="17" t="str">
        <f t="shared" si="42"/>
        <v>C00270 : N-Acetylneuraminate</v>
      </c>
    </row>
    <row r="1006" spans="1:4">
      <c r="A1006" t="s">
        <v>16443</v>
      </c>
      <c r="B1006" t="s">
        <v>16547</v>
      </c>
      <c r="C1006" s="16" t="str">
        <f t="shared" si="41"/>
        <v>C00322:1</v>
      </c>
      <c r="D1006" s="17" t="str">
        <f t="shared" si="42"/>
        <v>C00322 : 2-Oxoadipate</v>
      </c>
    </row>
    <row r="1007" spans="1:4">
      <c r="A1007" t="s">
        <v>16444</v>
      </c>
      <c r="B1007" t="s">
        <v>16548</v>
      </c>
      <c r="C1007" s="16" t="str">
        <f t="shared" si="41"/>
        <v>C00349:1</v>
      </c>
      <c r="D1007" s="17" t="str">
        <f t="shared" si="42"/>
        <v>C00349 : 2-Methyl-3-oxopropanoate</v>
      </c>
    </row>
    <row r="1008" spans="1:4">
      <c r="A1008" t="s">
        <v>16381</v>
      </c>
      <c r="B1008" t="s">
        <v>16549</v>
      </c>
      <c r="C1008" s="16" t="str">
        <f t="shared" si="41"/>
        <v>C00383:1</v>
      </c>
      <c r="D1008" s="17" t="str">
        <f t="shared" si="42"/>
        <v>C00383 : Malonate</v>
      </c>
    </row>
    <row r="1009" spans="1:4">
      <c r="A1009" t="s">
        <v>16431</v>
      </c>
      <c r="B1009" t="s">
        <v>16550</v>
      </c>
      <c r="C1009" s="16" t="str">
        <f t="shared" si="41"/>
        <v>C00392:1</v>
      </c>
      <c r="D1009" s="17" t="str">
        <f t="shared" si="42"/>
        <v>C00392 : Mannitol</v>
      </c>
    </row>
    <row r="1010" spans="1:4">
      <c r="A1010" t="s">
        <v>16445</v>
      </c>
      <c r="B1010" t="s">
        <v>16551</v>
      </c>
      <c r="C1010" s="16" t="str">
        <f t="shared" si="41"/>
        <v>C00429:1</v>
      </c>
      <c r="D1010" s="17" t="str">
        <f t="shared" si="42"/>
        <v>C00429 : 5,6-Dihydrouracil</v>
      </c>
    </row>
    <row r="1011" spans="1:4">
      <c r="A1011" t="s">
        <v>16437</v>
      </c>
      <c r="B1011" t="s">
        <v>16552</v>
      </c>
      <c r="C1011" s="16" t="str">
        <f t="shared" si="41"/>
        <v>C00446:1</v>
      </c>
      <c r="D1011" s="17" t="str">
        <f t="shared" si="42"/>
        <v>C00446 : alpha-D-Galactose 1-phosphate</v>
      </c>
    </row>
    <row r="1012" spans="1:4">
      <c r="A1012" t="s">
        <v>16446</v>
      </c>
      <c r="B1012" t="s">
        <v>16553</v>
      </c>
      <c r="C1012" s="16" t="str">
        <f t="shared" si="41"/>
        <v>C00552:1</v>
      </c>
      <c r="D1012" s="17" t="str">
        <f t="shared" si="42"/>
        <v>C00552 : meso-Tartaric acid</v>
      </c>
    </row>
    <row r="1013" spans="1:4">
      <c r="A1013" t="s">
        <v>16447</v>
      </c>
      <c r="B1013" t="s">
        <v>16554</v>
      </c>
      <c r="C1013" s="16" t="str">
        <f t="shared" si="41"/>
        <v>C00582:1</v>
      </c>
      <c r="D1013" s="17" t="str">
        <f t="shared" si="42"/>
        <v>C00582 : Phenylacetyl-CoA</v>
      </c>
    </row>
    <row r="1014" spans="1:4">
      <c r="A1014" t="s">
        <v>16448</v>
      </c>
      <c r="B1014" t="s">
        <v>16555</v>
      </c>
      <c r="C1014" s="16" t="str">
        <f t="shared" si="41"/>
        <v>C00596:1</v>
      </c>
      <c r="D1014" s="17" t="str">
        <f t="shared" si="42"/>
        <v>C00596 : 2-Hydroxy-2,4-pentadienoate</v>
      </c>
    </row>
    <row r="1015" spans="1:4">
      <c r="A1015" t="s">
        <v>16449</v>
      </c>
      <c r="B1015" t="s">
        <v>16556</v>
      </c>
      <c r="C1015" s="16" t="str">
        <f t="shared" si="41"/>
        <v>C00640:1</v>
      </c>
      <c r="D1015" s="17" t="str">
        <f t="shared" si="42"/>
        <v>C00640 : (3S)-3-Hydroxyacyl-CoA</v>
      </c>
    </row>
    <row r="1016" spans="1:4">
      <c r="A1016" t="s">
        <v>16436</v>
      </c>
      <c r="B1016" t="s">
        <v>16557</v>
      </c>
      <c r="C1016" s="16" t="str">
        <f t="shared" si="41"/>
        <v>C00644:1</v>
      </c>
      <c r="D1016" s="17" t="str">
        <f t="shared" si="42"/>
        <v>C00644 : D-Mannitol 1-phosphate</v>
      </c>
    </row>
    <row r="1017" spans="1:4">
      <c r="A1017" t="s">
        <v>16420</v>
      </c>
      <c r="B1017" t="s">
        <v>16558</v>
      </c>
      <c r="C1017" s="16" t="str">
        <f t="shared" si="41"/>
        <v>C00645:1</v>
      </c>
      <c r="D1017" s="17" t="str">
        <f t="shared" si="42"/>
        <v>C00645 : N-Acetyl-D-mannosamine</v>
      </c>
    </row>
    <row r="1018" spans="1:4">
      <c r="A1018" t="s">
        <v>16450</v>
      </c>
      <c r="B1018" t="s">
        <v>16559</v>
      </c>
      <c r="C1018" s="16" t="str">
        <f t="shared" si="41"/>
        <v>C00703:1</v>
      </c>
      <c r="D1018" s="17" t="str">
        <f t="shared" si="42"/>
        <v>C00703 : Mercury(2+)</v>
      </c>
    </row>
    <row r="1019" spans="1:4">
      <c r="A1019" t="s">
        <v>16451</v>
      </c>
      <c r="B1019" t="s">
        <v>16560</v>
      </c>
      <c r="C1019" s="16" t="str">
        <f t="shared" si="41"/>
        <v>C00791:1</v>
      </c>
      <c r="D1019" s="17" t="str">
        <f t="shared" si="42"/>
        <v>C00791 : Creatinine</v>
      </c>
    </row>
    <row r="1020" spans="1:4">
      <c r="A1020" t="s">
        <v>16430</v>
      </c>
      <c r="B1020" t="s">
        <v>16561</v>
      </c>
      <c r="C1020" s="16" t="str">
        <f t="shared" si="41"/>
        <v>C00821:1</v>
      </c>
      <c r="D1020" s="17" t="str">
        <f t="shared" si="42"/>
        <v>C00821 : DNA adenine</v>
      </c>
    </row>
    <row r="1021" spans="1:4">
      <c r="A1021" t="s">
        <v>16452</v>
      </c>
      <c r="B1021" t="s">
        <v>16562</v>
      </c>
      <c r="C1021" s="16" t="str">
        <f t="shared" si="41"/>
        <v>C00898:1</v>
      </c>
      <c r="D1021" s="17" t="str">
        <f t="shared" si="42"/>
        <v>C00898 : (R,R)-Tartaric acid</v>
      </c>
    </row>
    <row r="1022" spans="1:4">
      <c r="A1022" t="s">
        <v>16453</v>
      </c>
      <c r="B1022" t="s">
        <v>16563</v>
      </c>
      <c r="C1022" s="16" t="str">
        <f t="shared" si="41"/>
        <v>C00906:1</v>
      </c>
      <c r="D1022" s="17" t="str">
        <f t="shared" si="42"/>
        <v>C00906 : 5,6-Dihydrothymine</v>
      </c>
    </row>
    <row r="1023" spans="1:4">
      <c r="A1023" t="s">
        <v>16432</v>
      </c>
      <c r="B1023" t="s">
        <v>16519</v>
      </c>
      <c r="C1023" s="16" t="str">
        <f t="shared" si="41"/>
        <v>C00984:1</v>
      </c>
      <c r="D1023" s="17" t="str">
        <f t="shared" si="42"/>
        <v>C00984 : alpha-D-Galactose</v>
      </c>
    </row>
    <row r="1024" spans="1:4">
      <c r="A1024" t="s">
        <v>16454</v>
      </c>
      <c r="B1024" t="s">
        <v>16564</v>
      </c>
      <c r="C1024" s="16" t="str">
        <f t="shared" si="41"/>
        <v>C01087:1</v>
      </c>
      <c r="D1024" s="17" t="str">
        <f t="shared" si="42"/>
        <v>C01087 : (R)-2-Hydroxyglutarate</v>
      </c>
    </row>
    <row r="1025" spans="1:4">
      <c r="A1025" t="s">
        <v>16455</v>
      </c>
      <c r="B1025" t="s">
        <v>16565</v>
      </c>
      <c r="C1025" s="16" t="str">
        <f t="shared" si="41"/>
        <v>C01089:1</v>
      </c>
      <c r="D1025" s="17" t="str">
        <f t="shared" si="42"/>
        <v>C01089 : (R)-3-Hydroxybutanoate</v>
      </c>
    </row>
    <row r="1026" spans="1:4">
      <c r="A1026" t="s">
        <v>16456</v>
      </c>
      <c r="B1026" t="s">
        <v>16566</v>
      </c>
      <c r="C1026" s="16" t="str">
        <f t="shared" si="41"/>
        <v>C01096:1</v>
      </c>
      <c r="D1026" s="17" t="str">
        <f t="shared" si="42"/>
        <v>C01096 : Sorbitol 6-phosphate</v>
      </c>
    </row>
    <row r="1027" spans="1:4">
      <c r="A1027" t="s">
        <v>16389</v>
      </c>
      <c r="B1027" t="s">
        <v>16567</v>
      </c>
      <c r="C1027" s="16" t="str">
        <f t="shared" si="41"/>
        <v>C01127:1</v>
      </c>
      <c r="D1027" s="17" t="str">
        <f t="shared" si="42"/>
        <v>C01127 : 4-Hydroxy-2-oxoglutarate</v>
      </c>
    </row>
    <row r="1028" spans="1:4">
      <c r="A1028" t="s">
        <v>16457</v>
      </c>
      <c r="B1028" t="s">
        <v>16568</v>
      </c>
      <c r="C1028" s="16" t="str">
        <f t="shared" si="41"/>
        <v>C01144:1</v>
      </c>
      <c r="D1028" s="17" t="str">
        <f t="shared" si="42"/>
        <v>C01144 : (S)-3-Hydroxybutanoyl-CoA</v>
      </c>
    </row>
    <row r="1029" spans="1:4">
      <c r="A1029" t="s">
        <v>16458</v>
      </c>
      <c r="B1029" t="s">
        <v>16569</v>
      </c>
      <c r="C1029" s="16" t="str">
        <f t="shared" si="41"/>
        <v>C01161:1</v>
      </c>
      <c r="D1029" s="17" t="str">
        <f t="shared" si="42"/>
        <v>C01161 : 3,4-Dihydroxyphenylacetate</v>
      </c>
    </row>
    <row r="1030" spans="1:4">
      <c r="A1030" t="s">
        <v>16415</v>
      </c>
      <c r="B1030" t="s">
        <v>16570</v>
      </c>
      <c r="C1030" s="16" t="str">
        <f t="shared" si="41"/>
        <v>C01170:1</v>
      </c>
      <c r="D1030" s="17" t="str">
        <f t="shared" si="42"/>
        <v>C01170 : UDP-N-acetyl-D-mannosamine</v>
      </c>
    </row>
    <row r="1031" spans="1:4">
      <c r="A1031" t="s">
        <v>16459</v>
      </c>
      <c r="B1031" t="s">
        <v>16571</v>
      </c>
      <c r="C1031" s="16" t="str">
        <f t="shared" si="41"/>
        <v>C01188:1</v>
      </c>
      <c r="D1031" s="17" t="str">
        <f t="shared" si="42"/>
        <v>C01188 : 3-Hydroxy-2-methylpropanoate</v>
      </c>
    </row>
    <row r="1032" spans="1:4">
      <c r="A1032" t="s">
        <v>16517</v>
      </c>
      <c r="B1032" t="s">
        <v>16572</v>
      </c>
      <c r="C1032" s="16" t="str">
        <f t="shared" si="41"/>
        <v>C01290:1</v>
      </c>
      <c r="D1032" s="17" t="str">
        <f t="shared" si="42"/>
        <v>C01290 : Lactosylceramide</v>
      </c>
    </row>
    <row r="1033" spans="1:4">
      <c r="A1033" t="s">
        <v>16460</v>
      </c>
      <c r="B1033" t="s">
        <v>16573</v>
      </c>
      <c r="C1033" s="16" t="str">
        <f t="shared" si="41"/>
        <v>C01319:1</v>
      </c>
      <c r="D1033" s="17" t="str">
        <f t="shared" si="42"/>
        <v>C01319 : Hg</v>
      </c>
    </row>
    <row r="1034" spans="1:4">
      <c r="A1034" t="s">
        <v>16461</v>
      </c>
      <c r="B1034" t="s">
        <v>16574</v>
      </c>
      <c r="C1034" s="16" t="str">
        <f t="shared" si="41"/>
        <v>C01412:1</v>
      </c>
      <c r="D1034" s="17" t="str">
        <f t="shared" si="42"/>
        <v>C01412 : Butanal</v>
      </c>
    </row>
    <row r="1035" spans="1:4">
      <c r="A1035" t="s">
        <v>16462</v>
      </c>
      <c r="B1035" t="s">
        <v>16575</v>
      </c>
      <c r="C1035" s="16" t="str">
        <f t="shared" si="41"/>
        <v>C02232:1</v>
      </c>
      <c r="D1035" s="17" t="str">
        <f t="shared" si="42"/>
        <v>C02232 : 3-Oxoadipyl-CoA</v>
      </c>
    </row>
    <row r="1036" spans="1:4">
      <c r="A1036" t="s">
        <v>16354</v>
      </c>
      <c r="B1036" t="s">
        <v>16576</v>
      </c>
      <c r="C1036" s="16" t="str">
        <f t="shared" si="41"/>
        <v>C02642:1</v>
      </c>
      <c r="D1036" s="17" t="str">
        <f t="shared" si="42"/>
        <v>C02642 : 3-Ureidopropionate</v>
      </c>
    </row>
    <row r="1037" spans="1:4">
      <c r="A1037" t="s">
        <v>16439</v>
      </c>
      <c r="B1037" t="s">
        <v>16577</v>
      </c>
      <c r="C1037" s="16" t="str">
        <f t="shared" si="41"/>
        <v>C02686:1</v>
      </c>
      <c r="D1037" s="17" t="str">
        <f t="shared" si="42"/>
        <v>C02686 : Galactosylceramide</v>
      </c>
    </row>
    <row r="1038" spans="1:4">
      <c r="A1038" t="s">
        <v>16463</v>
      </c>
      <c r="B1038" t="s">
        <v>16578</v>
      </c>
      <c r="C1038" s="16" t="str">
        <f t="shared" si="41"/>
        <v>C02713:1</v>
      </c>
      <c r="D1038" s="17" t="str">
        <f t="shared" si="42"/>
        <v>C02713 : N-Acetylmuramate</v>
      </c>
    </row>
    <row r="1039" spans="1:4">
      <c r="A1039" t="s">
        <v>16345</v>
      </c>
      <c r="B1039" t="s">
        <v>16579</v>
      </c>
      <c r="C1039" s="16" t="str">
        <f t="shared" si="41"/>
        <v>C02999:1</v>
      </c>
      <c r="D1039" s="17" t="str">
        <f t="shared" si="42"/>
        <v>C02999 : N-Acetylmuramoyl-Ala</v>
      </c>
    </row>
    <row r="1040" spans="1:4">
      <c r="A1040" t="s">
        <v>16464</v>
      </c>
      <c r="B1040" t="s">
        <v>16580</v>
      </c>
      <c r="C1040" s="16" t="str">
        <f t="shared" si="41"/>
        <v>C03148:1</v>
      </c>
      <c r="D1040" s="17" t="str">
        <f t="shared" si="42"/>
        <v>C03148 : N-Methyl-L-amino acid</v>
      </c>
    </row>
    <row r="1041" spans="1:4">
      <c r="A1041" t="s">
        <v>16435</v>
      </c>
      <c r="B1041" t="s">
        <v>16581</v>
      </c>
      <c r="C1041" s="16" t="str">
        <f t="shared" si="41"/>
        <v>C03391:1</v>
      </c>
      <c r="D1041" s="17" t="str">
        <f t="shared" si="42"/>
        <v>C03391 : DNA 6-methylaminopurine</v>
      </c>
    </row>
    <row r="1042" spans="1:4">
      <c r="A1042" t="s">
        <v>16465</v>
      </c>
      <c r="B1042" t="s">
        <v>16582</v>
      </c>
      <c r="C1042" s="16" t="str">
        <f t="shared" si="41"/>
        <v>C03459:1</v>
      </c>
      <c r="D1042" s="17" t="str">
        <f t="shared" si="42"/>
        <v>C03459 : 2-Hydroxy-3-oxosuccinate</v>
      </c>
    </row>
    <row r="1043" spans="1:4">
      <c r="A1043" t="s">
        <v>16403</v>
      </c>
      <c r="B1043" t="s">
        <v>16583</v>
      </c>
      <c r="C1043" s="16" t="str">
        <f t="shared" si="41"/>
        <v>C03589:1</v>
      </c>
      <c r="D1043" s="17" t="str">
        <f t="shared" si="42"/>
        <v>C03589 : 4-Hydroxy-2-oxopentanoate</v>
      </c>
    </row>
    <row r="1044" spans="1:4">
      <c r="A1044" t="s">
        <v>16398</v>
      </c>
      <c r="B1044" t="s">
        <v>16584</v>
      </c>
      <c r="C1044" s="16" t="str">
        <f t="shared" si="41"/>
        <v>C04115:1</v>
      </c>
      <c r="D1044" s="17" t="str">
        <f t="shared" si="42"/>
        <v>C04115 : 4-Carboxy-4-hydroxy-2-oxoadipate</v>
      </c>
    </row>
    <row r="1045" spans="1:4">
      <c r="A1045" t="s">
        <v>16425</v>
      </c>
      <c r="B1045" t="s">
        <v>16585</v>
      </c>
      <c r="C1045" s="16" t="str">
        <f t="shared" si="41"/>
        <v>C04324:1</v>
      </c>
      <c r="D1045" s="17" t="str">
        <f t="shared" si="42"/>
        <v>C04324 : (1E,3E)-4-Hydroxybuta-1,3-diene-1,2,4-tricarboxylate</v>
      </c>
    </row>
    <row r="1046" spans="1:4">
      <c r="A1046" t="s">
        <v>16466</v>
      </c>
      <c r="B1046" t="s">
        <v>16586</v>
      </c>
      <c r="C1046" s="16" t="str">
        <f t="shared" si="41"/>
        <v>C04405:1</v>
      </c>
      <c r="D1046" s="17" t="str">
        <f t="shared" si="42"/>
        <v>C04405 : (2S,3S)-3-Hydroxy-2-methylbutanoyl-CoA</v>
      </c>
    </row>
    <row r="1047" spans="1:4">
      <c r="A1047" t="s">
        <v>16424</v>
      </c>
      <c r="B1047" t="s">
        <v>16587</v>
      </c>
      <c r="C1047" s="16" t="str">
        <f t="shared" si="41"/>
        <v>C04434:1</v>
      </c>
      <c r="D1047" s="17" t="str">
        <f t="shared" si="42"/>
        <v>C04434 : (1E)-4-Oxobut-1-ene-1,2,4-tricarboxylate</v>
      </c>
    </row>
    <row r="1048" spans="1:4">
      <c r="A1048" t="s">
        <v>16385</v>
      </c>
      <c r="B1048" t="s">
        <v>16588</v>
      </c>
      <c r="C1048" s="16" t="str">
        <f t="shared" si="41"/>
        <v>C04442:1</v>
      </c>
      <c r="D1048" s="17" t="str">
        <f t="shared" si="42"/>
        <v>C04442 : 2-Dehydro-3-deoxy-6-phospho-D-gluconate</v>
      </c>
    </row>
    <row r="1049" spans="1:4">
      <c r="A1049" t="s">
        <v>16248</v>
      </c>
      <c r="B1049" t="s">
        <v>16589</v>
      </c>
      <c r="C1049" s="16" t="str">
        <f t="shared" si="41"/>
        <v>C04479:1</v>
      </c>
      <c r="D1049" s="17" t="str">
        <f t="shared" si="42"/>
        <v>C04479 : 2-Hydroxy-6-oxonona-2,4-diene-1,9-dioate</v>
      </c>
    </row>
    <row r="1050" spans="1:4">
      <c r="A1050" t="s">
        <v>16244</v>
      </c>
      <c r="B1050" t="s">
        <v>16590</v>
      </c>
      <c r="C1050" s="16" t="str">
        <f t="shared" si="41"/>
        <v>C04642:1</v>
      </c>
      <c r="D1050" s="17" t="str">
        <f t="shared" si="42"/>
        <v>C04642 : 2-Hydroxy-5-carboxymethylmuconate semialdehyde</v>
      </c>
    </row>
    <row r="1051" spans="1:4">
      <c r="A1051" t="s">
        <v>16467</v>
      </c>
      <c r="B1051" t="s">
        <v>16591</v>
      </c>
      <c r="C1051" s="16" t="str">
        <f t="shared" si="41"/>
        <v>C04730:1</v>
      </c>
      <c r="D1051" s="17" t="str">
        <f t="shared" si="42"/>
        <v>C04730 : GM3</v>
      </c>
    </row>
    <row r="1052" spans="1:4">
      <c r="A1052" t="s">
        <v>16468</v>
      </c>
      <c r="B1052" t="s">
        <v>16592</v>
      </c>
      <c r="C1052" s="16" t="str">
        <f t="shared" si="41"/>
        <v>C04884:1</v>
      </c>
      <c r="D1052" s="17" t="str">
        <f t="shared" si="42"/>
        <v>C04884 : N-Acetyl-D-galactosaminyl-(N-acetylneuraminyl)-D-galactosyl-D-glucosylceramide</v>
      </c>
    </row>
    <row r="1053" spans="1:4">
      <c r="A1053" t="s">
        <v>16469</v>
      </c>
      <c r="B1053" t="s">
        <v>16593</v>
      </c>
      <c r="C1053" s="16" t="str">
        <f t="shared" si="41"/>
        <v>C04911:1</v>
      </c>
      <c r="D1053" s="17" t="str">
        <f t="shared" si="42"/>
        <v>C04911 : D-Galactosyl-N-acetyl-D-galactosaminyl-(N-acetylneuraminyl)-D-galactosyl-D-glucosylceramide</v>
      </c>
    </row>
    <row r="1054" spans="1:4">
      <c r="A1054" t="s">
        <v>16470</v>
      </c>
      <c r="B1054" t="s">
        <v>16594</v>
      </c>
      <c r="C1054" s="16" t="str">
        <f t="shared" si="41"/>
        <v>C04927:1</v>
      </c>
      <c r="D1054" s="17" t="str">
        <f t="shared" si="42"/>
        <v>C04927 : N-Acetylneuraminyl-D-galactosyl-N-acetyl-D-galactosaminyl-(N-acetylneuraminyl)-D-galactosyl-D-glucosylceramide</v>
      </c>
    </row>
    <row r="1055" spans="1:4">
      <c r="A1055" t="s">
        <v>16471</v>
      </c>
      <c r="B1055" t="s">
        <v>16522</v>
      </c>
      <c r="C1055" s="16" t="str">
        <f t="shared" si="41"/>
        <v>C05258:1</v>
      </c>
      <c r="D1055" s="17" t="str">
        <f t="shared" si="42"/>
        <v>C05258 : (S)-3-Hydroxyhexadecanoyl-CoA</v>
      </c>
    </row>
    <row r="1056" spans="1:4">
      <c r="A1056" t="s">
        <v>16472</v>
      </c>
      <c r="B1056" t="s">
        <v>16595</v>
      </c>
      <c r="C1056" s="16" t="str">
        <f t="shared" si="41"/>
        <v>C05259:1</v>
      </c>
      <c r="D1056" s="17" t="str">
        <f t="shared" si="42"/>
        <v>C05259 : 3-Oxopalmitoyl-CoA</v>
      </c>
    </row>
    <row r="1057" spans="1:4">
      <c r="A1057" t="s">
        <v>16473</v>
      </c>
      <c r="B1057" t="s">
        <v>16523</v>
      </c>
      <c r="C1057" s="16" t="str">
        <f t="shared" si="41"/>
        <v>C05260:1</v>
      </c>
      <c r="D1057" s="17" t="str">
        <f t="shared" si="42"/>
        <v>C05260 : (S)-3-Hydroxytetradecanoyl-CoA</v>
      </c>
    </row>
    <row r="1058" spans="1:4">
      <c r="A1058" t="s">
        <v>16474</v>
      </c>
      <c r="B1058" t="s">
        <v>16524</v>
      </c>
      <c r="C1058" s="16" t="str">
        <f t="shared" si="41"/>
        <v>C05261:1</v>
      </c>
      <c r="D1058" s="17" t="str">
        <f t="shared" si="42"/>
        <v>C05261 : 3-Oxotetradecanoyl-CoA</v>
      </c>
    </row>
    <row r="1059" spans="1:4">
      <c r="A1059" t="s">
        <v>16475</v>
      </c>
      <c r="B1059" t="s">
        <v>16525</v>
      </c>
      <c r="C1059" s="16" t="str">
        <f t="shared" si="41"/>
        <v>C05262:1</v>
      </c>
      <c r="D1059" s="17" t="str">
        <f t="shared" si="42"/>
        <v>C05262 : (S)-3-Hydroxydodecanoyl-CoA</v>
      </c>
    </row>
    <row r="1060" spans="1:4">
      <c r="A1060" t="s">
        <v>16476</v>
      </c>
      <c r="B1060" t="s">
        <v>16526</v>
      </c>
      <c r="C1060" s="16" t="str">
        <f t="shared" si="41"/>
        <v>C05263:1</v>
      </c>
      <c r="D1060" s="17" t="str">
        <f t="shared" si="42"/>
        <v>C05263 : 3-Oxododecanoyl-CoA</v>
      </c>
    </row>
    <row r="1061" spans="1:4">
      <c r="A1061" t="s">
        <v>16477</v>
      </c>
      <c r="B1061" t="s">
        <v>16596</v>
      </c>
      <c r="C1061" s="16" t="str">
        <f t="shared" si="41"/>
        <v>C05264:1</v>
      </c>
      <c r="D1061" s="17" t="str">
        <f t="shared" si="42"/>
        <v>C05264 : (S)-Hydroxydecanoyl-CoA</v>
      </c>
    </row>
    <row r="1062" spans="1:4">
      <c r="A1062" t="s">
        <v>16478</v>
      </c>
      <c r="B1062" t="s">
        <v>16527</v>
      </c>
      <c r="C1062" s="16" t="str">
        <f t="shared" si="41"/>
        <v>C05265:1</v>
      </c>
      <c r="D1062" s="17" t="str">
        <f t="shared" si="42"/>
        <v>C05265 : 3-Oxodecanoyl-CoA</v>
      </c>
    </row>
    <row r="1063" spans="1:4">
      <c r="A1063" t="s">
        <v>16479</v>
      </c>
      <c r="B1063" t="s">
        <v>16597</v>
      </c>
      <c r="C1063" s="16" t="str">
        <f t="shared" si="41"/>
        <v>C05266:1</v>
      </c>
      <c r="D1063" s="17" t="str">
        <f t="shared" si="42"/>
        <v>C05266 : (S)-3-Hydroxyoctanoyl-CoA</v>
      </c>
    </row>
    <row r="1064" spans="1:4">
      <c r="A1064" t="s">
        <v>16480</v>
      </c>
      <c r="B1064" t="s">
        <v>16528</v>
      </c>
      <c r="C1064" s="16" t="str">
        <f t="shared" si="41"/>
        <v>C05267:1</v>
      </c>
      <c r="D1064" s="17" t="str">
        <f t="shared" si="42"/>
        <v>C05267 : 3-Oxooctanoyl-CoA</v>
      </c>
    </row>
    <row r="1065" spans="1:4">
      <c r="A1065" t="s">
        <v>16481</v>
      </c>
      <c r="B1065" t="s">
        <v>16598</v>
      </c>
      <c r="C1065" s="16" t="str">
        <f t="shared" ref="C1065:C1110" si="43">CONCATENATE(A1065,":","1")</f>
        <v>C05268:1</v>
      </c>
      <c r="D1065" s="17" t="str">
        <f t="shared" ref="D1065:D1110" si="44">CONCATENATE(A1065," : ",B1065)</f>
        <v>C05268 : (S)-Hydroxyhexanoyl-CoA</v>
      </c>
    </row>
    <row r="1066" spans="1:4">
      <c r="A1066" t="s">
        <v>16482</v>
      </c>
      <c r="B1066" t="s">
        <v>16529</v>
      </c>
      <c r="C1066" s="16" t="str">
        <f t="shared" si="43"/>
        <v>C05364:1</v>
      </c>
      <c r="D1066" s="17" t="str">
        <f t="shared" si="44"/>
        <v>C05364 : 4-Carboxy-2-oxo-3-hexenedioate</v>
      </c>
    </row>
    <row r="1067" spans="1:4">
      <c r="A1067" t="s">
        <v>16483</v>
      </c>
      <c r="B1067" t="s">
        <v>16530</v>
      </c>
      <c r="C1067" s="16" t="str">
        <f t="shared" si="43"/>
        <v>C06001:1</v>
      </c>
      <c r="D1067" s="17" t="str">
        <f t="shared" si="44"/>
        <v>C06001 : (S)-3-Hydroxyisobutyrate</v>
      </c>
    </row>
    <row r="1068" spans="1:4">
      <c r="A1068" t="s">
        <v>16484</v>
      </c>
      <c r="B1068" t="s">
        <v>16599</v>
      </c>
      <c r="C1068" s="16" t="str">
        <f t="shared" si="43"/>
        <v>C06002:1</v>
      </c>
      <c r="D1068" s="17" t="str">
        <f t="shared" si="44"/>
        <v>C06002 : (S)-Methylmalonate semialdehyde</v>
      </c>
    </row>
    <row r="1069" spans="1:4">
      <c r="A1069" t="s">
        <v>16377</v>
      </c>
      <c r="B1069" t="s">
        <v>16531</v>
      </c>
      <c r="C1069" s="16" t="str">
        <f t="shared" si="43"/>
        <v>C06030:1</v>
      </c>
      <c r="D1069" s="17" t="str">
        <f t="shared" si="44"/>
        <v>C06030 : Methyloxaloacetate</v>
      </c>
    </row>
    <row r="1070" spans="1:4">
      <c r="A1070" t="s">
        <v>16396</v>
      </c>
      <c r="B1070" t="s">
        <v>16600</v>
      </c>
      <c r="C1070" s="16" t="str">
        <f t="shared" si="43"/>
        <v>C06033:1</v>
      </c>
      <c r="D1070" s="17" t="str">
        <f t="shared" si="44"/>
        <v>C06033 : Parapyruvate</v>
      </c>
    </row>
    <row r="1071" spans="1:4">
      <c r="A1071" t="s">
        <v>16485</v>
      </c>
      <c r="B1071" t="s">
        <v>16601</v>
      </c>
      <c r="C1071" s="16" t="str">
        <f t="shared" si="43"/>
        <v>C06128:1</v>
      </c>
      <c r="D1071" s="17" t="str">
        <f t="shared" si="44"/>
        <v>C06128 : GM4</v>
      </c>
    </row>
    <row r="1072" spans="1:4">
      <c r="A1072" t="s">
        <v>16486</v>
      </c>
      <c r="B1072" t="s">
        <v>16602</v>
      </c>
      <c r="C1072" s="16" t="str">
        <f t="shared" si="43"/>
        <v>C06135:1</v>
      </c>
      <c r="D1072" s="17" t="str">
        <f t="shared" si="44"/>
        <v>C06135 : GA2</v>
      </c>
    </row>
    <row r="1073" spans="1:4">
      <c r="A1073" t="s">
        <v>16487</v>
      </c>
      <c r="B1073" t="s">
        <v>16603</v>
      </c>
      <c r="C1073" s="16" t="str">
        <f t="shared" si="43"/>
        <v>C06139:1</v>
      </c>
      <c r="D1073" s="17" t="str">
        <f t="shared" si="44"/>
        <v>C06139 : GQ1</v>
      </c>
    </row>
    <row r="1074" spans="1:4">
      <c r="A1074" t="s">
        <v>16488</v>
      </c>
      <c r="B1074" t="s">
        <v>16604</v>
      </c>
      <c r="C1074" s="16" t="str">
        <f t="shared" si="43"/>
        <v>C06140:1</v>
      </c>
      <c r="D1074" s="17" t="str">
        <f t="shared" si="44"/>
        <v>C06140 : GT1b</v>
      </c>
    </row>
    <row r="1075" spans="1:4">
      <c r="A1075" t="s">
        <v>16489</v>
      </c>
      <c r="B1075" t="s">
        <v>16605</v>
      </c>
      <c r="C1075" s="16" t="str">
        <f t="shared" si="43"/>
        <v>C06141:1</v>
      </c>
      <c r="D1075" s="17" t="str">
        <f t="shared" si="44"/>
        <v>C06141 : GD1b</v>
      </c>
    </row>
    <row r="1076" spans="1:4">
      <c r="A1076" t="s">
        <v>16490</v>
      </c>
      <c r="B1076" t="s">
        <v>16606</v>
      </c>
      <c r="C1076" s="16" t="str">
        <f t="shared" si="43"/>
        <v>C06240:1</v>
      </c>
      <c r="D1076" s="17" t="str">
        <f t="shared" si="44"/>
        <v>C06240 : UDP-N-acetyl-D-mannosaminouronate</v>
      </c>
    </row>
    <row r="1077" spans="1:4">
      <c r="A1077" t="s">
        <v>16491</v>
      </c>
      <c r="B1077" t="s">
        <v>16607</v>
      </c>
      <c r="C1077" s="16" t="str">
        <f t="shared" si="43"/>
        <v>C06714:1</v>
      </c>
      <c r="D1077" s="17" t="str">
        <f t="shared" si="44"/>
        <v>C06714 : 3-Hydroxypimeloyl-CoA</v>
      </c>
    </row>
    <row r="1078" spans="1:4">
      <c r="A1078" t="s">
        <v>16492</v>
      </c>
      <c r="B1078" t="s">
        <v>16608</v>
      </c>
      <c r="C1078" s="16" t="str">
        <f t="shared" si="43"/>
        <v>C06715:1</v>
      </c>
      <c r="D1078" s="17" t="str">
        <f t="shared" si="44"/>
        <v>C06715 : 3-Oxopimeloyl-CoA</v>
      </c>
    </row>
    <row r="1079" spans="1:4">
      <c r="A1079" t="s">
        <v>16493</v>
      </c>
      <c r="B1079" t="s">
        <v>16609</v>
      </c>
      <c r="C1079" s="16" t="str">
        <f t="shared" si="43"/>
        <v>C06761:1</v>
      </c>
      <c r="D1079" s="17" t="str">
        <f t="shared" si="44"/>
        <v>C06761 : (4E)-2-Oxohexenoic acid</v>
      </c>
    </row>
    <row r="1080" spans="1:4">
      <c r="A1080" t="s">
        <v>16412</v>
      </c>
      <c r="B1080" t="s">
        <v>16610</v>
      </c>
      <c r="C1080" s="16" t="str">
        <f t="shared" si="43"/>
        <v>C06762:1</v>
      </c>
      <c r="D1080" s="17" t="str">
        <f t="shared" si="44"/>
        <v>C06762 : 4-Hydroxy-2-oxohexanoic acid</v>
      </c>
    </row>
    <row r="1081" spans="1:4">
      <c r="A1081" t="s">
        <v>16251</v>
      </c>
      <c r="B1081" t="s">
        <v>16611</v>
      </c>
      <c r="C1081" s="16" t="str">
        <f t="shared" si="43"/>
        <v>C12624:1</v>
      </c>
      <c r="D1081" s="17" t="str">
        <f t="shared" si="44"/>
        <v>C12624 : 2-Hydroxy-6-ketononatrienedioate</v>
      </c>
    </row>
    <row r="1082" spans="1:4">
      <c r="A1082" t="s">
        <v>16494</v>
      </c>
      <c r="B1082" t="s">
        <v>16612</v>
      </c>
      <c r="C1082" s="16" t="str">
        <f t="shared" si="43"/>
        <v>C12739:1</v>
      </c>
      <c r="D1082" s="17" t="str">
        <f t="shared" si="44"/>
        <v>C12739 : 5'-Deoxy-5-fluorouridine</v>
      </c>
    </row>
    <row r="1083" spans="1:4">
      <c r="A1083" t="s">
        <v>16495</v>
      </c>
      <c r="B1083" t="s">
        <v>16532</v>
      </c>
      <c r="C1083" s="16" t="str">
        <f t="shared" si="43"/>
        <v>C14145:1</v>
      </c>
      <c r="D1083" s="17" t="str">
        <f t="shared" si="44"/>
        <v>C14145 : (3S)-3-Hydroxyadipyl-CoA</v>
      </c>
    </row>
    <row r="1084" spans="1:4">
      <c r="A1084" t="s">
        <v>16496</v>
      </c>
      <c r="B1084" t="s">
        <v>16533</v>
      </c>
      <c r="C1084" s="16" t="str">
        <f t="shared" si="43"/>
        <v>C16329:1</v>
      </c>
      <c r="D1084" s="17" t="str">
        <f t="shared" si="44"/>
        <v>C16329 : 3-Hydroxy-OPC8-CoA</v>
      </c>
    </row>
    <row r="1085" spans="1:4">
      <c r="A1085" t="s">
        <v>16497</v>
      </c>
      <c r="B1085" t="s">
        <v>16534</v>
      </c>
      <c r="C1085" s="16" t="str">
        <f t="shared" si="43"/>
        <v>C16330:1</v>
      </c>
      <c r="D1085" s="17" t="str">
        <f t="shared" si="44"/>
        <v>C16330 : 3-Oxo-OPC8-CoA</v>
      </c>
    </row>
    <row r="1086" spans="1:4">
      <c r="A1086" t="s">
        <v>16498</v>
      </c>
      <c r="B1086" t="s">
        <v>16535</v>
      </c>
      <c r="C1086" s="16" t="str">
        <f t="shared" si="43"/>
        <v>C16333:1</v>
      </c>
      <c r="D1086" s="17" t="str">
        <f t="shared" si="44"/>
        <v>C16333 : 3-Hydroxy-OPC6-CoA</v>
      </c>
    </row>
    <row r="1087" spans="1:4">
      <c r="A1087" t="s">
        <v>16499</v>
      </c>
      <c r="B1087" t="s">
        <v>16536</v>
      </c>
      <c r="C1087" s="16" t="str">
        <f t="shared" si="43"/>
        <v>C16334:1</v>
      </c>
      <c r="D1087" s="17" t="str">
        <f t="shared" si="44"/>
        <v>C16334 : 3-Oxo-OPC6-CoA</v>
      </c>
    </row>
    <row r="1088" spans="1:4">
      <c r="A1088" t="s">
        <v>16500</v>
      </c>
      <c r="B1088" t="s">
        <v>16537</v>
      </c>
      <c r="C1088" s="16" t="str">
        <f t="shared" si="43"/>
        <v>C16337:1</v>
      </c>
      <c r="D1088" s="17" t="str">
        <f t="shared" si="44"/>
        <v>C16337 : 3-Hydroxy-OPC4-CoA</v>
      </c>
    </row>
    <row r="1089" spans="1:4">
      <c r="A1089" t="s">
        <v>16501</v>
      </c>
      <c r="B1089" t="s">
        <v>16538</v>
      </c>
      <c r="C1089" s="16" t="str">
        <f t="shared" si="43"/>
        <v>C16338:1</v>
      </c>
      <c r="D1089" s="17" t="str">
        <f t="shared" si="44"/>
        <v>C16338 : 3-Oxo-OPC4-CoA</v>
      </c>
    </row>
    <row r="1090" spans="1:4">
      <c r="A1090" t="s">
        <v>16502</v>
      </c>
      <c r="B1090" t="s">
        <v>16539</v>
      </c>
      <c r="C1090" s="16" t="str">
        <f t="shared" si="43"/>
        <v>C16469:1</v>
      </c>
      <c r="D1090" s="17" t="str">
        <f t="shared" si="44"/>
        <v>C16469 : 3-Hydroxy-5-methylhex-4-enoyl-CoA</v>
      </c>
    </row>
    <row r="1091" spans="1:4">
      <c r="A1091" t="s">
        <v>16503</v>
      </c>
      <c r="B1091" t="s">
        <v>16540</v>
      </c>
      <c r="C1091" s="16" t="str">
        <f t="shared" si="43"/>
        <v>C16471:1</v>
      </c>
      <c r="D1091" s="17" t="str">
        <f t="shared" si="44"/>
        <v>C16471 : 5-Methyl-3-oxo-4-hexenoyl-CoA</v>
      </c>
    </row>
    <row r="1092" spans="1:4">
      <c r="A1092" t="s">
        <v>16360</v>
      </c>
      <c r="B1092" t="s">
        <v>16613</v>
      </c>
      <c r="C1092" s="16" t="str">
        <f t="shared" si="43"/>
        <v>C16631:1</v>
      </c>
      <c r="D1092" s="17" t="str">
        <f t="shared" si="44"/>
        <v>C16631 : alpha-Fluoro-beta-ureidopropionic acid</v>
      </c>
    </row>
    <row r="1093" spans="1:4">
      <c r="A1093" t="s">
        <v>16504</v>
      </c>
      <c r="B1093" t="s">
        <v>16541</v>
      </c>
      <c r="C1093" s="16" t="str">
        <f t="shared" si="43"/>
        <v>C16635:1</v>
      </c>
      <c r="D1093" s="17" t="str">
        <f t="shared" si="44"/>
        <v>C16635 : 5'-Deoxy-5-fluorocytidine</v>
      </c>
    </row>
    <row r="1094" spans="1:4">
      <c r="A1094" t="s">
        <v>16505</v>
      </c>
      <c r="B1094" t="s">
        <v>16614</v>
      </c>
      <c r="C1094" s="16" t="str">
        <f t="shared" si="43"/>
        <v>C19771:1</v>
      </c>
      <c r="D1094" s="17" t="str">
        <f t="shared" si="44"/>
        <v>C19771 : 2'-(5-Triphosphoribosyl)-3'-dephospho-CoA</v>
      </c>
    </row>
    <row r="1095" spans="1:4">
      <c r="A1095" t="s">
        <v>16506</v>
      </c>
      <c r="B1095" t="s">
        <v>16542</v>
      </c>
      <c r="C1095" s="16" t="str">
        <f t="shared" si="43"/>
        <v>C20062:1</v>
      </c>
      <c r="D1095" s="17" t="str">
        <f t="shared" si="44"/>
        <v>C20062 : 2-(1,2-Epoxy-1,2-dihydrophenyl)acetyl-CoA</v>
      </c>
    </row>
    <row r="1096" spans="1:4">
      <c r="A1096" t="s">
        <v>16393</v>
      </c>
      <c r="B1096" t="s">
        <v>16615</v>
      </c>
      <c r="C1096" s="16" t="str">
        <f t="shared" si="43"/>
        <v>C20485:1</v>
      </c>
      <c r="D1096" s="17" t="str">
        <f t="shared" si="44"/>
        <v>C20485 : (4S)-4-Hydroxy-2-oxoglutarate</v>
      </c>
    </row>
    <row r="1097" spans="1:4">
      <c r="A1097" t="s">
        <v>16507</v>
      </c>
      <c r="B1097" t="s">
        <v>16616</v>
      </c>
      <c r="C1097" s="16" t="str">
        <f t="shared" si="43"/>
        <v>C21028:1</v>
      </c>
      <c r="D1097" s="17" t="str">
        <f t="shared" si="44"/>
        <v>C21028 : (R)-5,6-Dihydrothymine</v>
      </c>
    </row>
    <row r="1098" spans="1:4">
      <c r="A1098" t="s">
        <v>16357</v>
      </c>
      <c r="B1098" t="s">
        <v>16617</v>
      </c>
      <c r="C1098" s="16" t="str">
        <f t="shared" si="43"/>
        <v>C21029:1</v>
      </c>
      <c r="D1098" s="17" t="str">
        <f t="shared" si="44"/>
        <v>C21029 : (R)-3-Ureidoisobutyrate</v>
      </c>
    </row>
    <row r="1099" spans="1:4">
      <c r="A1099" t="s">
        <v>16438</v>
      </c>
      <c r="B1099" t="s">
        <v>17635</v>
      </c>
      <c r="C1099" s="16" t="str">
        <f t="shared" si="43"/>
        <v>C21113:1</v>
      </c>
      <c r="D1099" s="17" t="str">
        <f t="shared" si="44"/>
        <v>C21113 : Reduced nicotinamide nucleotide</v>
      </c>
    </row>
    <row r="1100" spans="1:4">
      <c r="A1100" t="s">
        <v>16508</v>
      </c>
      <c r="B1100" t="s">
        <v>16572</v>
      </c>
      <c r="C1100" s="16" t="str">
        <f t="shared" si="43"/>
        <v>G00092:1</v>
      </c>
      <c r="D1100" s="17" t="str">
        <f t="shared" si="44"/>
        <v>G00092 : Lactosylceramide</v>
      </c>
    </row>
    <row r="1101" spans="1:4">
      <c r="A1101" t="s">
        <v>16509</v>
      </c>
      <c r="B1101" t="s">
        <v>16591</v>
      </c>
      <c r="C1101" s="16" t="str">
        <f t="shared" si="43"/>
        <v>G00108:1</v>
      </c>
      <c r="D1101" s="17" t="str">
        <f t="shared" si="44"/>
        <v>G00108 : GM3</v>
      </c>
    </row>
    <row r="1102" spans="1:4">
      <c r="A1102" t="s">
        <v>16510</v>
      </c>
      <c r="B1102" t="s">
        <v>16618</v>
      </c>
      <c r="C1102" s="16" t="str">
        <f t="shared" si="43"/>
        <v>G00109:1</v>
      </c>
      <c r="D1102" s="17" t="str">
        <f t="shared" si="44"/>
        <v>G00109 : GM2</v>
      </c>
    </row>
    <row r="1103" spans="1:4">
      <c r="A1103" t="s">
        <v>16340</v>
      </c>
      <c r="B1103" t="s">
        <v>16619</v>
      </c>
      <c r="C1103" s="16" t="str">
        <f t="shared" si="43"/>
        <v>G00110:1</v>
      </c>
      <c r="D1103" s="17" t="str">
        <f t="shared" si="44"/>
        <v>G00110 : GM1</v>
      </c>
    </row>
    <row r="1104" spans="1:4">
      <c r="A1104" t="s">
        <v>16511</v>
      </c>
      <c r="B1104" t="s">
        <v>16620</v>
      </c>
      <c r="C1104" s="16" t="str">
        <f t="shared" si="43"/>
        <v>G00111:1</v>
      </c>
      <c r="D1104" s="17" t="str">
        <f t="shared" si="44"/>
        <v>G00111 : GD1a</v>
      </c>
    </row>
    <row r="1105" spans="1:4">
      <c r="A1105" t="s">
        <v>16328</v>
      </c>
      <c r="B1105" t="s">
        <v>16605</v>
      </c>
      <c r="C1105" s="16" t="str">
        <f t="shared" si="43"/>
        <v>G00115:1</v>
      </c>
      <c r="D1105" s="17" t="str">
        <f t="shared" si="44"/>
        <v>G00115 : GD1b</v>
      </c>
    </row>
    <row r="1106" spans="1:4">
      <c r="A1106" t="s">
        <v>16512</v>
      </c>
      <c r="B1106" t="s">
        <v>16604</v>
      </c>
      <c r="C1106" s="16" t="str">
        <f t="shared" si="43"/>
        <v>G00116:1</v>
      </c>
      <c r="D1106" s="17" t="str">
        <f t="shared" si="44"/>
        <v>G00116 : GT1b</v>
      </c>
    </row>
    <row r="1107" spans="1:4">
      <c r="A1107" t="s">
        <v>16513</v>
      </c>
      <c r="B1107" t="s">
        <v>16621</v>
      </c>
      <c r="C1107" s="16" t="str">
        <f t="shared" si="43"/>
        <v>G00117:1</v>
      </c>
      <c r="D1107" s="17" t="str">
        <f t="shared" si="44"/>
        <v>G00117 : GQ1b</v>
      </c>
    </row>
    <row r="1108" spans="1:4">
      <c r="A1108" t="s">
        <v>16514</v>
      </c>
      <c r="B1108" t="s">
        <v>16602</v>
      </c>
      <c r="C1108" s="16" t="str">
        <f t="shared" si="43"/>
        <v>G00123:1</v>
      </c>
      <c r="D1108" s="17" t="str">
        <f t="shared" si="44"/>
        <v>G00123 : GA2</v>
      </c>
    </row>
    <row r="1109" spans="1:4">
      <c r="A1109" t="s">
        <v>16515</v>
      </c>
      <c r="B1109" t="s">
        <v>16601</v>
      </c>
      <c r="C1109" s="16" t="str">
        <f t="shared" si="43"/>
        <v>G00317:1</v>
      </c>
      <c r="D1109" s="17" t="str">
        <f t="shared" si="44"/>
        <v>G00317 : GM4</v>
      </c>
    </row>
    <row r="1110" spans="1:4">
      <c r="A1110" t="s">
        <v>16516</v>
      </c>
      <c r="B1110" t="s">
        <v>16577</v>
      </c>
      <c r="C1110" s="16" t="str">
        <f t="shared" si="43"/>
        <v>G11121:1</v>
      </c>
      <c r="D1110" s="17" t="str">
        <f t="shared" si="44"/>
        <v>G11121 : Galactosylceramide</v>
      </c>
    </row>
  </sheetData>
  <sortState xmlns:xlrd2="http://schemas.microsoft.com/office/spreadsheetml/2017/richdata2" ref="A2:D1000">
    <sortCondition ref="A2:A1000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B441-6CF0-47EA-8BDD-D1DCD82CF0EE}">
  <dimension ref="A1:N601"/>
  <sheetViews>
    <sheetView tabSelected="1" zoomScale="85" zoomScaleNormal="85" workbookViewId="0">
      <pane ySplit="1" topLeftCell="A2" activePane="bottomLeft" state="frozen"/>
      <selection activeCell="F19" sqref="F19"/>
      <selection pane="bottomLeft" activeCell="B2" sqref="B2"/>
    </sheetView>
  </sheetViews>
  <sheetFormatPr defaultRowHeight="14.5"/>
  <cols>
    <col min="1" max="1" width="4.36328125" customWidth="1"/>
    <col min="2" max="2" width="10.6328125" customWidth="1"/>
    <col min="3" max="3" width="19.36328125" customWidth="1"/>
    <col min="4" max="4" width="14.6328125" customWidth="1"/>
    <col min="5" max="5" width="21.6328125" style="29" customWidth="1"/>
    <col min="6" max="6" width="19.36328125" style="30" customWidth="1"/>
    <col min="7" max="7" width="34.54296875" style="31" customWidth="1"/>
    <col min="8" max="8" width="25.6328125" style="32" customWidth="1"/>
    <col min="9" max="9" width="24.36328125" style="33" customWidth="1"/>
    <col min="10" max="10" width="24.36328125" style="16" customWidth="1"/>
    <col min="11" max="11" width="34.54296875" style="34" customWidth="1"/>
    <col min="12" max="12" width="45.6328125" style="31" customWidth="1"/>
    <col min="13" max="13" width="59" style="35" customWidth="1"/>
    <col min="14" max="14" width="75.54296875" style="29" customWidth="1"/>
  </cols>
  <sheetData>
    <row r="1" spans="1:14" s="20" customFormat="1" ht="29">
      <c r="A1" s="20" t="s">
        <v>8451</v>
      </c>
      <c r="B1" s="20" t="s">
        <v>8452</v>
      </c>
      <c r="C1" s="20" t="s">
        <v>8453</v>
      </c>
      <c r="D1" s="20" t="s">
        <v>8454</v>
      </c>
      <c r="E1" s="21" t="s">
        <v>8455</v>
      </c>
      <c r="F1" s="22" t="s">
        <v>8456</v>
      </c>
      <c r="G1" s="23" t="s">
        <v>8457</v>
      </c>
      <c r="H1" s="24" t="s">
        <v>8458</v>
      </c>
      <c r="I1" s="25" t="s">
        <v>8459</v>
      </c>
      <c r="J1" s="26" t="s">
        <v>8460</v>
      </c>
      <c r="K1" s="27" t="s">
        <v>8461</v>
      </c>
      <c r="L1" s="23" t="s">
        <v>8462</v>
      </c>
      <c r="M1" s="28" t="s">
        <v>8463</v>
      </c>
      <c r="N1" s="21" t="s">
        <v>8464</v>
      </c>
    </row>
    <row r="2" spans="1:14">
      <c r="A2">
        <v>1</v>
      </c>
      <c r="B2" t="s">
        <v>12771</v>
      </c>
      <c r="C2" t="str">
        <f t="shared" ref="C2" si="0">CONCATENATE(D2,"_mRNA")</f>
        <v>E1_1_1_1_mRNA</v>
      </c>
      <c r="D2" t="str">
        <f t="shared" ref="D2" si="1">CONCATENATE("E",B2)</f>
        <v>E1_1_1_1</v>
      </c>
      <c r="E2" s="29" t="str">
        <f t="shared" ref="E2" si="2">CONCATENATE("E",B2,"_kcat : 13.7")</f>
        <v>E1_1_1_1_kcat : 13.7</v>
      </c>
      <c r="F2" s="30" t="str">
        <f t="shared" ref="F2" si="3">CONCATENATE("E",B2,"_km : 1")</f>
        <v>E1_1_1_1_km : 1</v>
      </c>
      <c r="G2" s="31" t="str">
        <f t="shared" ref="G2" si="4">CONCATENATE(C2," : ",C2)</f>
        <v>E1_1_1_1_mRNA : E1_1_1_1_mRNA</v>
      </c>
      <c r="H2" s="32" t="str">
        <f t="shared" ref="H2" si="5">CONCATENATE(D2," : ",D2)</f>
        <v>E1_1_1_1 : E1_1_1_1</v>
      </c>
      <c r="I2" s="33" t="str">
        <f t="shared" ref="I2" si="6">CONCATENATE(C2," : ","0")</f>
        <v>E1_1_1_1_mRNA : 0</v>
      </c>
      <c r="J2" s="16" t="str">
        <f t="shared" ref="J2" si="7">CONCATENATE(D2," : ","0")</f>
        <v>E1_1_1_1 : 0</v>
      </c>
      <c r="K2" s="34" t="str">
        <f>CONCATENATE("0.00292 - (0.0093 * ",C2,")")</f>
        <v>0.00292 - (0.0093 * E1_1_1_1_mRNA)</v>
      </c>
      <c r="L2" s="31" t="str">
        <f>CONCATENATE("(0.278 * ",C2,")"," - (0.00000278 * ",D2,")")</f>
        <v>(0.278 * E1_1_1_1_mRNA) - (0.00000278 * E1_1_1_1)</v>
      </c>
      <c r="M2" s="35" t="str">
        <f>CONCATENATE("mRNA",A2,": -&gt; ",C2," | ","0.00292"," - ","(","0.0093"," * ",C2,")")</f>
        <v>mRNA1: -&gt; E1_1_1_1_mRNA | 0.00292 - (0.0093 * E1_1_1_1_mRNA)</v>
      </c>
      <c r="N2" s="29" t="str">
        <f>CONCATENATE("Peptide",A2,": ",C2," -&gt; ",D2," | ","(","0.278"," * ",C2,")"," - ","(","0.000000278"," * ",D2,")")</f>
        <v>Peptide1: E1_1_1_1_mRNA -&gt; E1_1_1_1 | (0.278 * E1_1_1_1_mRNA) - (0.000000278 * E1_1_1_1)</v>
      </c>
    </row>
    <row r="3" spans="1:14">
      <c r="A3">
        <v>2</v>
      </c>
      <c r="B3" t="s">
        <v>12770</v>
      </c>
      <c r="C3" t="str">
        <f t="shared" ref="C3:C66" si="8">CONCATENATE(D3,"_mRNA")</f>
        <v>E1_1_1_100_mRNA</v>
      </c>
      <c r="D3" t="str">
        <f t="shared" ref="D3:D66" si="9">CONCATENATE("E",B3)</f>
        <v>E1_1_1_100</v>
      </c>
      <c r="E3" s="29" t="str">
        <f t="shared" ref="E3:E66" si="10">CONCATENATE("E",B3,"_kcat : 13.7")</f>
        <v>E1_1_1_100_kcat : 13.7</v>
      </c>
      <c r="F3" s="30" t="str">
        <f t="shared" ref="F3:F66" si="11">CONCATENATE("E",B3,"_km : 1")</f>
        <v>E1_1_1_100_km : 1</v>
      </c>
      <c r="G3" s="31" t="str">
        <f t="shared" ref="G3:G66" si="12">CONCATENATE(C3," : ",C3)</f>
        <v>E1_1_1_100_mRNA : E1_1_1_100_mRNA</v>
      </c>
      <c r="H3" s="32" t="str">
        <f t="shared" ref="H3:H66" si="13">CONCATENATE(D3," : ",D3)</f>
        <v>E1_1_1_100 : E1_1_1_100</v>
      </c>
      <c r="I3" s="33" t="str">
        <f t="shared" ref="I3:I66" si="14">CONCATENATE(C3," : ","0")</f>
        <v>E1_1_1_100_mRNA : 0</v>
      </c>
      <c r="J3" s="16" t="str">
        <f t="shared" ref="J3:J66" si="15">CONCATENATE(D3," : ","0")</f>
        <v>E1_1_1_100 : 0</v>
      </c>
      <c r="K3" s="34" t="str">
        <f t="shared" ref="K3:K66" si="16">CONCATENATE("0.00292 - (0.0093 * ",C3,")")</f>
        <v>0.00292 - (0.0093 * E1_1_1_100_mRNA)</v>
      </c>
      <c r="L3" s="31" t="str">
        <f t="shared" ref="L3:L66" si="17">CONCATENATE("(0.278 * ",C3,")"," - (0.00000278 * ",D3,")")</f>
        <v>(0.278 * E1_1_1_100_mRNA) - (0.00000278 * E1_1_1_100)</v>
      </c>
      <c r="M3" s="35" t="str">
        <f>CONCATENATE("mRNA",A3,": -&gt; ",C3," | ","0.00292"," - ","(","0.0093"," * ",C3,")")</f>
        <v>mRNA2: -&gt; E1_1_1_100_mRNA | 0.00292 - (0.0093 * E1_1_1_100_mRNA)</v>
      </c>
      <c r="N3" s="29" t="str">
        <f t="shared" ref="N3:N65" si="18">CONCATENATE("Peptide",A3,": ",C3," -&gt; ",D3," | ","(","0.278"," * ",C3,")"," - ","(","0.000000278"," * ",D3,")")</f>
        <v>Peptide2: E1_1_1_100_mRNA -&gt; E1_1_1_100 | (0.278 * E1_1_1_100_mRNA) - (0.000000278 * E1_1_1_100)</v>
      </c>
    </row>
    <row r="4" spans="1:14">
      <c r="A4">
        <v>3</v>
      </c>
      <c r="B4" s="45" t="s">
        <v>17593</v>
      </c>
      <c r="C4" t="str">
        <f t="shared" si="8"/>
        <v>E1_1_1_140_mRNA</v>
      </c>
      <c r="D4" t="str">
        <f t="shared" si="9"/>
        <v>E1_1_1_140</v>
      </c>
      <c r="E4" s="29" t="str">
        <f t="shared" si="10"/>
        <v>E1_1_1_140_kcat : 13.7</v>
      </c>
      <c r="F4" s="30" t="str">
        <f t="shared" si="11"/>
        <v>E1_1_1_140_km : 1</v>
      </c>
      <c r="G4" s="31" t="str">
        <f t="shared" si="12"/>
        <v>E1_1_1_140_mRNA : E1_1_1_140_mRNA</v>
      </c>
      <c r="H4" s="32" t="str">
        <f t="shared" si="13"/>
        <v>E1_1_1_140 : E1_1_1_140</v>
      </c>
      <c r="I4" s="33" t="str">
        <f t="shared" si="14"/>
        <v>E1_1_1_140_mRNA : 0</v>
      </c>
      <c r="J4" s="16" t="str">
        <f t="shared" si="15"/>
        <v>E1_1_1_140 : 0</v>
      </c>
      <c r="K4" s="34" t="str">
        <f t="shared" si="16"/>
        <v>0.00292 - (0.0093 * E1_1_1_140_mRNA)</v>
      </c>
      <c r="L4" s="31" t="str">
        <f t="shared" si="17"/>
        <v>(0.278 * E1_1_1_140_mRNA) - (0.00000278 * E1_1_1_140)</v>
      </c>
      <c r="M4" s="35" t="str">
        <f t="shared" ref="M4:M66" si="19">CONCATENATE("mRNA",A4,": -&gt; ",C4," | ","0.00292"," - ","(","0.0093"," * ",C4,")")</f>
        <v>mRNA3: -&gt; E1_1_1_140_mRNA | 0.00292 - (0.0093 * E1_1_1_140_mRNA)</v>
      </c>
      <c r="N4" s="29" t="str">
        <f t="shared" si="18"/>
        <v>Peptide3: E1_1_1_140_mRNA -&gt; E1_1_1_140 | (0.278 * E1_1_1_140_mRNA) - (0.000000278 * E1_1_1_140)</v>
      </c>
    </row>
    <row r="5" spans="1:14">
      <c r="A5">
        <v>4</v>
      </c>
      <c r="B5" t="s">
        <v>16009</v>
      </c>
      <c r="C5" t="str">
        <f t="shared" si="8"/>
        <v>E1_1_1_169_mRNA</v>
      </c>
      <c r="D5" t="str">
        <f t="shared" si="9"/>
        <v>E1_1_1_169</v>
      </c>
      <c r="E5" s="29" t="str">
        <f t="shared" si="10"/>
        <v>E1_1_1_169_kcat : 13.7</v>
      </c>
      <c r="F5" s="30" t="str">
        <f t="shared" si="11"/>
        <v>E1_1_1_169_km : 1</v>
      </c>
      <c r="G5" s="31" t="str">
        <f t="shared" si="12"/>
        <v>E1_1_1_169_mRNA : E1_1_1_169_mRNA</v>
      </c>
      <c r="H5" s="32" t="str">
        <f t="shared" si="13"/>
        <v>E1_1_1_169 : E1_1_1_169</v>
      </c>
      <c r="I5" s="33" t="str">
        <f t="shared" si="14"/>
        <v>E1_1_1_169_mRNA : 0</v>
      </c>
      <c r="J5" s="16" t="str">
        <f t="shared" si="15"/>
        <v>E1_1_1_169 : 0</v>
      </c>
      <c r="K5" s="34" t="str">
        <f t="shared" si="16"/>
        <v>0.00292 - (0.0093 * E1_1_1_169_mRNA)</v>
      </c>
      <c r="L5" s="31" t="str">
        <f t="shared" si="17"/>
        <v>(0.278 * E1_1_1_169_mRNA) - (0.00000278 * E1_1_1_169)</v>
      </c>
      <c r="M5" s="35" t="str">
        <f t="shared" si="19"/>
        <v>mRNA4: -&gt; E1_1_1_169_mRNA | 0.00292 - (0.0093 * E1_1_1_169_mRNA)</v>
      </c>
      <c r="N5" s="29" t="str">
        <f t="shared" si="18"/>
        <v>Peptide4: E1_1_1_169_mRNA -&gt; E1_1_1_169 | (0.278 * E1_1_1_169_mRNA) - (0.000000278 * E1_1_1_169)</v>
      </c>
    </row>
    <row r="6" spans="1:14">
      <c r="A6">
        <v>5</v>
      </c>
      <c r="B6" s="45" t="s">
        <v>17594</v>
      </c>
      <c r="C6" t="str">
        <f t="shared" si="8"/>
        <v>E1_1_1_17_mRNA</v>
      </c>
      <c r="D6" t="str">
        <f t="shared" si="9"/>
        <v>E1_1_1_17</v>
      </c>
      <c r="E6" s="29" t="str">
        <f t="shared" si="10"/>
        <v>E1_1_1_17_kcat : 13.7</v>
      </c>
      <c r="F6" s="30" t="str">
        <f t="shared" si="11"/>
        <v>E1_1_1_17_km : 1</v>
      </c>
      <c r="G6" s="31" t="str">
        <f t="shared" si="12"/>
        <v>E1_1_1_17_mRNA : E1_1_1_17_mRNA</v>
      </c>
      <c r="H6" s="32" t="str">
        <f t="shared" si="13"/>
        <v>E1_1_1_17 : E1_1_1_17</v>
      </c>
      <c r="I6" s="33" t="str">
        <f t="shared" si="14"/>
        <v>E1_1_1_17_mRNA : 0</v>
      </c>
      <c r="J6" s="16" t="str">
        <f t="shared" si="15"/>
        <v>E1_1_1_17 : 0</v>
      </c>
      <c r="K6" s="34" t="str">
        <f t="shared" si="16"/>
        <v>0.00292 - (0.0093 * E1_1_1_17_mRNA)</v>
      </c>
      <c r="L6" s="31" t="str">
        <f t="shared" si="17"/>
        <v>(0.278 * E1_1_1_17_mRNA) - (0.00000278 * E1_1_1_17)</v>
      </c>
      <c r="M6" s="35" t="str">
        <f t="shared" si="19"/>
        <v>mRNA5: -&gt; E1_1_1_17_mRNA | 0.00292 - (0.0093 * E1_1_1_17_mRNA)</v>
      </c>
      <c r="N6" s="29" t="str">
        <f t="shared" si="18"/>
        <v>Peptide5: E1_1_1_17_mRNA -&gt; E1_1_1_17 | (0.278 * E1_1_1_17_mRNA) - (0.000000278 * E1_1_1_17)</v>
      </c>
    </row>
    <row r="7" spans="1:14">
      <c r="A7">
        <v>6</v>
      </c>
      <c r="B7" t="s">
        <v>16010</v>
      </c>
      <c r="C7" t="str">
        <f t="shared" si="8"/>
        <v>E1_1_1_18_mRNA</v>
      </c>
      <c r="D7" t="str">
        <f t="shared" si="9"/>
        <v>E1_1_1_18</v>
      </c>
      <c r="E7" s="29" t="str">
        <f t="shared" si="10"/>
        <v>E1_1_1_18_kcat : 13.7</v>
      </c>
      <c r="F7" s="30" t="str">
        <f t="shared" si="11"/>
        <v>E1_1_1_18_km : 1</v>
      </c>
      <c r="G7" s="31" t="str">
        <f t="shared" si="12"/>
        <v>E1_1_1_18_mRNA : E1_1_1_18_mRNA</v>
      </c>
      <c r="H7" s="32" t="str">
        <f t="shared" si="13"/>
        <v>E1_1_1_18 : E1_1_1_18</v>
      </c>
      <c r="I7" s="33" t="str">
        <f t="shared" si="14"/>
        <v>E1_1_1_18_mRNA : 0</v>
      </c>
      <c r="J7" s="16" t="str">
        <f t="shared" si="15"/>
        <v>E1_1_1_18 : 0</v>
      </c>
      <c r="K7" s="34" t="str">
        <f t="shared" si="16"/>
        <v>0.00292 - (0.0093 * E1_1_1_18_mRNA)</v>
      </c>
      <c r="L7" s="31" t="str">
        <f t="shared" si="17"/>
        <v>(0.278 * E1_1_1_18_mRNA) - (0.00000278 * E1_1_1_18)</v>
      </c>
      <c r="M7" s="35" t="str">
        <f t="shared" si="19"/>
        <v>mRNA6: -&gt; E1_1_1_18_mRNA | 0.00292 - (0.0093 * E1_1_1_18_mRNA)</v>
      </c>
      <c r="N7" s="29" t="str">
        <f t="shared" si="18"/>
        <v>Peptide6: E1_1_1_18_mRNA -&gt; E1_1_1_18 | (0.278 * E1_1_1_18_mRNA) - (0.000000278 * E1_1_1_18)</v>
      </c>
    </row>
    <row r="8" spans="1:14">
      <c r="A8">
        <v>7</v>
      </c>
      <c r="B8" t="s">
        <v>12772</v>
      </c>
      <c r="C8" t="str">
        <f t="shared" si="8"/>
        <v>E1_1_1_193_mRNA</v>
      </c>
      <c r="D8" t="str">
        <f t="shared" si="9"/>
        <v>E1_1_1_193</v>
      </c>
      <c r="E8" s="29" t="str">
        <f t="shared" si="10"/>
        <v>E1_1_1_193_kcat : 13.7</v>
      </c>
      <c r="F8" s="30" t="str">
        <f t="shared" si="11"/>
        <v>E1_1_1_193_km : 1</v>
      </c>
      <c r="G8" s="31" t="str">
        <f t="shared" si="12"/>
        <v>E1_1_1_193_mRNA : E1_1_1_193_mRNA</v>
      </c>
      <c r="H8" s="32" t="str">
        <f t="shared" si="13"/>
        <v>E1_1_1_193 : E1_1_1_193</v>
      </c>
      <c r="I8" s="33" t="str">
        <f t="shared" si="14"/>
        <v>E1_1_1_193_mRNA : 0</v>
      </c>
      <c r="J8" s="16" t="str">
        <f t="shared" si="15"/>
        <v>E1_1_1_193 : 0</v>
      </c>
      <c r="K8" s="34" t="str">
        <f t="shared" si="16"/>
        <v>0.00292 - (0.0093 * E1_1_1_193_mRNA)</v>
      </c>
      <c r="L8" s="31" t="str">
        <f t="shared" si="17"/>
        <v>(0.278 * E1_1_1_193_mRNA) - (0.00000278 * E1_1_1_193)</v>
      </c>
      <c r="M8" s="35" t="str">
        <f t="shared" si="19"/>
        <v>mRNA7: -&gt; E1_1_1_193_mRNA | 0.00292 - (0.0093 * E1_1_1_193_mRNA)</v>
      </c>
      <c r="N8" s="29" t="str">
        <f t="shared" si="18"/>
        <v>Peptide7: E1_1_1_193_mRNA -&gt; E1_1_1_193 | (0.278 * E1_1_1_193_mRNA) - (0.000000278 * E1_1_1_193)</v>
      </c>
    </row>
    <row r="9" spans="1:14">
      <c r="A9">
        <v>8</v>
      </c>
      <c r="B9" t="s">
        <v>12773</v>
      </c>
      <c r="C9" t="str">
        <f t="shared" si="8"/>
        <v>E1_1_1_205_mRNA</v>
      </c>
      <c r="D9" t="str">
        <f t="shared" si="9"/>
        <v>E1_1_1_205</v>
      </c>
      <c r="E9" s="29" t="str">
        <f t="shared" si="10"/>
        <v>E1_1_1_205_kcat : 13.7</v>
      </c>
      <c r="F9" s="30" t="str">
        <f t="shared" si="11"/>
        <v>E1_1_1_205_km : 1</v>
      </c>
      <c r="G9" s="31" t="str">
        <f t="shared" si="12"/>
        <v>E1_1_1_205_mRNA : E1_1_1_205_mRNA</v>
      </c>
      <c r="H9" s="32" t="str">
        <f t="shared" si="13"/>
        <v>E1_1_1_205 : E1_1_1_205</v>
      </c>
      <c r="I9" s="33" t="str">
        <f t="shared" si="14"/>
        <v>E1_1_1_205_mRNA : 0</v>
      </c>
      <c r="J9" s="16" t="str">
        <f t="shared" si="15"/>
        <v>E1_1_1_205 : 0</v>
      </c>
      <c r="K9" s="34" t="str">
        <f t="shared" si="16"/>
        <v>0.00292 - (0.0093 * E1_1_1_205_mRNA)</v>
      </c>
      <c r="L9" s="31" t="str">
        <f t="shared" si="17"/>
        <v>(0.278 * E1_1_1_205_mRNA) - (0.00000278 * E1_1_1_205)</v>
      </c>
      <c r="M9" s="35" t="str">
        <f t="shared" si="19"/>
        <v>mRNA8: -&gt; E1_1_1_205_mRNA | 0.00292 - (0.0093 * E1_1_1_205_mRNA)</v>
      </c>
      <c r="N9" s="29" t="str">
        <f t="shared" si="18"/>
        <v>Peptide8: E1_1_1_205_mRNA -&gt; E1_1_1_205 | (0.278 * E1_1_1_205_mRNA) - (0.000000278 * E1_1_1_205)</v>
      </c>
    </row>
    <row r="10" spans="1:14">
      <c r="A10">
        <v>9</v>
      </c>
      <c r="B10" t="s">
        <v>12774</v>
      </c>
      <c r="C10" t="str">
        <f t="shared" si="8"/>
        <v>E1_1_1_23_mRNA</v>
      </c>
      <c r="D10" t="str">
        <f t="shared" si="9"/>
        <v>E1_1_1_23</v>
      </c>
      <c r="E10" s="29" t="str">
        <f t="shared" si="10"/>
        <v>E1_1_1_23_kcat : 13.7</v>
      </c>
      <c r="F10" s="30" t="str">
        <f t="shared" si="11"/>
        <v>E1_1_1_23_km : 1</v>
      </c>
      <c r="G10" s="31" t="str">
        <f t="shared" si="12"/>
        <v>E1_1_1_23_mRNA : E1_1_1_23_mRNA</v>
      </c>
      <c r="H10" s="32" t="str">
        <f t="shared" si="13"/>
        <v>E1_1_1_23 : E1_1_1_23</v>
      </c>
      <c r="I10" s="33" t="str">
        <f t="shared" si="14"/>
        <v>E1_1_1_23_mRNA : 0</v>
      </c>
      <c r="J10" s="16" t="str">
        <f t="shared" si="15"/>
        <v>E1_1_1_23 : 0</v>
      </c>
      <c r="K10" s="34" t="str">
        <f t="shared" si="16"/>
        <v>0.00292 - (0.0093 * E1_1_1_23_mRNA)</v>
      </c>
      <c r="L10" s="31" t="str">
        <f t="shared" si="17"/>
        <v>(0.278 * E1_1_1_23_mRNA) - (0.00000278 * E1_1_1_23)</v>
      </c>
      <c r="M10" s="35" t="str">
        <f t="shared" si="19"/>
        <v>mRNA9: -&gt; E1_1_1_23_mRNA | 0.00292 - (0.0093 * E1_1_1_23_mRNA)</v>
      </c>
      <c r="N10" s="29" t="str">
        <f t="shared" si="18"/>
        <v>Peptide9: E1_1_1_23_mRNA -&gt; E1_1_1_23 | (0.278 * E1_1_1_23_mRNA) - (0.000000278 * E1_1_1_23)</v>
      </c>
    </row>
    <row r="11" spans="1:14">
      <c r="A11">
        <v>10</v>
      </c>
      <c r="B11" t="s">
        <v>12775</v>
      </c>
      <c r="C11" t="str">
        <f t="shared" si="8"/>
        <v>E1_1_1_25_mRNA</v>
      </c>
      <c r="D11" t="str">
        <f t="shared" si="9"/>
        <v>E1_1_1_25</v>
      </c>
      <c r="E11" s="29" t="str">
        <f t="shared" si="10"/>
        <v>E1_1_1_25_kcat : 13.7</v>
      </c>
      <c r="F11" s="30" t="str">
        <f t="shared" si="11"/>
        <v>E1_1_1_25_km : 1</v>
      </c>
      <c r="G11" s="31" t="str">
        <f t="shared" si="12"/>
        <v>E1_1_1_25_mRNA : E1_1_1_25_mRNA</v>
      </c>
      <c r="H11" s="32" t="str">
        <f t="shared" si="13"/>
        <v>E1_1_1_25 : E1_1_1_25</v>
      </c>
      <c r="I11" s="33" t="str">
        <f t="shared" si="14"/>
        <v>E1_1_1_25_mRNA : 0</v>
      </c>
      <c r="J11" s="16" t="str">
        <f t="shared" si="15"/>
        <v>E1_1_1_25 : 0</v>
      </c>
      <c r="K11" s="34" t="str">
        <f t="shared" si="16"/>
        <v>0.00292 - (0.0093 * E1_1_1_25_mRNA)</v>
      </c>
      <c r="L11" s="31" t="str">
        <f t="shared" si="17"/>
        <v>(0.278 * E1_1_1_25_mRNA) - (0.00000278 * E1_1_1_25)</v>
      </c>
      <c r="M11" s="35" t="str">
        <f t="shared" si="19"/>
        <v>mRNA10: -&gt; E1_1_1_25_mRNA | 0.00292 - (0.0093 * E1_1_1_25_mRNA)</v>
      </c>
      <c r="N11" s="29" t="str">
        <f t="shared" si="18"/>
        <v>Peptide10: E1_1_1_25_mRNA -&gt; E1_1_1_25 | (0.278 * E1_1_1_25_mRNA) - (0.000000278 * E1_1_1_25)</v>
      </c>
    </row>
    <row r="12" spans="1:14">
      <c r="A12">
        <v>11</v>
      </c>
      <c r="B12" t="s">
        <v>12776</v>
      </c>
      <c r="C12" t="str">
        <f t="shared" si="8"/>
        <v>E1_1_1_267_mRNA</v>
      </c>
      <c r="D12" t="str">
        <f t="shared" si="9"/>
        <v>E1_1_1_267</v>
      </c>
      <c r="E12" s="29" t="str">
        <f t="shared" si="10"/>
        <v>E1_1_1_267_kcat : 13.7</v>
      </c>
      <c r="F12" s="30" t="str">
        <f t="shared" si="11"/>
        <v>E1_1_1_267_km : 1</v>
      </c>
      <c r="G12" s="31" t="str">
        <f t="shared" si="12"/>
        <v>E1_1_1_267_mRNA : E1_1_1_267_mRNA</v>
      </c>
      <c r="H12" s="32" t="str">
        <f t="shared" si="13"/>
        <v>E1_1_1_267 : E1_1_1_267</v>
      </c>
      <c r="I12" s="33" t="str">
        <f t="shared" si="14"/>
        <v>E1_1_1_267_mRNA : 0</v>
      </c>
      <c r="J12" s="16" t="str">
        <f t="shared" si="15"/>
        <v>E1_1_1_267 : 0</v>
      </c>
      <c r="K12" s="34" t="str">
        <f t="shared" si="16"/>
        <v>0.00292 - (0.0093 * E1_1_1_267_mRNA)</v>
      </c>
      <c r="L12" s="31" t="str">
        <f t="shared" si="17"/>
        <v>(0.278 * E1_1_1_267_mRNA) - (0.00000278 * E1_1_1_267)</v>
      </c>
      <c r="M12" s="35" t="str">
        <f t="shared" si="19"/>
        <v>mRNA11: -&gt; E1_1_1_267_mRNA | 0.00292 - (0.0093 * E1_1_1_267_mRNA)</v>
      </c>
      <c r="N12" s="29" t="str">
        <f t="shared" si="18"/>
        <v>Peptide11: E1_1_1_267_mRNA -&gt; E1_1_1_267 | (0.278 * E1_1_1_267_mRNA) - (0.000000278 * E1_1_1_267)</v>
      </c>
    </row>
    <row r="13" spans="1:14">
      <c r="A13">
        <v>12</v>
      </c>
      <c r="B13" t="s">
        <v>12777</v>
      </c>
      <c r="C13" t="str">
        <f t="shared" si="8"/>
        <v>E1_1_1_27_mRNA</v>
      </c>
      <c r="D13" t="str">
        <f t="shared" si="9"/>
        <v>E1_1_1_27</v>
      </c>
      <c r="E13" s="29" t="str">
        <f t="shared" si="10"/>
        <v>E1_1_1_27_kcat : 13.7</v>
      </c>
      <c r="F13" s="30" t="str">
        <f t="shared" si="11"/>
        <v>E1_1_1_27_km : 1</v>
      </c>
      <c r="G13" s="31" t="str">
        <f t="shared" si="12"/>
        <v>E1_1_1_27_mRNA : E1_1_1_27_mRNA</v>
      </c>
      <c r="H13" s="32" t="str">
        <f t="shared" si="13"/>
        <v>E1_1_1_27 : E1_1_1_27</v>
      </c>
      <c r="I13" s="33" t="str">
        <f t="shared" si="14"/>
        <v>E1_1_1_27_mRNA : 0</v>
      </c>
      <c r="J13" s="16" t="str">
        <f t="shared" si="15"/>
        <v>E1_1_1_27 : 0</v>
      </c>
      <c r="K13" s="34" t="str">
        <f t="shared" si="16"/>
        <v>0.00292 - (0.0093 * E1_1_1_27_mRNA)</v>
      </c>
      <c r="L13" s="31" t="str">
        <f t="shared" si="17"/>
        <v>(0.278 * E1_1_1_27_mRNA) - (0.00000278 * E1_1_1_27)</v>
      </c>
      <c r="M13" s="35" t="str">
        <f t="shared" si="19"/>
        <v>mRNA12: -&gt; E1_1_1_27_mRNA | 0.00292 - (0.0093 * E1_1_1_27_mRNA)</v>
      </c>
      <c r="N13" s="29" t="str">
        <f t="shared" si="18"/>
        <v>Peptide12: E1_1_1_27_mRNA -&gt; E1_1_1_27 | (0.278 * E1_1_1_27_mRNA) - (0.000000278 * E1_1_1_27)</v>
      </c>
    </row>
    <row r="14" spans="1:14">
      <c r="A14">
        <v>13</v>
      </c>
      <c r="B14" t="s">
        <v>12778</v>
      </c>
      <c r="C14" t="str">
        <f t="shared" si="8"/>
        <v>E1_1_1_28_mRNA</v>
      </c>
      <c r="D14" t="str">
        <f t="shared" si="9"/>
        <v>E1_1_1_28</v>
      </c>
      <c r="E14" s="29" t="str">
        <f t="shared" si="10"/>
        <v>E1_1_1_28_kcat : 13.7</v>
      </c>
      <c r="F14" s="30" t="str">
        <f t="shared" si="11"/>
        <v>E1_1_1_28_km : 1</v>
      </c>
      <c r="G14" s="31" t="str">
        <f t="shared" si="12"/>
        <v>E1_1_1_28_mRNA : E1_1_1_28_mRNA</v>
      </c>
      <c r="H14" s="32" t="str">
        <f t="shared" si="13"/>
        <v>E1_1_1_28 : E1_1_1_28</v>
      </c>
      <c r="I14" s="33" t="str">
        <f t="shared" si="14"/>
        <v>E1_1_1_28_mRNA : 0</v>
      </c>
      <c r="J14" s="16" t="str">
        <f t="shared" si="15"/>
        <v>E1_1_1_28 : 0</v>
      </c>
      <c r="K14" s="34" t="str">
        <f t="shared" si="16"/>
        <v>0.00292 - (0.0093 * E1_1_1_28_mRNA)</v>
      </c>
      <c r="L14" s="31" t="str">
        <f t="shared" si="17"/>
        <v>(0.278 * E1_1_1_28_mRNA) - (0.00000278 * E1_1_1_28)</v>
      </c>
      <c r="M14" s="35" t="str">
        <f t="shared" si="19"/>
        <v>mRNA13: -&gt; E1_1_1_28_mRNA | 0.00292 - (0.0093 * E1_1_1_28_mRNA)</v>
      </c>
      <c r="N14" s="29" t="str">
        <f t="shared" si="18"/>
        <v>Peptide13: E1_1_1_28_mRNA -&gt; E1_1_1_28 | (0.278 * E1_1_1_28_mRNA) - (0.000000278 * E1_1_1_28)</v>
      </c>
    </row>
    <row r="15" spans="1:14">
      <c r="A15">
        <v>14</v>
      </c>
      <c r="B15" t="s">
        <v>12779</v>
      </c>
      <c r="C15" t="str">
        <f t="shared" si="8"/>
        <v>E1_1_1_298_mRNA</v>
      </c>
      <c r="D15" t="str">
        <f t="shared" si="9"/>
        <v>E1_1_1_298</v>
      </c>
      <c r="E15" s="29" t="str">
        <f t="shared" si="10"/>
        <v>E1_1_1_298_kcat : 13.7</v>
      </c>
      <c r="F15" s="30" t="str">
        <f t="shared" si="11"/>
        <v>E1_1_1_298_km : 1</v>
      </c>
      <c r="G15" s="31" t="str">
        <f t="shared" si="12"/>
        <v>E1_1_1_298_mRNA : E1_1_1_298_mRNA</v>
      </c>
      <c r="H15" s="32" t="str">
        <f t="shared" si="13"/>
        <v>E1_1_1_298 : E1_1_1_298</v>
      </c>
      <c r="I15" s="33" t="str">
        <f t="shared" si="14"/>
        <v>E1_1_1_298_mRNA : 0</v>
      </c>
      <c r="J15" s="16" t="str">
        <f t="shared" si="15"/>
        <v>E1_1_1_298 : 0</v>
      </c>
      <c r="K15" s="34" t="str">
        <f t="shared" si="16"/>
        <v>0.00292 - (0.0093 * E1_1_1_298_mRNA)</v>
      </c>
      <c r="L15" s="31" t="str">
        <f t="shared" si="17"/>
        <v>(0.278 * E1_1_1_298_mRNA) - (0.00000278 * E1_1_1_298)</v>
      </c>
      <c r="M15" s="35" t="str">
        <f t="shared" si="19"/>
        <v>mRNA14: -&gt; E1_1_1_298_mRNA | 0.00292 - (0.0093 * E1_1_1_298_mRNA)</v>
      </c>
      <c r="N15" s="29" t="str">
        <f t="shared" si="18"/>
        <v>Peptide14: E1_1_1_298_mRNA -&gt; E1_1_1_298 | (0.278 * E1_1_1_298_mRNA) - (0.000000278 * E1_1_1_298)</v>
      </c>
    </row>
    <row r="16" spans="1:14">
      <c r="A16">
        <v>15</v>
      </c>
      <c r="B16" t="s">
        <v>12780</v>
      </c>
      <c r="C16" t="str">
        <f t="shared" si="8"/>
        <v>E1_1_1_3_mRNA</v>
      </c>
      <c r="D16" t="str">
        <f t="shared" si="9"/>
        <v>E1_1_1_3</v>
      </c>
      <c r="E16" s="29" t="str">
        <f t="shared" si="10"/>
        <v>E1_1_1_3_kcat : 13.7</v>
      </c>
      <c r="F16" s="30" t="str">
        <f t="shared" si="11"/>
        <v>E1_1_1_3_km : 1</v>
      </c>
      <c r="G16" s="31" t="str">
        <f t="shared" si="12"/>
        <v>E1_1_1_3_mRNA : E1_1_1_3_mRNA</v>
      </c>
      <c r="H16" s="32" t="str">
        <f t="shared" si="13"/>
        <v>E1_1_1_3 : E1_1_1_3</v>
      </c>
      <c r="I16" s="33" t="str">
        <f t="shared" si="14"/>
        <v>E1_1_1_3_mRNA : 0</v>
      </c>
      <c r="J16" s="16" t="str">
        <f t="shared" si="15"/>
        <v>E1_1_1_3 : 0</v>
      </c>
      <c r="K16" s="34" t="str">
        <f t="shared" si="16"/>
        <v>0.00292 - (0.0093 * E1_1_1_3_mRNA)</v>
      </c>
      <c r="L16" s="31" t="str">
        <f t="shared" si="17"/>
        <v>(0.278 * E1_1_1_3_mRNA) - (0.00000278 * E1_1_1_3)</v>
      </c>
      <c r="M16" s="35" t="str">
        <f t="shared" si="19"/>
        <v>mRNA15: -&gt; E1_1_1_3_mRNA | 0.00292 - (0.0093 * E1_1_1_3_mRNA)</v>
      </c>
      <c r="N16" s="29" t="str">
        <f t="shared" si="18"/>
        <v>Peptide15: E1_1_1_3_mRNA -&gt; E1_1_1_3 | (0.278 * E1_1_1_3_mRNA) - (0.000000278 * E1_1_1_3)</v>
      </c>
    </row>
    <row r="17" spans="1:14">
      <c r="A17">
        <v>16</v>
      </c>
      <c r="B17" s="45" t="s">
        <v>17595</v>
      </c>
      <c r="C17" t="str">
        <f t="shared" si="8"/>
        <v>E1_1_1_30_mRNA</v>
      </c>
      <c r="D17" t="str">
        <f t="shared" si="9"/>
        <v>E1_1_1_30</v>
      </c>
      <c r="E17" s="29" t="str">
        <f t="shared" si="10"/>
        <v>E1_1_1_30_kcat : 13.7</v>
      </c>
      <c r="F17" s="30" t="str">
        <f t="shared" si="11"/>
        <v>E1_1_1_30_km : 1</v>
      </c>
      <c r="G17" s="31" t="str">
        <f t="shared" si="12"/>
        <v>E1_1_1_30_mRNA : E1_1_1_30_mRNA</v>
      </c>
      <c r="H17" s="32" t="str">
        <f t="shared" si="13"/>
        <v>E1_1_1_30 : E1_1_1_30</v>
      </c>
      <c r="I17" s="33" t="str">
        <f t="shared" si="14"/>
        <v>E1_1_1_30_mRNA : 0</v>
      </c>
      <c r="J17" s="16" t="str">
        <f t="shared" si="15"/>
        <v>E1_1_1_30 : 0</v>
      </c>
      <c r="K17" s="34" t="str">
        <f t="shared" si="16"/>
        <v>0.00292 - (0.0093 * E1_1_1_30_mRNA)</v>
      </c>
      <c r="L17" s="31" t="str">
        <f t="shared" si="17"/>
        <v>(0.278 * E1_1_1_30_mRNA) - (0.00000278 * E1_1_1_30)</v>
      </c>
      <c r="M17" s="35" t="str">
        <f t="shared" si="19"/>
        <v>mRNA16: -&gt; E1_1_1_30_mRNA | 0.00292 - (0.0093 * E1_1_1_30_mRNA)</v>
      </c>
      <c r="N17" s="29" t="str">
        <f t="shared" si="18"/>
        <v>Peptide16: E1_1_1_30_mRNA -&gt; E1_1_1_30 | (0.278 * E1_1_1_30_mRNA) - (0.000000278 * E1_1_1_30)</v>
      </c>
    </row>
    <row r="18" spans="1:14">
      <c r="A18">
        <v>17</v>
      </c>
      <c r="B18" t="s">
        <v>12781</v>
      </c>
      <c r="C18" t="str">
        <f t="shared" si="8"/>
        <v>E1_1_1_306_mRNA</v>
      </c>
      <c r="D18" t="str">
        <f t="shared" si="9"/>
        <v>E1_1_1_306</v>
      </c>
      <c r="E18" s="29" t="str">
        <f t="shared" si="10"/>
        <v>E1_1_1_306_kcat : 13.7</v>
      </c>
      <c r="F18" s="30" t="str">
        <f t="shared" si="11"/>
        <v>E1_1_1_306_km : 1</v>
      </c>
      <c r="G18" s="31" t="str">
        <f t="shared" si="12"/>
        <v>E1_1_1_306_mRNA : E1_1_1_306_mRNA</v>
      </c>
      <c r="H18" s="32" t="str">
        <f t="shared" si="13"/>
        <v>E1_1_1_306 : E1_1_1_306</v>
      </c>
      <c r="I18" s="33" t="str">
        <f t="shared" si="14"/>
        <v>E1_1_1_306_mRNA : 0</v>
      </c>
      <c r="J18" s="16" t="str">
        <f t="shared" si="15"/>
        <v>E1_1_1_306 : 0</v>
      </c>
      <c r="K18" s="34" t="str">
        <f t="shared" si="16"/>
        <v>0.00292 - (0.0093 * E1_1_1_306_mRNA)</v>
      </c>
      <c r="L18" s="31" t="str">
        <f t="shared" si="17"/>
        <v>(0.278 * E1_1_1_306_mRNA) - (0.00000278 * E1_1_1_306)</v>
      </c>
      <c r="M18" s="35" t="str">
        <f t="shared" si="19"/>
        <v>mRNA17: -&gt; E1_1_1_306_mRNA | 0.00292 - (0.0093 * E1_1_1_306_mRNA)</v>
      </c>
      <c r="N18" s="29" t="str">
        <f t="shared" si="18"/>
        <v>Peptide17: E1_1_1_306_mRNA -&gt; E1_1_1_306 | (0.278 * E1_1_1_306_mRNA) - (0.000000278 * E1_1_1_306)</v>
      </c>
    </row>
    <row r="19" spans="1:14">
      <c r="A19">
        <v>18</v>
      </c>
      <c r="B19" s="45" t="s">
        <v>17596</v>
      </c>
      <c r="C19" t="str">
        <f t="shared" si="8"/>
        <v>E1_1_1_31_mRNA</v>
      </c>
      <c r="D19" t="str">
        <f t="shared" si="9"/>
        <v>E1_1_1_31</v>
      </c>
      <c r="E19" s="29" t="str">
        <f t="shared" si="10"/>
        <v>E1_1_1_31_kcat : 13.7</v>
      </c>
      <c r="F19" s="30" t="str">
        <f t="shared" si="11"/>
        <v>E1_1_1_31_km : 1</v>
      </c>
      <c r="G19" s="31" t="str">
        <f t="shared" si="12"/>
        <v>E1_1_1_31_mRNA : E1_1_1_31_mRNA</v>
      </c>
      <c r="H19" s="32" t="str">
        <f t="shared" si="13"/>
        <v>E1_1_1_31 : E1_1_1_31</v>
      </c>
      <c r="I19" s="33" t="str">
        <f t="shared" si="14"/>
        <v>E1_1_1_31_mRNA : 0</v>
      </c>
      <c r="J19" s="16" t="str">
        <f t="shared" si="15"/>
        <v>E1_1_1_31 : 0</v>
      </c>
      <c r="K19" s="34" t="str">
        <f t="shared" si="16"/>
        <v>0.00292 - (0.0093 * E1_1_1_31_mRNA)</v>
      </c>
      <c r="L19" s="31" t="str">
        <f t="shared" si="17"/>
        <v>(0.278 * E1_1_1_31_mRNA) - (0.00000278 * E1_1_1_31)</v>
      </c>
      <c r="M19" s="35" t="str">
        <f t="shared" si="19"/>
        <v>mRNA18: -&gt; E1_1_1_31_mRNA | 0.00292 - (0.0093 * E1_1_1_31_mRNA)</v>
      </c>
      <c r="N19" s="29" t="str">
        <f t="shared" si="18"/>
        <v>Peptide18: E1_1_1_31_mRNA -&gt; E1_1_1_31 | (0.278 * E1_1_1_31_mRNA) - (0.000000278 * E1_1_1_31)</v>
      </c>
    </row>
    <row r="20" spans="1:14">
      <c r="A20">
        <v>19</v>
      </c>
      <c r="B20" t="s">
        <v>12782</v>
      </c>
      <c r="C20" t="str">
        <f t="shared" si="8"/>
        <v>E1_1_1_333_mRNA</v>
      </c>
      <c r="D20" t="str">
        <f t="shared" si="9"/>
        <v>E1_1_1_333</v>
      </c>
      <c r="E20" s="29" t="str">
        <f t="shared" si="10"/>
        <v>E1_1_1_333_kcat : 13.7</v>
      </c>
      <c r="F20" s="30" t="str">
        <f t="shared" si="11"/>
        <v>E1_1_1_333_km : 1</v>
      </c>
      <c r="G20" s="31" t="str">
        <f t="shared" si="12"/>
        <v>E1_1_1_333_mRNA : E1_1_1_333_mRNA</v>
      </c>
      <c r="H20" s="32" t="str">
        <f t="shared" si="13"/>
        <v>E1_1_1_333 : E1_1_1_333</v>
      </c>
      <c r="I20" s="33" t="str">
        <f t="shared" si="14"/>
        <v>E1_1_1_333_mRNA : 0</v>
      </c>
      <c r="J20" s="16" t="str">
        <f t="shared" si="15"/>
        <v>E1_1_1_333 : 0</v>
      </c>
      <c r="K20" s="34" t="str">
        <f t="shared" si="16"/>
        <v>0.00292 - (0.0093 * E1_1_1_333_mRNA)</v>
      </c>
      <c r="L20" s="31" t="str">
        <f t="shared" si="17"/>
        <v>(0.278 * E1_1_1_333_mRNA) - (0.00000278 * E1_1_1_333)</v>
      </c>
      <c r="M20" s="35" t="str">
        <f t="shared" si="19"/>
        <v>mRNA19: -&gt; E1_1_1_333_mRNA | 0.00292 - (0.0093 * E1_1_1_333_mRNA)</v>
      </c>
      <c r="N20" s="29" t="str">
        <f t="shared" si="18"/>
        <v>Peptide19: E1_1_1_333_mRNA -&gt; E1_1_1_333 | (0.278 * E1_1_1_333_mRNA) - (0.000000278 * E1_1_1_333)</v>
      </c>
    </row>
    <row r="21" spans="1:14">
      <c r="A21">
        <v>20</v>
      </c>
      <c r="B21" s="45" t="s">
        <v>17597</v>
      </c>
      <c r="C21" t="str">
        <f t="shared" si="8"/>
        <v>E1_1_1_336_mRNA</v>
      </c>
      <c r="D21" t="str">
        <f t="shared" si="9"/>
        <v>E1_1_1_336</v>
      </c>
      <c r="E21" s="29" t="str">
        <f t="shared" si="10"/>
        <v>E1_1_1_336_kcat : 13.7</v>
      </c>
      <c r="F21" s="30" t="str">
        <f t="shared" si="11"/>
        <v>E1_1_1_336_km : 1</v>
      </c>
      <c r="G21" s="31" t="str">
        <f t="shared" si="12"/>
        <v>E1_1_1_336_mRNA : E1_1_1_336_mRNA</v>
      </c>
      <c r="H21" s="32" t="str">
        <f t="shared" si="13"/>
        <v>E1_1_1_336 : E1_1_1_336</v>
      </c>
      <c r="I21" s="33" t="str">
        <f t="shared" si="14"/>
        <v>E1_1_1_336_mRNA : 0</v>
      </c>
      <c r="J21" s="16" t="str">
        <f t="shared" si="15"/>
        <v>E1_1_1_336 : 0</v>
      </c>
      <c r="K21" s="34" t="str">
        <f t="shared" si="16"/>
        <v>0.00292 - (0.0093 * E1_1_1_336_mRNA)</v>
      </c>
      <c r="L21" s="31" t="str">
        <f t="shared" si="17"/>
        <v>(0.278 * E1_1_1_336_mRNA) - (0.00000278 * E1_1_1_336)</v>
      </c>
      <c r="M21" s="35" t="str">
        <f t="shared" si="19"/>
        <v>mRNA20: -&gt; E1_1_1_336_mRNA | 0.00292 - (0.0093 * E1_1_1_336_mRNA)</v>
      </c>
      <c r="N21" s="29" t="str">
        <f t="shared" si="18"/>
        <v>Peptide20: E1_1_1_336_mRNA -&gt; E1_1_1_336 | (0.278 * E1_1_1_336_mRNA) - (0.000000278 * E1_1_1_336)</v>
      </c>
    </row>
    <row r="22" spans="1:14">
      <c r="A22">
        <v>21</v>
      </c>
      <c r="B22" s="45" t="s">
        <v>17598</v>
      </c>
      <c r="C22" t="str">
        <f t="shared" si="8"/>
        <v>E1_1_1_35_mRNA</v>
      </c>
      <c r="D22" t="str">
        <f t="shared" si="9"/>
        <v>E1_1_1_35</v>
      </c>
      <c r="E22" s="29" t="str">
        <f t="shared" si="10"/>
        <v>E1_1_1_35_kcat : 13.7</v>
      </c>
      <c r="F22" s="30" t="str">
        <f t="shared" si="11"/>
        <v>E1_1_1_35_km : 1</v>
      </c>
      <c r="G22" s="31" t="str">
        <f t="shared" si="12"/>
        <v>E1_1_1_35_mRNA : E1_1_1_35_mRNA</v>
      </c>
      <c r="H22" s="32" t="str">
        <f t="shared" si="13"/>
        <v>E1_1_1_35 : E1_1_1_35</v>
      </c>
      <c r="I22" s="33" t="str">
        <f t="shared" si="14"/>
        <v>E1_1_1_35_mRNA : 0</v>
      </c>
      <c r="J22" s="16" t="str">
        <f t="shared" si="15"/>
        <v>E1_1_1_35 : 0</v>
      </c>
      <c r="K22" s="34" t="str">
        <f t="shared" si="16"/>
        <v>0.00292 - (0.0093 * E1_1_1_35_mRNA)</v>
      </c>
      <c r="L22" s="31" t="str">
        <f t="shared" si="17"/>
        <v>(0.278 * E1_1_1_35_mRNA) - (0.00000278 * E1_1_1_35)</v>
      </c>
      <c r="M22" s="35" t="str">
        <f t="shared" si="19"/>
        <v>mRNA21: -&gt; E1_1_1_35_mRNA | 0.00292 - (0.0093 * E1_1_1_35_mRNA)</v>
      </c>
      <c r="N22" s="29" t="str">
        <f t="shared" si="18"/>
        <v>Peptide21: E1_1_1_35_mRNA -&gt; E1_1_1_35 | (0.278 * E1_1_1_35_mRNA) - (0.000000278 * E1_1_1_35)</v>
      </c>
    </row>
    <row r="23" spans="1:14">
      <c r="A23">
        <v>22</v>
      </c>
      <c r="B23" t="s">
        <v>12783</v>
      </c>
      <c r="C23" t="str">
        <f t="shared" si="8"/>
        <v>E1_1_1_37_mRNA</v>
      </c>
      <c r="D23" t="str">
        <f t="shared" si="9"/>
        <v>E1_1_1_37</v>
      </c>
      <c r="E23" s="29" t="str">
        <f t="shared" si="10"/>
        <v>E1_1_1_37_kcat : 13.7</v>
      </c>
      <c r="F23" s="30" t="str">
        <f t="shared" si="11"/>
        <v>E1_1_1_37_km : 1</v>
      </c>
      <c r="G23" s="31" t="str">
        <f t="shared" si="12"/>
        <v>E1_1_1_37_mRNA : E1_1_1_37_mRNA</v>
      </c>
      <c r="H23" s="32" t="str">
        <f t="shared" si="13"/>
        <v>E1_1_1_37 : E1_1_1_37</v>
      </c>
      <c r="I23" s="33" t="str">
        <f t="shared" si="14"/>
        <v>E1_1_1_37_mRNA : 0</v>
      </c>
      <c r="J23" s="16" t="str">
        <f t="shared" si="15"/>
        <v>E1_1_1_37 : 0</v>
      </c>
      <c r="K23" s="34" t="str">
        <f t="shared" si="16"/>
        <v>0.00292 - (0.0093 * E1_1_1_37_mRNA)</v>
      </c>
      <c r="L23" s="31" t="str">
        <f t="shared" si="17"/>
        <v>(0.278 * E1_1_1_37_mRNA) - (0.00000278 * E1_1_1_37)</v>
      </c>
      <c r="M23" s="35" t="str">
        <f t="shared" si="19"/>
        <v>mRNA22: -&gt; E1_1_1_37_mRNA | 0.00292 - (0.0093 * E1_1_1_37_mRNA)</v>
      </c>
      <c r="N23" s="29" t="str">
        <f t="shared" si="18"/>
        <v>Peptide22: E1_1_1_37_mRNA -&gt; E1_1_1_37 | (0.278 * E1_1_1_37_mRNA) - (0.000000278 * E1_1_1_37)</v>
      </c>
    </row>
    <row r="24" spans="1:14">
      <c r="A24">
        <v>23</v>
      </c>
      <c r="B24" t="s">
        <v>12784</v>
      </c>
      <c r="C24" t="str">
        <f t="shared" si="8"/>
        <v>E1_1_1_40_mRNA</v>
      </c>
      <c r="D24" t="str">
        <f t="shared" si="9"/>
        <v>E1_1_1_40</v>
      </c>
      <c r="E24" s="29" t="str">
        <f t="shared" si="10"/>
        <v>E1_1_1_40_kcat : 13.7</v>
      </c>
      <c r="F24" s="30" t="str">
        <f t="shared" si="11"/>
        <v>E1_1_1_40_km : 1</v>
      </c>
      <c r="G24" s="31" t="str">
        <f t="shared" si="12"/>
        <v>E1_1_1_40_mRNA : E1_1_1_40_mRNA</v>
      </c>
      <c r="H24" s="32" t="str">
        <f t="shared" si="13"/>
        <v>E1_1_1_40 : E1_1_1_40</v>
      </c>
      <c r="I24" s="33" t="str">
        <f t="shared" si="14"/>
        <v>E1_1_1_40_mRNA : 0</v>
      </c>
      <c r="J24" s="16" t="str">
        <f t="shared" si="15"/>
        <v>E1_1_1_40 : 0</v>
      </c>
      <c r="K24" s="34" t="str">
        <f t="shared" si="16"/>
        <v>0.00292 - (0.0093 * E1_1_1_40_mRNA)</v>
      </c>
      <c r="L24" s="31" t="str">
        <f t="shared" si="17"/>
        <v>(0.278 * E1_1_1_40_mRNA) - (0.00000278 * E1_1_1_40)</v>
      </c>
      <c r="M24" s="35" t="str">
        <f t="shared" si="19"/>
        <v>mRNA23: -&gt; E1_1_1_40_mRNA | 0.00292 - (0.0093 * E1_1_1_40_mRNA)</v>
      </c>
      <c r="N24" s="29" t="str">
        <f t="shared" si="18"/>
        <v>Peptide23: E1_1_1_40_mRNA -&gt; E1_1_1_40 | (0.278 * E1_1_1_40_mRNA) - (0.000000278 * E1_1_1_40)</v>
      </c>
    </row>
    <row r="25" spans="1:14">
      <c r="A25">
        <v>24</v>
      </c>
      <c r="B25" t="s">
        <v>12785</v>
      </c>
      <c r="C25" t="str">
        <f t="shared" si="8"/>
        <v>E1_1_1_42_mRNA</v>
      </c>
      <c r="D25" t="str">
        <f t="shared" si="9"/>
        <v>E1_1_1_42</v>
      </c>
      <c r="E25" s="29" t="str">
        <f t="shared" si="10"/>
        <v>E1_1_1_42_kcat : 13.7</v>
      </c>
      <c r="F25" s="30" t="str">
        <f t="shared" si="11"/>
        <v>E1_1_1_42_km : 1</v>
      </c>
      <c r="G25" s="31" t="str">
        <f t="shared" si="12"/>
        <v>E1_1_1_42_mRNA : E1_1_1_42_mRNA</v>
      </c>
      <c r="H25" s="32" t="str">
        <f t="shared" si="13"/>
        <v>E1_1_1_42 : E1_1_1_42</v>
      </c>
      <c r="I25" s="33" t="str">
        <f t="shared" si="14"/>
        <v>E1_1_1_42_mRNA : 0</v>
      </c>
      <c r="J25" s="16" t="str">
        <f t="shared" si="15"/>
        <v>E1_1_1_42 : 0</v>
      </c>
      <c r="K25" s="34" t="str">
        <f t="shared" si="16"/>
        <v>0.00292 - (0.0093 * E1_1_1_42_mRNA)</v>
      </c>
      <c r="L25" s="31" t="str">
        <f t="shared" si="17"/>
        <v>(0.278 * E1_1_1_42_mRNA) - (0.00000278 * E1_1_1_42)</v>
      </c>
      <c r="M25" s="35" t="str">
        <f t="shared" si="19"/>
        <v>mRNA24: -&gt; E1_1_1_42_mRNA | 0.00292 - (0.0093 * E1_1_1_42_mRNA)</v>
      </c>
      <c r="N25" s="29" t="str">
        <f t="shared" si="18"/>
        <v>Peptide24: E1_1_1_42_mRNA -&gt; E1_1_1_42 | (0.278 * E1_1_1_42_mRNA) - (0.000000278 * E1_1_1_42)</v>
      </c>
    </row>
    <row r="26" spans="1:14">
      <c r="A26">
        <v>25</v>
      </c>
      <c r="B26" t="s">
        <v>12786</v>
      </c>
      <c r="C26" t="str">
        <f t="shared" si="8"/>
        <v>E1_1_1_44_mRNA</v>
      </c>
      <c r="D26" t="str">
        <f t="shared" si="9"/>
        <v>E1_1_1_44</v>
      </c>
      <c r="E26" s="29" t="str">
        <f t="shared" si="10"/>
        <v>E1_1_1_44_kcat : 13.7</v>
      </c>
      <c r="F26" s="30" t="str">
        <f t="shared" si="11"/>
        <v>E1_1_1_44_km : 1</v>
      </c>
      <c r="G26" s="31" t="str">
        <f t="shared" si="12"/>
        <v>E1_1_1_44_mRNA : E1_1_1_44_mRNA</v>
      </c>
      <c r="H26" s="32" t="str">
        <f t="shared" si="13"/>
        <v>E1_1_1_44 : E1_1_1_44</v>
      </c>
      <c r="I26" s="33" t="str">
        <f t="shared" si="14"/>
        <v>E1_1_1_44_mRNA : 0</v>
      </c>
      <c r="J26" s="16" t="str">
        <f t="shared" si="15"/>
        <v>E1_1_1_44 : 0</v>
      </c>
      <c r="K26" s="34" t="str">
        <f t="shared" si="16"/>
        <v>0.00292 - (0.0093 * E1_1_1_44_mRNA)</v>
      </c>
      <c r="L26" s="31" t="str">
        <f t="shared" si="17"/>
        <v>(0.278 * E1_1_1_44_mRNA) - (0.00000278 * E1_1_1_44)</v>
      </c>
      <c r="M26" s="35" t="str">
        <f t="shared" si="19"/>
        <v>mRNA25: -&gt; E1_1_1_44_mRNA | 0.00292 - (0.0093 * E1_1_1_44_mRNA)</v>
      </c>
      <c r="N26" s="29" t="str">
        <f t="shared" si="18"/>
        <v>Peptide25: E1_1_1_44_mRNA -&gt; E1_1_1_44 | (0.278 * E1_1_1_44_mRNA) - (0.000000278 * E1_1_1_44)</v>
      </c>
    </row>
    <row r="27" spans="1:14">
      <c r="A27">
        <v>26</v>
      </c>
      <c r="B27" s="45" t="s">
        <v>17599</v>
      </c>
      <c r="C27" t="str">
        <f t="shared" si="8"/>
        <v>E1_1_1_47_mRNA</v>
      </c>
      <c r="D27" t="str">
        <f t="shared" si="9"/>
        <v>E1_1_1_47</v>
      </c>
      <c r="E27" s="29" t="str">
        <f t="shared" si="10"/>
        <v>E1_1_1_47_kcat : 13.7</v>
      </c>
      <c r="F27" s="30" t="str">
        <f t="shared" si="11"/>
        <v>E1_1_1_47_km : 1</v>
      </c>
      <c r="G27" s="31" t="str">
        <f t="shared" si="12"/>
        <v>E1_1_1_47_mRNA : E1_1_1_47_mRNA</v>
      </c>
      <c r="H27" s="32" t="str">
        <f t="shared" si="13"/>
        <v>E1_1_1_47 : E1_1_1_47</v>
      </c>
      <c r="I27" s="33" t="str">
        <f t="shared" si="14"/>
        <v>E1_1_1_47_mRNA : 0</v>
      </c>
      <c r="J27" s="16" t="str">
        <f t="shared" si="15"/>
        <v>E1_1_1_47 : 0</v>
      </c>
      <c r="K27" s="34" t="str">
        <f t="shared" si="16"/>
        <v>0.00292 - (0.0093 * E1_1_1_47_mRNA)</v>
      </c>
      <c r="L27" s="31" t="str">
        <f t="shared" si="17"/>
        <v>(0.278 * E1_1_1_47_mRNA) - (0.00000278 * E1_1_1_47)</v>
      </c>
      <c r="M27" s="35" t="str">
        <f t="shared" si="19"/>
        <v>mRNA26: -&gt; E1_1_1_47_mRNA | 0.00292 - (0.0093 * E1_1_1_47_mRNA)</v>
      </c>
      <c r="N27" s="29" t="str">
        <f t="shared" si="18"/>
        <v>Peptide26: E1_1_1_47_mRNA -&gt; E1_1_1_47 | (0.278 * E1_1_1_47_mRNA) - (0.000000278 * E1_1_1_47)</v>
      </c>
    </row>
    <row r="28" spans="1:14">
      <c r="A28">
        <v>27</v>
      </c>
      <c r="B28" t="s">
        <v>12787</v>
      </c>
      <c r="C28" t="str">
        <f t="shared" si="8"/>
        <v>E1_1_1_49_mRNA</v>
      </c>
      <c r="D28" t="str">
        <f t="shared" si="9"/>
        <v>E1_1_1_49</v>
      </c>
      <c r="E28" s="29" t="str">
        <f t="shared" si="10"/>
        <v>E1_1_1_49_kcat : 13.7</v>
      </c>
      <c r="F28" s="30" t="str">
        <f t="shared" si="11"/>
        <v>E1_1_1_49_km : 1</v>
      </c>
      <c r="G28" s="31" t="str">
        <f t="shared" si="12"/>
        <v>E1_1_1_49_mRNA : E1_1_1_49_mRNA</v>
      </c>
      <c r="H28" s="32" t="str">
        <f t="shared" si="13"/>
        <v>E1_1_1_49 : E1_1_1_49</v>
      </c>
      <c r="I28" s="33" t="str">
        <f t="shared" si="14"/>
        <v>E1_1_1_49_mRNA : 0</v>
      </c>
      <c r="J28" s="16" t="str">
        <f t="shared" si="15"/>
        <v>E1_1_1_49 : 0</v>
      </c>
      <c r="K28" s="34" t="str">
        <f t="shared" si="16"/>
        <v>0.00292 - (0.0093 * E1_1_1_49_mRNA)</v>
      </c>
      <c r="L28" s="31" t="str">
        <f t="shared" si="17"/>
        <v>(0.278 * E1_1_1_49_mRNA) - (0.00000278 * E1_1_1_49)</v>
      </c>
      <c r="M28" s="35" t="str">
        <f t="shared" si="19"/>
        <v>mRNA27: -&gt; E1_1_1_49_mRNA | 0.00292 - (0.0093 * E1_1_1_49_mRNA)</v>
      </c>
      <c r="N28" s="29" t="str">
        <f t="shared" si="18"/>
        <v>Peptide27: E1_1_1_49_mRNA -&gt; E1_1_1_49 | (0.278 * E1_1_1_49_mRNA) - (0.000000278 * E1_1_1_49)</v>
      </c>
    </row>
    <row r="29" spans="1:14">
      <c r="A29">
        <v>28</v>
      </c>
      <c r="B29" t="s">
        <v>12788</v>
      </c>
      <c r="C29" t="str">
        <f t="shared" si="8"/>
        <v>E1_1_1_85_mRNA</v>
      </c>
      <c r="D29" t="str">
        <f t="shared" si="9"/>
        <v>E1_1_1_85</v>
      </c>
      <c r="E29" s="29" t="str">
        <f t="shared" si="10"/>
        <v>E1_1_1_85_kcat : 13.7</v>
      </c>
      <c r="F29" s="30" t="str">
        <f t="shared" si="11"/>
        <v>E1_1_1_85_km : 1</v>
      </c>
      <c r="G29" s="31" t="str">
        <f t="shared" si="12"/>
        <v>E1_1_1_85_mRNA : E1_1_1_85_mRNA</v>
      </c>
      <c r="H29" s="32" t="str">
        <f t="shared" si="13"/>
        <v>E1_1_1_85 : E1_1_1_85</v>
      </c>
      <c r="I29" s="33" t="str">
        <f t="shared" si="14"/>
        <v>E1_1_1_85_mRNA : 0</v>
      </c>
      <c r="J29" s="16" t="str">
        <f t="shared" si="15"/>
        <v>E1_1_1_85 : 0</v>
      </c>
      <c r="K29" s="34" t="str">
        <f t="shared" si="16"/>
        <v>0.00292 - (0.0093 * E1_1_1_85_mRNA)</v>
      </c>
      <c r="L29" s="31" t="str">
        <f t="shared" si="17"/>
        <v>(0.278 * E1_1_1_85_mRNA) - (0.00000278 * E1_1_1_85)</v>
      </c>
      <c r="M29" s="35" t="str">
        <f t="shared" si="19"/>
        <v>mRNA28: -&gt; E1_1_1_85_mRNA | 0.00292 - (0.0093 * E1_1_1_85_mRNA)</v>
      </c>
      <c r="N29" s="29" t="str">
        <f t="shared" si="18"/>
        <v>Peptide28: E1_1_1_85_mRNA -&gt; E1_1_1_85 | (0.278 * E1_1_1_85_mRNA) - (0.000000278 * E1_1_1_85)</v>
      </c>
    </row>
    <row r="30" spans="1:14">
      <c r="A30">
        <v>29</v>
      </c>
      <c r="B30" t="s">
        <v>12789</v>
      </c>
      <c r="C30" t="str">
        <f t="shared" si="8"/>
        <v>E1_1_1_86_mRNA</v>
      </c>
      <c r="D30" t="str">
        <f t="shared" si="9"/>
        <v>E1_1_1_86</v>
      </c>
      <c r="E30" s="29" t="str">
        <f t="shared" si="10"/>
        <v>E1_1_1_86_kcat : 13.7</v>
      </c>
      <c r="F30" s="30" t="str">
        <f t="shared" si="11"/>
        <v>E1_1_1_86_km : 1</v>
      </c>
      <c r="G30" s="31" t="str">
        <f t="shared" si="12"/>
        <v>E1_1_1_86_mRNA : E1_1_1_86_mRNA</v>
      </c>
      <c r="H30" s="32" t="str">
        <f t="shared" si="13"/>
        <v>E1_1_1_86 : E1_1_1_86</v>
      </c>
      <c r="I30" s="33" t="str">
        <f t="shared" si="14"/>
        <v>E1_1_1_86_mRNA : 0</v>
      </c>
      <c r="J30" s="16" t="str">
        <f t="shared" si="15"/>
        <v>E1_1_1_86 : 0</v>
      </c>
      <c r="K30" s="34" t="str">
        <f t="shared" si="16"/>
        <v>0.00292 - (0.0093 * E1_1_1_86_mRNA)</v>
      </c>
      <c r="L30" s="31" t="str">
        <f t="shared" si="17"/>
        <v>(0.278 * E1_1_1_86_mRNA) - (0.00000278 * E1_1_1_86)</v>
      </c>
      <c r="M30" s="35" t="str">
        <f t="shared" si="19"/>
        <v>mRNA29: -&gt; E1_1_1_86_mRNA | 0.00292 - (0.0093 * E1_1_1_86_mRNA)</v>
      </c>
      <c r="N30" s="29" t="str">
        <f t="shared" si="18"/>
        <v>Peptide29: E1_1_1_86_mRNA -&gt; E1_1_1_86 | (0.278 * E1_1_1_86_mRNA) - (0.000000278 * E1_1_1_86)</v>
      </c>
    </row>
    <row r="31" spans="1:14">
      <c r="A31">
        <v>30</v>
      </c>
      <c r="B31" s="45" t="s">
        <v>17600</v>
      </c>
      <c r="C31" t="str">
        <f t="shared" si="8"/>
        <v>E1_1_1_93_mRNA</v>
      </c>
      <c r="D31" t="str">
        <f t="shared" si="9"/>
        <v>E1_1_1_93</v>
      </c>
      <c r="E31" s="29" t="str">
        <f t="shared" si="10"/>
        <v>E1_1_1_93_kcat : 13.7</v>
      </c>
      <c r="F31" s="30" t="str">
        <f t="shared" si="11"/>
        <v>E1_1_1_93_km : 1</v>
      </c>
      <c r="G31" s="31" t="str">
        <f t="shared" si="12"/>
        <v>E1_1_1_93_mRNA : E1_1_1_93_mRNA</v>
      </c>
      <c r="H31" s="32" t="str">
        <f t="shared" si="13"/>
        <v>E1_1_1_93 : E1_1_1_93</v>
      </c>
      <c r="I31" s="33" t="str">
        <f t="shared" si="14"/>
        <v>E1_1_1_93_mRNA : 0</v>
      </c>
      <c r="J31" s="16" t="str">
        <f t="shared" si="15"/>
        <v>E1_1_1_93 : 0</v>
      </c>
      <c r="K31" s="34" t="str">
        <f t="shared" si="16"/>
        <v>0.00292 - (0.0093 * E1_1_1_93_mRNA)</v>
      </c>
      <c r="L31" s="31" t="str">
        <f t="shared" si="17"/>
        <v>(0.278 * E1_1_1_93_mRNA) - (0.00000278 * E1_1_1_93)</v>
      </c>
      <c r="M31" s="35" t="str">
        <f t="shared" si="19"/>
        <v>mRNA30: -&gt; E1_1_1_93_mRNA | 0.00292 - (0.0093 * E1_1_1_93_mRNA)</v>
      </c>
      <c r="N31" s="29" t="str">
        <f t="shared" si="18"/>
        <v>Peptide30: E1_1_1_93_mRNA -&gt; E1_1_1_93 | (0.278 * E1_1_1_93_mRNA) - (0.000000278 * E1_1_1_93)</v>
      </c>
    </row>
    <row r="32" spans="1:14">
      <c r="A32">
        <v>31</v>
      </c>
      <c r="B32" t="s">
        <v>12790</v>
      </c>
      <c r="C32" t="str">
        <f t="shared" si="8"/>
        <v>E1_1_1_94_mRNA</v>
      </c>
      <c r="D32" t="str">
        <f t="shared" si="9"/>
        <v>E1_1_1_94</v>
      </c>
      <c r="E32" s="29" t="str">
        <f t="shared" si="10"/>
        <v>E1_1_1_94_kcat : 13.7</v>
      </c>
      <c r="F32" s="30" t="str">
        <f t="shared" si="11"/>
        <v>E1_1_1_94_km : 1</v>
      </c>
      <c r="G32" s="31" t="str">
        <f t="shared" si="12"/>
        <v>E1_1_1_94_mRNA : E1_1_1_94_mRNA</v>
      </c>
      <c r="H32" s="32" t="str">
        <f t="shared" si="13"/>
        <v>E1_1_1_94 : E1_1_1_94</v>
      </c>
      <c r="I32" s="33" t="str">
        <f t="shared" si="14"/>
        <v>E1_1_1_94_mRNA : 0</v>
      </c>
      <c r="J32" s="16" t="str">
        <f t="shared" si="15"/>
        <v>E1_1_1_94 : 0</v>
      </c>
      <c r="K32" s="34" t="str">
        <f t="shared" si="16"/>
        <v>0.00292 - (0.0093 * E1_1_1_94_mRNA)</v>
      </c>
      <c r="L32" s="31" t="str">
        <f t="shared" si="17"/>
        <v>(0.278 * E1_1_1_94_mRNA) - (0.00000278 * E1_1_1_94)</v>
      </c>
      <c r="M32" s="35" t="str">
        <f t="shared" si="19"/>
        <v>mRNA31: -&gt; E1_1_1_94_mRNA | 0.00292 - (0.0093 * E1_1_1_94_mRNA)</v>
      </c>
      <c r="N32" s="29" t="str">
        <f t="shared" si="18"/>
        <v>Peptide31: E1_1_1_94_mRNA -&gt; E1_1_1_94 | (0.278 * E1_1_1_94_mRNA) - (0.000000278 * E1_1_1_94)</v>
      </c>
    </row>
    <row r="33" spans="1:14">
      <c r="A33">
        <v>32</v>
      </c>
      <c r="B33" t="s">
        <v>12791</v>
      </c>
      <c r="C33" t="str">
        <f t="shared" si="8"/>
        <v>E1_1_1_95_mRNA</v>
      </c>
      <c r="D33" t="str">
        <f t="shared" si="9"/>
        <v>E1_1_1_95</v>
      </c>
      <c r="E33" s="29" t="str">
        <f t="shared" si="10"/>
        <v>E1_1_1_95_kcat : 13.7</v>
      </c>
      <c r="F33" s="30" t="str">
        <f t="shared" si="11"/>
        <v>E1_1_1_95_km : 1</v>
      </c>
      <c r="G33" s="31" t="str">
        <f t="shared" si="12"/>
        <v>E1_1_1_95_mRNA : E1_1_1_95_mRNA</v>
      </c>
      <c r="H33" s="32" t="str">
        <f t="shared" si="13"/>
        <v>E1_1_1_95 : E1_1_1_95</v>
      </c>
      <c r="I33" s="33" t="str">
        <f t="shared" si="14"/>
        <v>E1_1_1_95_mRNA : 0</v>
      </c>
      <c r="J33" s="16" t="str">
        <f t="shared" si="15"/>
        <v>E1_1_1_95 : 0</v>
      </c>
      <c r="K33" s="34" t="str">
        <f t="shared" si="16"/>
        <v>0.00292 - (0.0093 * E1_1_1_95_mRNA)</v>
      </c>
      <c r="L33" s="31" t="str">
        <f t="shared" si="17"/>
        <v>(0.278 * E1_1_1_95_mRNA) - (0.00000278 * E1_1_1_95)</v>
      </c>
      <c r="M33" s="35" t="str">
        <f t="shared" si="19"/>
        <v>mRNA32: -&gt; E1_1_1_95_mRNA | 0.00292 - (0.0093 * E1_1_1_95_mRNA)</v>
      </c>
      <c r="N33" s="29" t="str">
        <f t="shared" si="18"/>
        <v>Peptide32: E1_1_1_95_mRNA -&gt; E1_1_1_95 | (0.278 * E1_1_1_95_mRNA) - (0.000000278 * E1_1_1_95)</v>
      </c>
    </row>
    <row r="34" spans="1:14">
      <c r="A34">
        <v>33</v>
      </c>
      <c r="B34" t="s">
        <v>12792</v>
      </c>
      <c r="C34" t="str">
        <f t="shared" si="8"/>
        <v>E1_1_5_4_mRNA</v>
      </c>
      <c r="D34" t="str">
        <f t="shared" si="9"/>
        <v>E1_1_5_4</v>
      </c>
      <c r="E34" s="29" t="str">
        <f t="shared" si="10"/>
        <v>E1_1_5_4_kcat : 13.7</v>
      </c>
      <c r="F34" s="30" t="str">
        <f t="shared" si="11"/>
        <v>E1_1_5_4_km : 1</v>
      </c>
      <c r="G34" s="31" t="str">
        <f t="shared" si="12"/>
        <v>E1_1_5_4_mRNA : E1_1_5_4_mRNA</v>
      </c>
      <c r="H34" s="32" t="str">
        <f t="shared" si="13"/>
        <v>E1_1_5_4 : E1_1_5_4</v>
      </c>
      <c r="I34" s="33" t="str">
        <f t="shared" si="14"/>
        <v>E1_1_5_4_mRNA : 0</v>
      </c>
      <c r="J34" s="16" t="str">
        <f t="shared" si="15"/>
        <v>E1_1_5_4 : 0</v>
      </c>
      <c r="K34" s="34" t="str">
        <f t="shared" si="16"/>
        <v>0.00292 - (0.0093 * E1_1_5_4_mRNA)</v>
      </c>
      <c r="L34" s="31" t="str">
        <f t="shared" si="17"/>
        <v>(0.278 * E1_1_5_4_mRNA) - (0.00000278 * E1_1_5_4)</v>
      </c>
      <c r="M34" s="35" t="str">
        <f t="shared" si="19"/>
        <v>mRNA33: -&gt; E1_1_5_4_mRNA | 0.00292 - (0.0093 * E1_1_5_4_mRNA)</v>
      </c>
      <c r="N34" s="29" t="str">
        <f t="shared" si="18"/>
        <v>Peptide33: E1_1_5_4_mRNA -&gt; E1_1_5_4 | (0.278 * E1_1_5_4_mRNA) - (0.000000278 * E1_1_5_4)</v>
      </c>
    </row>
    <row r="35" spans="1:14">
      <c r="A35">
        <v>34</v>
      </c>
      <c r="B35" t="s">
        <v>12793</v>
      </c>
      <c r="C35" t="str">
        <f t="shared" si="8"/>
        <v>E1_11_1_24_mRNA</v>
      </c>
      <c r="D35" t="str">
        <f t="shared" si="9"/>
        <v>E1_11_1_24</v>
      </c>
      <c r="E35" s="29" t="str">
        <f t="shared" si="10"/>
        <v>E1_11_1_24_kcat : 13.7</v>
      </c>
      <c r="F35" s="30" t="str">
        <f t="shared" si="11"/>
        <v>E1_11_1_24_km : 1</v>
      </c>
      <c r="G35" s="31" t="str">
        <f t="shared" si="12"/>
        <v>E1_11_1_24_mRNA : E1_11_1_24_mRNA</v>
      </c>
      <c r="H35" s="32" t="str">
        <f t="shared" si="13"/>
        <v>E1_11_1_24 : E1_11_1_24</v>
      </c>
      <c r="I35" s="33" t="str">
        <f t="shared" si="14"/>
        <v>E1_11_1_24_mRNA : 0</v>
      </c>
      <c r="J35" s="16" t="str">
        <f t="shared" si="15"/>
        <v>E1_11_1_24 : 0</v>
      </c>
      <c r="K35" s="34" t="str">
        <f t="shared" si="16"/>
        <v>0.00292 - (0.0093 * E1_11_1_24_mRNA)</v>
      </c>
      <c r="L35" s="31" t="str">
        <f t="shared" si="17"/>
        <v>(0.278 * E1_11_1_24_mRNA) - (0.00000278 * E1_11_1_24)</v>
      </c>
      <c r="M35" s="35" t="str">
        <f t="shared" si="19"/>
        <v>mRNA34: -&gt; E1_11_1_24_mRNA | 0.00292 - (0.0093 * E1_11_1_24_mRNA)</v>
      </c>
      <c r="N35" s="29" t="str">
        <f t="shared" si="18"/>
        <v>Peptide34: E1_11_1_24_mRNA -&gt; E1_11_1_24 | (0.278 * E1_11_1_24_mRNA) - (0.000000278 * E1_11_1_24)</v>
      </c>
    </row>
    <row r="36" spans="1:14">
      <c r="A36">
        <v>35</v>
      </c>
      <c r="B36" t="s">
        <v>12794</v>
      </c>
      <c r="C36" t="str">
        <f t="shared" si="8"/>
        <v>E1_11_1_6_mRNA</v>
      </c>
      <c r="D36" t="str">
        <f t="shared" si="9"/>
        <v>E1_11_1_6</v>
      </c>
      <c r="E36" s="29" t="str">
        <f t="shared" si="10"/>
        <v>E1_11_1_6_kcat : 13.7</v>
      </c>
      <c r="F36" s="30" t="str">
        <f t="shared" si="11"/>
        <v>E1_11_1_6_km : 1</v>
      </c>
      <c r="G36" s="31" t="str">
        <f t="shared" si="12"/>
        <v>E1_11_1_6_mRNA : E1_11_1_6_mRNA</v>
      </c>
      <c r="H36" s="32" t="str">
        <f t="shared" si="13"/>
        <v>E1_11_1_6 : E1_11_1_6</v>
      </c>
      <c r="I36" s="33" t="str">
        <f t="shared" si="14"/>
        <v>E1_11_1_6_mRNA : 0</v>
      </c>
      <c r="J36" s="16" t="str">
        <f t="shared" si="15"/>
        <v>E1_11_1_6 : 0</v>
      </c>
      <c r="K36" s="34" t="str">
        <f t="shared" si="16"/>
        <v>0.00292 - (0.0093 * E1_11_1_6_mRNA)</v>
      </c>
      <c r="L36" s="31" t="str">
        <f t="shared" si="17"/>
        <v>(0.278 * E1_11_1_6_mRNA) - (0.00000278 * E1_11_1_6)</v>
      </c>
      <c r="M36" s="35" t="str">
        <f t="shared" si="19"/>
        <v>mRNA35: -&gt; E1_11_1_6_mRNA | 0.00292 - (0.0093 * E1_11_1_6_mRNA)</v>
      </c>
      <c r="N36" s="29" t="str">
        <f t="shared" si="18"/>
        <v>Peptide35: E1_11_1_6_mRNA -&gt; E1_11_1_6 | (0.278 * E1_11_1_6_mRNA) - (0.000000278 * E1_11_1_6)</v>
      </c>
    </row>
    <row r="37" spans="1:14">
      <c r="A37">
        <v>36</v>
      </c>
      <c r="B37" t="s">
        <v>12795</v>
      </c>
      <c r="C37" t="str">
        <f t="shared" si="8"/>
        <v>E1_13_11_1_mRNA</v>
      </c>
      <c r="D37" t="str">
        <f t="shared" si="9"/>
        <v>E1_13_11_1</v>
      </c>
      <c r="E37" s="29" t="str">
        <f t="shared" si="10"/>
        <v>E1_13_11_1_kcat : 13.7</v>
      </c>
      <c r="F37" s="30" t="str">
        <f t="shared" si="11"/>
        <v>E1_13_11_1_km : 1</v>
      </c>
      <c r="G37" s="31" t="str">
        <f t="shared" si="12"/>
        <v>E1_13_11_1_mRNA : E1_13_11_1_mRNA</v>
      </c>
      <c r="H37" s="32" t="str">
        <f t="shared" si="13"/>
        <v>E1_13_11_1 : E1_13_11_1</v>
      </c>
      <c r="I37" s="33" t="str">
        <f t="shared" si="14"/>
        <v>E1_13_11_1_mRNA : 0</v>
      </c>
      <c r="J37" s="16" t="str">
        <f t="shared" si="15"/>
        <v>E1_13_11_1 : 0</v>
      </c>
      <c r="K37" s="34" t="str">
        <f t="shared" si="16"/>
        <v>0.00292 - (0.0093 * E1_13_11_1_mRNA)</v>
      </c>
      <c r="L37" s="31" t="str">
        <f t="shared" si="17"/>
        <v>(0.278 * E1_13_11_1_mRNA) - (0.00000278 * E1_13_11_1)</v>
      </c>
      <c r="M37" s="35" t="str">
        <f t="shared" si="19"/>
        <v>mRNA36: -&gt; E1_13_11_1_mRNA | 0.00292 - (0.0093 * E1_13_11_1_mRNA)</v>
      </c>
      <c r="N37" s="29" t="str">
        <f t="shared" si="18"/>
        <v>Peptide36: E1_13_11_1_mRNA -&gt; E1_13_11_1 | (0.278 * E1_13_11_1_mRNA) - (0.000000278 * E1_13_11_1)</v>
      </c>
    </row>
    <row r="38" spans="1:14">
      <c r="A38">
        <v>37</v>
      </c>
      <c r="B38" s="45" t="s">
        <v>17601</v>
      </c>
      <c r="C38" t="str">
        <f t="shared" si="8"/>
        <v>E1_13_11_15_mRNA</v>
      </c>
      <c r="D38" t="str">
        <f t="shared" si="9"/>
        <v>E1_13_11_15</v>
      </c>
      <c r="E38" s="29" t="str">
        <f t="shared" si="10"/>
        <v>E1_13_11_15_kcat : 13.7</v>
      </c>
      <c r="F38" s="30" t="str">
        <f t="shared" si="11"/>
        <v>E1_13_11_15_km : 1</v>
      </c>
      <c r="G38" s="31" t="str">
        <f t="shared" si="12"/>
        <v>E1_13_11_15_mRNA : E1_13_11_15_mRNA</v>
      </c>
      <c r="H38" s="32" t="str">
        <f t="shared" si="13"/>
        <v>E1_13_11_15 : E1_13_11_15</v>
      </c>
      <c r="I38" s="33" t="str">
        <f t="shared" si="14"/>
        <v>E1_13_11_15_mRNA : 0</v>
      </c>
      <c r="J38" s="16" t="str">
        <f t="shared" si="15"/>
        <v>E1_13_11_15 : 0</v>
      </c>
      <c r="K38" s="34" t="str">
        <f t="shared" si="16"/>
        <v>0.00292 - (0.0093 * E1_13_11_15_mRNA)</v>
      </c>
      <c r="L38" s="31" t="str">
        <f t="shared" si="17"/>
        <v>(0.278 * E1_13_11_15_mRNA) - (0.00000278 * E1_13_11_15)</v>
      </c>
      <c r="M38" s="35" t="str">
        <f t="shared" si="19"/>
        <v>mRNA37: -&gt; E1_13_11_15_mRNA | 0.00292 - (0.0093 * E1_13_11_15_mRNA)</v>
      </c>
      <c r="N38" s="29" t="str">
        <f t="shared" si="18"/>
        <v>Peptide37: E1_13_11_15_mRNA -&gt; E1_13_11_15 | (0.278 * E1_13_11_15_mRNA) - (0.000000278 * E1_13_11_15)</v>
      </c>
    </row>
    <row r="39" spans="1:14">
      <c r="A39">
        <v>38</v>
      </c>
      <c r="B39" s="45" t="s">
        <v>17602</v>
      </c>
      <c r="C39" t="str">
        <f t="shared" si="8"/>
        <v>E1_13_11_16_mRNA</v>
      </c>
      <c r="D39" t="str">
        <f t="shared" si="9"/>
        <v>E1_13_11_16</v>
      </c>
      <c r="E39" s="29" t="str">
        <f t="shared" si="10"/>
        <v>E1_13_11_16_kcat : 13.7</v>
      </c>
      <c r="F39" s="30" t="str">
        <f t="shared" si="11"/>
        <v>E1_13_11_16_km : 1</v>
      </c>
      <c r="G39" s="31" t="str">
        <f t="shared" si="12"/>
        <v>E1_13_11_16_mRNA : E1_13_11_16_mRNA</v>
      </c>
      <c r="H39" s="32" t="str">
        <f t="shared" si="13"/>
        <v>E1_13_11_16 : E1_13_11_16</v>
      </c>
      <c r="I39" s="33" t="str">
        <f t="shared" si="14"/>
        <v>E1_13_11_16_mRNA : 0</v>
      </c>
      <c r="J39" s="16" t="str">
        <f t="shared" si="15"/>
        <v>E1_13_11_16 : 0</v>
      </c>
      <c r="K39" s="34" t="str">
        <f t="shared" si="16"/>
        <v>0.00292 - (0.0093 * E1_13_11_16_mRNA)</v>
      </c>
      <c r="L39" s="31" t="str">
        <f t="shared" si="17"/>
        <v>(0.278 * E1_13_11_16_mRNA) - (0.00000278 * E1_13_11_16)</v>
      </c>
      <c r="M39" s="35" t="str">
        <f t="shared" si="19"/>
        <v>mRNA38: -&gt; E1_13_11_16_mRNA | 0.00292 - (0.0093 * E1_13_11_16_mRNA)</v>
      </c>
      <c r="N39" s="29" t="str">
        <f t="shared" si="18"/>
        <v>Peptide38: E1_13_11_16_mRNA -&gt; E1_13_11_16 | (0.278 * E1_13_11_16_mRNA) - (0.000000278 * E1_13_11_16)</v>
      </c>
    </row>
    <row r="40" spans="1:14">
      <c r="A40">
        <v>39</v>
      </c>
      <c r="B40" t="s">
        <v>12796</v>
      </c>
      <c r="C40" t="str">
        <f t="shared" si="8"/>
        <v>E1_13_11_3_mRNA</v>
      </c>
      <c r="D40" t="str">
        <f t="shared" si="9"/>
        <v>E1_13_11_3</v>
      </c>
      <c r="E40" s="29" t="str">
        <f t="shared" si="10"/>
        <v>E1_13_11_3_kcat : 13.7</v>
      </c>
      <c r="F40" s="30" t="str">
        <f t="shared" si="11"/>
        <v>E1_13_11_3_km : 1</v>
      </c>
      <c r="G40" s="31" t="str">
        <f t="shared" si="12"/>
        <v>E1_13_11_3_mRNA : E1_13_11_3_mRNA</v>
      </c>
      <c r="H40" s="32" t="str">
        <f t="shared" si="13"/>
        <v>E1_13_11_3 : E1_13_11_3</v>
      </c>
      <c r="I40" s="33" t="str">
        <f t="shared" si="14"/>
        <v>E1_13_11_3_mRNA : 0</v>
      </c>
      <c r="J40" s="16" t="str">
        <f t="shared" si="15"/>
        <v>E1_13_11_3 : 0</v>
      </c>
      <c r="K40" s="34" t="str">
        <f t="shared" si="16"/>
        <v>0.00292 - (0.0093 * E1_13_11_3_mRNA)</v>
      </c>
      <c r="L40" s="31" t="str">
        <f t="shared" si="17"/>
        <v>(0.278 * E1_13_11_3_mRNA) - (0.00000278 * E1_13_11_3)</v>
      </c>
      <c r="M40" s="35" t="str">
        <f t="shared" si="19"/>
        <v>mRNA39: -&gt; E1_13_11_3_mRNA | 0.00292 - (0.0093 * E1_13_11_3_mRNA)</v>
      </c>
      <c r="N40" s="29" t="str">
        <f t="shared" si="18"/>
        <v>Peptide39: E1_13_11_3_mRNA -&gt; E1_13_11_3 | (0.278 * E1_13_11_3_mRNA) - (0.000000278 * E1_13_11_3)</v>
      </c>
    </row>
    <row r="41" spans="1:14">
      <c r="A41">
        <v>40</v>
      </c>
      <c r="B41" s="45" t="s">
        <v>17603</v>
      </c>
      <c r="C41" t="str">
        <f t="shared" si="8"/>
        <v>E1_13_11_93_mRNA</v>
      </c>
      <c r="D41" t="str">
        <f t="shared" si="9"/>
        <v>E1_13_11_93</v>
      </c>
      <c r="E41" s="29" t="str">
        <f t="shared" si="10"/>
        <v>E1_13_11_93_kcat : 13.7</v>
      </c>
      <c r="F41" s="30" t="str">
        <f t="shared" si="11"/>
        <v>E1_13_11_93_km : 1</v>
      </c>
      <c r="G41" s="31" t="str">
        <f t="shared" si="12"/>
        <v>E1_13_11_93_mRNA : E1_13_11_93_mRNA</v>
      </c>
      <c r="H41" s="32" t="str">
        <f t="shared" si="13"/>
        <v>E1_13_11_93 : E1_13_11_93</v>
      </c>
      <c r="I41" s="33" t="str">
        <f t="shared" si="14"/>
        <v>E1_13_11_93_mRNA : 0</v>
      </c>
      <c r="J41" s="16" t="str">
        <f t="shared" si="15"/>
        <v>E1_13_11_93 : 0</v>
      </c>
      <c r="K41" s="34" t="str">
        <f t="shared" si="16"/>
        <v>0.00292 - (0.0093 * E1_13_11_93_mRNA)</v>
      </c>
      <c r="L41" s="31" t="str">
        <f t="shared" si="17"/>
        <v>(0.278 * E1_13_11_93_mRNA) - (0.00000278 * E1_13_11_93)</v>
      </c>
      <c r="M41" s="35" t="str">
        <f t="shared" si="19"/>
        <v>mRNA40: -&gt; E1_13_11_93_mRNA | 0.00292 - (0.0093 * E1_13_11_93_mRNA)</v>
      </c>
      <c r="N41" s="29" t="str">
        <f t="shared" si="18"/>
        <v>Peptide40: E1_13_11_93_mRNA -&gt; E1_13_11_93 | (0.278 * E1_13_11_93_mRNA) - (0.000000278 * E1_13_11_93)</v>
      </c>
    </row>
    <row r="42" spans="1:14">
      <c r="A42">
        <v>41</v>
      </c>
      <c r="B42" t="s">
        <v>16011</v>
      </c>
      <c r="C42" t="str">
        <f t="shared" si="8"/>
        <v>E1_13_12_16_mRNA</v>
      </c>
      <c r="D42" t="str">
        <f t="shared" si="9"/>
        <v>E1_13_12_16</v>
      </c>
      <c r="E42" s="29" t="str">
        <f t="shared" si="10"/>
        <v>E1_13_12_16_kcat : 13.7</v>
      </c>
      <c r="F42" s="30" t="str">
        <f t="shared" si="11"/>
        <v>E1_13_12_16_km : 1</v>
      </c>
      <c r="G42" s="31" t="str">
        <f t="shared" si="12"/>
        <v>E1_13_12_16_mRNA : E1_13_12_16_mRNA</v>
      </c>
      <c r="H42" s="32" t="str">
        <f t="shared" si="13"/>
        <v>E1_13_12_16 : E1_13_12_16</v>
      </c>
      <c r="I42" s="33" t="str">
        <f t="shared" si="14"/>
        <v>E1_13_12_16_mRNA : 0</v>
      </c>
      <c r="J42" s="16" t="str">
        <f t="shared" si="15"/>
        <v>E1_13_12_16 : 0</v>
      </c>
      <c r="K42" s="34" t="str">
        <f t="shared" si="16"/>
        <v>0.00292 - (0.0093 * E1_13_12_16_mRNA)</v>
      </c>
      <c r="L42" s="31" t="str">
        <f t="shared" si="17"/>
        <v>(0.278 * E1_13_12_16_mRNA) - (0.00000278 * E1_13_12_16)</v>
      </c>
      <c r="M42" s="35" t="str">
        <f t="shared" si="19"/>
        <v>mRNA41: -&gt; E1_13_12_16_mRNA | 0.00292 - (0.0093 * E1_13_12_16_mRNA)</v>
      </c>
      <c r="N42" s="29" t="str">
        <f t="shared" si="18"/>
        <v>Peptide41: E1_13_12_16_mRNA -&gt; E1_13_12_16 | (0.278 * E1_13_12_16_mRNA) - (0.000000278 * E1_13_12_16)</v>
      </c>
    </row>
    <row r="43" spans="1:14">
      <c r="A43">
        <v>42</v>
      </c>
      <c r="B43" s="45" t="s">
        <v>17604</v>
      </c>
      <c r="C43" t="str">
        <f t="shared" si="8"/>
        <v>E1_14_11_33_mRNA</v>
      </c>
      <c r="D43" t="str">
        <f t="shared" si="9"/>
        <v>E1_14_11_33</v>
      </c>
      <c r="E43" s="29" t="str">
        <f t="shared" si="10"/>
        <v>E1_14_11_33_kcat : 13.7</v>
      </c>
      <c r="F43" s="30" t="str">
        <f t="shared" si="11"/>
        <v>E1_14_11_33_km : 1</v>
      </c>
      <c r="G43" s="31" t="str">
        <f t="shared" si="12"/>
        <v>E1_14_11_33_mRNA : E1_14_11_33_mRNA</v>
      </c>
      <c r="H43" s="32" t="str">
        <f t="shared" si="13"/>
        <v>E1_14_11_33 : E1_14_11_33</v>
      </c>
      <c r="I43" s="33" t="str">
        <f t="shared" si="14"/>
        <v>E1_14_11_33_mRNA : 0</v>
      </c>
      <c r="J43" s="16" t="str">
        <f t="shared" si="15"/>
        <v>E1_14_11_33 : 0</v>
      </c>
      <c r="K43" s="34" t="str">
        <f t="shared" si="16"/>
        <v>0.00292 - (0.0093 * E1_14_11_33_mRNA)</v>
      </c>
      <c r="L43" s="31" t="str">
        <f t="shared" si="17"/>
        <v>(0.278 * E1_14_11_33_mRNA) - (0.00000278 * E1_14_11_33)</v>
      </c>
      <c r="M43" s="35" t="str">
        <f t="shared" si="19"/>
        <v>mRNA42: -&gt; E1_14_11_33_mRNA | 0.00292 - (0.0093 * E1_14_11_33_mRNA)</v>
      </c>
      <c r="N43" s="29" t="str">
        <f t="shared" si="18"/>
        <v>Peptide42: E1_14_11_33_mRNA -&gt; E1_14_11_33 | (0.278 * E1_14_11_33_mRNA) - (0.000000278 * E1_14_11_33)</v>
      </c>
    </row>
    <row r="44" spans="1:14">
      <c r="A44">
        <v>43</v>
      </c>
      <c r="B44" t="s">
        <v>12797</v>
      </c>
      <c r="C44" t="str">
        <f t="shared" si="8"/>
        <v>E1_14_12_10_mRNA</v>
      </c>
      <c r="D44" t="str">
        <f t="shared" si="9"/>
        <v>E1_14_12_10</v>
      </c>
      <c r="E44" s="29" t="str">
        <f t="shared" si="10"/>
        <v>E1_14_12_10_kcat : 13.7</v>
      </c>
      <c r="F44" s="30" t="str">
        <f t="shared" si="11"/>
        <v>E1_14_12_10_km : 1</v>
      </c>
      <c r="G44" s="31" t="str">
        <f t="shared" si="12"/>
        <v>E1_14_12_10_mRNA : E1_14_12_10_mRNA</v>
      </c>
      <c r="H44" s="32" t="str">
        <f t="shared" si="13"/>
        <v>E1_14_12_10 : E1_14_12_10</v>
      </c>
      <c r="I44" s="33" t="str">
        <f t="shared" si="14"/>
        <v>E1_14_12_10_mRNA : 0</v>
      </c>
      <c r="J44" s="16" t="str">
        <f t="shared" si="15"/>
        <v>E1_14_12_10 : 0</v>
      </c>
      <c r="K44" s="34" t="str">
        <f t="shared" si="16"/>
        <v>0.00292 - (0.0093 * E1_14_12_10_mRNA)</v>
      </c>
      <c r="L44" s="31" t="str">
        <f t="shared" si="17"/>
        <v>(0.278 * E1_14_12_10_mRNA) - (0.00000278 * E1_14_12_10)</v>
      </c>
      <c r="M44" s="35" t="str">
        <f t="shared" si="19"/>
        <v>mRNA43: -&gt; E1_14_12_10_mRNA | 0.00292 - (0.0093 * E1_14_12_10_mRNA)</v>
      </c>
      <c r="N44" s="29" t="str">
        <f t="shared" si="18"/>
        <v>Peptide43: E1_14_12_10_mRNA -&gt; E1_14_12_10 | (0.278 * E1_14_12_10_mRNA) - (0.000000278 * E1_14_12_10)</v>
      </c>
    </row>
    <row r="45" spans="1:14">
      <c r="A45">
        <v>44</v>
      </c>
      <c r="B45" t="s">
        <v>12798</v>
      </c>
      <c r="C45" t="str">
        <f t="shared" si="8"/>
        <v>E1_14_13_127_mRNA</v>
      </c>
      <c r="D45" t="str">
        <f t="shared" si="9"/>
        <v>E1_14_13_127</v>
      </c>
      <c r="E45" s="29" t="str">
        <f t="shared" si="10"/>
        <v>E1_14_13_127_kcat : 13.7</v>
      </c>
      <c r="F45" s="30" t="str">
        <f t="shared" si="11"/>
        <v>E1_14_13_127_km : 1</v>
      </c>
      <c r="G45" s="31" t="str">
        <f t="shared" si="12"/>
        <v>E1_14_13_127_mRNA : E1_14_13_127_mRNA</v>
      </c>
      <c r="H45" s="32" t="str">
        <f t="shared" si="13"/>
        <v>E1_14_13_127 : E1_14_13_127</v>
      </c>
      <c r="I45" s="33" t="str">
        <f t="shared" si="14"/>
        <v>E1_14_13_127_mRNA : 0</v>
      </c>
      <c r="J45" s="16" t="str">
        <f t="shared" si="15"/>
        <v>E1_14_13_127 : 0</v>
      </c>
      <c r="K45" s="34" t="str">
        <f t="shared" si="16"/>
        <v>0.00292 - (0.0093 * E1_14_13_127_mRNA)</v>
      </c>
      <c r="L45" s="31" t="str">
        <f t="shared" si="17"/>
        <v>(0.278 * E1_14_13_127_mRNA) - (0.00000278 * E1_14_13_127)</v>
      </c>
      <c r="M45" s="35" t="str">
        <f t="shared" si="19"/>
        <v>mRNA44: -&gt; E1_14_13_127_mRNA | 0.00292 - (0.0093 * E1_14_13_127_mRNA)</v>
      </c>
      <c r="N45" s="29" t="str">
        <f t="shared" si="18"/>
        <v>Peptide44: E1_14_13_127_mRNA -&gt; E1_14_13_127 | (0.278 * E1_14_13_127_mRNA) - (0.000000278 * E1_14_13_127)</v>
      </c>
    </row>
    <row r="46" spans="1:14">
      <c r="A46">
        <v>45</v>
      </c>
      <c r="B46" s="45" t="s">
        <v>17605</v>
      </c>
      <c r="C46" t="str">
        <f t="shared" si="8"/>
        <v>E1_14_13_149_mRNA</v>
      </c>
      <c r="D46" t="str">
        <f t="shared" si="9"/>
        <v>E1_14_13_149</v>
      </c>
      <c r="E46" s="29" t="str">
        <f t="shared" si="10"/>
        <v>E1_14_13_149_kcat : 13.7</v>
      </c>
      <c r="F46" s="30" t="str">
        <f t="shared" si="11"/>
        <v>E1_14_13_149_km : 1</v>
      </c>
      <c r="G46" s="31" t="str">
        <f t="shared" si="12"/>
        <v>E1_14_13_149_mRNA : E1_14_13_149_mRNA</v>
      </c>
      <c r="H46" s="32" t="str">
        <f t="shared" si="13"/>
        <v>E1_14_13_149 : E1_14_13_149</v>
      </c>
      <c r="I46" s="33" t="str">
        <f t="shared" si="14"/>
        <v>E1_14_13_149_mRNA : 0</v>
      </c>
      <c r="J46" s="16" t="str">
        <f t="shared" si="15"/>
        <v>E1_14_13_149 : 0</v>
      </c>
      <c r="K46" s="34" t="str">
        <f t="shared" si="16"/>
        <v>0.00292 - (0.0093 * E1_14_13_149_mRNA)</v>
      </c>
      <c r="L46" s="31" t="str">
        <f t="shared" si="17"/>
        <v>(0.278 * E1_14_13_149_mRNA) - (0.00000278 * E1_14_13_149)</v>
      </c>
      <c r="M46" s="35" t="str">
        <f t="shared" si="19"/>
        <v>mRNA45: -&gt; E1_14_13_149_mRNA | 0.00292 - (0.0093 * E1_14_13_149_mRNA)</v>
      </c>
      <c r="N46" s="29" t="str">
        <f t="shared" si="18"/>
        <v>Peptide45: E1_14_13_149_mRNA -&gt; E1_14_13_149 | (0.278 * E1_14_13_149_mRNA) - (0.000000278 * E1_14_13_149)</v>
      </c>
    </row>
    <row r="47" spans="1:14">
      <c r="A47">
        <v>46</v>
      </c>
      <c r="B47" t="s">
        <v>16012</v>
      </c>
      <c r="C47" t="str">
        <f t="shared" si="8"/>
        <v>E1_14_13_24_mRNA</v>
      </c>
      <c r="D47" t="str">
        <f t="shared" si="9"/>
        <v>E1_14_13_24</v>
      </c>
      <c r="E47" s="29" t="str">
        <f t="shared" si="10"/>
        <v>E1_14_13_24_kcat : 13.7</v>
      </c>
      <c r="F47" s="30" t="str">
        <f t="shared" si="11"/>
        <v>E1_14_13_24_km : 1</v>
      </c>
      <c r="G47" s="31" t="str">
        <f t="shared" si="12"/>
        <v>E1_14_13_24_mRNA : E1_14_13_24_mRNA</v>
      </c>
      <c r="H47" s="32" t="str">
        <f t="shared" si="13"/>
        <v>E1_14_13_24 : E1_14_13_24</v>
      </c>
      <c r="I47" s="33" t="str">
        <f t="shared" si="14"/>
        <v>E1_14_13_24_mRNA : 0</v>
      </c>
      <c r="J47" s="16" t="str">
        <f t="shared" si="15"/>
        <v>E1_14_13_24 : 0</v>
      </c>
      <c r="K47" s="34" t="str">
        <f t="shared" si="16"/>
        <v>0.00292 - (0.0093 * E1_14_13_24_mRNA)</v>
      </c>
      <c r="L47" s="31" t="str">
        <f t="shared" si="17"/>
        <v>(0.278 * E1_14_13_24_mRNA) - (0.00000278 * E1_14_13_24)</v>
      </c>
      <c r="M47" s="35" t="str">
        <f t="shared" si="19"/>
        <v>mRNA46: -&gt; E1_14_13_24_mRNA | 0.00292 - (0.0093 * E1_14_13_24_mRNA)</v>
      </c>
      <c r="N47" s="29" t="str">
        <f t="shared" si="18"/>
        <v>Peptide46: E1_14_13_24_mRNA -&gt; E1_14_13_24 | (0.278 * E1_14_13_24_mRNA) - (0.000000278 * E1_14_13_24)</v>
      </c>
    </row>
    <row r="48" spans="1:14">
      <c r="A48">
        <v>47</v>
      </c>
      <c r="B48" t="s">
        <v>12799</v>
      </c>
      <c r="C48" t="str">
        <f t="shared" si="8"/>
        <v>E1_14_14_18_mRNA</v>
      </c>
      <c r="D48" t="str">
        <f t="shared" si="9"/>
        <v>E1_14_14_18</v>
      </c>
      <c r="E48" s="29" t="str">
        <f t="shared" si="10"/>
        <v>E1_14_14_18_kcat : 13.7</v>
      </c>
      <c r="F48" s="30" t="str">
        <f t="shared" si="11"/>
        <v>E1_14_14_18_km : 1</v>
      </c>
      <c r="G48" s="31" t="str">
        <f t="shared" si="12"/>
        <v>E1_14_14_18_mRNA : E1_14_14_18_mRNA</v>
      </c>
      <c r="H48" s="32" t="str">
        <f t="shared" si="13"/>
        <v>E1_14_14_18 : E1_14_14_18</v>
      </c>
      <c r="I48" s="33" t="str">
        <f t="shared" si="14"/>
        <v>E1_14_14_18_mRNA : 0</v>
      </c>
      <c r="J48" s="16" t="str">
        <f t="shared" si="15"/>
        <v>E1_14_14_18 : 0</v>
      </c>
      <c r="K48" s="34" t="str">
        <f t="shared" si="16"/>
        <v>0.00292 - (0.0093 * E1_14_14_18_mRNA)</v>
      </c>
      <c r="L48" s="31" t="str">
        <f t="shared" si="17"/>
        <v>(0.278 * E1_14_14_18_mRNA) - (0.00000278 * E1_14_14_18)</v>
      </c>
      <c r="M48" s="35" t="str">
        <f t="shared" si="19"/>
        <v>mRNA47: -&gt; E1_14_14_18_mRNA | 0.00292 - (0.0093 * E1_14_14_18_mRNA)</v>
      </c>
      <c r="N48" s="29" t="str">
        <f t="shared" si="18"/>
        <v>Peptide47: E1_14_14_18_mRNA -&gt; E1_14_14_18 | (0.278 * E1_14_14_18_mRNA) - (0.000000278 * E1_14_14_18)</v>
      </c>
    </row>
    <row r="49" spans="1:14">
      <c r="A49">
        <v>48</v>
      </c>
      <c r="B49" t="s">
        <v>12800</v>
      </c>
      <c r="C49" t="str">
        <f t="shared" si="8"/>
        <v>E1_15_1_1_mRNA</v>
      </c>
      <c r="D49" t="str">
        <f t="shared" si="9"/>
        <v>E1_15_1_1</v>
      </c>
      <c r="E49" s="29" t="str">
        <f t="shared" si="10"/>
        <v>E1_15_1_1_kcat : 13.7</v>
      </c>
      <c r="F49" s="30" t="str">
        <f t="shared" si="11"/>
        <v>E1_15_1_1_km : 1</v>
      </c>
      <c r="G49" s="31" t="str">
        <f t="shared" si="12"/>
        <v>E1_15_1_1_mRNA : E1_15_1_1_mRNA</v>
      </c>
      <c r="H49" s="32" t="str">
        <f t="shared" si="13"/>
        <v>E1_15_1_1 : E1_15_1_1</v>
      </c>
      <c r="I49" s="33" t="str">
        <f t="shared" si="14"/>
        <v>E1_15_1_1_mRNA : 0</v>
      </c>
      <c r="J49" s="16" t="str">
        <f t="shared" si="15"/>
        <v>E1_15_1_1 : 0</v>
      </c>
      <c r="K49" s="34" t="str">
        <f t="shared" si="16"/>
        <v>0.00292 - (0.0093 * E1_15_1_1_mRNA)</v>
      </c>
      <c r="L49" s="31" t="str">
        <f t="shared" si="17"/>
        <v>(0.278 * E1_15_1_1_mRNA) - (0.00000278 * E1_15_1_1)</v>
      </c>
      <c r="M49" s="35" t="str">
        <f t="shared" si="19"/>
        <v>mRNA48: -&gt; E1_15_1_1_mRNA | 0.00292 - (0.0093 * E1_15_1_1_mRNA)</v>
      </c>
      <c r="N49" s="29" t="str">
        <f t="shared" si="18"/>
        <v>Peptide48: E1_15_1_1_mRNA -&gt; E1_15_1_1 | (0.278 * E1_15_1_1_mRNA) - (0.000000278 * E1_15_1_1)</v>
      </c>
    </row>
    <row r="50" spans="1:14">
      <c r="A50">
        <v>49</v>
      </c>
      <c r="B50" s="45" t="s">
        <v>17606</v>
      </c>
      <c r="C50" t="str">
        <f t="shared" si="8"/>
        <v>E1_16_1_1_mRNA</v>
      </c>
      <c r="D50" t="str">
        <f t="shared" si="9"/>
        <v>E1_16_1_1</v>
      </c>
      <c r="E50" s="29" t="str">
        <f t="shared" si="10"/>
        <v>E1_16_1_1_kcat : 13.7</v>
      </c>
      <c r="F50" s="30" t="str">
        <f t="shared" si="11"/>
        <v>E1_16_1_1_km : 1</v>
      </c>
      <c r="G50" s="31" t="str">
        <f t="shared" si="12"/>
        <v>E1_16_1_1_mRNA : E1_16_1_1_mRNA</v>
      </c>
      <c r="H50" s="32" t="str">
        <f t="shared" si="13"/>
        <v>E1_16_1_1 : E1_16_1_1</v>
      </c>
      <c r="I50" s="33" t="str">
        <f t="shared" si="14"/>
        <v>E1_16_1_1_mRNA : 0</v>
      </c>
      <c r="J50" s="16" t="str">
        <f t="shared" si="15"/>
        <v>E1_16_1_1 : 0</v>
      </c>
      <c r="K50" s="34" t="str">
        <f t="shared" si="16"/>
        <v>0.00292 - (0.0093 * E1_16_1_1_mRNA)</v>
      </c>
      <c r="L50" s="31" t="str">
        <f t="shared" si="17"/>
        <v>(0.278 * E1_16_1_1_mRNA) - (0.00000278 * E1_16_1_1)</v>
      </c>
      <c r="M50" s="35" t="str">
        <f t="shared" si="19"/>
        <v>mRNA49: -&gt; E1_16_1_1_mRNA | 0.00292 - (0.0093 * E1_16_1_1_mRNA)</v>
      </c>
      <c r="N50" s="29" t="str">
        <f t="shared" si="18"/>
        <v>Peptide49: E1_16_1_1_mRNA -&gt; E1_16_1_1 | (0.278 * E1_16_1_1_mRNA) - (0.000000278 * E1_16_1_1)</v>
      </c>
    </row>
    <row r="51" spans="1:14">
      <c r="A51">
        <v>50</v>
      </c>
      <c r="B51" t="s">
        <v>12801</v>
      </c>
      <c r="C51" t="str">
        <f t="shared" si="8"/>
        <v>E1_17_1_8_mRNA</v>
      </c>
      <c r="D51" t="str">
        <f t="shared" si="9"/>
        <v>E1_17_1_8</v>
      </c>
      <c r="E51" s="29" t="str">
        <f t="shared" si="10"/>
        <v>E1_17_1_8_kcat : 13.7</v>
      </c>
      <c r="F51" s="30" t="str">
        <f t="shared" si="11"/>
        <v>E1_17_1_8_km : 1</v>
      </c>
      <c r="G51" s="31" t="str">
        <f t="shared" si="12"/>
        <v>E1_17_1_8_mRNA : E1_17_1_8_mRNA</v>
      </c>
      <c r="H51" s="32" t="str">
        <f t="shared" si="13"/>
        <v>E1_17_1_8 : E1_17_1_8</v>
      </c>
      <c r="I51" s="33" t="str">
        <f t="shared" si="14"/>
        <v>E1_17_1_8_mRNA : 0</v>
      </c>
      <c r="J51" s="16" t="str">
        <f t="shared" si="15"/>
        <v>E1_17_1_8 : 0</v>
      </c>
      <c r="K51" s="34" t="str">
        <f t="shared" si="16"/>
        <v>0.00292 - (0.0093 * E1_17_1_8_mRNA)</v>
      </c>
      <c r="L51" s="31" t="str">
        <f t="shared" si="17"/>
        <v>(0.278 * E1_17_1_8_mRNA) - (0.00000278 * E1_17_1_8)</v>
      </c>
      <c r="M51" s="35" t="str">
        <f t="shared" si="19"/>
        <v>mRNA50: -&gt; E1_17_1_8_mRNA | 0.00292 - (0.0093 * E1_17_1_8_mRNA)</v>
      </c>
      <c r="N51" s="29" t="str">
        <f t="shared" si="18"/>
        <v>Peptide50: E1_17_1_8_mRNA -&gt; E1_17_1_8 | (0.278 * E1_17_1_8_mRNA) - (0.000000278 * E1_17_1_8)</v>
      </c>
    </row>
    <row r="52" spans="1:14">
      <c r="A52">
        <v>51</v>
      </c>
      <c r="B52" t="s">
        <v>16013</v>
      </c>
      <c r="C52" t="str">
        <f t="shared" si="8"/>
        <v>E1_17_4_1_mRNA</v>
      </c>
      <c r="D52" t="str">
        <f t="shared" si="9"/>
        <v>E1_17_4_1</v>
      </c>
      <c r="E52" s="29" t="str">
        <f t="shared" si="10"/>
        <v>E1_17_4_1_kcat : 13.7</v>
      </c>
      <c r="F52" s="30" t="str">
        <f t="shared" si="11"/>
        <v>E1_17_4_1_km : 1</v>
      </c>
      <c r="G52" s="31" t="str">
        <f t="shared" si="12"/>
        <v>E1_17_4_1_mRNA : E1_17_4_1_mRNA</v>
      </c>
      <c r="H52" s="32" t="str">
        <f t="shared" si="13"/>
        <v>E1_17_4_1 : E1_17_4_1</v>
      </c>
      <c r="I52" s="33" t="str">
        <f t="shared" si="14"/>
        <v>E1_17_4_1_mRNA : 0</v>
      </c>
      <c r="J52" s="16" t="str">
        <f t="shared" si="15"/>
        <v>E1_17_4_1 : 0</v>
      </c>
      <c r="K52" s="34" t="str">
        <f t="shared" si="16"/>
        <v>0.00292 - (0.0093 * E1_17_4_1_mRNA)</v>
      </c>
      <c r="L52" s="31" t="str">
        <f t="shared" si="17"/>
        <v>(0.278 * E1_17_4_1_mRNA) - (0.00000278 * E1_17_4_1)</v>
      </c>
      <c r="M52" s="35" t="str">
        <f t="shared" si="19"/>
        <v>mRNA51: -&gt; E1_17_4_1_mRNA | 0.00292 - (0.0093 * E1_17_4_1_mRNA)</v>
      </c>
      <c r="N52" s="29" t="str">
        <f t="shared" si="18"/>
        <v>Peptide51: E1_17_4_1_mRNA -&gt; E1_17_4_1 | (0.278 * E1_17_4_1_mRNA) - (0.000000278 * E1_17_4_1)</v>
      </c>
    </row>
    <row r="53" spans="1:14">
      <c r="A53">
        <v>52</v>
      </c>
      <c r="B53" t="s">
        <v>16014</v>
      </c>
      <c r="C53" t="str">
        <f t="shared" si="8"/>
        <v>E1_17_7_1_mRNA</v>
      </c>
      <c r="D53" t="str">
        <f t="shared" si="9"/>
        <v>E1_17_7_1</v>
      </c>
      <c r="E53" s="29" t="str">
        <f t="shared" si="10"/>
        <v>E1_17_7_1_kcat : 13.7</v>
      </c>
      <c r="F53" s="30" t="str">
        <f t="shared" si="11"/>
        <v>E1_17_7_1_km : 1</v>
      </c>
      <c r="G53" s="31" t="str">
        <f t="shared" si="12"/>
        <v>E1_17_7_1_mRNA : E1_17_7_1_mRNA</v>
      </c>
      <c r="H53" s="32" t="str">
        <f t="shared" si="13"/>
        <v>E1_17_7_1 : E1_17_7_1</v>
      </c>
      <c r="I53" s="33" t="str">
        <f t="shared" si="14"/>
        <v>E1_17_7_1_mRNA : 0</v>
      </c>
      <c r="J53" s="16" t="str">
        <f t="shared" si="15"/>
        <v>E1_17_7_1 : 0</v>
      </c>
      <c r="K53" s="34" t="str">
        <f t="shared" si="16"/>
        <v>0.00292 - (0.0093 * E1_17_7_1_mRNA)</v>
      </c>
      <c r="L53" s="31" t="str">
        <f t="shared" si="17"/>
        <v>(0.278 * E1_17_7_1_mRNA) - (0.00000278 * E1_17_7_1)</v>
      </c>
      <c r="M53" s="35" t="str">
        <f t="shared" si="19"/>
        <v>mRNA52: -&gt; E1_17_7_1_mRNA | 0.00292 - (0.0093 * E1_17_7_1_mRNA)</v>
      </c>
      <c r="N53" s="29" t="str">
        <f t="shared" si="18"/>
        <v>Peptide52: E1_17_7_1_mRNA -&gt; E1_17_7_1 | (0.278 * E1_17_7_1_mRNA) - (0.000000278 * E1_17_7_1)</v>
      </c>
    </row>
    <row r="54" spans="1:14">
      <c r="A54">
        <v>53</v>
      </c>
      <c r="B54" t="s">
        <v>12802</v>
      </c>
      <c r="C54" t="str">
        <f t="shared" si="8"/>
        <v>E1_17_7_4_mRNA</v>
      </c>
      <c r="D54" t="str">
        <f t="shared" si="9"/>
        <v>E1_17_7_4</v>
      </c>
      <c r="E54" s="29" t="str">
        <f t="shared" si="10"/>
        <v>E1_17_7_4_kcat : 13.7</v>
      </c>
      <c r="F54" s="30" t="str">
        <f t="shared" si="11"/>
        <v>E1_17_7_4_km : 1</v>
      </c>
      <c r="G54" s="31" t="str">
        <f t="shared" si="12"/>
        <v>E1_17_7_4_mRNA : E1_17_7_4_mRNA</v>
      </c>
      <c r="H54" s="32" t="str">
        <f t="shared" si="13"/>
        <v>E1_17_7_4 : E1_17_7_4</v>
      </c>
      <c r="I54" s="33" t="str">
        <f t="shared" si="14"/>
        <v>E1_17_7_4_mRNA : 0</v>
      </c>
      <c r="J54" s="16" t="str">
        <f t="shared" si="15"/>
        <v>E1_17_7_4 : 0</v>
      </c>
      <c r="K54" s="34" t="str">
        <f t="shared" si="16"/>
        <v>0.00292 - (0.0093 * E1_17_7_4_mRNA)</v>
      </c>
      <c r="L54" s="31" t="str">
        <f t="shared" si="17"/>
        <v>(0.278 * E1_17_7_4_mRNA) - (0.00000278 * E1_17_7_4)</v>
      </c>
      <c r="M54" s="35" t="str">
        <f t="shared" si="19"/>
        <v>mRNA53: -&gt; E1_17_7_4_mRNA | 0.00292 - (0.0093 * E1_17_7_4_mRNA)</v>
      </c>
      <c r="N54" s="29" t="str">
        <f t="shared" si="18"/>
        <v>Peptide53: E1_17_7_4_mRNA -&gt; E1_17_7_4 | (0.278 * E1_17_7_4_mRNA) - (0.000000278 * E1_17_7_4)</v>
      </c>
    </row>
    <row r="55" spans="1:14">
      <c r="A55">
        <v>54</v>
      </c>
      <c r="B55" t="s">
        <v>16015</v>
      </c>
      <c r="C55" t="str">
        <f t="shared" si="8"/>
        <v>E1_17_99_9_mRNA</v>
      </c>
      <c r="D55" t="str">
        <f t="shared" si="9"/>
        <v>E1_17_99_9</v>
      </c>
      <c r="E55" s="29" t="str">
        <f t="shared" si="10"/>
        <v>E1_17_99_9_kcat : 13.7</v>
      </c>
      <c r="F55" s="30" t="str">
        <f t="shared" si="11"/>
        <v>E1_17_99_9_km : 1</v>
      </c>
      <c r="G55" s="31" t="str">
        <f t="shared" si="12"/>
        <v>E1_17_99_9_mRNA : E1_17_99_9_mRNA</v>
      </c>
      <c r="H55" s="32" t="str">
        <f t="shared" si="13"/>
        <v>E1_17_99_9 : E1_17_99_9</v>
      </c>
      <c r="I55" s="33" t="str">
        <f t="shared" si="14"/>
        <v>E1_17_99_9_mRNA : 0</v>
      </c>
      <c r="J55" s="16" t="str">
        <f t="shared" si="15"/>
        <v>E1_17_99_9 : 0</v>
      </c>
      <c r="K55" s="34" t="str">
        <f t="shared" si="16"/>
        <v>0.00292 - (0.0093 * E1_17_99_9_mRNA)</v>
      </c>
      <c r="L55" s="31" t="str">
        <f t="shared" si="17"/>
        <v>(0.278 * E1_17_99_9_mRNA) - (0.00000278 * E1_17_99_9)</v>
      </c>
      <c r="M55" s="35" t="str">
        <f t="shared" si="19"/>
        <v>mRNA54: -&gt; E1_17_99_9_mRNA | 0.00292 - (0.0093 * E1_17_99_9_mRNA)</v>
      </c>
      <c r="N55" s="29" t="str">
        <f t="shared" si="18"/>
        <v>Peptide54: E1_17_99_9_mRNA -&gt; E1_17_99_9 | (0.278 * E1_17_99_9_mRNA) - (0.000000278 * E1_17_99_9)</v>
      </c>
    </row>
    <row r="56" spans="1:14">
      <c r="A56">
        <v>55</v>
      </c>
      <c r="B56" s="45" t="s">
        <v>17607</v>
      </c>
      <c r="C56" t="str">
        <f t="shared" si="8"/>
        <v>E1_2_1_10_mRNA</v>
      </c>
      <c r="D56" t="str">
        <f t="shared" si="9"/>
        <v>E1_2_1_10</v>
      </c>
      <c r="E56" s="29" t="str">
        <f t="shared" si="10"/>
        <v>E1_2_1_10_kcat : 13.7</v>
      </c>
      <c r="F56" s="30" t="str">
        <f t="shared" si="11"/>
        <v>E1_2_1_10_km : 1</v>
      </c>
      <c r="G56" s="31" t="str">
        <f t="shared" si="12"/>
        <v>E1_2_1_10_mRNA : E1_2_1_10_mRNA</v>
      </c>
      <c r="H56" s="32" t="str">
        <f t="shared" si="13"/>
        <v>E1_2_1_10 : E1_2_1_10</v>
      </c>
      <c r="I56" s="33" t="str">
        <f t="shared" si="14"/>
        <v>E1_2_1_10_mRNA : 0</v>
      </c>
      <c r="J56" s="16" t="str">
        <f t="shared" si="15"/>
        <v>E1_2_1_10 : 0</v>
      </c>
      <c r="K56" s="34" t="str">
        <f t="shared" si="16"/>
        <v>0.00292 - (0.0093 * E1_2_1_10_mRNA)</v>
      </c>
      <c r="L56" s="31" t="str">
        <f t="shared" si="17"/>
        <v>(0.278 * E1_2_1_10_mRNA) - (0.00000278 * E1_2_1_10)</v>
      </c>
      <c r="M56" s="35" t="str">
        <f t="shared" si="19"/>
        <v>mRNA55: -&gt; E1_2_1_10_mRNA | 0.00292 - (0.0093 * E1_2_1_10_mRNA)</v>
      </c>
      <c r="N56" s="29" t="str">
        <f t="shared" si="18"/>
        <v>Peptide55: E1_2_1_10_mRNA -&gt; E1_2_1_10 | (0.278 * E1_2_1_10_mRNA) - (0.000000278 * E1_2_1_10)</v>
      </c>
    </row>
    <row r="57" spans="1:14">
      <c r="A57">
        <v>56</v>
      </c>
      <c r="B57" t="s">
        <v>12803</v>
      </c>
      <c r="C57" t="str">
        <f t="shared" si="8"/>
        <v>E1_2_1_11_mRNA</v>
      </c>
      <c r="D57" t="str">
        <f t="shared" si="9"/>
        <v>E1_2_1_11</v>
      </c>
      <c r="E57" s="29" t="str">
        <f t="shared" si="10"/>
        <v>E1_2_1_11_kcat : 13.7</v>
      </c>
      <c r="F57" s="30" t="str">
        <f t="shared" si="11"/>
        <v>E1_2_1_11_km : 1</v>
      </c>
      <c r="G57" s="31" t="str">
        <f t="shared" si="12"/>
        <v>E1_2_1_11_mRNA : E1_2_1_11_mRNA</v>
      </c>
      <c r="H57" s="32" t="str">
        <f t="shared" si="13"/>
        <v>E1_2_1_11 : E1_2_1_11</v>
      </c>
      <c r="I57" s="33" t="str">
        <f t="shared" si="14"/>
        <v>E1_2_1_11_mRNA : 0</v>
      </c>
      <c r="J57" s="16" t="str">
        <f t="shared" si="15"/>
        <v>E1_2_1_11 : 0</v>
      </c>
      <c r="K57" s="34" t="str">
        <f t="shared" si="16"/>
        <v>0.00292 - (0.0093 * E1_2_1_11_mRNA)</v>
      </c>
      <c r="L57" s="31" t="str">
        <f t="shared" si="17"/>
        <v>(0.278 * E1_2_1_11_mRNA) - (0.00000278 * E1_2_1_11)</v>
      </c>
      <c r="M57" s="35" t="str">
        <f t="shared" si="19"/>
        <v>mRNA56: -&gt; E1_2_1_11_mRNA | 0.00292 - (0.0093 * E1_2_1_11_mRNA)</v>
      </c>
      <c r="N57" s="29" t="str">
        <f t="shared" si="18"/>
        <v>Peptide56: E1_2_1_11_mRNA -&gt; E1_2_1_11 | (0.278 * E1_2_1_11_mRNA) - (0.000000278 * E1_2_1_11)</v>
      </c>
    </row>
    <row r="58" spans="1:14">
      <c r="A58">
        <v>57</v>
      </c>
      <c r="B58" t="s">
        <v>12804</v>
      </c>
      <c r="C58" t="str">
        <f t="shared" si="8"/>
        <v>E1_2_1_12_mRNA</v>
      </c>
      <c r="D58" t="str">
        <f t="shared" si="9"/>
        <v>E1_2_1_12</v>
      </c>
      <c r="E58" s="29" t="str">
        <f t="shared" si="10"/>
        <v>E1_2_1_12_kcat : 13.7</v>
      </c>
      <c r="F58" s="30" t="str">
        <f t="shared" si="11"/>
        <v>E1_2_1_12_km : 1</v>
      </c>
      <c r="G58" s="31" t="str">
        <f t="shared" si="12"/>
        <v>E1_2_1_12_mRNA : E1_2_1_12_mRNA</v>
      </c>
      <c r="H58" s="32" t="str">
        <f t="shared" si="13"/>
        <v>E1_2_1_12 : E1_2_1_12</v>
      </c>
      <c r="I58" s="33" t="str">
        <f t="shared" si="14"/>
        <v>E1_2_1_12_mRNA : 0</v>
      </c>
      <c r="J58" s="16" t="str">
        <f t="shared" si="15"/>
        <v>E1_2_1_12 : 0</v>
      </c>
      <c r="K58" s="34" t="str">
        <f t="shared" si="16"/>
        <v>0.00292 - (0.0093 * E1_2_1_12_mRNA)</v>
      </c>
      <c r="L58" s="31" t="str">
        <f t="shared" si="17"/>
        <v>(0.278 * E1_2_1_12_mRNA) - (0.00000278 * E1_2_1_12)</v>
      </c>
      <c r="M58" s="35" t="str">
        <f t="shared" si="19"/>
        <v>mRNA57: -&gt; E1_2_1_12_mRNA | 0.00292 - (0.0093 * E1_2_1_12_mRNA)</v>
      </c>
      <c r="N58" s="29" t="str">
        <f t="shared" si="18"/>
        <v>Peptide57: E1_2_1_12_mRNA -&gt; E1_2_1_12 | (0.278 * E1_2_1_12_mRNA) - (0.000000278 * E1_2_1_12)</v>
      </c>
    </row>
    <row r="59" spans="1:14">
      <c r="A59">
        <v>58</v>
      </c>
      <c r="B59" t="s">
        <v>12805</v>
      </c>
      <c r="C59" t="str">
        <f t="shared" si="8"/>
        <v>E1_2_1_38_mRNA</v>
      </c>
      <c r="D59" t="str">
        <f t="shared" si="9"/>
        <v>E1_2_1_38</v>
      </c>
      <c r="E59" s="29" t="str">
        <f t="shared" si="10"/>
        <v>E1_2_1_38_kcat : 13.7</v>
      </c>
      <c r="F59" s="30" t="str">
        <f t="shared" si="11"/>
        <v>E1_2_1_38_km : 1</v>
      </c>
      <c r="G59" s="31" t="str">
        <f t="shared" si="12"/>
        <v>E1_2_1_38_mRNA : E1_2_1_38_mRNA</v>
      </c>
      <c r="H59" s="32" t="str">
        <f t="shared" si="13"/>
        <v>E1_2_1_38 : E1_2_1_38</v>
      </c>
      <c r="I59" s="33" t="str">
        <f t="shared" si="14"/>
        <v>E1_2_1_38_mRNA : 0</v>
      </c>
      <c r="J59" s="16" t="str">
        <f t="shared" si="15"/>
        <v>E1_2_1_38 : 0</v>
      </c>
      <c r="K59" s="34" t="str">
        <f t="shared" si="16"/>
        <v>0.00292 - (0.0093 * E1_2_1_38_mRNA)</v>
      </c>
      <c r="L59" s="31" t="str">
        <f t="shared" si="17"/>
        <v>(0.278 * E1_2_1_38_mRNA) - (0.00000278 * E1_2_1_38)</v>
      </c>
      <c r="M59" s="35" t="str">
        <f t="shared" si="19"/>
        <v>mRNA58: -&gt; E1_2_1_38_mRNA | 0.00292 - (0.0093 * E1_2_1_38_mRNA)</v>
      </c>
      <c r="N59" s="29" t="str">
        <f t="shared" si="18"/>
        <v>Peptide58: E1_2_1_38_mRNA -&gt; E1_2_1_38 | (0.278 * E1_2_1_38_mRNA) - (0.000000278 * E1_2_1_38)</v>
      </c>
    </row>
    <row r="60" spans="1:14">
      <c r="A60">
        <v>59</v>
      </c>
      <c r="B60" t="s">
        <v>12806</v>
      </c>
      <c r="C60" t="str">
        <f t="shared" si="8"/>
        <v>E1_2_1_41_mRNA</v>
      </c>
      <c r="D60" t="str">
        <f t="shared" si="9"/>
        <v>E1_2_1_41</v>
      </c>
      <c r="E60" s="29" t="str">
        <f t="shared" si="10"/>
        <v>E1_2_1_41_kcat : 13.7</v>
      </c>
      <c r="F60" s="30" t="str">
        <f t="shared" si="11"/>
        <v>E1_2_1_41_km : 1</v>
      </c>
      <c r="G60" s="31" t="str">
        <f t="shared" si="12"/>
        <v>E1_2_1_41_mRNA : E1_2_1_41_mRNA</v>
      </c>
      <c r="H60" s="32" t="str">
        <f t="shared" si="13"/>
        <v>E1_2_1_41 : E1_2_1_41</v>
      </c>
      <c r="I60" s="33" t="str">
        <f t="shared" si="14"/>
        <v>E1_2_1_41_mRNA : 0</v>
      </c>
      <c r="J60" s="16" t="str">
        <f t="shared" si="15"/>
        <v>E1_2_1_41 : 0</v>
      </c>
      <c r="K60" s="34" t="str">
        <f t="shared" si="16"/>
        <v>0.00292 - (0.0093 * E1_2_1_41_mRNA)</v>
      </c>
      <c r="L60" s="31" t="str">
        <f t="shared" si="17"/>
        <v>(0.278 * E1_2_1_41_mRNA) - (0.00000278 * E1_2_1_41)</v>
      </c>
      <c r="M60" s="35" t="str">
        <f t="shared" si="19"/>
        <v>mRNA59: -&gt; E1_2_1_41_mRNA | 0.00292 - (0.0093 * E1_2_1_41_mRNA)</v>
      </c>
      <c r="N60" s="29" t="str">
        <f t="shared" si="18"/>
        <v>Peptide59: E1_2_1_41_mRNA -&gt; E1_2_1_41 | (0.278 * E1_2_1_41_mRNA) - (0.000000278 * E1_2_1_41)</v>
      </c>
    </row>
    <row r="61" spans="1:14">
      <c r="A61">
        <v>60</v>
      </c>
      <c r="B61" t="s">
        <v>16016</v>
      </c>
      <c r="C61" t="str">
        <f t="shared" si="8"/>
        <v>E1_2_1_64_mRNA</v>
      </c>
      <c r="D61" t="str">
        <f t="shared" si="9"/>
        <v>E1_2_1_64</v>
      </c>
      <c r="E61" s="29" t="str">
        <f t="shared" si="10"/>
        <v>E1_2_1_64_kcat : 13.7</v>
      </c>
      <c r="F61" s="30" t="str">
        <f t="shared" si="11"/>
        <v>E1_2_1_64_km : 1</v>
      </c>
      <c r="G61" s="31" t="str">
        <f t="shared" si="12"/>
        <v>E1_2_1_64_mRNA : E1_2_1_64_mRNA</v>
      </c>
      <c r="H61" s="32" t="str">
        <f t="shared" si="13"/>
        <v>E1_2_1_64 : E1_2_1_64</v>
      </c>
      <c r="I61" s="33" t="str">
        <f t="shared" si="14"/>
        <v>E1_2_1_64_mRNA : 0</v>
      </c>
      <c r="J61" s="16" t="str">
        <f t="shared" si="15"/>
        <v>E1_2_1_64 : 0</v>
      </c>
      <c r="K61" s="34" t="str">
        <f t="shared" si="16"/>
        <v>0.00292 - (0.0093 * E1_2_1_64_mRNA)</v>
      </c>
      <c r="L61" s="31" t="str">
        <f t="shared" si="17"/>
        <v>(0.278 * E1_2_1_64_mRNA) - (0.00000278 * E1_2_1_64)</v>
      </c>
      <c r="M61" s="35" t="str">
        <f t="shared" si="19"/>
        <v>mRNA60: -&gt; E1_2_1_64_mRNA | 0.00292 - (0.0093 * E1_2_1_64_mRNA)</v>
      </c>
      <c r="N61" s="29" t="str">
        <f t="shared" si="18"/>
        <v>Peptide60: E1_2_1_64_mRNA -&gt; E1_2_1_64 | (0.278 * E1_2_1_64_mRNA) - (0.000000278 * E1_2_1_64)</v>
      </c>
    </row>
    <row r="62" spans="1:14">
      <c r="A62">
        <v>61</v>
      </c>
      <c r="B62" t="s">
        <v>12807</v>
      </c>
      <c r="C62" t="str">
        <f t="shared" si="8"/>
        <v>E1_2_1_67_mRNA</v>
      </c>
      <c r="D62" t="str">
        <f t="shared" si="9"/>
        <v>E1_2_1_67</v>
      </c>
      <c r="E62" s="29" t="str">
        <f t="shared" si="10"/>
        <v>E1_2_1_67_kcat : 13.7</v>
      </c>
      <c r="F62" s="30" t="str">
        <f t="shared" si="11"/>
        <v>E1_2_1_67_km : 1</v>
      </c>
      <c r="G62" s="31" t="str">
        <f t="shared" si="12"/>
        <v>E1_2_1_67_mRNA : E1_2_1_67_mRNA</v>
      </c>
      <c r="H62" s="32" t="str">
        <f t="shared" si="13"/>
        <v>E1_2_1_67 : E1_2_1_67</v>
      </c>
      <c r="I62" s="33" t="str">
        <f t="shared" si="14"/>
        <v>E1_2_1_67_mRNA : 0</v>
      </c>
      <c r="J62" s="16" t="str">
        <f t="shared" si="15"/>
        <v>E1_2_1_67 : 0</v>
      </c>
      <c r="K62" s="34" t="str">
        <f t="shared" si="16"/>
        <v>0.00292 - (0.0093 * E1_2_1_67_mRNA)</v>
      </c>
      <c r="L62" s="31" t="str">
        <f t="shared" si="17"/>
        <v>(0.278 * E1_2_1_67_mRNA) - (0.00000278 * E1_2_1_67)</v>
      </c>
      <c r="M62" s="35" t="str">
        <f t="shared" si="19"/>
        <v>mRNA61: -&gt; E1_2_1_67_mRNA | 0.00292 - (0.0093 * E1_2_1_67_mRNA)</v>
      </c>
      <c r="N62" s="29" t="str">
        <f t="shared" si="18"/>
        <v>Peptide61: E1_2_1_67_mRNA -&gt; E1_2_1_67 | (0.278 * E1_2_1_67_mRNA) - (0.000000278 * E1_2_1_67)</v>
      </c>
    </row>
    <row r="63" spans="1:14">
      <c r="A63">
        <v>62</v>
      </c>
      <c r="B63" t="s">
        <v>12808</v>
      </c>
      <c r="C63" t="str">
        <f t="shared" si="8"/>
        <v>E1_2_1_70_mRNA</v>
      </c>
      <c r="D63" t="str">
        <f t="shared" si="9"/>
        <v>E1_2_1_70</v>
      </c>
      <c r="E63" s="29" t="str">
        <f t="shared" si="10"/>
        <v>E1_2_1_70_kcat : 13.7</v>
      </c>
      <c r="F63" s="30" t="str">
        <f t="shared" si="11"/>
        <v>E1_2_1_70_km : 1</v>
      </c>
      <c r="G63" s="31" t="str">
        <f t="shared" si="12"/>
        <v>E1_2_1_70_mRNA : E1_2_1_70_mRNA</v>
      </c>
      <c r="H63" s="32" t="str">
        <f t="shared" si="13"/>
        <v>E1_2_1_70 : E1_2_1_70</v>
      </c>
      <c r="I63" s="33" t="str">
        <f t="shared" si="14"/>
        <v>E1_2_1_70_mRNA : 0</v>
      </c>
      <c r="J63" s="16" t="str">
        <f t="shared" si="15"/>
        <v>E1_2_1_70 : 0</v>
      </c>
      <c r="K63" s="34" t="str">
        <f t="shared" si="16"/>
        <v>0.00292 - (0.0093 * E1_2_1_70_mRNA)</v>
      </c>
      <c r="L63" s="31" t="str">
        <f t="shared" si="17"/>
        <v>(0.278 * E1_2_1_70_mRNA) - (0.00000278 * E1_2_1_70)</v>
      </c>
      <c r="M63" s="35" t="str">
        <f t="shared" si="19"/>
        <v>mRNA62: -&gt; E1_2_1_70_mRNA | 0.00292 - (0.0093 * E1_2_1_70_mRNA)</v>
      </c>
      <c r="N63" s="29" t="str">
        <f t="shared" si="18"/>
        <v>Peptide62: E1_2_1_70_mRNA -&gt; E1_2_1_70 | (0.278 * E1_2_1_70_mRNA) - (0.000000278 * E1_2_1_70)</v>
      </c>
    </row>
    <row r="64" spans="1:14">
      <c r="A64">
        <v>63</v>
      </c>
      <c r="B64" t="s">
        <v>12809</v>
      </c>
      <c r="C64" t="str">
        <f t="shared" si="8"/>
        <v>E1_2_1_79_mRNA</v>
      </c>
      <c r="D64" t="str">
        <f t="shared" si="9"/>
        <v>E1_2_1_79</v>
      </c>
      <c r="E64" s="29" t="str">
        <f t="shared" si="10"/>
        <v>E1_2_1_79_kcat : 13.7</v>
      </c>
      <c r="F64" s="30" t="str">
        <f t="shared" si="11"/>
        <v>E1_2_1_79_km : 1</v>
      </c>
      <c r="G64" s="31" t="str">
        <f t="shared" si="12"/>
        <v>E1_2_1_79_mRNA : E1_2_1_79_mRNA</v>
      </c>
      <c r="H64" s="32" t="str">
        <f t="shared" si="13"/>
        <v>E1_2_1_79 : E1_2_1_79</v>
      </c>
      <c r="I64" s="33" t="str">
        <f t="shared" si="14"/>
        <v>E1_2_1_79_mRNA : 0</v>
      </c>
      <c r="J64" s="16" t="str">
        <f t="shared" si="15"/>
        <v>E1_2_1_79 : 0</v>
      </c>
      <c r="K64" s="34" t="str">
        <f t="shared" si="16"/>
        <v>0.00292 - (0.0093 * E1_2_1_79_mRNA)</v>
      </c>
      <c r="L64" s="31" t="str">
        <f t="shared" si="17"/>
        <v>(0.278 * E1_2_1_79_mRNA) - (0.00000278 * E1_2_1_79)</v>
      </c>
      <c r="M64" s="35" t="str">
        <f t="shared" si="19"/>
        <v>mRNA63: -&gt; E1_2_1_79_mRNA | 0.00292 - (0.0093 * E1_2_1_79_mRNA)</v>
      </c>
      <c r="N64" s="29" t="str">
        <f t="shared" si="18"/>
        <v>Peptide63: E1_2_1_79_mRNA -&gt; E1_2_1_79 | (0.278 * E1_2_1_79_mRNA) - (0.000000278 * E1_2_1_79)</v>
      </c>
    </row>
    <row r="65" spans="1:14">
      <c r="A65">
        <v>64</v>
      </c>
      <c r="B65" t="s">
        <v>12810</v>
      </c>
      <c r="C65" t="str">
        <f t="shared" si="8"/>
        <v>E1_2_1_96_mRNA</v>
      </c>
      <c r="D65" t="str">
        <f t="shared" si="9"/>
        <v>E1_2_1_96</v>
      </c>
      <c r="E65" s="29" t="str">
        <f t="shared" si="10"/>
        <v>E1_2_1_96_kcat : 13.7</v>
      </c>
      <c r="F65" s="30" t="str">
        <f t="shared" si="11"/>
        <v>E1_2_1_96_km : 1</v>
      </c>
      <c r="G65" s="31" t="str">
        <f t="shared" si="12"/>
        <v>E1_2_1_96_mRNA : E1_2_1_96_mRNA</v>
      </c>
      <c r="H65" s="32" t="str">
        <f t="shared" si="13"/>
        <v>E1_2_1_96 : E1_2_1_96</v>
      </c>
      <c r="I65" s="33" t="str">
        <f t="shared" si="14"/>
        <v>E1_2_1_96_mRNA : 0</v>
      </c>
      <c r="J65" s="16" t="str">
        <f t="shared" si="15"/>
        <v>E1_2_1_96 : 0</v>
      </c>
      <c r="K65" s="34" t="str">
        <f t="shared" si="16"/>
        <v>0.00292 - (0.0093 * E1_2_1_96_mRNA)</v>
      </c>
      <c r="L65" s="31" t="str">
        <f t="shared" si="17"/>
        <v>(0.278 * E1_2_1_96_mRNA) - (0.00000278 * E1_2_1_96)</v>
      </c>
      <c r="M65" s="35" t="str">
        <f t="shared" si="19"/>
        <v>mRNA64: -&gt; E1_2_1_96_mRNA | 0.00292 - (0.0093 * E1_2_1_96_mRNA)</v>
      </c>
      <c r="N65" s="29" t="str">
        <f t="shared" si="18"/>
        <v>Peptide64: E1_2_1_96_mRNA -&gt; E1_2_1_96 | (0.278 * E1_2_1_96_mRNA) - (0.000000278 * E1_2_1_96)</v>
      </c>
    </row>
    <row r="66" spans="1:14">
      <c r="A66">
        <v>65</v>
      </c>
      <c r="B66" t="s">
        <v>12811</v>
      </c>
      <c r="C66" t="str">
        <f t="shared" si="8"/>
        <v>E1_2_4_1_mRNA</v>
      </c>
      <c r="D66" t="str">
        <f t="shared" si="9"/>
        <v>E1_2_4_1</v>
      </c>
      <c r="E66" s="29" t="str">
        <f t="shared" si="10"/>
        <v>E1_2_4_1_kcat : 13.7</v>
      </c>
      <c r="F66" s="30" t="str">
        <f t="shared" si="11"/>
        <v>E1_2_4_1_km : 1</v>
      </c>
      <c r="G66" s="31" t="str">
        <f t="shared" si="12"/>
        <v>E1_2_4_1_mRNA : E1_2_4_1_mRNA</v>
      </c>
      <c r="H66" s="32" t="str">
        <f t="shared" si="13"/>
        <v>E1_2_4_1 : E1_2_4_1</v>
      </c>
      <c r="I66" s="33" t="str">
        <f t="shared" si="14"/>
        <v>E1_2_4_1_mRNA : 0</v>
      </c>
      <c r="J66" s="16" t="str">
        <f t="shared" si="15"/>
        <v>E1_2_4_1 : 0</v>
      </c>
      <c r="K66" s="34" t="str">
        <f t="shared" si="16"/>
        <v>0.00292 - (0.0093 * E1_2_4_1_mRNA)</v>
      </c>
      <c r="L66" s="31" t="str">
        <f t="shared" si="17"/>
        <v>(0.278 * E1_2_4_1_mRNA) - (0.00000278 * E1_2_4_1)</v>
      </c>
      <c r="M66" s="35" t="str">
        <f t="shared" si="19"/>
        <v>mRNA65: -&gt; E1_2_4_1_mRNA | 0.00292 - (0.0093 * E1_2_4_1_mRNA)</v>
      </c>
      <c r="N66" s="29" t="str">
        <f t="shared" ref="N66:N129" si="20">CONCATENATE("Peptide",A66,": ",C66," -&gt; ",D66," | ","(","0.278"," * ",C66,")"," - ","(","0.000000278"," * ",D66,")")</f>
        <v>Peptide65: E1_2_4_1_mRNA -&gt; E1_2_4_1 | (0.278 * E1_2_4_1_mRNA) - (0.000000278 * E1_2_4_1)</v>
      </c>
    </row>
    <row r="67" spans="1:14">
      <c r="A67">
        <v>66</v>
      </c>
      <c r="B67" t="s">
        <v>16017</v>
      </c>
      <c r="C67" t="str">
        <f t="shared" ref="C67:C130" si="21">CONCATENATE(D67,"_mRNA")</f>
        <v>E1_20_4_1_mRNA</v>
      </c>
      <c r="D67" t="str">
        <f t="shared" ref="D67:D130" si="22">CONCATENATE("E",B67)</f>
        <v>E1_20_4_1</v>
      </c>
      <c r="E67" s="29" t="str">
        <f t="shared" ref="E67:E130" si="23">CONCATENATE("E",B67,"_kcat : 13.7")</f>
        <v>E1_20_4_1_kcat : 13.7</v>
      </c>
      <c r="F67" s="30" t="str">
        <f t="shared" ref="F67:F130" si="24">CONCATENATE("E",B67,"_km : 1")</f>
        <v>E1_20_4_1_km : 1</v>
      </c>
      <c r="G67" s="31" t="str">
        <f t="shared" ref="G67:G130" si="25">CONCATENATE(C67," : ",C67)</f>
        <v>E1_20_4_1_mRNA : E1_20_4_1_mRNA</v>
      </c>
      <c r="H67" s="32" t="str">
        <f t="shared" ref="H67:H130" si="26">CONCATENATE(D67," : ",D67)</f>
        <v>E1_20_4_1 : E1_20_4_1</v>
      </c>
      <c r="I67" s="33" t="str">
        <f t="shared" ref="I67:I130" si="27">CONCATENATE(C67," : ","0")</f>
        <v>E1_20_4_1_mRNA : 0</v>
      </c>
      <c r="J67" s="16" t="str">
        <f t="shared" ref="J67:J130" si="28">CONCATENATE(D67," : ","0")</f>
        <v>E1_20_4_1 : 0</v>
      </c>
      <c r="K67" s="34" t="str">
        <f t="shared" ref="K67:K130" si="29">CONCATENATE("0.00292 - (0.0093 * ",C67,")")</f>
        <v>0.00292 - (0.0093 * E1_20_4_1_mRNA)</v>
      </c>
      <c r="L67" s="31" t="str">
        <f t="shared" ref="L67:L130" si="30">CONCATENATE("(0.278 * ",C67,")"," - (0.00000278 * ",D67,")")</f>
        <v>(0.278 * E1_20_4_1_mRNA) - (0.00000278 * E1_20_4_1)</v>
      </c>
      <c r="M67" s="35" t="str">
        <f t="shared" ref="M67:M130" si="31">CONCATENATE("mRNA",A67,": -&gt; ",C67," | ","0.00292"," - ","(","0.0093"," * ",C67,")")</f>
        <v>mRNA66: -&gt; E1_20_4_1_mRNA | 0.00292 - (0.0093 * E1_20_4_1_mRNA)</v>
      </c>
      <c r="N67" s="29" t="str">
        <f t="shared" si="20"/>
        <v>Peptide66: E1_20_4_1_mRNA -&gt; E1_20_4_1 | (0.278 * E1_20_4_1_mRNA) - (0.000000278 * E1_20_4_1)</v>
      </c>
    </row>
    <row r="68" spans="1:14">
      <c r="A68">
        <v>67</v>
      </c>
      <c r="B68" t="s">
        <v>12812</v>
      </c>
      <c r="C68" t="str">
        <f t="shared" si="21"/>
        <v>E1_20_4_4_mRNA</v>
      </c>
      <c r="D68" t="str">
        <f t="shared" si="22"/>
        <v>E1_20_4_4</v>
      </c>
      <c r="E68" s="29" t="str">
        <f t="shared" si="23"/>
        <v>E1_20_4_4_kcat : 13.7</v>
      </c>
      <c r="F68" s="30" t="str">
        <f t="shared" si="24"/>
        <v>E1_20_4_4_km : 1</v>
      </c>
      <c r="G68" s="31" t="str">
        <f t="shared" si="25"/>
        <v>E1_20_4_4_mRNA : E1_20_4_4_mRNA</v>
      </c>
      <c r="H68" s="32" t="str">
        <f t="shared" si="26"/>
        <v>E1_20_4_4 : E1_20_4_4</v>
      </c>
      <c r="I68" s="33" t="str">
        <f t="shared" si="27"/>
        <v>E1_20_4_4_mRNA : 0</v>
      </c>
      <c r="J68" s="16" t="str">
        <f t="shared" si="28"/>
        <v>E1_20_4_4 : 0</v>
      </c>
      <c r="K68" s="34" t="str">
        <f t="shared" si="29"/>
        <v>0.00292 - (0.0093 * E1_20_4_4_mRNA)</v>
      </c>
      <c r="L68" s="31" t="str">
        <f t="shared" si="30"/>
        <v>(0.278 * E1_20_4_4_mRNA) - (0.00000278 * E1_20_4_4)</v>
      </c>
      <c r="M68" s="35" t="str">
        <f t="shared" si="31"/>
        <v>mRNA67: -&gt; E1_20_4_4_mRNA | 0.00292 - (0.0093 * E1_20_4_4_mRNA)</v>
      </c>
      <c r="N68" s="29" t="str">
        <f t="shared" si="20"/>
        <v>Peptide67: E1_20_4_4_mRNA -&gt; E1_20_4_4 | (0.278 * E1_20_4_4_mRNA) - (0.000000278 * E1_20_4_4)</v>
      </c>
    </row>
    <row r="69" spans="1:14">
      <c r="A69">
        <v>68</v>
      </c>
      <c r="B69" s="45" t="s">
        <v>17608</v>
      </c>
      <c r="C69" t="str">
        <f t="shared" si="21"/>
        <v>E1_3_1_1_mRNA</v>
      </c>
      <c r="D69" t="str">
        <f t="shared" si="22"/>
        <v>E1_3_1_1</v>
      </c>
      <c r="E69" s="29" t="str">
        <f t="shared" si="23"/>
        <v>E1_3_1_1_kcat : 13.7</v>
      </c>
      <c r="F69" s="30" t="str">
        <f t="shared" si="24"/>
        <v>E1_3_1_1_km : 1</v>
      </c>
      <c r="G69" s="31" t="str">
        <f t="shared" si="25"/>
        <v>E1_3_1_1_mRNA : E1_3_1_1_mRNA</v>
      </c>
      <c r="H69" s="32" t="str">
        <f t="shared" si="26"/>
        <v>E1_3_1_1 : E1_3_1_1</v>
      </c>
      <c r="I69" s="33" t="str">
        <f t="shared" si="27"/>
        <v>E1_3_1_1_mRNA : 0</v>
      </c>
      <c r="J69" s="16" t="str">
        <f t="shared" si="28"/>
        <v>E1_3_1_1 : 0</v>
      </c>
      <c r="K69" s="34" t="str">
        <f t="shared" si="29"/>
        <v>0.00292 - (0.0093 * E1_3_1_1_mRNA)</v>
      </c>
      <c r="L69" s="31" t="str">
        <f t="shared" si="30"/>
        <v>(0.278 * E1_3_1_1_mRNA) - (0.00000278 * E1_3_1_1)</v>
      </c>
      <c r="M69" s="35" t="str">
        <f t="shared" si="31"/>
        <v>mRNA68: -&gt; E1_3_1_1_mRNA | 0.00292 - (0.0093 * E1_3_1_1_mRNA)</v>
      </c>
      <c r="N69" s="29" t="str">
        <f t="shared" si="20"/>
        <v>Peptide68: E1_3_1_1_mRNA -&gt; E1_3_1_1 | (0.278 * E1_3_1_1_mRNA) - (0.000000278 * E1_3_1_1)</v>
      </c>
    </row>
    <row r="70" spans="1:14">
      <c r="A70">
        <v>69</v>
      </c>
      <c r="B70" t="s">
        <v>12813</v>
      </c>
      <c r="C70" t="str">
        <f t="shared" si="21"/>
        <v>E1_3_1_12_mRNA</v>
      </c>
      <c r="D70" t="str">
        <f t="shared" si="22"/>
        <v>E1_3_1_12</v>
      </c>
      <c r="E70" s="29" t="str">
        <f t="shared" si="23"/>
        <v>E1_3_1_12_kcat : 13.7</v>
      </c>
      <c r="F70" s="30" t="str">
        <f t="shared" si="24"/>
        <v>E1_3_1_12_km : 1</v>
      </c>
      <c r="G70" s="31" t="str">
        <f t="shared" si="25"/>
        <v>E1_3_1_12_mRNA : E1_3_1_12_mRNA</v>
      </c>
      <c r="H70" s="32" t="str">
        <f t="shared" si="26"/>
        <v>E1_3_1_12 : E1_3_1_12</v>
      </c>
      <c r="I70" s="33" t="str">
        <f t="shared" si="27"/>
        <v>E1_3_1_12_mRNA : 0</v>
      </c>
      <c r="J70" s="16" t="str">
        <f t="shared" si="28"/>
        <v>E1_3_1_12 : 0</v>
      </c>
      <c r="K70" s="34" t="str">
        <f t="shared" si="29"/>
        <v>0.00292 - (0.0093 * E1_3_1_12_mRNA)</v>
      </c>
      <c r="L70" s="31" t="str">
        <f t="shared" si="30"/>
        <v>(0.278 * E1_3_1_12_mRNA) - (0.00000278 * E1_3_1_12)</v>
      </c>
      <c r="M70" s="35" t="str">
        <f t="shared" si="31"/>
        <v>mRNA69: -&gt; E1_3_1_12_mRNA | 0.00292 - (0.0093 * E1_3_1_12_mRNA)</v>
      </c>
      <c r="N70" s="29" t="str">
        <f t="shared" si="20"/>
        <v>Peptide69: E1_3_1_12_mRNA -&gt; E1_3_1_12 | (0.278 * E1_3_1_12_mRNA) - (0.000000278 * E1_3_1_12)</v>
      </c>
    </row>
    <row r="71" spans="1:14">
      <c r="A71">
        <v>70</v>
      </c>
      <c r="B71" t="s">
        <v>12814</v>
      </c>
      <c r="C71" t="str">
        <f t="shared" si="21"/>
        <v>E1_3_1_25_mRNA</v>
      </c>
      <c r="D71" t="str">
        <f t="shared" si="22"/>
        <v>E1_3_1_25</v>
      </c>
      <c r="E71" s="29" t="str">
        <f t="shared" si="23"/>
        <v>E1_3_1_25_kcat : 13.7</v>
      </c>
      <c r="F71" s="30" t="str">
        <f t="shared" si="24"/>
        <v>E1_3_1_25_km : 1</v>
      </c>
      <c r="G71" s="31" t="str">
        <f t="shared" si="25"/>
        <v>E1_3_1_25_mRNA : E1_3_1_25_mRNA</v>
      </c>
      <c r="H71" s="32" t="str">
        <f t="shared" si="26"/>
        <v>E1_3_1_25 : E1_3_1_25</v>
      </c>
      <c r="I71" s="33" t="str">
        <f t="shared" si="27"/>
        <v>E1_3_1_25_mRNA : 0</v>
      </c>
      <c r="J71" s="16" t="str">
        <f t="shared" si="28"/>
        <v>E1_3_1_25 : 0</v>
      </c>
      <c r="K71" s="34" t="str">
        <f t="shared" si="29"/>
        <v>0.00292 - (0.0093 * E1_3_1_25_mRNA)</v>
      </c>
      <c r="L71" s="31" t="str">
        <f t="shared" si="30"/>
        <v>(0.278 * E1_3_1_25_mRNA) - (0.00000278 * E1_3_1_25)</v>
      </c>
      <c r="M71" s="35" t="str">
        <f t="shared" si="31"/>
        <v>mRNA70: -&gt; E1_3_1_25_mRNA | 0.00292 - (0.0093 * E1_3_1_25_mRNA)</v>
      </c>
      <c r="N71" s="29" t="str">
        <f t="shared" si="20"/>
        <v>Peptide70: E1_3_1_25_mRNA -&gt; E1_3_1_25 | (0.278 * E1_3_1_25_mRNA) - (0.000000278 * E1_3_1_25)</v>
      </c>
    </row>
    <row r="72" spans="1:14">
      <c r="A72">
        <v>71</v>
      </c>
      <c r="B72" t="s">
        <v>12815</v>
      </c>
      <c r="C72" t="str">
        <f t="shared" si="21"/>
        <v>E1_3_1_83_mRNA</v>
      </c>
      <c r="D72" t="str">
        <f t="shared" si="22"/>
        <v>E1_3_1_83</v>
      </c>
      <c r="E72" s="29" t="str">
        <f t="shared" si="23"/>
        <v>E1_3_1_83_kcat : 13.7</v>
      </c>
      <c r="F72" s="30" t="str">
        <f t="shared" si="24"/>
        <v>E1_3_1_83_km : 1</v>
      </c>
      <c r="G72" s="31" t="str">
        <f t="shared" si="25"/>
        <v>E1_3_1_83_mRNA : E1_3_1_83_mRNA</v>
      </c>
      <c r="H72" s="32" t="str">
        <f t="shared" si="26"/>
        <v>E1_3_1_83 : E1_3_1_83</v>
      </c>
      <c r="I72" s="33" t="str">
        <f t="shared" si="27"/>
        <v>E1_3_1_83_mRNA : 0</v>
      </c>
      <c r="J72" s="16" t="str">
        <f t="shared" si="28"/>
        <v>E1_3_1_83 : 0</v>
      </c>
      <c r="K72" s="34" t="str">
        <f t="shared" si="29"/>
        <v>0.00292 - (0.0093 * E1_3_1_83_mRNA)</v>
      </c>
      <c r="L72" s="31" t="str">
        <f t="shared" si="30"/>
        <v>(0.278 * E1_3_1_83_mRNA) - (0.00000278 * E1_3_1_83)</v>
      </c>
      <c r="M72" s="35" t="str">
        <f t="shared" si="31"/>
        <v>mRNA71: -&gt; E1_3_1_83_mRNA | 0.00292 - (0.0093 * E1_3_1_83_mRNA)</v>
      </c>
      <c r="N72" s="29" t="str">
        <f t="shared" si="20"/>
        <v>Peptide71: E1_3_1_83_mRNA -&gt; E1_3_1_83 | (0.278 * E1_3_1_83_mRNA) - (0.000000278 * E1_3_1_83)</v>
      </c>
    </row>
    <row r="73" spans="1:14">
      <c r="A73">
        <v>72</v>
      </c>
      <c r="B73" t="s">
        <v>12816</v>
      </c>
      <c r="C73" t="str">
        <f t="shared" si="21"/>
        <v>E1_3_1_98_mRNA</v>
      </c>
      <c r="D73" t="str">
        <f t="shared" si="22"/>
        <v>E1_3_1_98</v>
      </c>
      <c r="E73" s="29" t="str">
        <f t="shared" si="23"/>
        <v>E1_3_1_98_kcat : 13.7</v>
      </c>
      <c r="F73" s="30" t="str">
        <f t="shared" si="24"/>
        <v>E1_3_1_98_km : 1</v>
      </c>
      <c r="G73" s="31" t="str">
        <f t="shared" si="25"/>
        <v>E1_3_1_98_mRNA : E1_3_1_98_mRNA</v>
      </c>
      <c r="H73" s="32" t="str">
        <f t="shared" si="26"/>
        <v>E1_3_1_98 : E1_3_1_98</v>
      </c>
      <c r="I73" s="33" t="str">
        <f t="shared" si="27"/>
        <v>E1_3_1_98_mRNA : 0</v>
      </c>
      <c r="J73" s="16" t="str">
        <f t="shared" si="28"/>
        <v>E1_3_1_98 : 0</v>
      </c>
      <c r="K73" s="34" t="str">
        <f t="shared" si="29"/>
        <v>0.00292 - (0.0093 * E1_3_1_98_mRNA)</v>
      </c>
      <c r="L73" s="31" t="str">
        <f t="shared" si="30"/>
        <v>(0.278 * E1_3_1_98_mRNA) - (0.00000278 * E1_3_1_98)</v>
      </c>
      <c r="M73" s="35" t="str">
        <f t="shared" si="31"/>
        <v>mRNA72: -&gt; E1_3_1_98_mRNA | 0.00292 - (0.0093 * E1_3_1_98_mRNA)</v>
      </c>
      <c r="N73" s="29" t="str">
        <f t="shared" si="20"/>
        <v>Peptide72: E1_3_1_98_mRNA -&gt; E1_3_1_98 | (0.278 * E1_3_1_98_mRNA) - (0.000000278 * E1_3_1_98)</v>
      </c>
    </row>
    <row r="74" spans="1:14">
      <c r="A74">
        <v>73</v>
      </c>
      <c r="B74" t="s">
        <v>12817</v>
      </c>
      <c r="C74" t="str">
        <f t="shared" si="21"/>
        <v>E1_3_3_4_mRNA</v>
      </c>
      <c r="D74" t="str">
        <f t="shared" si="22"/>
        <v>E1_3_3_4</v>
      </c>
      <c r="E74" s="29" t="str">
        <f t="shared" si="23"/>
        <v>E1_3_3_4_kcat : 13.7</v>
      </c>
      <c r="F74" s="30" t="str">
        <f t="shared" si="24"/>
        <v>E1_3_3_4_km : 1</v>
      </c>
      <c r="G74" s="31" t="str">
        <f t="shared" si="25"/>
        <v>E1_3_3_4_mRNA : E1_3_3_4_mRNA</v>
      </c>
      <c r="H74" s="32" t="str">
        <f t="shared" si="26"/>
        <v>E1_3_3_4 : E1_3_3_4</v>
      </c>
      <c r="I74" s="33" t="str">
        <f t="shared" si="27"/>
        <v>E1_3_3_4_mRNA : 0</v>
      </c>
      <c r="J74" s="16" t="str">
        <f t="shared" si="28"/>
        <v>E1_3_3_4 : 0</v>
      </c>
      <c r="K74" s="34" t="str">
        <f t="shared" si="29"/>
        <v>0.00292 - (0.0093 * E1_3_3_4_mRNA)</v>
      </c>
      <c r="L74" s="31" t="str">
        <f t="shared" si="30"/>
        <v>(0.278 * E1_3_3_4_mRNA) - (0.00000278 * E1_3_3_4)</v>
      </c>
      <c r="M74" s="35" t="str">
        <f t="shared" si="31"/>
        <v>mRNA73: -&gt; E1_3_3_4_mRNA | 0.00292 - (0.0093 * E1_3_3_4_mRNA)</v>
      </c>
      <c r="N74" s="29" t="str">
        <f t="shared" si="20"/>
        <v>Peptide73: E1_3_3_4_mRNA -&gt; E1_3_3_4 | (0.278 * E1_3_3_4_mRNA) - (0.000000278 * E1_3_3_4)</v>
      </c>
    </row>
    <row r="75" spans="1:14">
      <c r="A75">
        <v>74</v>
      </c>
      <c r="B75" t="s">
        <v>12818</v>
      </c>
      <c r="C75" t="str">
        <f t="shared" si="21"/>
        <v>E1_3_5_2_mRNA</v>
      </c>
      <c r="D75" t="str">
        <f t="shared" si="22"/>
        <v>E1_3_5_2</v>
      </c>
      <c r="E75" s="29" t="str">
        <f t="shared" si="23"/>
        <v>E1_3_5_2_kcat : 13.7</v>
      </c>
      <c r="F75" s="30" t="str">
        <f t="shared" si="24"/>
        <v>E1_3_5_2_km : 1</v>
      </c>
      <c r="G75" s="31" t="str">
        <f t="shared" si="25"/>
        <v>E1_3_5_2_mRNA : E1_3_5_2_mRNA</v>
      </c>
      <c r="H75" s="32" t="str">
        <f t="shared" si="26"/>
        <v>E1_3_5_2 : E1_3_5_2</v>
      </c>
      <c r="I75" s="33" t="str">
        <f t="shared" si="27"/>
        <v>E1_3_5_2_mRNA : 0</v>
      </c>
      <c r="J75" s="16" t="str">
        <f t="shared" si="28"/>
        <v>E1_3_5_2 : 0</v>
      </c>
      <c r="K75" s="34" t="str">
        <f t="shared" si="29"/>
        <v>0.00292 - (0.0093 * E1_3_5_2_mRNA)</v>
      </c>
      <c r="L75" s="31" t="str">
        <f t="shared" si="30"/>
        <v>(0.278 * E1_3_5_2_mRNA) - (0.00000278 * E1_3_5_2)</v>
      </c>
      <c r="M75" s="35" t="str">
        <f t="shared" si="31"/>
        <v>mRNA74: -&gt; E1_3_5_2_mRNA | 0.00292 - (0.0093 * E1_3_5_2_mRNA)</v>
      </c>
      <c r="N75" s="29" t="str">
        <f t="shared" si="20"/>
        <v>Peptide74: E1_3_5_2_mRNA -&gt; E1_3_5_2 | (0.278 * E1_3_5_2_mRNA) - (0.000000278 * E1_3_5_2)</v>
      </c>
    </row>
    <row r="76" spans="1:14">
      <c r="A76">
        <v>75</v>
      </c>
      <c r="B76" t="s">
        <v>12819</v>
      </c>
      <c r="C76" t="str">
        <f t="shared" si="21"/>
        <v>E1_3_98_5_mRNA</v>
      </c>
      <c r="D76" t="str">
        <f t="shared" si="22"/>
        <v>E1_3_98_5</v>
      </c>
      <c r="E76" s="29" t="str">
        <f t="shared" si="23"/>
        <v>E1_3_98_5_kcat : 13.7</v>
      </c>
      <c r="F76" s="30" t="str">
        <f t="shared" si="24"/>
        <v>E1_3_98_5_km : 1</v>
      </c>
      <c r="G76" s="31" t="str">
        <f t="shared" si="25"/>
        <v>E1_3_98_5_mRNA : E1_3_98_5_mRNA</v>
      </c>
      <c r="H76" s="32" t="str">
        <f t="shared" si="26"/>
        <v>E1_3_98_5 : E1_3_98_5</v>
      </c>
      <c r="I76" s="33" t="str">
        <f t="shared" si="27"/>
        <v>E1_3_98_5_mRNA : 0</v>
      </c>
      <c r="J76" s="16" t="str">
        <f t="shared" si="28"/>
        <v>E1_3_98_5 : 0</v>
      </c>
      <c r="K76" s="34" t="str">
        <f t="shared" si="29"/>
        <v>0.00292 - (0.0093 * E1_3_98_5_mRNA)</v>
      </c>
      <c r="L76" s="31" t="str">
        <f t="shared" si="30"/>
        <v>(0.278 * E1_3_98_5_mRNA) - (0.00000278 * E1_3_98_5)</v>
      </c>
      <c r="M76" s="35" t="str">
        <f t="shared" si="31"/>
        <v>mRNA75: -&gt; E1_3_98_5_mRNA | 0.00292 - (0.0093 * E1_3_98_5_mRNA)</v>
      </c>
      <c r="N76" s="29" t="str">
        <f t="shared" si="20"/>
        <v>Peptide75: E1_3_98_5_mRNA -&gt; E1_3_98_5 | (0.278 * E1_3_98_5_mRNA) - (0.000000278 * E1_3_98_5)</v>
      </c>
    </row>
    <row r="77" spans="1:14">
      <c r="A77">
        <v>76</v>
      </c>
      <c r="B77" t="s">
        <v>12820</v>
      </c>
      <c r="C77" t="str">
        <f t="shared" si="21"/>
        <v>E1_4_1_13_mRNA</v>
      </c>
      <c r="D77" t="str">
        <f t="shared" si="22"/>
        <v>E1_4_1_13</v>
      </c>
      <c r="E77" s="29" t="str">
        <f t="shared" si="23"/>
        <v>E1_4_1_13_kcat : 13.7</v>
      </c>
      <c r="F77" s="30" t="str">
        <f t="shared" si="24"/>
        <v>E1_4_1_13_km : 1</v>
      </c>
      <c r="G77" s="31" t="str">
        <f t="shared" si="25"/>
        <v>E1_4_1_13_mRNA : E1_4_1_13_mRNA</v>
      </c>
      <c r="H77" s="32" t="str">
        <f t="shared" si="26"/>
        <v>E1_4_1_13 : E1_4_1_13</v>
      </c>
      <c r="I77" s="33" t="str">
        <f t="shared" si="27"/>
        <v>E1_4_1_13_mRNA : 0</v>
      </c>
      <c r="J77" s="16" t="str">
        <f t="shared" si="28"/>
        <v>E1_4_1_13 : 0</v>
      </c>
      <c r="K77" s="34" t="str">
        <f t="shared" si="29"/>
        <v>0.00292 - (0.0093 * E1_4_1_13_mRNA)</v>
      </c>
      <c r="L77" s="31" t="str">
        <f t="shared" si="30"/>
        <v>(0.278 * E1_4_1_13_mRNA) - (0.00000278 * E1_4_1_13)</v>
      </c>
      <c r="M77" s="35" t="str">
        <f t="shared" si="31"/>
        <v>mRNA76: -&gt; E1_4_1_13_mRNA | 0.00292 - (0.0093 * E1_4_1_13_mRNA)</v>
      </c>
      <c r="N77" s="29" t="str">
        <f t="shared" si="20"/>
        <v>Peptide76: E1_4_1_13_mRNA -&gt; E1_4_1_13 | (0.278 * E1_4_1_13_mRNA) - (0.000000278 * E1_4_1_13)</v>
      </c>
    </row>
    <row r="78" spans="1:14">
      <c r="A78">
        <v>77</v>
      </c>
      <c r="B78" t="s">
        <v>12821</v>
      </c>
      <c r="C78" t="str">
        <f t="shared" si="21"/>
        <v>E1_4_1_16_mRNA</v>
      </c>
      <c r="D78" t="str">
        <f t="shared" si="22"/>
        <v>E1_4_1_16</v>
      </c>
      <c r="E78" s="29" t="str">
        <f t="shared" si="23"/>
        <v>E1_4_1_16_kcat : 13.7</v>
      </c>
      <c r="F78" s="30" t="str">
        <f t="shared" si="24"/>
        <v>E1_4_1_16_km : 1</v>
      </c>
      <c r="G78" s="31" t="str">
        <f t="shared" si="25"/>
        <v>E1_4_1_16_mRNA : E1_4_1_16_mRNA</v>
      </c>
      <c r="H78" s="32" t="str">
        <f t="shared" si="26"/>
        <v>E1_4_1_16 : E1_4_1_16</v>
      </c>
      <c r="I78" s="33" t="str">
        <f t="shared" si="27"/>
        <v>E1_4_1_16_mRNA : 0</v>
      </c>
      <c r="J78" s="16" t="str">
        <f t="shared" si="28"/>
        <v>E1_4_1_16 : 0</v>
      </c>
      <c r="K78" s="34" t="str">
        <f t="shared" si="29"/>
        <v>0.00292 - (0.0093 * E1_4_1_16_mRNA)</v>
      </c>
      <c r="L78" s="31" t="str">
        <f t="shared" si="30"/>
        <v>(0.278 * E1_4_1_16_mRNA) - (0.00000278 * E1_4_1_16)</v>
      </c>
      <c r="M78" s="35" t="str">
        <f t="shared" si="31"/>
        <v>mRNA77: -&gt; E1_4_1_16_mRNA | 0.00292 - (0.0093 * E1_4_1_16_mRNA)</v>
      </c>
      <c r="N78" s="29" t="str">
        <f t="shared" si="20"/>
        <v>Peptide77: E1_4_1_16_mRNA -&gt; E1_4_1_16 | (0.278 * E1_4_1_16_mRNA) - (0.000000278 * E1_4_1_16)</v>
      </c>
    </row>
    <row r="79" spans="1:14">
      <c r="A79">
        <v>78</v>
      </c>
      <c r="B79" t="s">
        <v>12822</v>
      </c>
      <c r="C79" t="str">
        <f t="shared" si="21"/>
        <v>E1_4_1_4_mRNA</v>
      </c>
      <c r="D79" t="str">
        <f t="shared" si="22"/>
        <v>E1_4_1_4</v>
      </c>
      <c r="E79" s="29" t="str">
        <f t="shared" si="23"/>
        <v>E1_4_1_4_kcat : 13.7</v>
      </c>
      <c r="F79" s="30" t="str">
        <f t="shared" si="24"/>
        <v>E1_4_1_4_km : 1</v>
      </c>
      <c r="G79" s="31" t="str">
        <f t="shared" si="25"/>
        <v>E1_4_1_4_mRNA : E1_4_1_4_mRNA</v>
      </c>
      <c r="H79" s="32" t="str">
        <f t="shared" si="26"/>
        <v>E1_4_1_4 : E1_4_1_4</v>
      </c>
      <c r="I79" s="33" t="str">
        <f t="shared" si="27"/>
        <v>E1_4_1_4_mRNA : 0</v>
      </c>
      <c r="J79" s="16" t="str">
        <f t="shared" si="28"/>
        <v>E1_4_1_4 : 0</v>
      </c>
      <c r="K79" s="34" t="str">
        <f t="shared" si="29"/>
        <v>0.00292 - (0.0093 * E1_4_1_4_mRNA)</v>
      </c>
      <c r="L79" s="31" t="str">
        <f t="shared" si="30"/>
        <v>(0.278 * E1_4_1_4_mRNA) - (0.00000278 * E1_4_1_4)</v>
      </c>
      <c r="M79" s="35" t="str">
        <f t="shared" si="31"/>
        <v>mRNA78: -&gt; E1_4_1_4_mRNA | 0.00292 - (0.0093 * E1_4_1_4_mRNA)</v>
      </c>
      <c r="N79" s="29" t="str">
        <f t="shared" si="20"/>
        <v>Peptide78: E1_4_1_4_mRNA -&gt; E1_4_1_4 | (0.278 * E1_4_1_4_mRNA) - (0.000000278 * E1_4_1_4)</v>
      </c>
    </row>
    <row r="80" spans="1:14">
      <c r="A80">
        <v>79</v>
      </c>
      <c r="B80" t="s">
        <v>12823</v>
      </c>
      <c r="C80" t="str">
        <f t="shared" si="21"/>
        <v>E1_4_3_19_mRNA</v>
      </c>
      <c r="D80" t="str">
        <f t="shared" si="22"/>
        <v>E1_4_3_19</v>
      </c>
      <c r="E80" s="29" t="str">
        <f t="shared" si="23"/>
        <v>E1_4_3_19_kcat : 13.7</v>
      </c>
      <c r="F80" s="30" t="str">
        <f t="shared" si="24"/>
        <v>E1_4_3_19_km : 1</v>
      </c>
      <c r="G80" s="31" t="str">
        <f t="shared" si="25"/>
        <v>E1_4_3_19_mRNA : E1_4_3_19_mRNA</v>
      </c>
      <c r="H80" s="32" t="str">
        <f t="shared" si="26"/>
        <v>E1_4_3_19 : E1_4_3_19</v>
      </c>
      <c r="I80" s="33" t="str">
        <f t="shared" si="27"/>
        <v>E1_4_3_19_mRNA : 0</v>
      </c>
      <c r="J80" s="16" t="str">
        <f t="shared" si="28"/>
        <v>E1_4_3_19 : 0</v>
      </c>
      <c r="K80" s="34" t="str">
        <f t="shared" si="29"/>
        <v>0.00292 - (0.0093 * E1_4_3_19_mRNA)</v>
      </c>
      <c r="L80" s="31" t="str">
        <f t="shared" si="30"/>
        <v>(0.278 * E1_4_3_19_mRNA) - (0.00000278 * E1_4_3_19)</v>
      </c>
      <c r="M80" s="35" t="str">
        <f t="shared" si="31"/>
        <v>mRNA79: -&gt; E1_4_3_19_mRNA | 0.00292 - (0.0093 * E1_4_3_19_mRNA)</v>
      </c>
      <c r="N80" s="29" t="str">
        <f t="shared" si="20"/>
        <v>Peptide79: E1_4_3_19_mRNA -&gt; E1_4_3_19 | (0.278 * E1_4_3_19_mRNA) - (0.000000278 * E1_4_3_19)</v>
      </c>
    </row>
    <row r="81" spans="1:14">
      <c r="A81">
        <v>80</v>
      </c>
      <c r="B81" t="s">
        <v>16018</v>
      </c>
      <c r="C81" t="str">
        <f t="shared" si="21"/>
        <v>E1_5_1_2_mRNA</v>
      </c>
      <c r="D81" t="str">
        <f t="shared" si="22"/>
        <v>E1_5_1_2</v>
      </c>
      <c r="E81" s="29" t="str">
        <f t="shared" si="23"/>
        <v>E1_5_1_2_kcat : 13.7</v>
      </c>
      <c r="F81" s="30" t="str">
        <f t="shared" si="24"/>
        <v>E1_5_1_2_km : 1</v>
      </c>
      <c r="G81" s="31" t="str">
        <f t="shared" si="25"/>
        <v>E1_5_1_2_mRNA : E1_5_1_2_mRNA</v>
      </c>
      <c r="H81" s="32" t="str">
        <f t="shared" si="26"/>
        <v>E1_5_1_2 : E1_5_1_2</v>
      </c>
      <c r="I81" s="33" t="str">
        <f t="shared" si="27"/>
        <v>E1_5_1_2_mRNA : 0</v>
      </c>
      <c r="J81" s="16" t="str">
        <f t="shared" si="28"/>
        <v>E1_5_1_2 : 0</v>
      </c>
      <c r="K81" s="34" t="str">
        <f t="shared" si="29"/>
        <v>0.00292 - (0.0093 * E1_5_1_2_mRNA)</v>
      </c>
      <c r="L81" s="31" t="str">
        <f t="shared" si="30"/>
        <v>(0.278 * E1_5_1_2_mRNA) - (0.00000278 * E1_5_1_2)</v>
      </c>
      <c r="M81" s="35" t="str">
        <f t="shared" si="31"/>
        <v>mRNA80: -&gt; E1_5_1_2_mRNA | 0.00292 - (0.0093 * E1_5_1_2_mRNA)</v>
      </c>
      <c r="N81" s="29" t="str">
        <f t="shared" si="20"/>
        <v>Peptide80: E1_5_1_2_mRNA -&gt; E1_5_1_2 | (0.278 * E1_5_1_2_mRNA) - (0.000000278 * E1_5_1_2)</v>
      </c>
    </row>
    <row r="82" spans="1:14">
      <c r="A82">
        <v>81</v>
      </c>
      <c r="B82" t="s">
        <v>12824</v>
      </c>
      <c r="C82" t="str">
        <f t="shared" si="21"/>
        <v>E1_5_1_20_mRNA</v>
      </c>
      <c r="D82" t="str">
        <f t="shared" si="22"/>
        <v>E1_5_1_20</v>
      </c>
      <c r="E82" s="29" t="str">
        <f t="shared" si="23"/>
        <v>E1_5_1_20_kcat : 13.7</v>
      </c>
      <c r="F82" s="30" t="str">
        <f t="shared" si="24"/>
        <v>E1_5_1_20_km : 1</v>
      </c>
      <c r="G82" s="31" t="str">
        <f t="shared" si="25"/>
        <v>E1_5_1_20_mRNA : E1_5_1_20_mRNA</v>
      </c>
      <c r="H82" s="32" t="str">
        <f t="shared" si="26"/>
        <v>E1_5_1_20 : E1_5_1_20</v>
      </c>
      <c r="I82" s="33" t="str">
        <f t="shared" si="27"/>
        <v>E1_5_1_20_mRNA : 0</v>
      </c>
      <c r="J82" s="16" t="str">
        <f t="shared" si="28"/>
        <v>E1_5_1_20 : 0</v>
      </c>
      <c r="K82" s="34" t="str">
        <f t="shared" si="29"/>
        <v>0.00292 - (0.0093 * E1_5_1_20_mRNA)</v>
      </c>
      <c r="L82" s="31" t="str">
        <f t="shared" si="30"/>
        <v>(0.278 * E1_5_1_20_mRNA) - (0.00000278 * E1_5_1_20)</v>
      </c>
      <c r="M82" s="35" t="str">
        <f t="shared" si="31"/>
        <v>mRNA81: -&gt; E1_5_1_20_mRNA | 0.00292 - (0.0093 * E1_5_1_20_mRNA)</v>
      </c>
      <c r="N82" s="29" t="str">
        <f t="shared" si="20"/>
        <v>Peptide81: E1_5_1_20_mRNA -&gt; E1_5_1_20 | (0.278 * E1_5_1_20_mRNA) - (0.000000278 * E1_5_1_20)</v>
      </c>
    </row>
    <row r="83" spans="1:14">
      <c r="A83">
        <v>82</v>
      </c>
      <c r="B83" t="s">
        <v>12825</v>
      </c>
      <c r="C83" t="str">
        <f t="shared" si="21"/>
        <v>E1_5_1_3_mRNA</v>
      </c>
      <c r="D83" t="str">
        <f t="shared" si="22"/>
        <v>E1_5_1_3</v>
      </c>
      <c r="E83" s="29" t="str">
        <f t="shared" si="23"/>
        <v>E1_5_1_3_kcat : 13.7</v>
      </c>
      <c r="F83" s="30" t="str">
        <f t="shared" si="24"/>
        <v>E1_5_1_3_km : 1</v>
      </c>
      <c r="G83" s="31" t="str">
        <f t="shared" si="25"/>
        <v>E1_5_1_3_mRNA : E1_5_1_3_mRNA</v>
      </c>
      <c r="H83" s="32" t="str">
        <f t="shared" si="26"/>
        <v>E1_5_1_3 : E1_5_1_3</v>
      </c>
      <c r="I83" s="33" t="str">
        <f t="shared" si="27"/>
        <v>E1_5_1_3_mRNA : 0</v>
      </c>
      <c r="J83" s="16" t="str">
        <f t="shared" si="28"/>
        <v>E1_5_1_3 : 0</v>
      </c>
      <c r="K83" s="34" t="str">
        <f t="shared" si="29"/>
        <v>0.00292 - (0.0093 * E1_5_1_3_mRNA)</v>
      </c>
      <c r="L83" s="31" t="str">
        <f t="shared" si="30"/>
        <v>(0.278 * E1_5_1_3_mRNA) - (0.00000278 * E1_5_1_3)</v>
      </c>
      <c r="M83" s="35" t="str">
        <f t="shared" si="31"/>
        <v>mRNA82: -&gt; E1_5_1_3_mRNA | 0.00292 - (0.0093 * E1_5_1_3_mRNA)</v>
      </c>
      <c r="N83" s="29" t="str">
        <f t="shared" si="20"/>
        <v>Peptide82: E1_5_1_3_mRNA -&gt; E1_5_1_3 | (0.278 * E1_5_1_3_mRNA) - (0.000000278 * E1_5_1_3)</v>
      </c>
    </row>
    <row r="84" spans="1:14">
      <c r="A84">
        <v>83</v>
      </c>
      <c r="B84" s="45" t="s">
        <v>17609</v>
      </c>
      <c r="C84" t="str">
        <f t="shared" si="21"/>
        <v>E1_5_3_2_mRNA</v>
      </c>
      <c r="D84" t="str">
        <f t="shared" si="22"/>
        <v>E1_5_3_2</v>
      </c>
      <c r="E84" s="29" t="str">
        <f t="shared" si="23"/>
        <v>E1_5_3_2_kcat : 13.7</v>
      </c>
      <c r="F84" s="30" t="str">
        <f t="shared" si="24"/>
        <v>E1_5_3_2_km : 1</v>
      </c>
      <c r="G84" s="31" t="str">
        <f t="shared" si="25"/>
        <v>E1_5_3_2_mRNA : E1_5_3_2_mRNA</v>
      </c>
      <c r="H84" s="32" t="str">
        <f t="shared" si="26"/>
        <v>E1_5_3_2 : E1_5_3_2</v>
      </c>
      <c r="I84" s="33" t="str">
        <f t="shared" si="27"/>
        <v>E1_5_3_2_mRNA : 0</v>
      </c>
      <c r="J84" s="16" t="str">
        <f t="shared" si="28"/>
        <v>E1_5_3_2 : 0</v>
      </c>
      <c r="K84" s="34" t="str">
        <f t="shared" si="29"/>
        <v>0.00292 - (0.0093 * E1_5_3_2_mRNA)</v>
      </c>
      <c r="L84" s="31" t="str">
        <f t="shared" si="30"/>
        <v>(0.278 * E1_5_3_2_mRNA) - (0.00000278 * E1_5_3_2)</v>
      </c>
      <c r="M84" s="35" t="str">
        <f t="shared" si="31"/>
        <v>mRNA83: -&gt; E1_5_3_2_mRNA | 0.00292 - (0.0093 * E1_5_3_2_mRNA)</v>
      </c>
      <c r="N84" s="29" t="str">
        <f t="shared" si="20"/>
        <v>Peptide83: E1_5_3_2_mRNA -&gt; E1_5_3_2 | (0.278 * E1_5_3_2_mRNA) - (0.000000278 * E1_5_3_2)</v>
      </c>
    </row>
    <row r="85" spans="1:14">
      <c r="A85">
        <v>84</v>
      </c>
      <c r="B85" t="s">
        <v>12826</v>
      </c>
      <c r="C85" t="str">
        <f t="shared" si="21"/>
        <v>E1_6_5_2_mRNA</v>
      </c>
      <c r="D85" t="str">
        <f t="shared" si="22"/>
        <v>E1_6_5_2</v>
      </c>
      <c r="E85" s="29" t="str">
        <f t="shared" si="23"/>
        <v>E1_6_5_2_kcat : 13.7</v>
      </c>
      <c r="F85" s="30" t="str">
        <f t="shared" si="24"/>
        <v>E1_6_5_2_km : 1</v>
      </c>
      <c r="G85" s="31" t="str">
        <f t="shared" si="25"/>
        <v>E1_6_5_2_mRNA : E1_6_5_2_mRNA</v>
      </c>
      <c r="H85" s="32" t="str">
        <f t="shared" si="26"/>
        <v>E1_6_5_2 : E1_6_5_2</v>
      </c>
      <c r="I85" s="33" t="str">
        <f t="shared" si="27"/>
        <v>E1_6_5_2_mRNA : 0</v>
      </c>
      <c r="J85" s="16" t="str">
        <f t="shared" si="28"/>
        <v>E1_6_5_2 : 0</v>
      </c>
      <c r="K85" s="34" t="str">
        <f t="shared" si="29"/>
        <v>0.00292 - (0.0093 * E1_6_5_2_mRNA)</v>
      </c>
      <c r="L85" s="31" t="str">
        <f t="shared" si="30"/>
        <v>(0.278 * E1_6_5_2_mRNA) - (0.00000278 * E1_6_5_2)</v>
      </c>
      <c r="M85" s="35" t="str">
        <f t="shared" si="31"/>
        <v>mRNA84: -&gt; E1_6_5_2_mRNA | 0.00292 - (0.0093 * E1_6_5_2_mRNA)</v>
      </c>
      <c r="N85" s="29" t="str">
        <f t="shared" si="20"/>
        <v>Peptide84: E1_6_5_2_mRNA -&gt; E1_6_5_2 | (0.278 * E1_6_5_2_mRNA) - (0.000000278 * E1_6_5_2)</v>
      </c>
    </row>
    <row r="86" spans="1:14">
      <c r="A86">
        <v>85</v>
      </c>
      <c r="B86" t="s">
        <v>12827</v>
      </c>
      <c r="C86" t="str">
        <f t="shared" si="21"/>
        <v>E1_6_5_5_mRNA</v>
      </c>
      <c r="D86" t="str">
        <f t="shared" si="22"/>
        <v>E1_6_5_5</v>
      </c>
      <c r="E86" s="29" t="str">
        <f t="shared" si="23"/>
        <v>E1_6_5_5_kcat : 13.7</v>
      </c>
      <c r="F86" s="30" t="str">
        <f t="shared" si="24"/>
        <v>E1_6_5_5_km : 1</v>
      </c>
      <c r="G86" s="31" t="str">
        <f t="shared" si="25"/>
        <v>E1_6_5_5_mRNA : E1_6_5_5_mRNA</v>
      </c>
      <c r="H86" s="32" t="str">
        <f t="shared" si="26"/>
        <v>E1_6_5_5 : E1_6_5_5</v>
      </c>
      <c r="I86" s="33" t="str">
        <f t="shared" si="27"/>
        <v>E1_6_5_5_mRNA : 0</v>
      </c>
      <c r="J86" s="16" t="str">
        <f t="shared" si="28"/>
        <v>E1_6_5_5 : 0</v>
      </c>
      <c r="K86" s="34" t="str">
        <f t="shared" si="29"/>
        <v>0.00292 - (0.0093 * E1_6_5_5_mRNA)</v>
      </c>
      <c r="L86" s="31" t="str">
        <f t="shared" si="30"/>
        <v>(0.278 * E1_6_5_5_mRNA) - (0.00000278 * E1_6_5_5)</v>
      </c>
      <c r="M86" s="35" t="str">
        <f t="shared" si="31"/>
        <v>mRNA85: -&gt; E1_6_5_5_mRNA | 0.00292 - (0.0093 * E1_6_5_5_mRNA)</v>
      </c>
      <c r="N86" s="29" t="str">
        <f t="shared" si="20"/>
        <v>Peptide85: E1_6_5_5_mRNA -&gt; E1_6_5_5 | (0.278 * E1_6_5_5_mRNA) - (0.000000278 * E1_6_5_5)</v>
      </c>
    </row>
    <row r="87" spans="1:14">
      <c r="A87">
        <v>86</v>
      </c>
      <c r="B87" t="s">
        <v>12828</v>
      </c>
      <c r="C87" t="str">
        <f t="shared" si="21"/>
        <v>E1_8_1_15_mRNA</v>
      </c>
      <c r="D87" t="str">
        <f t="shared" si="22"/>
        <v>E1_8_1_15</v>
      </c>
      <c r="E87" s="29" t="str">
        <f t="shared" si="23"/>
        <v>E1_8_1_15_kcat : 13.7</v>
      </c>
      <c r="F87" s="30" t="str">
        <f t="shared" si="24"/>
        <v>E1_8_1_15_km : 1</v>
      </c>
      <c r="G87" s="31" t="str">
        <f t="shared" si="25"/>
        <v>E1_8_1_15_mRNA : E1_8_1_15_mRNA</v>
      </c>
      <c r="H87" s="32" t="str">
        <f t="shared" si="26"/>
        <v>E1_8_1_15 : E1_8_1_15</v>
      </c>
      <c r="I87" s="33" t="str">
        <f t="shared" si="27"/>
        <v>E1_8_1_15_mRNA : 0</v>
      </c>
      <c r="J87" s="16" t="str">
        <f t="shared" si="28"/>
        <v>E1_8_1_15 : 0</v>
      </c>
      <c r="K87" s="34" t="str">
        <f t="shared" si="29"/>
        <v>0.00292 - (0.0093 * E1_8_1_15_mRNA)</v>
      </c>
      <c r="L87" s="31" t="str">
        <f t="shared" si="30"/>
        <v>(0.278 * E1_8_1_15_mRNA) - (0.00000278 * E1_8_1_15)</v>
      </c>
      <c r="M87" s="35" t="str">
        <f t="shared" si="31"/>
        <v>mRNA86: -&gt; E1_8_1_15_mRNA | 0.00292 - (0.0093 * E1_8_1_15_mRNA)</v>
      </c>
      <c r="N87" s="29" t="str">
        <f t="shared" si="20"/>
        <v>Peptide86: E1_8_1_15_mRNA -&gt; E1_8_1_15 | (0.278 * E1_8_1_15_mRNA) - (0.000000278 * E1_8_1_15)</v>
      </c>
    </row>
    <row r="88" spans="1:14">
      <c r="A88">
        <v>87</v>
      </c>
      <c r="B88" t="s">
        <v>12829</v>
      </c>
      <c r="C88" t="str">
        <f t="shared" si="21"/>
        <v>E1_8_1_4_mRNA</v>
      </c>
      <c r="D88" t="str">
        <f t="shared" si="22"/>
        <v>E1_8_1_4</v>
      </c>
      <c r="E88" s="29" t="str">
        <f t="shared" si="23"/>
        <v>E1_8_1_4_kcat : 13.7</v>
      </c>
      <c r="F88" s="30" t="str">
        <f t="shared" si="24"/>
        <v>E1_8_1_4_km : 1</v>
      </c>
      <c r="G88" s="31" t="str">
        <f t="shared" si="25"/>
        <v>E1_8_1_4_mRNA : E1_8_1_4_mRNA</v>
      </c>
      <c r="H88" s="32" t="str">
        <f t="shared" si="26"/>
        <v>E1_8_1_4 : E1_8_1_4</v>
      </c>
      <c r="I88" s="33" t="str">
        <f t="shared" si="27"/>
        <v>E1_8_1_4_mRNA : 0</v>
      </c>
      <c r="J88" s="16" t="str">
        <f t="shared" si="28"/>
        <v>E1_8_1_4 : 0</v>
      </c>
      <c r="K88" s="34" t="str">
        <f t="shared" si="29"/>
        <v>0.00292 - (0.0093 * E1_8_1_4_mRNA)</v>
      </c>
      <c r="L88" s="31" t="str">
        <f t="shared" si="30"/>
        <v>(0.278 * E1_8_1_4_mRNA) - (0.00000278 * E1_8_1_4)</v>
      </c>
      <c r="M88" s="35" t="str">
        <f t="shared" si="31"/>
        <v>mRNA87: -&gt; E1_8_1_4_mRNA | 0.00292 - (0.0093 * E1_8_1_4_mRNA)</v>
      </c>
      <c r="N88" s="29" t="str">
        <f t="shared" si="20"/>
        <v>Peptide87: E1_8_1_4_mRNA -&gt; E1_8_1_4 | (0.278 * E1_8_1_4_mRNA) - (0.000000278 * E1_8_1_4)</v>
      </c>
    </row>
    <row r="89" spans="1:14">
      <c r="A89">
        <v>88</v>
      </c>
      <c r="B89" t="s">
        <v>12830</v>
      </c>
      <c r="C89" t="str">
        <f t="shared" si="21"/>
        <v>E1_8_1_9_mRNA</v>
      </c>
      <c r="D89" t="str">
        <f t="shared" si="22"/>
        <v>E1_8_1_9</v>
      </c>
      <c r="E89" s="29" t="str">
        <f t="shared" si="23"/>
        <v>E1_8_1_9_kcat : 13.7</v>
      </c>
      <c r="F89" s="30" t="str">
        <f t="shared" si="24"/>
        <v>E1_8_1_9_km : 1</v>
      </c>
      <c r="G89" s="31" t="str">
        <f t="shared" si="25"/>
        <v>E1_8_1_9_mRNA : E1_8_1_9_mRNA</v>
      </c>
      <c r="H89" s="32" t="str">
        <f t="shared" si="26"/>
        <v>E1_8_1_9 : E1_8_1_9</v>
      </c>
      <c r="I89" s="33" t="str">
        <f t="shared" si="27"/>
        <v>E1_8_1_9_mRNA : 0</v>
      </c>
      <c r="J89" s="16" t="str">
        <f t="shared" si="28"/>
        <v>E1_8_1_9 : 0</v>
      </c>
      <c r="K89" s="34" t="str">
        <f t="shared" si="29"/>
        <v>0.00292 - (0.0093 * E1_8_1_9_mRNA)</v>
      </c>
      <c r="L89" s="31" t="str">
        <f t="shared" si="30"/>
        <v>(0.278 * E1_8_1_9_mRNA) - (0.00000278 * E1_8_1_9)</v>
      </c>
      <c r="M89" s="35" t="str">
        <f t="shared" si="31"/>
        <v>mRNA88: -&gt; E1_8_1_9_mRNA | 0.00292 - (0.0093 * E1_8_1_9_mRNA)</v>
      </c>
      <c r="N89" s="29" t="str">
        <f t="shared" si="20"/>
        <v>Peptide88: E1_8_1_9_mRNA -&gt; E1_8_1_9 | (0.278 * E1_8_1_9_mRNA) - (0.000000278 * E1_8_1_9)</v>
      </c>
    </row>
    <row r="90" spans="1:14">
      <c r="A90">
        <v>89</v>
      </c>
      <c r="B90" t="s">
        <v>12831</v>
      </c>
      <c r="C90" t="str">
        <f t="shared" si="21"/>
        <v>E1_8_4_11_mRNA</v>
      </c>
      <c r="D90" t="str">
        <f t="shared" si="22"/>
        <v>E1_8_4_11</v>
      </c>
      <c r="E90" s="29" t="str">
        <f t="shared" si="23"/>
        <v>E1_8_4_11_kcat : 13.7</v>
      </c>
      <c r="F90" s="30" t="str">
        <f t="shared" si="24"/>
        <v>E1_8_4_11_km : 1</v>
      </c>
      <c r="G90" s="31" t="str">
        <f t="shared" si="25"/>
        <v>E1_8_4_11_mRNA : E1_8_4_11_mRNA</v>
      </c>
      <c r="H90" s="32" t="str">
        <f t="shared" si="26"/>
        <v>E1_8_4_11 : E1_8_4_11</v>
      </c>
      <c r="I90" s="33" t="str">
        <f t="shared" si="27"/>
        <v>E1_8_4_11_mRNA : 0</v>
      </c>
      <c r="J90" s="16" t="str">
        <f t="shared" si="28"/>
        <v>E1_8_4_11 : 0</v>
      </c>
      <c r="K90" s="34" t="str">
        <f t="shared" si="29"/>
        <v>0.00292 - (0.0093 * E1_8_4_11_mRNA)</v>
      </c>
      <c r="L90" s="31" t="str">
        <f t="shared" si="30"/>
        <v>(0.278 * E1_8_4_11_mRNA) - (0.00000278 * E1_8_4_11)</v>
      </c>
      <c r="M90" s="35" t="str">
        <f t="shared" si="31"/>
        <v>mRNA89: -&gt; E1_8_4_11_mRNA | 0.00292 - (0.0093 * E1_8_4_11_mRNA)</v>
      </c>
      <c r="N90" s="29" t="str">
        <f t="shared" si="20"/>
        <v>Peptide89: E1_8_4_11_mRNA -&gt; E1_8_4_11 | (0.278 * E1_8_4_11_mRNA) - (0.000000278 * E1_8_4_11)</v>
      </c>
    </row>
    <row r="91" spans="1:14">
      <c r="A91">
        <v>90</v>
      </c>
      <c r="B91" t="s">
        <v>12832</v>
      </c>
      <c r="C91" t="str">
        <f t="shared" si="21"/>
        <v>E1_8_4_12_mRNA</v>
      </c>
      <c r="D91" t="str">
        <f t="shared" si="22"/>
        <v>E1_8_4_12</v>
      </c>
      <c r="E91" s="29" t="str">
        <f t="shared" si="23"/>
        <v>E1_8_4_12_kcat : 13.7</v>
      </c>
      <c r="F91" s="30" t="str">
        <f t="shared" si="24"/>
        <v>E1_8_4_12_km : 1</v>
      </c>
      <c r="G91" s="31" t="str">
        <f t="shared" si="25"/>
        <v>E1_8_4_12_mRNA : E1_8_4_12_mRNA</v>
      </c>
      <c r="H91" s="32" t="str">
        <f t="shared" si="26"/>
        <v>E1_8_4_12 : E1_8_4_12</v>
      </c>
      <c r="I91" s="33" t="str">
        <f t="shared" si="27"/>
        <v>E1_8_4_12_mRNA : 0</v>
      </c>
      <c r="J91" s="16" t="str">
        <f t="shared" si="28"/>
        <v>E1_8_4_12 : 0</v>
      </c>
      <c r="K91" s="34" t="str">
        <f t="shared" si="29"/>
        <v>0.00292 - (0.0093 * E1_8_4_12_mRNA)</v>
      </c>
      <c r="L91" s="31" t="str">
        <f t="shared" si="30"/>
        <v>(0.278 * E1_8_4_12_mRNA) - (0.00000278 * E1_8_4_12)</v>
      </c>
      <c r="M91" s="35" t="str">
        <f t="shared" si="31"/>
        <v>mRNA90: -&gt; E1_8_4_12_mRNA | 0.00292 - (0.0093 * E1_8_4_12_mRNA)</v>
      </c>
      <c r="N91" s="29" t="str">
        <f t="shared" si="20"/>
        <v>Peptide90: E1_8_4_12_mRNA -&gt; E1_8_4_12 | (0.278 * E1_8_4_12_mRNA) - (0.000000278 * E1_8_4_12)</v>
      </c>
    </row>
    <row r="92" spans="1:14">
      <c r="A92">
        <v>91</v>
      </c>
      <c r="B92" t="s">
        <v>12833</v>
      </c>
      <c r="C92" t="str">
        <f t="shared" si="21"/>
        <v>E1_8_4_8_mRNA</v>
      </c>
      <c r="D92" t="str">
        <f t="shared" si="22"/>
        <v>E1_8_4_8</v>
      </c>
      <c r="E92" s="29" t="str">
        <f t="shared" si="23"/>
        <v>E1_8_4_8_kcat : 13.7</v>
      </c>
      <c r="F92" s="30" t="str">
        <f t="shared" si="24"/>
        <v>E1_8_4_8_km : 1</v>
      </c>
      <c r="G92" s="31" t="str">
        <f t="shared" si="25"/>
        <v>E1_8_4_8_mRNA : E1_8_4_8_mRNA</v>
      </c>
      <c r="H92" s="32" t="str">
        <f t="shared" si="26"/>
        <v>E1_8_4_8 : E1_8_4_8</v>
      </c>
      <c r="I92" s="33" t="str">
        <f t="shared" si="27"/>
        <v>E1_8_4_8_mRNA : 0</v>
      </c>
      <c r="J92" s="16" t="str">
        <f t="shared" si="28"/>
        <v>E1_8_4_8 : 0</v>
      </c>
      <c r="K92" s="34" t="str">
        <f t="shared" si="29"/>
        <v>0.00292 - (0.0093 * E1_8_4_8_mRNA)</v>
      </c>
      <c r="L92" s="31" t="str">
        <f t="shared" si="30"/>
        <v>(0.278 * E1_8_4_8_mRNA) - (0.00000278 * E1_8_4_8)</v>
      </c>
      <c r="M92" s="35" t="str">
        <f t="shared" si="31"/>
        <v>mRNA91: -&gt; E1_8_4_8_mRNA | 0.00292 - (0.0093 * E1_8_4_8_mRNA)</v>
      </c>
      <c r="N92" s="29" t="str">
        <f t="shared" si="20"/>
        <v>Peptide91: E1_8_4_8_mRNA -&gt; E1_8_4_8 | (0.278 * E1_8_4_8_mRNA) - (0.000000278 * E1_8_4_8)</v>
      </c>
    </row>
    <row r="93" spans="1:14">
      <c r="A93">
        <v>92</v>
      </c>
      <c r="B93" t="s">
        <v>12834</v>
      </c>
      <c r="C93" t="str">
        <f t="shared" si="21"/>
        <v>E1_8_7_1_mRNA</v>
      </c>
      <c r="D93" t="str">
        <f t="shared" si="22"/>
        <v>E1_8_7_1</v>
      </c>
      <c r="E93" s="29" t="str">
        <f t="shared" si="23"/>
        <v>E1_8_7_1_kcat : 13.7</v>
      </c>
      <c r="F93" s="30" t="str">
        <f t="shared" si="24"/>
        <v>E1_8_7_1_km : 1</v>
      </c>
      <c r="G93" s="31" t="str">
        <f t="shared" si="25"/>
        <v>E1_8_7_1_mRNA : E1_8_7_1_mRNA</v>
      </c>
      <c r="H93" s="32" t="str">
        <f t="shared" si="26"/>
        <v>E1_8_7_1 : E1_8_7_1</v>
      </c>
      <c r="I93" s="33" t="str">
        <f t="shared" si="27"/>
        <v>E1_8_7_1_mRNA : 0</v>
      </c>
      <c r="J93" s="16" t="str">
        <f t="shared" si="28"/>
        <v>E1_8_7_1 : 0</v>
      </c>
      <c r="K93" s="34" t="str">
        <f t="shared" si="29"/>
        <v>0.00292 - (0.0093 * E1_8_7_1_mRNA)</v>
      </c>
      <c r="L93" s="31" t="str">
        <f t="shared" si="30"/>
        <v>(0.278 * E1_8_7_1_mRNA) - (0.00000278 * E1_8_7_1)</v>
      </c>
      <c r="M93" s="35" t="str">
        <f t="shared" si="31"/>
        <v>mRNA92: -&gt; E1_8_7_1_mRNA | 0.00292 - (0.0093 * E1_8_7_1_mRNA)</v>
      </c>
      <c r="N93" s="29" t="str">
        <f t="shared" si="20"/>
        <v>Peptide92: E1_8_7_1_mRNA -&gt; E1_8_7_1 | (0.278 * E1_8_7_1_mRNA) - (0.000000278 * E1_8_7_1)</v>
      </c>
    </row>
    <row r="94" spans="1:14">
      <c r="A94">
        <v>93</v>
      </c>
      <c r="B94" t="s">
        <v>12835</v>
      </c>
      <c r="C94" t="str">
        <f t="shared" si="21"/>
        <v>E2_1_1_107_mRNA</v>
      </c>
      <c r="D94" t="str">
        <f t="shared" si="22"/>
        <v>E2_1_1_107</v>
      </c>
      <c r="E94" s="29" t="str">
        <f t="shared" si="23"/>
        <v>E2_1_1_107_kcat : 13.7</v>
      </c>
      <c r="F94" s="30" t="str">
        <f t="shared" si="24"/>
        <v>E2_1_1_107_km : 1</v>
      </c>
      <c r="G94" s="31" t="str">
        <f t="shared" si="25"/>
        <v>E2_1_1_107_mRNA : E2_1_1_107_mRNA</v>
      </c>
      <c r="H94" s="32" t="str">
        <f t="shared" si="26"/>
        <v>E2_1_1_107 : E2_1_1_107</v>
      </c>
      <c r="I94" s="33" t="str">
        <f t="shared" si="27"/>
        <v>E2_1_1_107_mRNA : 0</v>
      </c>
      <c r="J94" s="16" t="str">
        <f t="shared" si="28"/>
        <v>E2_1_1_107 : 0</v>
      </c>
      <c r="K94" s="34" t="str">
        <f t="shared" si="29"/>
        <v>0.00292 - (0.0093 * E2_1_1_107_mRNA)</v>
      </c>
      <c r="L94" s="31" t="str">
        <f t="shared" si="30"/>
        <v>(0.278 * E2_1_1_107_mRNA) - (0.00000278 * E2_1_1_107)</v>
      </c>
      <c r="M94" s="35" t="str">
        <f t="shared" si="31"/>
        <v>mRNA93: -&gt; E2_1_1_107_mRNA | 0.00292 - (0.0093 * E2_1_1_107_mRNA)</v>
      </c>
      <c r="N94" s="29" t="str">
        <f t="shared" si="20"/>
        <v>Peptide93: E2_1_1_107_mRNA -&gt; E2_1_1_107 | (0.278 * E2_1_1_107_mRNA) - (0.000000278 * E2_1_1_107)</v>
      </c>
    </row>
    <row r="95" spans="1:14">
      <c r="A95">
        <v>94</v>
      </c>
      <c r="B95" t="s">
        <v>12836</v>
      </c>
      <c r="C95" t="str">
        <f t="shared" si="21"/>
        <v>E2_1_1_13_mRNA</v>
      </c>
      <c r="D95" t="str">
        <f t="shared" si="22"/>
        <v>E2_1_1_13</v>
      </c>
      <c r="E95" s="29" t="str">
        <f t="shared" si="23"/>
        <v>E2_1_1_13_kcat : 13.7</v>
      </c>
      <c r="F95" s="30" t="str">
        <f t="shared" si="24"/>
        <v>E2_1_1_13_km : 1</v>
      </c>
      <c r="G95" s="31" t="str">
        <f t="shared" si="25"/>
        <v>E2_1_1_13_mRNA : E2_1_1_13_mRNA</v>
      </c>
      <c r="H95" s="32" t="str">
        <f t="shared" si="26"/>
        <v>E2_1_1_13 : E2_1_1_13</v>
      </c>
      <c r="I95" s="33" t="str">
        <f t="shared" si="27"/>
        <v>E2_1_1_13_mRNA : 0</v>
      </c>
      <c r="J95" s="16" t="str">
        <f t="shared" si="28"/>
        <v>E2_1_1_13 : 0</v>
      </c>
      <c r="K95" s="34" t="str">
        <f t="shared" si="29"/>
        <v>0.00292 - (0.0093 * E2_1_1_13_mRNA)</v>
      </c>
      <c r="L95" s="31" t="str">
        <f t="shared" si="30"/>
        <v>(0.278 * E2_1_1_13_mRNA) - (0.00000278 * E2_1_1_13)</v>
      </c>
      <c r="M95" s="35" t="str">
        <f t="shared" si="31"/>
        <v>mRNA94: -&gt; E2_1_1_13_mRNA | 0.00292 - (0.0093 * E2_1_1_13_mRNA)</v>
      </c>
      <c r="N95" s="29" t="str">
        <f t="shared" si="20"/>
        <v>Peptide94: E2_1_1_13_mRNA -&gt; E2_1_1_13 | (0.278 * E2_1_1_13_mRNA) - (0.000000278 * E2_1_1_13)</v>
      </c>
    </row>
    <row r="96" spans="1:14">
      <c r="A96">
        <v>95</v>
      </c>
      <c r="B96" t="s">
        <v>12837</v>
      </c>
      <c r="C96" t="str">
        <f t="shared" si="21"/>
        <v>E2_1_1_14_mRNA</v>
      </c>
      <c r="D96" t="str">
        <f t="shared" si="22"/>
        <v>E2_1_1_14</v>
      </c>
      <c r="E96" s="29" t="str">
        <f t="shared" si="23"/>
        <v>E2_1_1_14_kcat : 13.7</v>
      </c>
      <c r="F96" s="30" t="str">
        <f t="shared" si="24"/>
        <v>E2_1_1_14_km : 1</v>
      </c>
      <c r="G96" s="31" t="str">
        <f t="shared" si="25"/>
        <v>E2_1_1_14_mRNA : E2_1_1_14_mRNA</v>
      </c>
      <c r="H96" s="32" t="str">
        <f t="shared" si="26"/>
        <v>E2_1_1_14 : E2_1_1_14</v>
      </c>
      <c r="I96" s="33" t="str">
        <f t="shared" si="27"/>
        <v>E2_1_1_14_mRNA : 0</v>
      </c>
      <c r="J96" s="16" t="str">
        <f t="shared" si="28"/>
        <v>E2_1_1_14 : 0</v>
      </c>
      <c r="K96" s="34" t="str">
        <f t="shared" si="29"/>
        <v>0.00292 - (0.0093 * E2_1_1_14_mRNA)</v>
      </c>
      <c r="L96" s="31" t="str">
        <f t="shared" si="30"/>
        <v>(0.278 * E2_1_1_14_mRNA) - (0.00000278 * E2_1_1_14)</v>
      </c>
      <c r="M96" s="35" t="str">
        <f t="shared" si="31"/>
        <v>mRNA95: -&gt; E2_1_1_14_mRNA | 0.00292 - (0.0093 * E2_1_1_14_mRNA)</v>
      </c>
      <c r="N96" s="29" t="str">
        <f t="shared" si="20"/>
        <v>Peptide95: E2_1_1_14_mRNA -&gt; E2_1_1_14 | (0.278 * E2_1_1_14_mRNA) - (0.000000278 * E2_1_1_14)</v>
      </c>
    </row>
    <row r="97" spans="1:14">
      <c r="A97">
        <v>96</v>
      </c>
      <c r="B97" t="s">
        <v>16019</v>
      </c>
      <c r="C97" t="str">
        <f t="shared" si="21"/>
        <v>E2_1_1_148_mRNA</v>
      </c>
      <c r="D97" t="str">
        <f t="shared" si="22"/>
        <v>E2_1_1_148</v>
      </c>
      <c r="E97" s="29" t="str">
        <f t="shared" si="23"/>
        <v>E2_1_1_148_kcat : 13.7</v>
      </c>
      <c r="F97" s="30" t="str">
        <f t="shared" si="24"/>
        <v>E2_1_1_148_km : 1</v>
      </c>
      <c r="G97" s="31" t="str">
        <f t="shared" si="25"/>
        <v>E2_1_1_148_mRNA : E2_1_1_148_mRNA</v>
      </c>
      <c r="H97" s="32" t="str">
        <f t="shared" si="26"/>
        <v>E2_1_1_148 : E2_1_1_148</v>
      </c>
      <c r="I97" s="33" t="str">
        <f t="shared" si="27"/>
        <v>E2_1_1_148_mRNA : 0</v>
      </c>
      <c r="J97" s="16" t="str">
        <f t="shared" si="28"/>
        <v>E2_1_1_148 : 0</v>
      </c>
      <c r="K97" s="34" t="str">
        <f t="shared" si="29"/>
        <v>0.00292 - (0.0093 * E2_1_1_148_mRNA)</v>
      </c>
      <c r="L97" s="31" t="str">
        <f t="shared" si="30"/>
        <v>(0.278 * E2_1_1_148_mRNA) - (0.00000278 * E2_1_1_148)</v>
      </c>
      <c r="M97" s="35" t="str">
        <f t="shared" si="31"/>
        <v>mRNA96: -&gt; E2_1_1_148_mRNA | 0.00292 - (0.0093 * E2_1_1_148_mRNA)</v>
      </c>
      <c r="N97" s="29" t="str">
        <f t="shared" si="20"/>
        <v>Peptide96: E2_1_1_148_mRNA -&gt; E2_1_1_148 | (0.278 * E2_1_1_148_mRNA) - (0.000000278 * E2_1_1_148)</v>
      </c>
    </row>
    <row r="98" spans="1:14">
      <c r="A98">
        <v>97</v>
      </c>
      <c r="B98" t="s">
        <v>12838</v>
      </c>
      <c r="C98" t="str">
        <f t="shared" si="21"/>
        <v>E2_1_1_163_mRNA</v>
      </c>
      <c r="D98" t="str">
        <f t="shared" si="22"/>
        <v>E2_1_1_163</v>
      </c>
      <c r="E98" s="29" t="str">
        <f t="shared" si="23"/>
        <v>E2_1_1_163_kcat : 13.7</v>
      </c>
      <c r="F98" s="30" t="str">
        <f t="shared" si="24"/>
        <v>E2_1_1_163_km : 1</v>
      </c>
      <c r="G98" s="31" t="str">
        <f t="shared" si="25"/>
        <v>E2_1_1_163_mRNA : E2_1_1_163_mRNA</v>
      </c>
      <c r="H98" s="32" t="str">
        <f t="shared" si="26"/>
        <v>E2_1_1_163 : E2_1_1_163</v>
      </c>
      <c r="I98" s="33" t="str">
        <f t="shared" si="27"/>
        <v>E2_1_1_163_mRNA : 0</v>
      </c>
      <c r="J98" s="16" t="str">
        <f t="shared" si="28"/>
        <v>E2_1_1_163 : 0</v>
      </c>
      <c r="K98" s="34" t="str">
        <f t="shared" si="29"/>
        <v>0.00292 - (0.0093 * E2_1_1_163_mRNA)</v>
      </c>
      <c r="L98" s="31" t="str">
        <f t="shared" si="30"/>
        <v>(0.278 * E2_1_1_163_mRNA) - (0.00000278 * E2_1_1_163)</v>
      </c>
      <c r="M98" s="35" t="str">
        <f t="shared" si="31"/>
        <v>mRNA97: -&gt; E2_1_1_163_mRNA | 0.00292 - (0.0093 * E2_1_1_163_mRNA)</v>
      </c>
      <c r="N98" s="29" t="str">
        <f t="shared" si="20"/>
        <v>Peptide97: E2_1_1_163_mRNA -&gt; E2_1_1_163 | (0.278 * E2_1_1_163_mRNA) - (0.000000278 * E2_1_1_163)</v>
      </c>
    </row>
    <row r="99" spans="1:14">
      <c r="A99">
        <v>98</v>
      </c>
      <c r="B99" t="s">
        <v>12839</v>
      </c>
      <c r="C99" t="str">
        <f t="shared" si="21"/>
        <v>E2_1_1_170_mRNA</v>
      </c>
      <c r="D99" t="str">
        <f t="shared" si="22"/>
        <v>E2_1_1_170</v>
      </c>
      <c r="E99" s="29" t="str">
        <f t="shared" si="23"/>
        <v>E2_1_1_170_kcat : 13.7</v>
      </c>
      <c r="F99" s="30" t="str">
        <f t="shared" si="24"/>
        <v>E2_1_1_170_km : 1</v>
      </c>
      <c r="G99" s="31" t="str">
        <f t="shared" si="25"/>
        <v>E2_1_1_170_mRNA : E2_1_1_170_mRNA</v>
      </c>
      <c r="H99" s="32" t="str">
        <f t="shared" si="26"/>
        <v>E2_1_1_170 : E2_1_1_170</v>
      </c>
      <c r="I99" s="33" t="str">
        <f t="shared" si="27"/>
        <v>E2_1_1_170_mRNA : 0</v>
      </c>
      <c r="J99" s="16" t="str">
        <f t="shared" si="28"/>
        <v>E2_1_1_170 : 0</v>
      </c>
      <c r="K99" s="34" t="str">
        <f t="shared" si="29"/>
        <v>0.00292 - (0.0093 * E2_1_1_170_mRNA)</v>
      </c>
      <c r="L99" s="31" t="str">
        <f t="shared" si="30"/>
        <v>(0.278 * E2_1_1_170_mRNA) - (0.00000278 * E2_1_1_170)</v>
      </c>
      <c r="M99" s="35" t="str">
        <f t="shared" si="31"/>
        <v>mRNA98: -&gt; E2_1_1_170_mRNA | 0.00292 - (0.0093 * E2_1_1_170_mRNA)</v>
      </c>
      <c r="N99" s="29" t="str">
        <f t="shared" si="20"/>
        <v>Peptide98: E2_1_1_170_mRNA -&gt; E2_1_1_170 | (0.278 * E2_1_1_170_mRNA) - (0.000000278 * E2_1_1_170)</v>
      </c>
    </row>
    <row r="100" spans="1:14">
      <c r="A100">
        <v>99</v>
      </c>
      <c r="B100" t="s">
        <v>16020</v>
      </c>
      <c r="C100" t="str">
        <f t="shared" si="21"/>
        <v>E2_1_1_171_mRNA</v>
      </c>
      <c r="D100" t="str">
        <f t="shared" si="22"/>
        <v>E2_1_1_171</v>
      </c>
      <c r="E100" s="29" t="str">
        <f t="shared" si="23"/>
        <v>E2_1_1_171_kcat : 13.7</v>
      </c>
      <c r="F100" s="30" t="str">
        <f t="shared" si="24"/>
        <v>E2_1_1_171_km : 1</v>
      </c>
      <c r="G100" s="31" t="str">
        <f t="shared" si="25"/>
        <v>E2_1_1_171_mRNA : E2_1_1_171_mRNA</v>
      </c>
      <c r="H100" s="32" t="str">
        <f t="shared" si="26"/>
        <v>E2_1_1_171 : E2_1_1_171</v>
      </c>
      <c r="I100" s="33" t="str">
        <f t="shared" si="27"/>
        <v>E2_1_1_171_mRNA : 0</v>
      </c>
      <c r="J100" s="16" t="str">
        <f t="shared" si="28"/>
        <v>E2_1_1_171 : 0</v>
      </c>
      <c r="K100" s="34" t="str">
        <f t="shared" si="29"/>
        <v>0.00292 - (0.0093 * E2_1_1_171_mRNA)</v>
      </c>
      <c r="L100" s="31" t="str">
        <f t="shared" si="30"/>
        <v>(0.278 * E2_1_1_171_mRNA) - (0.00000278 * E2_1_1_171)</v>
      </c>
      <c r="M100" s="35" t="str">
        <f t="shared" si="31"/>
        <v>mRNA99: -&gt; E2_1_1_171_mRNA | 0.00292 - (0.0093 * E2_1_1_171_mRNA)</v>
      </c>
      <c r="N100" s="29" t="str">
        <f t="shared" si="20"/>
        <v>Peptide99: E2_1_1_171_mRNA -&gt; E2_1_1_171 | (0.278 * E2_1_1_171_mRNA) - (0.000000278 * E2_1_1_171)</v>
      </c>
    </row>
    <row r="101" spans="1:14">
      <c r="A101">
        <v>100</v>
      </c>
      <c r="B101" t="s">
        <v>12840</v>
      </c>
      <c r="C101" t="str">
        <f t="shared" si="21"/>
        <v>E2_1_1_182_mRNA</v>
      </c>
      <c r="D101" t="str">
        <f t="shared" si="22"/>
        <v>E2_1_1_182</v>
      </c>
      <c r="E101" s="29" t="str">
        <f t="shared" si="23"/>
        <v>E2_1_1_182_kcat : 13.7</v>
      </c>
      <c r="F101" s="30" t="str">
        <f t="shared" si="24"/>
        <v>E2_1_1_182_km : 1</v>
      </c>
      <c r="G101" s="31" t="str">
        <f t="shared" si="25"/>
        <v>E2_1_1_182_mRNA : E2_1_1_182_mRNA</v>
      </c>
      <c r="H101" s="32" t="str">
        <f t="shared" si="26"/>
        <v>E2_1_1_182 : E2_1_1_182</v>
      </c>
      <c r="I101" s="33" t="str">
        <f t="shared" si="27"/>
        <v>E2_1_1_182_mRNA : 0</v>
      </c>
      <c r="J101" s="16" t="str">
        <f t="shared" si="28"/>
        <v>E2_1_1_182 : 0</v>
      </c>
      <c r="K101" s="34" t="str">
        <f t="shared" si="29"/>
        <v>0.00292 - (0.0093 * E2_1_1_182_mRNA)</v>
      </c>
      <c r="L101" s="31" t="str">
        <f t="shared" si="30"/>
        <v>(0.278 * E2_1_1_182_mRNA) - (0.00000278 * E2_1_1_182)</v>
      </c>
      <c r="M101" s="35" t="str">
        <f t="shared" si="31"/>
        <v>mRNA100: -&gt; E2_1_1_182_mRNA | 0.00292 - (0.0093 * E2_1_1_182_mRNA)</v>
      </c>
      <c r="N101" s="29" t="str">
        <f t="shared" si="20"/>
        <v>Peptide100: E2_1_1_182_mRNA -&gt; E2_1_1_182 | (0.278 * E2_1_1_182_mRNA) - (0.000000278 * E2_1_1_182)</v>
      </c>
    </row>
    <row r="102" spans="1:14">
      <c r="A102">
        <v>101</v>
      </c>
      <c r="B102" t="s">
        <v>12841</v>
      </c>
      <c r="C102" t="str">
        <f t="shared" si="21"/>
        <v>E2_1_1_192_mRNA</v>
      </c>
      <c r="D102" t="str">
        <f t="shared" si="22"/>
        <v>E2_1_1_192</v>
      </c>
      <c r="E102" s="29" t="str">
        <f t="shared" si="23"/>
        <v>E2_1_1_192_kcat : 13.7</v>
      </c>
      <c r="F102" s="30" t="str">
        <f t="shared" si="24"/>
        <v>E2_1_1_192_km : 1</v>
      </c>
      <c r="G102" s="31" t="str">
        <f t="shared" si="25"/>
        <v>E2_1_1_192_mRNA : E2_1_1_192_mRNA</v>
      </c>
      <c r="H102" s="32" t="str">
        <f t="shared" si="26"/>
        <v>E2_1_1_192 : E2_1_1_192</v>
      </c>
      <c r="I102" s="33" t="str">
        <f t="shared" si="27"/>
        <v>E2_1_1_192_mRNA : 0</v>
      </c>
      <c r="J102" s="16" t="str">
        <f t="shared" si="28"/>
        <v>E2_1_1_192 : 0</v>
      </c>
      <c r="K102" s="34" t="str">
        <f t="shared" si="29"/>
        <v>0.00292 - (0.0093 * E2_1_1_192_mRNA)</v>
      </c>
      <c r="L102" s="31" t="str">
        <f t="shared" si="30"/>
        <v>(0.278 * E2_1_1_192_mRNA) - (0.00000278 * E2_1_1_192)</v>
      </c>
      <c r="M102" s="35" t="str">
        <f t="shared" si="31"/>
        <v>mRNA101: -&gt; E2_1_1_192_mRNA | 0.00292 - (0.0093 * E2_1_1_192_mRNA)</v>
      </c>
      <c r="N102" s="29" t="str">
        <f t="shared" si="20"/>
        <v>Peptide101: E2_1_1_192_mRNA -&gt; E2_1_1_192 | (0.278 * E2_1_1_192_mRNA) - (0.000000278 * E2_1_1_192)</v>
      </c>
    </row>
    <row r="103" spans="1:14">
      <c r="A103">
        <v>102</v>
      </c>
      <c r="B103" t="s">
        <v>12842</v>
      </c>
      <c r="C103" t="str">
        <f t="shared" si="21"/>
        <v>E2_1_1_193_mRNA</v>
      </c>
      <c r="D103" t="str">
        <f t="shared" si="22"/>
        <v>E2_1_1_193</v>
      </c>
      <c r="E103" s="29" t="str">
        <f t="shared" si="23"/>
        <v>E2_1_1_193_kcat : 13.7</v>
      </c>
      <c r="F103" s="30" t="str">
        <f t="shared" si="24"/>
        <v>E2_1_1_193_km : 1</v>
      </c>
      <c r="G103" s="31" t="str">
        <f t="shared" si="25"/>
        <v>E2_1_1_193_mRNA : E2_1_1_193_mRNA</v>
      </c>
      <c r="H103" s="32" t="str">
        <f t="shared" si="26"/>
        <v>E2_1_1_193 : E2_1_1_193</v>
      </c>
      <c r="I103" s="33" t="str">
        <f t="shared" si="27"/>
        <v>E2_1_1_193_mRNA : 0</v>
      </c>
      <c r="J103" s="16" t="str">
        <f t="shared" si="28"/>
        <v>E2_1_1_193 : 0</v>
      </c>
      <c r="K103" s="34" t="str">
        <f t="shared" si="29"/>
        <v>0.00292 - (0.0093 * E2_1_1_193_mRNA)</v>
      </c>
      <c r="L103" s="31" t="str">
        <f t="shared" si="30"/>
        <v>(0.278 * E2_1_1_193_mRNA) - (0.00000278 * E2_1_1_193)</v>
      </c>
      <c r="M103" s="35" t="str">
        <f t="shared" si="31"/>
        <v>mRNA102: -&gt; E2_1_1_193_mRNA | 0.00292 - (0.0093 * E2_1_1_193_mRNA)</v>
      </c>
      <c r="N103" s="29" t="str">
        <f t="shared" si="20"/>
        <v>Peptide102: E2_1_1_193_mRNA -&gt; E2_1_1_193 | (0.278 * E2_1_1_193_mRNA) - (0.000000278 * E2_1_1_193)</v>
      </c>
    </row>
    <row r="104" spans="1:14">
      <c r="A104">
        <v>103</v>
      </c>
      <c r="B104" t="s">
        <v>12843</v>
      </c>
      <c r="C104" t="str">
        <f t="shared" si="21"/>
        <v>E2_1_1_198_mRNA</v>
      </c>
      <c r="D104" t="str">
        <f t="shared" si="22"/>
        <v>E2_1_1_198</v>
      </c>
      <c r="E104" s="29" t="str">
        <f t="shared" si="23"/>
        <v>E2_1_1_198_kcat : 13.7</v>
      </c>
      <c r="F104" s="30" t="str">
        <f t="shared" si="24"/>
        <v>E2_1_1_198_km : 1</v>
      </c>
      <c r="G104" s="31" t="str">
        <f t="shared" si="25"/>
        <v>E2_1_1_198_mRNA : E2_1_1_198_mRNA</v>
      </c>
      <c r="H104" s="32" t="str">
        <f t="shared" si="26"/>
        <v>E2_1_1_198 : E2_1_1_198</v>
      </c>
      <c r="I104" s="33" t="str">
        <f t="shared" si="27"/>
        <v>E2_1_1_198_mRNA : 0</v>
      </c>
      <c r="J104" s="16" t="str">
        <f t="shared" si="28"/>
        <v>E2_1_1_198 : 0</v>
      </c>
      <c r="K104" s="34" t="str">
        <f t="shared" si="29"/>
        <v>0.00292 - (0.0093 * E2_1_1_198_mRNA)</v>
      </c>
      <c r="L104" s="31" t="str">
        <f t="shared" si="30"/>
        <v>(0.278 * E2_1_1_198_mRNA) - (0.00000278 * E2_1_1_198)</v>
      </c>
      <c r="M104" s="35" t="str">
        <f t="shared" si="31"/>
        <v>mRNA103: -&gt; E2_1_1_198_mRNA | 0.00292 - (0.0093 * E2_1_1_198_mRNA)</v>
      </c>
      <c r="N104" s="29" t="str">
        <f t="shared" si="20"/>
        <v>Peptide103: E2_1_1_198_mRNA -&gt; E2_1_1_198 | (0.278 * E2_1_1_198_mRNA) - (0.000000278 * E2_1_1_198)</v>
      </c>
    </row>
    <row r="105" spans="1:14">
      <c r="A105">
        <v>104</v>
      </c>
      <c r="B105" t="s">
        <v>12844</v>
      </c>
      <c r="C105" t="str">
        <f t="shared" si="21"/>
        <v>E2_1_1_199_mRNA</v>
      </c>
      <c r="D105" t="str">
        <f t="shared" si="22"/>
        <v>E2_1_1_199</v>
      </c>
      <c r="E105" s="29" t="str">
        <f t="shared" si="23"/>
        <v>E2_1_1_199_kcat : 13.7</v>
      </c>
      <c r="F105" s="30" t="str">
        <f t="shared" si="24"/>
        <v>E2_1_1_199_km : 1</v>
      </c>
      <c r="G105" s="31" t="str">
        <f t="shared" si="25"/>
        <v>E2_1_1_199_mRNA : E2_1_1_199_mRNA</v>
      </c>
      <c r="H105" s="32" t="str">
        <f t="shared" si="26"/>
        <v>E2_1_1_199 : E2_1_1_199</v>
      </c>
      <c r="I105" s="33" t="str">
        <f t="shared" si="27"/>
        <v>E2_1_1_199_mRNA : 0</v>
      </c>
      <c r="J105" s="16" t="str">
        <f t="shared" si="28"/>
        <v>E2_1_1_199 : 0</v>
      </c>
      <c r="K105" s="34" t="str">
        <f t="shared" si="29"/>
        <v>0.00292 - (0.0093 * E2_1_1_199_mRNA)</v>
      </c>
      <c r="L105" s="31" t="str">
        <f t="shared" si="30"/>
        <v>(0.278 * E2_1_1_199_mRNA) - (0.00000278 * E2_1_1_199)</v>
      </c>
      <c r="M105" s="35" t="str">
        <f t="shared" si="31"/>
        <v>mRNA104: -&gt; E2_1_1_199_mRNA | 0.00292 - (0.0093 * E2_1_1_199_mRNA)</v>
      </c>
      <c r="N105" s="29" t="str">
        <f t="shared" si="20"/>
        <v>Peptide104: E2_1_1_199_mRNA -&gt; E2_1_1_199 | (0.278 * E2_1_1_199_mRNA) - (0.000000278 * E2_1_1_199)</v>
      </c>
    </row>
    <row r="106" spans="1:14">
      <c r="A106">
        <v>105</v>
      </c>
      <c r="B106" t="s">
        <v>12845</v>
      </c>
      <c r="C106" t="str">
        <f t="shared" si="21"/>
        <v>E2_1_1_207_mRNA</v>
      </c>
      <c r="D106" t="str">
        <f t="shared" si="22"/>
        <v>E2_1_1_207</v>
      </c>
      <c r="E106" s="29" t="str">
        <f t="shared" si="23"/>
        <v>E2_1_1_207_kcat : 13.7</v>
      </c>
      <c r="F106" s="30" t="str">
        <f t="shared" si="24"/>
        <v>E2_1_1_207_km : 1</v>
      </c>
      <c r="G106" s="31" t="str">
        <f t="shared" si="25"/>
        <v>E2_1_1_207_mRNA : E2_1_1_207_mRNA</v>
      </c>
      <c r="H106" s="32" t="str">
        <f t="shared" si="26"/>
        <v>E2_1_1_207 : E2_1_1_207</v>
      </c>
      <c r="I106" s="33" t="str">
        <f t="shared" si="27"/>
        <v>E2_1_1_207_mRNA : 0</v>
      </c>
      <c r="J106" s="16" t="str">
        <f t="shared" si="28"/>
        <v>E2_1_1_207 : 0</v>
      </c>
      <c r="K106" s="34" t="str">
        <f t="shared" si="29"/>
        <v>0.00292 - (0.0093 * E2_1_1_207_mRNA)</v>
      </c>
      <c r="L106" s="31" t="str">
        <f t="shared" si="30"/>
        <v>(0.278 * E2_1_1_207_mRNA) - (0.00000278 * E2_1_1_207)</v>
      </c>
      <c r="M106" s="35" t="str">
        <f t="shared" si="31"/>
        <v>mRNA105: -&gt; E2_1_1_207_mRNA | 0.00292 - (0.0093 * E2_1_1_207_mRNA)</v>
      </c>
      <c r="N106" s="29" t="str">
        <f t="shared" si="20"/>
        <v>Peptide105: E2_1_1_207_mRNA -&gt; E2_1_1_207 | (0.278 * E2_1_1_207_mRNA) - (0.000000278 * E2_1_1_207)</v>
      </c>
    </row>
    <row r="107" spans="1:14">
      <c r="A107">
        <v>106</v>
      </c>
      <c r="B107" t="s">
        <v>16021</v>
      </c>
      <c r="C107" t="str">
        <f t="shared" si="21"/>
        <v>E2_1_1_228_mRNA</v>
      </c>
      <c r="D107" t="str">
        <f t="shared" si="22"/>
        <v>E2_1_1_228</v>
      </c>
      <c r="E107" s="29" t="str">
        <f t="shared" si="23"/>
        <v>E2_1_1_228_kcat : 13.7</v>
      </c>
      <c r="F107" s="30" t="str">
        <f t="shared" si="24"/>
        <v>E2_1_1_228_km : 1</v>
      </c>
      <c r="G107" s="31" t="str">
        <f t="shared" si="25"/>
        <v>E2_1_1_228_mRNA : E2_1_1_228_mRNA</v>
      </c>
      <c r="H107" s="32" t="str">
        <f t="shared" si="26"/>
        <v>E2_1_1_228 : E2_1_1_228</v>
      </c>
      <c r="I107" s="33" t="str">
        <f t="shared" si="27"/>
        <v>E2_1_1_228_mRNA : 0</v>
      </c>
      <c r="J107" s="16" t="str">
        <f t="shared" si="28"/>
        <v>E2_1_1_228 : 0</v>
      </c>
      <c r="K107" s="34" t="str">
        <f t="shared" si="29"/>
        <v>0.00292 - (0.0093 * E2_1_1_228_mRNA)</v>
      </c>
      <c r="L107" s="31" t="str">
        <f t="shared" si="30"/>
        <v>(0.278 * E2_1_1_228_mRNA) - (0.00000278 * E2_1_1_228)</v>
      </c>
      <c r="M107" s="35" t="str">
        <f t="shared" si="31"/>
        <v>mRNA106: -&gt; E2_1_1_228_mRNA | 0.00292 - (0.0093 * E2_1_1_228_mRNA)</v>
      </c>
      <c r="N107" s="29" t="str">
        <f t="shared" si="20"/>
        <v>Peptide106: E2_1_1_228_mRNA -&gt; E2_1_1_228 | (0.278 * E2_1_1_228_mRNA) - (0.000000278 * E2_1_1_228)</v>
      </c>
    </row>
    <row r="108" spans="1:14">
      <c r="A108">
        <v>107</v>
      </c>
      <c r="B108" t="s">
        <v>12846</v>
      </c>
      <c r="C108" t="str">
        <f t="shared" si="21"/>
        <v>E2_1_1_297_mRNA</v>
      </c>
      <c r="D108" t="str">
        <f t="shared" si="22"/>
        <v>E2_1_1_297</v>
      </c>
      <c r="E108" s="29" t="str">
        <f t="shared" si="23"/>
        <v>E2_1_1_297_kcat : 13.7</v>
      </c>
      <c r="F108" s="30" t="str">
        <f t="shared" si="24"/>
        <v>E2_1_1_297_km : 1</v>
      </c>
      <c r="G108" s="31" t="str">
        <f t="shared" si="25"/>
        <v>E2_1_1_297_mRNA : E2_1_1_297_mRNA</v>
      </c>
      <c r="H108" s="32" t="str">
        <f t="shared" si="26"/>
        <v>E2_1_1_297 : E2_1_1_297</v>
      </c>
      <c r="I108" s="33" t="str">
        <f t="shared" si="27"/>
        <v>E2_1_1_297_mRNA : 0</v>
      </c>
      <c r="J108" s="16" t="str">
        <f t="shared" si="28"/>
        <v>E2_1_1_297 : 0</v>
      </c>
      <c r="K108" s="34" t="str">
        <f t="shared" si="29"/>
        <v>0.00292 - (0.0093 * E2_1_1_297_mRNA)</v>
      </c>
      <c r="L108" s="31" t="str">
        <f t="shared" si="30"/>
        <v>(0.278 * E2_1_1_297_mRNA) - (0.00000278 * E2_1_1_297)</v>
      </c>
      <c r="M108" s="35" t="str">
        <f t="shared" si="31"/>
        <v>mRNA107: -&gt; E2_1_1_297_mRNA | 0.00292 - (0.0093 * E2_1_1_297_mRNA)</v>
      </c>
      <c r="N108" s="29" t="str">
        <f t="shared" si="20"/>
        <v>Peptide107: E2_1_1_297_mRNA -&gt; E2_1_1_297 | (0.278 * E2_1_1_297_mRNA) - (0.000000278 * E2_1_1_297)</v>
      </c>
    </row>
    <row r="109" spans="1:14">
      <c r="A109">
        <v>108</v>
      </c>
      <c r="B109" t="s">
        <v>16022</v>
      </c>
      <c r="C109" t="str">
        <f t="shared" si="21"/>
        <v>E2_1_1_33_mRNA</v>
      </c>
      <c r="D109" t="str">
        <f t="shared" si="22"/>
        <v>E2_1_1_33</v>
      </c>
      <c r="E109" s="29" t="str">
        <f t="shared" si="23"/>
        <v>E2_1_1_33_kcat : 13.7</v>
      </c>
      <c r="F109" s="30" t="str">
        <f t="shared" si="24"/>
        <v>E2_1_1_33_km : 1</v>
      </c>
      <c r="G109" s="31" t="str">
        <f t="shared" si="25"/>
        <v>E2_1_1_33_mRNA : E2_1_1_33_mRNA</v>
      </c>
      <c r="H109" s="32" t="str">
        <f t="shared" si="26"/>
        <v>E2_1_1_33 : E2_1_1_33</v>
      </c>
      <c r="I109" s="33" t="str">
        <f t="shared" si="27"/>
        <v>E2_1_1_33_mRNA : 0</v>
      </c>
      <c r="J109" s="16" t="str">
        <f t="shared" si="28"/>
        <v>E2_1_1_33 : 0</v>
      </c>
      <c r="K109" s="34" t="str">
        <f t="shared" si="29"/>
        <v>0.00292 - (0.0093 * E2_1_1_33_mRNA)</v>
      </c>
      <c r="L109" s="31" t="str">
        <f t="shared" si="30"/>
        <v>(0.278 * E2_1_1_33_mRNA) - (0.00000278 * E2_1_1_33)</v>
      </c>
      <c r="M109" s="35" t="str">
        <f t="shared" si="31"/>
        <v>mRNA108: -&gt; E2_1_1_33_mRNA | 0.00292 - (0.0093 * E2_1_1_33_mRNA)</v>
      </c>
      <c r="N109" s="29" t="str">
        <f t="shared" si="20"/>
        <v>Peptide108: E2_1_1_33_mRNA -&gt; E2_1_1_33 | (0.278 * E2_1_1_33_mRNA) - (0.000000278 * E2_1_1_33)</v>
      </c>
    </row>
    <row r="110" spans="1:14">
      <c r="A110">
        <v>109</v>
      </c>
      <c r="B110" t="s">
        <v>16023</v>
      </c>
      <c r="C110" t="str">
        <f t="shared" si="21"/>
        <v>E2_1_1_37_mRNA</v>
      </c>
      <c r="D110" t="str">
        <f t="shared" si="22"/>
        <v>E2_1_1_37</v>
      </c>
      <c r="E110" s="29" t="str">
        <f t="shared" si="23"/>
        <v>E2_1_1_37_kcat : 13.7</v>
      </c>
      <c r="F110" s="30" t="str">
        <f t="shared" si="24"/>
        <v>E2_1_1_37_km : 1</v>
      </c>
      <c r="G110" s="31" t="str">
        <f t="shared" si="25"/>
        <v>E2_1_1_37_mRNA : E2_1_1_37_mRNA</v>
      </c>
      <c r="H110" s="32" t="str">
        <f t="shared" si="26"/>
        <v>E2_1_1_37 : E2_1_1_37</v>
      </c>
      <c r="I110" s="33" t="str">
        <f t="shared" si="27"/>
        <v>E2_1_1_37_mRNA : 0</v>
      </c>
      <c r="J110" s="16" t="str">
        <f t="shared" si="28"/>
        <v>E2_1_1_37 : 0</v>
      </c>
      <c r="K110" s="34" t="str">
        <f t="shared" si="29"/>
        <v>0.00292 - (0.0093 * E2_1_1_37_mRNA)</v>
      </c>
      <c r="L110" s="31" t="str">
        <f t="shared" si="30"/>
        <v>(0.278 * E2_1_1_37_mRNA) - (0.00000278 * E2_1_1_37)</v>
      </c>
      <c r="M110" s="35" t="str">
        <f t="shared" si="31"/>
        <v>mRNA109: -&gt; E2_1_1_37_mRNA | 0.00292 - (0.0093 * E2_1_1_37_mRNA)</v>
      </c>
      <c r="N110" s="29" t="str">
        <f t="shared" si="20"/>
        <v>Peptide109: E2_1_1_37_mRNA -&gt; E2_1_1_37 | (0.278 * E2_1_1_37_mRNA) - (0.000000278 * E2_1_1_37)</v>
      </c>
    </row>
    <row r="111" spans="1:14">
      <c r="A111">
        <v>110</v>
      </c>
      <c r="B111" t="s">
        <v>16024</v>
      </c>
      <c r="C111" t="str">
        <f t="shared" si="21"/>
        <v>E2_1_1_45_mRNA</v>
      </c>
      <c r="D111" t="str">
        <f t="shared" si="22"/>
        <v>E2_1_1_45</v>
      </c>
      <c r="E111" s="29" t="str">
        <f t="shared" si="23"/>
        <v>E2_1_1_45_kcat : 13.7</v>
      </c>
      <c r="F111" s="30" t="str">
        <f t="shared" si="24"/>
        <v>E2_1_1_45_km : 1</v>
      </c>
      <c r="G111" s="31" t="str">
        <f t="shared" si="25"/>
        <v>E2_1_1_45_mRNA : E2_1_1_45_mRNA</v>
      </c>
      <c r="H111" s="32" t="str">
        <f t="shared" si="26"/>
        <v>E2_1_1_45 : E2_1_1_45</v>
      </c>
      <c r="I111" s="33" t="str">
        <f t="shared" si="27"/>
        <v>E2_1_1_45_mRNA : 0</v>
      </c>
      <c r="J111" s="16" t="str">
        <f t="shared" si="28"/>
        <v>E2_1_1_45 : 0</v>
      </c>
      <c r="K111" s="34" t="str">
        <f t="shared" si="29"/>
        <v>0.00292 - (0.0093 * E2_1_1_45_mRNA)</v>
      </c>
      <c r="L111" s="31" t="str">
        <f t="shared" si="30"/>
        <v>(0.278 * E2_1_1_45_mRNA) - (0.00000278 * E2_1_1_45)</v>
      </c>
      <c r="M111" s="35" t="str">
        <f t="shared" si="31"/>
        <v>mRNA110: -&gt; E2_1_1_45_mRNA | 0.00292 - (0.0093 * E2_1_1_45_mRNA)</v>
      </c>
      <c r="N111" s="29" t="str">
        <f t="shared" si="20"/>
        <v>Peptide110: E2_1_1_45_mRNA -&gt; E2_1_1_45 | (0.278 * E2_1_1_45_mRNA) - (0.000000278 * E2_1_1_45)</v>
      </c>
    </row>
    <row r="112" spans="1:14">
      <c r="A112">
        <v>111</v>
      </c>
      <c r="B112" t="s">
        <v>12847</v>
      </c>
      <c r="C112" t="str">
        <f t="shared" si="21"/>
        <v>E2_1_1_63_mRNA</v>
      </c>
      <c r="D112" t="str">
        <f t="shared" si="22"/>
        <v>E2_1_1_63</v>
      </c>
      <c r="E112" s="29" t="str">
        <f t="shared" si="23"/>
        <v>E2_1_1_63_kcat : 13.7</v>
      </c>
      <c r="F112" s="30" t="str">
        <f t="shared" si="24"/>
        <v>E2_1_1_63_km : 1</v>
      </c>
      <c r="G112" s="31" t="str">
        <f t="shared" si="25"/>
        <v>E2_1_1_63_mRNA : E2_1_1_63_mRNA</v>
      </c>
      <c r="H112" s="32" t="str">
        <f t="shared" si="26"/>
        <v>E2_1_1_63 : E2_1_1_63</v>
      </c>
      <c r="I112" s="33" t="str">
        <f t="shared" si="27"/>
        <v>E2_1_1_63_mRNA : 0</v>
      </c>
      <c r="J112" s="16" t="str">
        <f t="shared" si="28"/>
        <v>E2_1_1_63 : 0</v>
      </c>
      <c r="K112" s="34" t="str">
        <f t="shared" si="29"/>
        <v>0.00292 - (0.0093 * E2_1_1_63_mRNA)</v>
      </c>
      <c r="L112" s="31" t="str">
        <f t="shared" si="30"/>
        <v>(0.278 * E2_1_1_63_mRNA) - (0.00000278 * E2_1_1_63)</v>
      </c>
      <c r="M112" s="35" t="str">
        <f t="shared" si="31"/>
        <v>mRNA111: -&gt; E2_1_1_63_mRNA | 0.00292 - (0.0093 * E2_1_1_63_mRNA)</v>
      </c>
      <c r="N112" s="29" t="str">
        <f t="shared" si="20"/>
        <v>Peptide111: E2_1_1_63_mRNA -&gt; E2_1_1_63 | (0.278 * E2_1_1_63_mRNA) - (0.000000278 * E2_1_1_63)</v>
      </c>
    </row>
    <row r="113" spans="1:14">
      <c r="A113">
        <v>112</v>
      </c>
      <c r="B113" s="45" t="s">
        <v>17610</v>
      </c>
      <c r="C113" t="str">
        <f t="shared" si="21"/>
        <v>E2_1_1_72_mRNA</v>
      </c>
      <c r="D113" t="str">
        <f t="shared" si="22"/>
        <v>E2_1_1_72</v>
      </c>
      <c r="E113" s="29" t="str">
        <f t="shared" si="23"/>
        <v>E2_1_1_72_kcat : 13.7</v>
      </c>
      <c r="F113" s="30" t="str">
        <f t="shared" si="24"/>
        <v>E2_1_1_72_km : 1</v>
      </c>
      <c r="G113" s="31" t="str">
        <f t="shared" si="25"/>
        <v>E2_1_1_72_mRNA : E2_1_1_72_mRNA</v>
      </c>
      <c r="H113" s="32" t="str">
        <f t="shared" si="26"/>
        <v>E2_1_1_72 : E2_1_1_72</v>
      </c>
      <c r="I113" s="33" t="str">
        <f t="shared" si="27"/>
        <v>E2_1_1_72_mRNA : 0</v>
      </c>
      <c r="J113" s="16" t="str">
        <f t="shared" si="28"/>
        <v>E2_1_1_72 : 0</v>
      </c>
      <c r="K113" s="34" t="str">
        <f t="shared" si="29"/>
        <v>0.00292 - (0.0093 * E2_1_1_72_mRNA)</v>
      </c>
      <c r="L113" s="31" t="str">
        <f t="shared" si="30"/>
        <v>(0.278 * E2_1_1_72_mRNA) - (0.00000278 * E2_1_1_72)</v>
      </c>
      <c r="M113" s="35" t="str">
        <f t="shared" si="31"/>
        <v>mRNA112: -&gt; E2_1_1_72_mRNA | 0.00292 - (0.0093 * E2_1_1_72_mRNA)</v>
      </c>
      <c r="N113" s="29" t="str">
        <f t="shared" si="20"/>
        <v>Peptide112: E2_1_1_72_mRNA -&gt; E2_1_1_72 | (0.278 * E2_1_1_72_mRNA) - (0.000000278 * E2_1_1_72)</v>
      </c>
    </row>
    <row r="114" spans="1:14">
      <c r="A114">
        <v>113</v>
      </c>
      <c r="B114" t="s">
        <v>12848</v>
      </c>
      <c r="C114" t="str">
        <f t="shared" si="21"/>
        <v>E2_1_2_1_mRNA</v>
      </c>
      <c r="D114" t="str">
        <f t="shared" si="22"/>
        <v>E2_1_2_1</v>
      </c>
      <c r="E114" s="29" t="str">
        <f t="shared" si="23"/>
        <v>E2_1_2_1_kcat : 13.7</v>
      </c>
      <c r="F114" s="30" t="str">
        <f t="shared" si="24"/>
        <v>E2_1_2_1_km : 1</v>
      </c>
      <c r="G114" s="31" t="str">
        <f t="shared" si="25"/>
        <v>E2_1_2_1_mRNA : E2_1_2_1_mRNA</v>
      </c>
      <c r="H114" s="32" t="str">
        <f t="shared" si="26"/>
        <v>E2_1_2_1 : E2_1_2_1</v>
      </c>
      <c r="I114" s="33" t="str">
        <f t="shared" si="27"/>
        <v>E2_1_2_1_mRNA : 0</v>
      </c>
      <c r="J114" s="16" t="str">
        <f t="shared" si="28"/>
        <v>E2_1_2_1 : 0</v>
      </c>
      <c r="K114" s="34" t="str">
        <f t="shared" si="29"/>
        <v>0.00292 - (0.0093 * E2_1_2_1_mRNA)</v>
      </c>
      <c r="L114" s="31" t="str">
        <f t="shared" si="30"/>
        <v>(0.278 * E2_1_2_1_mRNA) - (0.00000278 * E2_1_2_1)</v>
      </c>
      <c r="M114" s="35" t="str">
        <f t="shared" si="31"/>
        <v>mRNA113: -&gt; E2_1_2_1_mRNA | 0.00292 - (0.0093 * E2_1_2_1_mRNA)</v>
      </c>
      <c r="N114" s="29" t="str">
        <f t="shared" si="20"/>
        <v>Peptide113: E2_1_2_1_mRNA -&gt; E2_1_2_1 | (0.278 * E2_1_2_1_mRNA) - (0.000000278 * E2_1_2_1)</v>
      </c>
    </row>
    <row r="115" spans="1:14">
      <c r="A115">
        <v>114</v>
      </c>
      <c r="B115" t="s">
        <v>12849</v>
      </c>
      <c r="C115" t="str">
        <f t="shared" si="21"/>
        <v>E2_1_2_11_mRNA</v>
      </c>
      <c r="D115" t="str">
        <f t="shared" si="22"/>
        <v>E2_1_2_11</v>
      </c>
      <c r="E115" s="29" t="str">
        <f t="shared" si="23"/>
        <v>E2_1_2_11_kcat : 13.7</v>
      </c>
      <c r="F115" s="30" t="str">
        <f t="shared" si="24"/>
        <v>E2_1_2_11_km : 1</v>
      </c>
      <c r="G115" s="31" t="str">
        <f t="shared" si="25"/>
        <v>E2_1_2_11_mRNA : E2_1_2_11_mRNA</v>
      </c>
      <c r="H115" s="32" t="str">
        <f t="shared" si="26"/>
        <v>E2_1_2_11 : E2_1_2_11</v>
      </c>
      <c r="I115" s="33" t="str">
        <f t="shared" si="27"/>
        <v>E2_1_2_11_mRNA : 0</v>
      </c>
      <c r="J115" s="16" t="str">
        <f t="shared" si="28"/>
        <v>E2_1_2_11 : 0</v>
      </c>
      <c r="K115" s="34" t="str">
        <f t="shared" si="29"/>
        <v>0.00292 - (0.0093 * E2_1_2_11_mRNA)</v>
      </c>
      <c r="L115" s="31" t="str">
        <f t="shared" si="30"/>
        <v>(0.278 * E2_1_2_11_mRNA) - (0.00000278 * E2_1_2_11)</v>
      </c>
      <c r="M115" s="35" t="str">
        <f t="shared" si="31"/>
        <v>mRNA114: -&gt; E2_1_2_11_mRNA | 0.00292 - (0.0093 * E2_1_2_11_mRNA)</v>
      </c>
      <c r="N115" s="29" t="str">
        <f t="shared" si="20"/>
        <v>Peptide114: E2_1_2_11_mRNA -&gt; E2_1_2_11 | (0.278 * E2_1_2_11_mRNA) - (0.000000278 * E2_1_2_11)</v>
      </c>
    </row>
    <row r="116" spans="1:14">
      <c r="A116">
        <v>115</v>
      </c>
      <c r="B116" t="s">
        <v>12850</v>
      </c>
      <c r="C116" t="str">
        <f t="shared" si="21"/>
        <v>E2_1_2_2_mRNA</v>
      </c>
      <c r="D116" t="str">
        <f t="shared" si="22"/>
        <v>E2_1_2_2</v>
      </c>
      <c r="E116" s="29" t="str">
        <f t="shared" si="23"/>
        <v>E2_1_2_2_kcat : 13.7</v>
      </c>
      <c r="F116" s="30" t="str">
        <f t="shared" si="24"/>
        <v>E2_1_2_2_km : 1</v>
      </c>
      <c r="G116" s="31" t="str">
        <f t="shared" si="25"/>
        <v>E2_1_2_2_mRNA : E2_1_2_2_mRNA</v>
      </c>
      <c r="H116" s="32" t="str">
        <f t="shared" si="26"/>
        <v>E2_1_2_2 : E2_1_2_2</v>
      </c>
      <c r="I116" s="33" t="str">
        <f t="shared" si="27"/>
        <v>E2_1_2_2_mRNA : 0</v>
      </c>
      <c r="J116" s="16" t="str">
        <f t="shared" si="28"/>
        <v>E2_1_2_2 : 0</v>
      </c>
      <c r="K116" s="34" t="str">
        <f t="shared" si="29"/>
        <v>0.00292 - (0.0093 * E2_1_2_2_mRNA)</v>
      </c>
      <c r="L116" s="31" t="str">
        <f t="shared" si="30"/>
        <v>(0.278 * E2_1_2_2_mRNA) - (0.00000278 * E2_1_2_2)</v>
      </c>
      <c r="M116" s="35" t="str">
        <f t="shared" si="31"/>
        <v>mRNA115: -&gt; E2_1_2_2_mRNA | 0.00292 - (0.0093 * E2_1_2_2_mRNA)</v>
      </c>
      <c r="N116" s="29" t="str">
        <f t="shared" si="20"/>
        <v>Peptide115: E2_1_2_2_mRNA -&gt; E2_1_2_2 | (0.278 * E2_1_2_2_mRNA) - (0.000000278 * E2_1_2_2)</v>
      </c>
    </row>
    <row r="117" spans="1:14">
      <c r="A117">
        <v>116</v>
      </c>
      <c r="B117" t="s">
        <v>12851</v>
      </c>
      <c r="C117" t="str">
        <f t="shared" si="21"/>
        <v>E2_1_2_3_mRNA</v>
      </c>
      <c r="D117" t="str">
        <f t="shared" si="22"/>
        <v>E2_1_2_3</v>
      </c>
      <c r="E117" s="29" t="str">
        <f t="shared" si="23"/>
        <v>E2_1_2_3_kcat : 13.7</v>
      </c>
      <c r="F117" s="30" t="str">
        <f t="shared" si="24"/>
        <v>E2_1_2_3_km : 1</v>
      </c>
      <c r="G117" s="31" t="str">
        <f t="shared" si="25"/>
        <v>E2_1_2_3_mRNA : E2_1_2_3_mRNA</v>
      </c>
      <c r="H117" s="32" t="str">
        <f t="shared" si="26"/>
        <v>E2_1_2_3 : E2_1_2_3</v>
      </c>
      <c r="I117" s="33" t="str">
        <f t="shared" si="27"/>
        <v>E2_1_2_3_mRNA : 0</v>
      </c>
      <c r="J117" s="16" t="str">
        <f t="shared" si="28"/>
        <v>E2_1_2_3 : 0</v>
      </c>
      <c r="K117" s="34" t="str">
        <f t="shared" si="29"/>
        <v>0.00292 - (0.0093 * E2_1_2_3_mRNA)</v>
      </c>
      <c r="L117" s="31" t="str">
        <f t="shared" si="30"/>
        <v>(0.278 * E2_1_2_3_mRNA) - (0.00000278 * E2_1_2_3)</v>
      </c>
      <c r="M117" s="35" t="str">
        <f t="shared" si="31"/>
        <v>mRNA116: -&gt; E2_1_2_3_mRNA | 0.00292 - (0.0093 * E2_1_2_3_mRNA)</v>
      </c>
      <c r="N117" s="29" t="str">
        <f t="shared" si="20"/>
        <v>Peptide116: E2_1_2_3_mRNA -&gt; E2_1_2_3 | (0.278 * E2_1_2_3_mRNA) - (0.000000278 * E2_1_2_3)</v>
      </c>
    </row>
    <row r="118" spans="1:14">
      <c r="A118">
        <v>117</v>
      </c>
      <c r="B118" t="s">
        <v>12852</v>
      </c>
      <c r="C118" t="str">
        <f t="shared" si="21"/>
        <v>E2_1_2_9_mRNA</v>
      </c>
      <c r="D118" t="str">
        <f t="shared" si="22"/>
        <v>E2_1_2_9</v>
      </c>
      <c r="E118" s="29" t="str">
        <f t="shared" si="23"/>
        <v>E2_1_2_9_kcat : 13.7</v>
      </c>
      <c r="F118" s="30" t="str">
        <f t="shared" si="24"/>
        <v>E2_1_2_9_km : 1</v>
      </c>
      <c r="G118" s="31" t="str">
        <f t="shared" si="25"/>
        <v>E2_1_2_9_mRNA : E2_1_2_9_mRNA</v>
      </c>
      <c r="H118" s="32" t="str">
        <f t="shared" si="26"/>
        <v>E2_1_2_9 : E2_1_2_9</v>
      </c>
      <c r="I118" s="33" t="str">
        <f t="shared" si="27"/>
        <v>E2_1_2_9_mRNA : 0</v>
      </c>
      <c r="J118" s="16" t="str">
        <f t="shared" si="28"/>
        <v>E2_1_2_9 : 0</v>
      </c>
      <c r="K118" s="34" t="str">
        <f t="shared" si="29"/>
        <v>0.00292 - (0.0093 * E2_1_2_9_mRNA)</v>
      </c>
      <c r="L118" s="31" t="str">
        <f t="shared" si="30"/>
        <v>(0.278 * E2_1_2_9_mRNA) - (0.00000278 * E2_1_2_9)</v>
      </c>
      <c r="M118" s="35" t="str">
        <f t="shared" si="31"/>
        <v>mRNA117: -&gt; E2_1_2_9_mRNA | 0.00292 - (0.0093 * E2_1_2_9_mRNA)</v>
      </c>
      <c r="N118" s="29" t="str">
        <f t="shared" si="20"/>
        <v>Peptide117: E2_1_2_9_mRNA -&gt; E2_1_2_9 | (0.278 * E2_1_2_9_mRNA) - (0.000000278 * E2_1_2_9)</v>
      </c>
    </row>
    <row r="119" spans="1:14">
      <c r="A119">
        <v>118</v>
      </c>
      <c r="B119" t="s">
        <v>12853</v>
      </c>
      <c r="C119" t="str">
        <f t="shared" si="21"/>
        <v>E2_1_3_15_mRNA</v>
      </c>
      <c r="D119" t="str">
        <f t="shared" si="22"/>
        <v>E2_1_3_15</v>
      </c>
      <c r="E119" s="29" t="str">
        <f t="shared" si="23"/>
        <v>E2_1_3_15_kcat : 13.7</v>
      </c>
      <c r="F119" s="30" t="str">
        <f t="shared" si="24"/>
        <v>E2_1_3_15_km : 1</v>
      </c>
      <c r="G119" s="31" t="str">
        <f t="shared" si="25"/>
        <v>E2_1_3_15_mRNA : E2_1_3_15_mRNA</v>
      </c>
      <c r="H119" s="32" t="str">
        <f t="shared" si="26"/>
        <v>E2_1_3_15 : E2_1_3_15</v>
      </c>
      <c r="I119" s="33" t="str">
        <f t="shared" si="27"/>
        <v>E2_1_3_15_mRNA : 0</v>
      </c>
      <c r="J119" s="16" t="str">
        <f t="shared" si="28"/>
        <v>E2_1_3_15 : 0</v>
      </c>
      <c r="K119" s="34" t="str">
        <f t="shared" si="29"/>
        <v>0.00292 - (0.0093 * E2_1_3_15_mRNA)</v>
      </c>
      <c r="L119" s="31" t="str">
        <f t="shared" si="30"/>
        <v>(0.278 * E2_1_3_15_mRNA) - (0.00000278 * E2_1_3_15)</v>
      </c>
      <c r="M119" s="35" t="str">
        <f t="shared" si="31"/>
        <v>mRNA118: -&gt; E2_1_3_15_mRNA | 0.00292 - (0.0093 * E2_1_3_15_mRNA)</v>
      </c>
      <c r="N119" s="29" t="str">
        <f t="shared" si="20"/>
        <v>Peptide118: E2_1_3_15_mRNA -&gt; E2_1_3_15 | (0.278 * E2_1_3_15_mRNA) - (0.000000278 * E2_1_3_15)</v>
      </c>
    </row>
    <row r="120" spans="1:14">
      <c r="A120">
        <v>119</v>
      </c>
      <c r="B120" t="s">
        <v>12854</v>
      </c>
      <c r="C120" t="str">
        <f t="shared" si="21"/>
        <v>E2_1_3_2_mRNA</v>
      </c>
      <c r="D120" t="str">
        <f t="shared" si="22"/>
        <v>E2_1_3_2</v>
      </c>
      <c r="E120" s="29" t="str">
        <f t="shared" si="23"/>
        <v>E2_1_3_2_kcat : 13.7</v>
      </c>
      <c r="F120" s="30" t="str">
        <f t="shared" si="24"/>
        <v>E2_1_3_2_km : 1</v>
      </c>
      <c r="G120" s="31" t="str">
        <f t="shared" si="25"/>
        <v>E2_1_3_2_mRNA : E2_1_3_2_mRNA</v>
      </c>
      <c r="H120" s="32" t="str">
        <f t="shared" si="26"/>
        <v>E2_1_3_2 : E2_1_3_2</v>
      </c>
      <c r="I120" s="33" t="str">
        <f t="shared" si="27"/>
        <v>E2_1_3_2_mRNA : 0</v>
      </c>
      <c r="J120" s="16" t="str">
        <f t="shared" si="28"/>
        <v>E2_1_3_2 : 0</v>
      </c>
      <c r="K120" s="34" t="str">
        <f t="shared" si="29"/>
        <v>0.00292 - (0.0093 * E2_1_3_2_mRNA)</v>
      </c>
      <c r="L120" s="31" t="str">
        <f t="shared" si="30"/>
        <v>(0.278 * E2_1_3_2_mRNA) - (0.00000278 * E2_1_3_2)</v>
      </c>
      <c r="M120" s="35" t="str">
        <f t="shared" si="31"/>
        <v>mRNA119: -&gt; E2_1_3_2_mRNA | 0.00292 - (0.0093 * E2_1_3_2_mRNA)</v>
      </c>
      <c r="N120" s="29" t="str">
        <f t="shared" si="20"/>
        <v>Peptide119: E2_1_3_2_mRNA -&gt; E2_1_3_2 | (0.278 * E2_1_3_2_mRNA) - (0.000000278 * E2_1_3_2)</v>
      </c>
    </row>
    <row r="121" spans="1:14">
      <c r="A121">
        <v>120</v>
      </c>
      <c r="B121" t="s">
        <v>12855</v>
      </c>
      <c r="C121" t="str">
        <f t="shared" si="21"/>
        <v>E2_1_3_3_mRNA</v>
      </c>
      <c r="D121" t="str">
        <f t="shared" si="22"/>
        <v>E2_1_3_3</v>
      </c>
      <c r="E121" s="29" t="str">
        <f t="shared" si="23"/>
        <v>E2_1_3_3_kcat : 13.7</v>
      </c>
      <c r="F121" s="30" t="str">
        <f t="shared" si="24"/>
        <v>E2_1_3_3_km : 1</v>
      </c>
      <c r="G121" s="31" t="str">
        <f t="shared" si="25"/>
        <v>E2_1_3_3_mRNA : E2_1_3_3_mRNA</v>
      </c>
      <c r="H121" s="32" t="str">
        <f t="shared" si="26"/>
        <v>E2_1_3_3 : E2_1_3_3</v>
      </c>
      <c r="I121" s="33" t="str">
        <f t="shared" si="27"/>
        <v>E2_1_3_3_mRNA : 0</v>
      </c>
      <c r="J121" s="16" t="str">
        <f t="shared" si="28"/>
        <v>E2_1_3_3 : 0</v>
      </c>
      <c r="K121" s="34" t="str">
        <f t="shared" si="29"/>
        <v>0.00292 - (0.0093 * E2_1_3_3_mRNA)</v>
      </c>
      <c r="L121" s="31" t="str">
        <f t="shared" si="30"/>
        <v>(0.278 * E2_1_3_3_mRNA) - (0.00000278 * E2_1_3_3)</v>
      </c>
      <c r="M121" s="35" t="str">
        <f t="shared" si="31"/>
        <v>mRNA120: -&gt; E2_1_3_3_mRNA | 0.00292 - (0.0093 * E2_1_3_3_mRNA)</v>
      </c>
      <c r="N121" s="29" t="str">
        <f t="shared" si="20"/>
        <v>Peptide120: E2_1_3_3_mRNA -&gt; E2_1_3_3 | (0.278 * E2_1_3_3_mRNA) - (0.000000278 * E2_1_3_3)</v>
      </c>
    </row>
    <row r="122" spans="1:14">
      <c r="A122">
        <v>121</v>
      </c>
      <c r="B122" t="s">
        <v>12856</v>
      </c>
      <c r="C122" t="str">
        <f t="shared" si="21"/>
        <v>E2_2_1_1_mRNA</v>
      </c>
      <c r="D122" t="str">
        <f t="shared" si="22"/>
        <v>E2_2_1_1</v>
      </c>
      <c r="E122" s="29" t="str">
        <f t="shared" si="23"/>
        <v>E2_2_1_1_kcat : 13.7</v>
      </c>
      <c r="F122" s="30" t="str">
        <f t="shared" si="24"/>
        <v>E2_2_1_1_km : 1</v>
      </c>
      <c r="G122" s="31" t="str">
        <f t="shared" si="25"/>
        <v>E2_2_1_1_mRNA : E2_2_1_1_mRNA</v>
      </c>
      <c r="H122" s="32" t="str">
        <f t="shared" si="26"/>
        <v>E2_2_1_1 : E2_2_1_1</v>
      </c>
      <c r="I122" s="33" t="str">
        <f t="shared" si="27"/>
        <v>E2_2_1_1_mRNA : 0</v>
      </c>
      <c r="J122" s="16" t="str">
        <f t="shared" si="28"/>
        <v>E2_2_1_1 : 0</v>
      </c>
      <c r="K122" s="34" t="str">
        <f t="shared" si="29"/>
        <v>0.00292 - (0.0093 * E2_2_1_1_mRNA)</v>
      </c>
      <c r="L122" s="31" t="str">
        <f t="shared" si="30"/>
        <v>(0.278 * E2_2_1_1_mRNA) - (0.00000278 * E2_2_1_1)</v>
      </c>
      <c r="M122" s="35" t="str">
        <f t="shared" si="31"/>
        <v>mRNA121: -&gt; E2_2_1_1_mRNA | 0.00292 - (0.0093 * E2_2_1_1_mRNA)</v>
      </c>
      <c r="N122" s="29" t="str">
        <f t="shared" si="20"/>
        <v>Peptide121: E2_2_1_1_mRNA -&gt; E2_2_1_1 | (0.278 * E2_2_1_1_mRNA) - (0.000000278 * E2_2_1_1)</v>
      </c>
    </row>
    <row r="123" spans="1:14">
      <c r="A123">
        <v>122</v>
      </c>
      <c r="B123" t="s">
        <v>12857</v>
      </c>
      <c r="C123" t="str">
        <f t="shared" si="21"/>
        <v>E2_2_1_2_mRNA</v>
      </c>
      <c r="D123" t="str">
        <f t="shared" si="22"/>
        <v>E2_2_1_2</v>
      </c>
      <c r="E123" s="29" t="str">
        <f t="shared" si="23"/>
        <v>E2_2_1_2_kcat : 13.7</v>
      </c>
      <c r="F123" s="30" t="str">
        <f t="shared" si="24"/>
        <v>E2_2_1_2_km : 1</v>
      </c>
      <c r="G123" s="31" t="str">
        <f t="shared" si="25"/>
        <v>E2_2_1_2_mRNA : E2_2_1_2_mRNA</v>
      </c>
      <c r="H123" s="32" t="str">
        <f t="shared" si="26"/>
        <v>E2_2_1_2 : E2_2_1_2</v>
      </c>
      <c r="I123" s="33" t="str">
        <f t="shared" si="27"/>
        <v>E2_2_1_2_mRNA : 0</v>
      </c>
      <c r="J123" s="16" t="str">
        <f t="shared" si="28"/>
        <v>E2_2_1_2 : 0</v>
      </c>
      <c r="K123" s="34" t="str">
        <f t="shared" si="29"/>
        <v>0.00292 - (0.0093 * E2_2_1_2_mRNA)</v>
      </c>
      <c r="L123" s="31" t="str">
        <f t="shared" si="30"/>
        <v>(0.278 * E2_2_1_2_mRNA) - (0.00000278 * E2_2_1_2)</v>
      </c>
      <c r="M123" s="35" t="str">
        <f t="shared" si="31"/>
        <v>mRNA122: -&gt; E2_2_1_2_mRNA | 0.00292 - (0.0093 * E2_2_1_2_mRNA)</v>
      </c>
      <c r="N123" s="29" t="str">
        <f t="shared" si="20"/>
        <v>Peptide122: E2_2_1_2_mRNA -&gt; E2_2_1_2 | (0.278 * E2_2_1_2_mRNA) - (0.000000278 * E2_2_1_2)</v>
      </c>
    </row>
    <row r="124" spans="1:14">
      <c r="A124">
        <v>123</v>
      </c>
      <c r="B124" t="s">
        <v>12858</v>
      </c>
      <c r="C124" t="str">
        <f t="shared" si="21"/>
        <v>E2_2_1_6_mRNA</v>
      </c>
      <c r="D124" t="str">
        <f t="shared" si="22"/>
        <v>E2_2_1_6</v>
      </c>
      <c r="E124" s="29" t="str">
        <f t="shared" si="23"/>
        <v>E2_2_1_6_kcat : 13.7</v>
      </c>
      <c r="F124" s="30" t="str">
        <f t="shared" si="24"/>
        <v>E2_2_1_6_km : 1</v>
      </c>
      <c r="G124" s="31" t="str">
        <f t="shared" si="25"/>
        <v>E2_2_1_6_mRNA : E2_2_1_6_mRNA</v>
      </c>
      <c r="H124" s="32" t="str">
        <f t="shared" si="26"/>
        <v>E2_2_1_6 : E2_2_1_6</v>
      </c>
      <c r="I124" s="33" t="str">
        <f t="shared" si="27"/>
        <v>E2_2_1_6_mRNA : 0</v>
      </c>
      <c r="J124" s="16" t="str">
        <f t="shared" si="28"/>
        <v>E2_2_1_6 : 0</v>
      </c>
      <c r="K124" s="34" t="str">
        <f t="shared" si="29"/>
        <v>0.00292 - (0.0093 * E2_2_1_6_mRNA)</v>
      </c>
      <c r="L124" s="31" t="str">
        <f t="shared" si="30"/>
        <v>(0.278 * E2_2_1_6_mRNA) - (0.00000278 * E2_2_1_6)</v>
      </c>
      <c r="M124" s="35" t="str">
        <f t="shared" si="31"/>
        <v>mRNA123: -&gt; E2_2_1_6_mRNA | 0.00292 - (0.0093 * E2_2_1_6_mRNA)</v>
      </c>
      <c r="N124" s="29" t="str">
        <f t="shared" si="20"/>
        <v>Peptide123: E2_2_1_6_mRNA -&gt; E2_2_1_6 | (0.278 * E2_2_1_6_mRNA) - (0.000000278 * E2_2_1_6)</v>
      </c>
    </row>
    <row r="125" spans="1:14">
      <c r="A125">
        <v>124</v>
      </c>
      <c r="B125" t="s">
        <v>12859</v>
      </c>
      <c r="C125" t="str">
        <f t="shared" si="21"/>
        <v>E2_2_1_7_mRNA</v>
      </c>
      <c r="D125" t="str">
        <f t="shared" si="22"/>
        <v>E2_2_1_7</v>
      </c>
      <c r="E125" s="29" t="str">
        <f t="shared" si="23"/>
        <v>E2_2_1_7_kcat : 13.7</v>
      </c>
      <c r="F125" s="30" t="str">
        <f t="shared" si="24"/>
        <v>E2_2_1_7_km : 1</v>
      </c>
      <c r="G125" s="31" t="str">
        <f t="shared" si="25"/>
        <v>E2_2_1_7_mRNA : E2_2_1_7_mRNA</v>
      </c>
      <c r="H125" s="32" t="str">
        <f t="shared" si="26"/>
        <v>E2_2_1_7 : E2_2_1_7</v>
      </c>
      <c r="I125" s="33" t="str">
        <f t="shared" si="27"/>
        <v>E2_2_1_7_mRNA : 0</v>
      </c>
      <c r="J125" s="16" t="str">
        <f t="shared" si="28"/>
        <v>E2_2_1_7 : 0</v>
      </c>
      <c r="K125" s="34" t="str">
        <f t="shared" si="29"/>
        <v>0.00292 - (0.0093 * E2_2_1_7_mRNA)</v>
      </c>
      <c r="L125" s="31" t="str">
        <f t="shared" si="30"/>
        <v>(0.278 * E2_2_1_7_mRNA) - (0.00000278 * E2_2_1_7)</v>
      </c>
      <c r="M125" s="35" t="str">
        <f t="shared" si="31"/>
        <v>mRNA124: -&gt; E2_2_1_7_mRNA | 0.00292 - (0.0093 * E2_2_1_7_mRNA)</v>
      </c>
      <c r="N125" s="29" t="str">
        <f t="shared" si="20"/>
        <v>Peptide124: E2_2_1_7_mRNA -&gt; E2_2_1_7 | (0.278 * E2_2_1_7_mRNA) - (0.000000278 * E2_2_1_7)</v>
      </c>
    </row>
    <row r="126" spans="1:14">
      <c r="A126">
        <v>125</v>
      </c>
      <c r="B126" t="s">
        <v>12860</v>
      </c>
      <c r="C126" t="str">
        <f t="shared" si="21"/>
        <v>E2_2_1_9_mRNA</v>
      </c>
      <c r="D126" t="str">
        <f t="shared" si="22"/>
        <v>E2_2_1_9</v>
      </c>
      <c r="E126" s="29" t="str">
        <f t="shared" si="23"/>
        <v>E2_2_1_9_kcat : 13.7</v>
      </c>
      <c r="F126" s="30" t="str">
        <f t="shared" si="24"/>
        <v>E2_2_1_9_km : 1</v>
      </c>
      <c r="G126" s="31" t="str">
        <f t="shared" si="25"/>
        <v>E2_2_1_9_mRNA : E2_2_1_9_mRNA</v>
      </c>
      <c r="H126" s="32" t="str">
        <f t="shared" si="26"/>
        <v>E2_2_1_9 : E2_2_1_9</v>
      </c>
      <c r="I126" s="33" t="str">
        <f t="shared" si="27"/>
        <v>E2_2_1_9_mRNA : 0</v>
      </c>
      <c r="J126" s="16" t="str">
        <f t="shared" si="28"/>
        <v>E2_2_1_9 : 0</v>
      </c>
      <c r="K126" s="34" t="str">
        <f t="shared" si="29"/>
        <v>0.00292 - (0.0093 * E2_2_1_9_mRNA)</v>
      </c>
      <c r="L126" s="31" t="str">
        <f t="shared" si="30"/>
        <v>(0.278 * E2_2_1_9_mRNA) - (0.00000278 * E2_2_1_9)</v>
      </c>
      <c r="M126" s="35" t="str">
        <f t="shared" si="31"/>
        <v>mRNA125: -&gt; E2_2_1_9_mRNA | 0.00292 - (0.0093 * E2_2_1_9_mRNA)</v>
      </c>
      <c r="N126" s="29" t="str">
        <f t="shared" si="20"/>
        <v>Peptide125: E2_2_1_9_mRNA -&gt; E2_2_1_9 | (0.278 * E2_2_1_9_mRNA) - (0.000000278 * E2_2_1_9)</v>
      </c>
    </row>
    <row r="127" spans="1:14">
      <c r="A127">
        <v>126</v>
      </c>
      <c r="B127" t="s">
        <v>12861</v>
      </c>
      <c r="C127" t="str">
        <f t="shared" si="21"/>
        <v>E2_3_1_1_mRNA</v>
      </c>
      <c r="D127" t="str">
        <f t="shared" si="22"/>
        <v>E2_3_1_1</v>
      </c>
      <c r="E127" s="29" t="str">
        <f t="shared" si="23"/>
        <v>E2_3_1_1_kcat : 13.7</v>
      </c>
      <c r="F127" s="30" t="str">
        <f t="shared" si="24"/>
        <v>E2_3_1_1_km : 1</v>
      </c>
      <c r="G127" s="31" t="str">
        <f t="shared" si="25"/>
        <v>E2_3_1_1_mRNA : E2_3_1_1_mRNA</v>
      </c>
      <c r="H127" s="32" t="str">
        <f t="shared" si="26"/>
        <v>E2_3_1_1 : E2_3_1_1</v>
      </c>
      <c r="I127" s="33" t="str">
        <f t="shared" si="27"/>
        <v>E2_3_1_1_mRNA : 0</v>
      </c>
      <c r="J127" s="16" t="str">
        <f t="shared" si="28"/>
        <v>E2_3_1_1 : 0</v>
      </c>
      <c r="K127" s="34" t="str">
        <f t="shared" si="29"/>
        <v>0.00292 - (0.0093 * E2_3_1_1_mRNA)</v>
      </c>
      <c r="L127" s="31" t="str">
        <f t="shared" si="30"/>
        <v>(0.278 * E2_3_1_1_mRNA) - (0.00000278 * E2_3_1_1)</v>
      </c>
      <c r="M127" s="35" t="str">
        <f t="shared" si="31"/>
        <v>mRNA126: -&gt; E2_3_1_1_mRNA | 0.00292 - (0.0093 * E2_3_1_1_mRNA)</v>
      </c>
      <c r="N127" s="29" t="str">
        <f t="shared" si="20"/>
        <v>Peptide126: E2_3_1_1_mRNA -&gt; E2_3_1_1 | (0.278 * E2_3_1_1_mRNA) - (0.000000278 * E2_3_1_1)</v>
      </c>
    </row>
    <row r="128" spans="1:14">
      <c r="A128">
        <v>127</v>
      </c>
      <c r="B128" t="s">
        <v>12862</v>
      </c>
      <c r="C128" t="str">
        <f t="shared" si="21"/>
        <v>E2_3_1_117_mRNA</v>
      </c>
      <c r="D128" t="str">
        <f t="shared" si="22"/>
        <v>E2_3_1_117</v>
      </c>
      <c r="E128" s="29" t="str">
        <f t="shared" si="23"/>
        <v>E2_3_1_117_kcat : 13.7</v>
      </c>
      <c r="F128" s="30" t="str">
        <f t="shared" si="24"/>
        <v>E2_3_1_117_km : 1</v>
      </c>
      <c r="G128" s="31" t="str">
        <f t="shared" si="25"/>
        <v>E2_3_1_117_mRNA : E2_3_1_117_mRNA</v>
      </c>
      <c r="H128" s="32" t="str">
        <f t="shared" si="26"/>
        <v>E2_3_1_117 : E2_3_1_117</v>
      </c>
      <c r="I128" s="33" t="str">
        <f t="shared" si="27"/>
        <v>E2_3_1_117_mRNA : 0</v>
      </c>
      <c r="J128" s="16" t="str">
        <f t="shared" si="28"/>
        <v>E2_3_1_117 : 0</v>
      </c>
      <c r="K128" s="34" t="str">
        <f t="shared" si="29"/>
        <v>0.00292 - (0.0093 * E2_3_1_117_mRNA)</v>
      </c>
      <c r="L128" s="31" t="str">
        <f t="shared" si="30"/>
        <v>(0.278 * E2_3_1_117_mRNA) - (0.00000278 * E2_3_1_117)</v>
      </c>
      <c r="M128" s="35" t="str">
        <f t="shared" si="31"/>
        <v>mRNA127: -&gt; E2_3_1_117_mRNA | 0.00292 - (0.0093 * E2_3_1_117_mRNA)</v>
      </c>
      <c r="N128" s="29" t="str">
        <f t="shared" si="20"/>
        <v>Peptide127: E2_3_1_117_mRNA -&gt; E2_3_1_117 | (0.278 * E2_3_1_117_mRNA) - (0.000000278 * E2_3_1_117)</v>
      </c>
    </row>
    <row r="129" spans="1:14">
      <c r="A129">
        <v>128</v>
      </c>
      <c r="B129" t="s">
        <v>12863</v>
      </c>
      <c r="C129" t="str">
        <f t="shared" si="21"/>
        <v>E2_3_1_181_mRNA</v>
      </c>
      <c r="D129" t="str">
        <f t="shared" si="22"/>
        <v>E2_3_1_181</v>
      </c>
      <c r="E129" s="29" t="str">
        <f t="shared" si="23"/>
        <v>E2_3_1_181_kcat : 13.7</v>
      </c>
      <c r="F129" s="30" t="str">
        <f t="shared" si="24"/>
        <v>E2_3_1_181_km : 1</v>
      </c>
      <c r="G129" s="31" t="str">
        <f t="shared" si="25"/>
        <v>E2_3_1_181_mRNA : E2_3_1_181_mRNA</v>
      </c>
      <c r="H129" s="32" t="str">
        <f t="shared" si="26"/>
        <v>E2_3_1_181 : E2_3_1_181</v>
      </c>
      <c r="I129" s="33" t="str">
        <f t="shared" si="27"/>
        <v>E2_3_1_181_mRNA : 0</v>
      </c>
      <c r="J129" s="16" t="str">
        <f t="shared" si="28"/>
        <v>E2_3_1_181 : 0</v>
      </c>
      <c r="K129" s="34" t="str">
        <f t="shared" si="29"/>
        <v>0.00292 - (0.0093 * E2_3_1_181_mRNA)</v>
      </c>
      <c r="L129" s="31" t="str">
        <f t="shared" si="30"/>
        <v>(0.278 * E2_3_1_181_mRNA) - (0.00000278 * E2_3_1_181)</v>
      </c>
      <c r="M129" s="35" t="str">
        <f t="shared" si="31"/>
        <v>mRNA128: -&gt; E2_3_1_181_mRNA | 0.00292 - (0.0093 * E2_3_1_181_mRNA)</v>
      </c>
      <c r="N129" s="29" t="str">
        <f t="shared" si="20"/>
        <v>Peptide128: E2_3_1_181_mRNA -&gt; E2_3_1_181 | (0.278 * E2_3_1_181_mRNA) - (0.000000278 * E2_3_1_181)</v>
      </c>
    </row>
    <row r="130" spans="1:14">
      <c r="A130">
        <v>129</v>
      </c>
      <c r="B130" t="s">
        <v>12864</v>
      </c>
      <c r="C130" t="str">
        <f t="shared" si="21"/>
        <v>E2_3_1_189_mRNA</v>
      </c>
      <c r="D130" t="str">
        <f t="shared" si="22"/>
        <v>E2_3_1_189</v>
      </c>
      <c r="E130" s="29" t="str">
        <f t="shared" si="23"/>
        <v>E2_3_1_189_kcat : 13.7</v>
      </c>
      <c r="F130" s="30" t="str">
        <f t="shared" si="24"/>
        <v>E2_3_1_189_km : 1</v>
      </c>
      <c r="G130" s="31" t="str">
        <f t="shared" si="25"/>
        <v>E2_3_1_189_mRNA : E2_3_1_189_mRNA</v>
      </c>
      <c r="H130" s="32" t="str">
        <f t="shared" si="26"/>
        <v>E2_3_1_189 : E2_3_1_189</v>
      </c>
      <c r="I130" s="33" t="str">
        <f t="shared" si="27"/>
        <v>E2_3_1_189_mRNA : 0</v>
      </c>
      <c r="J130" s="16" t="str">
        <f t="shared" si="28"/>
        <v>E2_3_1_189 : 0</v>
      </c>
      <c r="K130" s="34" t="str">
        <f t="shared" si="29"/>
        <v>0.00292 - (0.0093 * E2_3_1_189_mRNA)</v>
      </c>
      <c r="L130" s="31" t="str">
        <f t="shared" si="30"/>
        <v>(0.278 * E2_3_1_189_mRNA) - (0.00000278 * E2_3_1_189)</v>
      </c>
      <c r="M130" s="35" t="str">
        <f t="shared" si="31"/>
        <v>mRNA129: -&gt; E2_3_1_189_mRNA | 0.00292 - (0.0093 * E2_3_1_189_mRNA)</v>
      </c>
      <c r="N130" s="29" t="str">
        <f t="shared" ref="N130:N193" si="32">CONCATENATE("Peptide",A130,": ",C130," -&gt; ",D130," | ","(","0.278"," * ",C130,")"," - ","(","0.000000278"," * ",D130,")")</f>
        <v>Peptide129: E2_3_1_189_mRNA -&gt; E2_3_1_189 | (0.278 * E2_3_1_189_mRNA) - (0.000000278 * E2_3_1_189)</v>
      </c>
    </row>
    <row r="131" spans="1:14">
      <c r="A131">
        <v>130</v>
      </c>
      <c r="B131" t="s">
        <v>12865</v>
      </c>
      <c r="C131" t="str">
        <f t="shared" ref="C131:C194" si="33">CONCATENATE(D131,"_mRNA")</f>
        <v>E2_3_1_234_mRNA</v>
      </c>
      <c r="D131" t="str">
        <f t="shared" ref="D131:D194" si="34">CONCATENATE("E",B131)</f>
        <v>E2_3_1_234</v>
      </c>
      <c r="E131" s="29" t="str">
        <f t="shared" ref="E131:E194" si="35">CONCATENATE("E",B131,"_kcat : 13.7")</f>
        <v>E2_3_1_234_kcat : 13.7</v>
      </c>
      <c r="F131" s="30" t="str">
        <f t="shared" ref="F131:F194" si="36">CONCATENATE("E",B131,"_km : 1")</f>
        <v>E2_3_1_234_km : 1</v>
      </c>
      <c r="G131" s="31" t="str">
        <f t="shared" ref="G131:G194" si="37">CONCATENATE(C131," : ",C131)</f>
        <v>E2_3_1_234_mRNA : E2_3_1_234_mRNA</v>
      </c>
      <c r="H131" s="32" t="str">
        <f t="shared" ref="H131:H194" si="38">CONCATENATE(D131," : ",D131)</f>
        <v>E2_3_1_234 : E2_3_1_234</v>
      </c>
      <c r="I131" s="33" t="str">
        <f t="shared" ref="I131:I194" si="39">CONCATENATE(C131," : ","0")</f>
        <v>E2_3_1_234_mRNA : 0</v>
      </c>
      <c r="J131" s="16" t="str">
        <f t="shared" ref="J131:J194" si="40">CONCATENATE(D131," : ","0")</f>
        <v>E2_3_1_234 : 0</v>
      </c>
      <c r="K131" s="34" t="str">
        <f t="shared" ref="K131:K194" si="41">CONCATENATE("0.00292 - (0.0093 * ",C131,")")</f>
        <v>0.00292 - (0.0093 * E2_3_1_234_mRNA)</v>
      </c>
      <c r="L131" s="31" t="str">
        <f t="shared" ref="L131:L194" si="42">CONCATENATE("(0.278 * ",C131,")"," - (0.00000278 * ",D131,")")</f>
        <v>(0.278 * E2_3_1_234_mRNA) - (0.00000278 * E2_3_1_234)</v>
      </c>
      <c r="M131" s="35" t="str">
        <f t="shared" ref="M131:M194" si="43">CONCATENATE("mRNA",A131,": -&gt; ",C131," | ","0.00292"," - ","(","0.0093"," * ",C131,")")</f>
        <v>mRNA130: -&gt; E2_3_1_234_mRNA | 0.00292 - (0.0093 * E2_3_1_234_mRNA)</v>
      </c>
      <c r="N131" s="29" t="str">
        <f t="shared" si="32"/>
        <v>Peptide130: E2_3_1_234_mRNA -&gt; E2_3_1_234 | (0.278 * E2_3_1_234_mRNA) - (0.000000278 * E2_3_1_234)</v>
      </c>
    </row>
    <row r="132" spans="1:14">
      <c r="A132">
        <v>131</v>
      </c>
      <c r="B132" t="s">
        <v>16025</v>
      </c>
      <c r="C132" t="str">
        <f t="shared" si="33"/>
        <v>E2_3_1_266_mRNA</v>
      </c>
      <c r="D132" t="str">
        <f t="shared" si="34"/>
        <v>E2_3_1_266</v>
      </c>
      <c r="E132" s="29" t="str">
        <f t="shared" si="35"/>
        <v>E2_3_1_266_kcat : 13.7</v>
      </c>
      <c r="F132" s="30" t="str">
        <f t="shared" si="36"/>
        <v>E2_3_1_266_km : 1</v>
      </c>
      <c r="G132" s="31" t="str">
        <f t="shared" si="37"/>
        <v>E2_3_1_266_mRNA : E2_3_1_266_mRNA</v>
      </c>
      <c r="H132" s="32" t="str">
        <f t="shared" si="38"/>
        <v>E2_3_1_266 : E2_3_1_266</v>
      </c>
      <c r="I132" s="33" t="str">
        <f t="shared" si="39"/>
        <v>E2_3_1_266_mRNA : 0</v>
      </c>
      <c r="J132" s="16" t="str">
        <f t="shared" si="40"/>
        <v>E2_3_1_266 : 0</v>
      </c>
      <c r="K132" s="34" t="str">
        <f t="shared" si="41"/>
        <v>0.00292 - (0.0093 * E2_3_1_266_mRNA)</v>
      </c>
      <c r="L132" s="31" t="str">
        <f t="shared" si="42"/>
        <v>(0.278 * E2_3_1_266_mRNA) - (0.00000278 * E2_3_1_266)</v>
      </c>
      <c r="M132" s="35" t="str">
        <f t="shared" si="43"/>
        <v>mRNA131: -&gt; E2_3_1_266_mRNA | 0.00292 - (0.0093 * E2_3_1_266_mRNA)</v>
      </c>
      <c r="N132" s="29" t="str">
        <f t="shared" si="32"/>
        <v>Peptide131: E2_3_1_266_mRNA -&gt; E2_3_1_266 | (0.278 * E2_3_1_266_mRNA) - (0.000000278 * E2_3_1_266)</v>
      </c>
    </row>
    <row r="133" spans="1:14">
      <c r="A133">
        <v>132</v>
      </c>
      <c r="B133" t="s">
        <v>12866</v>
      </c>
      <c r="C133" t="str">
        <f t="shared" si="33"/>
        <v>E2_3_1_269_mRNA</v>
      </c>
      <c r="D133" t="str">
        <f t="shared" si="34"/>
        <v>E2_3_1_269</v>
      </c>
      <c r="E133" s="29" t="str">
        <f t="shared" si="35"/>
        <v>E2_3_1_269_kcat : 13.7</v>
      </c>
      <c r="F133" s="30" t="str">
        <f t="shared" si="36"/>
        <v>E2_3_1_269_km : 1</v>
      </c>
      <c r="G133" s="31" t="str">
        <f t="shared" si="37"/>
        <v>E2_3_1_269_mRNA : E2_3_1_269_mRNA</v>
      </c>
      <c r="H133" s="32" t="str">
        <f t="shared" si="38"/>
        <v>E2_3_1_269 : E2_3_1_269</v>
      </c>
      <c r="I133" s="33" t="str">
        <f t="shared" si="39"/>
        <v>E2_3_1_269_mRNA : 0</v>
      </c>
      <c r="J133" s="16" t="str">
        <f t="shared" si="40"/>
        <v>E2_3_1_269 : 0</v>
      </c>
      <c r="K133" s="34" t="str">
        <f t="shared" si="41"/>
        <v>0.00292 - (0.0093 * E2_3_1_269_mRNA)</v>
      </c>
      <c r="L133" s="31" t="str">
        <f t="shared" si="42"/>
        <v>(0.278 * E2_3_1_269_mRNA) - (0.00000278 * E2_3_1_269)</v>
      </c>
      <c r="M133" s="35" t="str">
        <f t="shared" si="43"/>
        <v>mRNA132: -&gt; E2_3_1_269_mRNA | 0.00292 - (0.0093 * E2_3_1_269_mRNA)</v>
      </c>
      <c r="N133" s="29" t="str">
        <f t="shared" si="32"/>
        <v>Peptide132: E2_3_1_269_mRNA -&gt; E2_3_1_269 | (0.278 * E2_3_1_269_mRNA) - (0.000000278 * E2_3_1_269)</v>
      </c>
    </row>
    <row r="134" spans="1:14">
      <c r="A134">
        <v>133</v>
      </c>
      <c r="B134" t="s">
        <v>12867</v>
      </c>
      <c r="C134" t="str">
        <f t="shared" si="33"/>
        <v>E2_3_1_286_mRNA</v>
      </c>
      <c r="D134" t="str">
        <f t="shared" si="34"/>
        <v>E2_3_1_286</v>
      </c>
      <c r="E134" s="29" t="str">
        <f t="shared" si="35"/>
        <v>E2_3_1_286_kcat : 13.7</v>
      </c>
      <c r="F134" s="30" t="str">
        <f t="shared" si="36"/>
        <v>E2_3_1_286_km : 1</v>
      </c>
      <c r="G134" s="31" t="str">
        <f t="shared" si="37"/>
        <v>E2_3_1_286_mRNA : E2_3_1_286_mRNA</v>
      </c>
      <c r="H134" s="32" t="str">
        <f t="shared" si="38"/>
        <v>E2_3_1_286 : E2_3_1_286</v>
      </c>
      <c r="I134" s="33" t="str">
        <f t="shared" si="39"/>
        <v>E2_3_1_286_mRNA : 0</v>
      </c>
      <c r="J134" s="16" t="str">
        <f t="shared" si="40"/>
        <v>E2_3_1_286 : 0</v>
      </c>
      <c r="K134" s="34" t="str">
        <f t="shared" si="41"/>
        <v>0.00292 - (0.0093 * E2_3_1_286_mRNA)</v>
      </c>
      <c r="L134" s="31" t="str">
        <f t="shared" si="42"/>
        <v>(0.278 * E2_3_1_286_mRNA) - (0.00000278 * E2_3_1_286)</v>
      </c>
      <c r="M134" s="35" t="str">
        <f t="shared" si="43"/>
        <v>mRNA133: -&gt; E2_3_1_286_mRNA | 0.00292 - (0.0093 * E2_3_1_286_mRNA)</v>
      </c>
      <c r="N134" s="29" t="str">
        <f t="shared" si="32"/>
        <v>Peptide133: E2_3_1_286_mRNA -&gt; E2_3_1_286 | (0.278 * E2_3_1_286_mRNA) - (0.000000278 * E2_3_1_286)</v>
      </c>
    </row>
    <row r="135" spans="1:14">
      <c r="A135">
        <v>134</v>
      </c>
      <c r="B135" t="s">
        <v>12868</v>
      </c>
      <c r="C135" t="str">
        <f t="shared" si="33"/>
        <v>E2_3_1_31_mRNA</v>
      </c>
      <c r="D135" t="str">
        <f t="shared" si="34"/>
        <v>E2_3_1_31</v>
      </c>
      <c r="E135" s="29" t="str">
        <f t="shared" si="35"/>
        <v>E2_3_1_31_kcat : 13.7</v>
      </c>
      <c r="F135" s="30" t="str">
        <f t="shared" si="36"/>
        <v>E2_3_1_31_km : 1</v>
      </c>
      <c r="G135" s="31" t="str">
        <f t="shared" si="37"/>
        <v>E2_3_1_31_mRNA : E2_3_1_31_mRNA</v>
      </c>
      <c r="H135" s="32" t="str">
        <f t="shared" si="38"/>
        <v>E2_3_1_31 : E2_3_1_31</v>
      </c>
      <c r="I135" s="33" t="str">
        <f t="shared" si="39"/>
        <v>E2_3_1_31_mRNA : 0</v>
      </c>
      <c r="J135" s="16" t="str">
        <f t="shared" si="40"/>
        <v>E2_3_1_31 : 0</v>
      </c>
      <c r="K135" s="34" t="str">
        <f t="shared" si="41"/>
        <v>0.00292 - (0.0093 * E2_3_1_31_mRNA)</v>
      </c>
      <c r="L135" s="31" t="str">
        <f t="shared" si="42"/>
        <v>(0.278 * E2_3_1_31_mRNA) - (0.00000278 * E2_3_1_31)</v>
      </c>
      <c r="M135" s="35" t="str">
        <f t="shared" si="43"/>
        <v>mRNA134: -&gt; E2_3_1_31_mRNA | 0.00292 - (0.0093 * E2_3_1_31_mRNA)</v>
      </c>
      <c r="N135" s="29" t="str">
        <f t="shared" si="32"/>
        <v>Peptide134: E2_3_1_31_mRNA -&gt; E2_3_1_31 | (0.278 * E2_3_1_31_mRNA) - (0.000000278 * E2_3_1_31)</v>
      </c>
    </row>
    <row r="136" spans="1:14">
      <c r="A136">
        <v>135</v>
      </c>
      <c r="B136" t="s">
        <v>12869</v>
      </c>
      <c r="C136" t="str">
        <f t="shared" si="33"/>
        <v>E2_3_1_35_mRNA</v>
      </c>
      <c r="D136" t="str">
        <f t="shared" si="34"/>
        <v>E2_3_1_35</v>
      </c>
      <c r="E136" s="29" t="str">
        <f t="shared" si="35"/>
        <v>E2_3_1_35_kcat : 13.7</v>
      </c>
      <c r="F136" s="30" t="str">
        <f t="shared" si="36"/>
        <v>E2_3_1_35_km : 1</v>
      </c>
      <c r="G136" s="31" t="str">
        <f t="shared" si="37"/>
        <v>E2_3_1_35_mRNA : E2_3_1_35_mRNA</v>
      </c>
      <c r="H136" s="32" t="str">
        <f t="shared" si="38"/>
        <v>E2_3_1_35 : E2_3_1_35</v>
      </c>
      <c r="I136" s="33" t="str">
        <f t="shared" si="39"/>
        <v>E2_3_1_35_mRNA : 0</v>
      </c>
      <c r="J136" s="16" t="str">
        <f t="shared" si="40"/>
        <v>E2_3_1_35 : 0</v>
      </c>
      <c r="K136" s="34" t="str">
        <f t="shared" si="41"/>
        <v>0.00292 - (0.0093 * E2_3_1_35_mRNA)</v>
      </c>
      <c r="L136" s="31" t="str">
        <f t="shared" si="42"/>
        <v>(0.278 * E2_3_1_35_mRNA) - (0.00000278 * E2_3_1_35)</v>
      </c>
      <c r="M136" s="35" t="str">
        <f t="shared" si="43"/>
        <v>mRNA135: -&gt; E2_3_1_35_mRNA | 0.00292 - (0.0093 * E2_3_1_35_mRNA)</v>
      </c>
      <c r="N136" s="29" t="str">
        <f t="shared" si="32"/>
        <v>Peptide135: E2_3_1_35_mRNA -&gt; E2_3_1_35 | (0.278 * E2_3_1_35_mRNA) - (0.000000278 * E2_3_1_35)</v>
      </c>
    </row>
    <row r="137" spans="1:14">
      <c r="A137">
        <v>136</v>
      </c>
      <c r="B137" s="45" t="s">
        <v>17611</v>
      </c>
      <c r="C137" t="str">
        <f t="shared" si="33"/>
        <v>E2_3_1_39_mRNA</v>
      </c>
      <c r="D137" t="str">
        <f t="shared" si="34"/>
        <v>E2_3_1_39</v>
      </c>
      <c r="E137" s="29" t="str">
        <f t="shared" si="35"/>
        <v>E2_3_1_39_kcat : 13.7</v>
      </c>
      <c r="F137" s="30" t="str">
        <f t="shared" si="36"/>
        <v>E2_3_1_39_km : 1</v>
      </c>
      <c r="G137" s="31" t="str">
        <f t="shared" si="37"/>
        <v>E2_3_1_39_mRNA : E2_3_1_39_mRNA</v>
      </c>
      <c r="H137" s="32" t="str">
        <f t="shared" si="38"/>
        <v>E2_3_1_39 : E2_3_1_39</v>
      </c>
      <c r="I137" s="33" t="str">
        <f t="shared" si="39"/>
        <v>E2_3_1_39_mRNA : 0</v>
      </c>
      <c r="J137" s="16" t="str">
        <f t="shared" si="40"/>
        <v>E2_3_1_39 : 0</v>
      </c>
      <c r="K137" s="34" t="str">
        <f t="shared" si="41"/>
        <v>0.00292 - (0.0093 * E2_3_1_39_mRNA)</v>
      </c>
      <c r="L137" s="31" t="str">
        <f t="shared" si="42"/>
        <v>(0.278 * E2_3_1_39_mRNA) - (0.00000278 * E2_3_1_39)</v>
      </c>
      <c r="M137" s="35" t="str">
        <f t="shared" si="43"/>
        <v>mRNA136: -&gt; E2_3_1_39_mRNA | 0.00292 - (0.0093 * E2_3_1_39_mRNA)</v>
      </c>
      <c r="N137" s="29" t="str">
        <f t="shared" si="32"/>
        <v>Peptide136: E2_3_1_39_mRNA -&gt; E2_3_1_39 | (0.278 * E2_3_1_39_mRNA) - (0.000000278 * E2_3_1_39)</v>
      </c>
    </row>
    <row r="138" spans="1:14">
      <c r="A138">
        <v>137</v>
      </c>
      <c r="B138" t="s">
        <v>12870</v>
      </c>
      <c r="C138" t="str">
        <f t="shared" si="33"/>
        <v>E2_3_1_8_mRNA</v>
      </c>
      <c r="D138" t="str">
        <f t="shared" si="34"/>
        <v>E2_3_1_8</v>
      </c>
      <c r="E138" s="29" t="str">
        <f t="shared" si="35"/>
        <v>E2_3_1_8_kcat : 13.7</v>
      </c>
      <c r="F138" s="30" t="str">
        <f t="shared" si="36"/>
        <v>E2_3_1_8_km : 1</v>
      </c>
      <c r="G138" s="31" t="str">
        <f t="shared" si="37"/>
        <v>E2_3_1_8_mRNA : E2_3_1_8_mRNA</v>
      </c>
      <c r="H138" s="32" t="str">
        <f t="shared" si="38"/>
        <v>E2_3_1_8 : E2_3_1_8</v>
      </c>
      <c r="I138" s="33" t="str">
        <f t="shared" si="39"/>
        <v>E2_3_1_8_mRNA : 0</v>
      </c>
      <c r="J138" s="16" t="str">
        <f t="shared" si="40"/>
        <v>E2_3_1_8 : 0</v>
      </c>
      <c r="K138" s="34" t="str">
        <f t="shared" si="41"/>
        <v>0.00292 - (0.0093 * E2_3_1_8_mRNA)</v>
      </c>
      <c r="L138" s="31" t="str">
        <f t="shared" si="42"/>
        <v>(0.278 * E2_3_1_8_mRNA) - (0.00000278 * E2_3_1_8)</v>
      </c>
      <c r="M138" s="35" t="str">
        <f t="shared" si="43"/>
        <v>mRNA137: -&gt; E2_3_1_8_mRNA | 0.00292 - (0.0093 * E2_3_1_8_mRNA)</v>
      </c>
      <c r="N138" s="29" t="str">
        <f t="shared" si="32"/>
        <v>Peptide137: E2_3_1_8_mRNA -&gt; E2_3_1_8 | (0.278 * E2_3_1_8_mRNA) - (0.000000278 * E2_3_1_8)</v>
      </c>
    </row>
    <row r="139" spans="1:14">
      <c r="A139">
        <v>138</v>
      </c>
      <c r="B139" t="s">
        <v>12871</v>
      </c>
      <c r="C139" t="str">
        <f t="shared" si="33"/>
        <v>E2_3_1_85_mRNA</v>
      </c>
      <c r="D139" t="str">
        <f t="shared" si="34"/>
        <v>E2_3_1_85</v>
      </c>
      <c r="E139" s="29" t="str">
        <f t="shared" si="35"/>
        <v>E2_3_1_85_kcat : 13.7</v>
      </c>
      <c r="F139" s="30" t="str">
        <f t="shared" si="36"/>
        <v>E2_3_1_85_km : 1</v>
      </c>
      <c r="G139" s="31" t="str">
        <f t="shared" si="37"/>
        <v>E2_3_1_85_mRNA : E2_3_1_85_mRNA</v>
      </c>
      <c r="H139" s="32" t="str">
        <f t="shared" si="38"/>
        <v>E2_3_1_85 : E2_3_1_85</v>
      </c>
      <c r="I139" s="33" t="str">
        <f t="shared" si="39"/>
        <v>E2_3_1_85_mRNA : 0</v>
      </c>
      <c r="J139" s="16" t="str">
        <f t="shared" si="40"/>
        <v>E2_3_1_85 : 0</v>
      </c>
      <c r="K139" s="34" t="str">
        <f t="shared" si="41"/>
        <v>0.00292 - (0.0093 * E2_3_1_85_mRNA)</v>
      </c>
      <c r="L139" s="31" t="str">
        <f t="shared" si="42"/>
        <v>(0.278 * E2_3_1_85_mRNA) - (0.00000278 * E2_3_1_85)</v>
      </c>
      <c r="M139" s="35" t="str">
        <f t="shared" si="43"/>
        <v>mRNA138: -&gt; E2_3_1_85_mRNA | 0.00292 - (0.0093 * E2_3_1_85_mRNA)</v>
      </c>
      <c r="N139" s="29" t="str">
        <f t="shared" si="32"/>
        <v>Peptide138: E2_3_1_85_mRNA -&gt; E2_3_1_85 | (0.278 * E2_3_1_85_mRNA) - (0.000000278 * E2_3_1_85)</v>
      </c>
    </row>
    <row r="140" spans="1:14">
      <c r="A140">
        <v>139</v>
      </c>
      <c r="B140" t="s">
        <v>12872</v>
      </c>
      <c r="C140" t="str">
        <f t="shared" si="33"/>
        <v>E2_3_1_9_mRNA</v>
      </c>
      <c r="D140" t="str">
        <f t="shared" si="34"/>
        <v>E2_3_1_9</v>
      </c>
      <c r="E140" s="29" t="str">
        <f t="shared" si="35"/>
        <v>E2_3_1_9_kcat : 13.7</v>
      </c>
      <c r="F140" s="30" t="str">
        <f t="shared" si="36"/>
        <v>E2_3_1_9_km : 1</v>
      </c>
      <c r="G140" s="31" t="str">
        <f t="shared" si="37"/>
        <v>E2_3_1_9_mRNA : E2_3_1_9_mRNA</v>
      </c>
      <c r="H140" s="32" t="str">
        <f t="shared" si="38"/>
        <v>E2_3_1_9 : E2_3_1_9</v>
      </c>
      <c r="I140" s="33" t="str">
        <f t="shared" si="39"/>
        <v>E2_3_1_9_mRNA : 0</v>
      </c>
      <c r="J140" s="16" t="str">
        <f t="shared" si="40"/>
        <v>E2_3_1_9 : 0</v>
      </c>
      <c r="K140" s="34" t="str">
        <f t="shared" si="41"/>
        <v>0.00292 - (0.0093 * E2_3_1_9_mRNA)</v>
      </c>
      <c r="L140" s="31" t="str">
        <f t="shared" si="42"/>
        <v>(0.278 * E2_3_1_9_mRNA) - (0.00000278 * E2_3_1_9)</v>
      </c>
      <c r="M140" s="35" t="str">
        <f t="shared" si="43"/>
        <v>mRNA139: -&gt; E2_3_1_9_mRNA | 0.00292 - (0.0093 * E2_3_1_9_mRNA)</v>
      </c>
      <c r="N140" s="29" t="str">
        <f t="shared" si="32"/>
        <v>Peptide139: E2_3_1_9_mRNA -&gt; E2_3_1_9 | (0.278 * E2_3_1_9_mRNA) - (0.000000278 * E2_3_1_9)</v>
      </c>
    </row>
    <row r="141" spans="1:14">
      <c r="A141">
        <v>140</v>
      </c>
      <c r="B141" t="s">
        <v>12873</v>
      </c>
      <c r="C141" t="str">
        <f t="shared" si="33"/>
        <v>E2_3_2_2_mRNA</v>
      </c>
      <c r="D141" t="str">
        <f t="shared" si="34"/>
        <v>E2_3_2_2</v>
      </c>
      <c r="E141" s="29" t="str">
        <f t="shared" si="35"/>
        <v>E2_3_2_2_kcat : 13.7</v>
      </c>
      <c r="F141" s="30" t="str">
        <f t="shared" si="36"/>
        <v>E2_3_2_2_km : 1</v>
      </c>
      <c r="G141" s="31" t="str">
        <f t="shared" si="37"/>
        <v>E2_3_2_2_mRNA : E2_3_2_2_mRNA</v>
      </c>
      <c r="H141" s="32" t="str">
        <f t="shared" si="38"/>
        <v>E2_3_2_2 : E2_3_2_2</v>
      </c>
      <c r="I141" s="33" t="str">
        <f t="shared" si="39"/>
        <v>E2_3_2_2_mRNA : 0</v>
      </c>
      <c r="J141" s="16" t="str">
        <f t="shared" si="40"/>
        <v>E2_3_2_2 : 0</v>
      </c>
      <c r="K141" s="34" t="str">
        <f t="shared" si="41"/>
        <v>0.00292 - (0.0093 * E2_3_2_2_mRNA)</v>
      </c>
      <c r="L141" s="31" t="str">
        <f t="shared" si="42"/>
        <v>(0.278 * E2_3_2_2_mRNA) - (0.00000278 * E2_3_2_2)</v>
      </c>
      <c r="M141" s="35" t="str">
        <f t="shared" si="43"/>
        <v>mRNA140: -&gt; E2_3_2_2_mRNA | 0.00292 - (0.0093 * E2_3_2_2_mRNA)</v>
      </c>
      <c r="N141" s="29" t="str">
        <f t="shared" si="32"/>
        <v>Peptide140: E2_3_2_2_mRNA -&gt; E2_3_2_2 | (0.278 * E2_3_2_2_mRNA) - (0.000000278 * E2_3_2_2)</v>
      </c>
    </row>
    <row r="142" spans="1:14">
      <c r="A142">
        <v>141</v>
      </c>
      <c r="B142" t="s">
        <v>12874</v>
      </c>
      <c r="C142" t="str">
        <f t="shared" si="33"/>
        <v>E2_3_3_13_mRNA</v>
      </c>
      <c r="D142" t="str">
        <f t="shared" si="34"/>
        <v>E2_3_3_13</v>
      </c>
      <c r="E142" s="29" t="str">
        <f t="shared" si="35"/>
        <v>E2_3_3_13_kcat : 13.7</v>
      </c>
      <c r="F142" s="30" t="str">
        <f t="shared" si="36"/>
        <v>E2_3_3_13_km : 1</v>
      </c>
      <c r="G142" s="31" t="str">
        <f t="shared" si="37"/>
        <v>E2_3_3_13_mRNA : E2_3_3_13_mRNA</v>
      </c>
      <c r="H142" s="32" t="str">
        <f t="shared" si="38"/>
        <v>E2_3_3_13 : E2_3_3_13</v>
      </c>
      <c r="I142" s="33" t="str">
        <f t="shared" si="39"/>
        <v>E2_3_3_13_mRNA : 0</v>
      </c>
      <c r="J142" s="16" t="str">
        <f t="shared" si="40"/>
        <v>E2_3_3_13 : 0</v>
      </c>
      <c r="K142" s="34" t="str">
        <f t="shared" si="41"/>
        <v>0.00292 - (0.0093 * E2_3_3_13_mRNA)</v>
      </c>
      <c r="L142" s="31" t="str">
        <f t="shared" si="42"/>
        <v>(0.278 * E2_3_3_13_mRNA) - (0.00000278 * E2_3_3_13)</v>
      </c>
      <c r="M142" s="35" t="str">
        <f t="shared" si="43"/>
        <v>mRNA141: -&gt; E2_3_3_13_mRNA | 0.00292 - (0.0093 * E2_3_3_13_mRNA)</v>
      </c>
      <c r="N142" s="29" t="str">
        <f t="shared" si="32"/>
        <v>Peptide141: E2_3_3_13_mRNA -&gt; E2_3_3_13 | (0.278 * E2_3_3_13_mRNA) - (0.000000278 * E2_3_3_13)</v>
      </c>
    </row>
    <row r="143" spans="1:14">
      <c r="A143">
        <v>142</v>
      </c>
      <c r="B143" t="s">
        <v>12875</v>
      </c>
      <c r="C143" t="str">
        <f t="shared" si="33"/>
        <v>E2_3_3_16_mRNA</v>
      </c>
      <c r="D143" t="str">
        <f t="shared" si="34"/>
        <v>E2_3_3_16</v>
      </c>
      <c r="E143" s="29" t="str">
        <f t="shared" si="35"/>
        <v>E2_3_3_16_kcat : 13.7</v>
      </c>
      <c r="F143" s="30" t="str">
        <f t="shared" si="36"/>
        <v>E2_3_3_16_km : 1</v>
      </c>
      <c r="G143" s="31" t="str">
        <f t="shared" si="37"/>
        <v>E2_3_3_16_mRNA : E2_3_3_16_mRNA</v>
      </c>
      <c r="H143" s="32" t="str">
        <f t="shared" si="38"/>
        <v>E2_3_3_16 : E2_3_3_16</v>
      </c>
      <c r="I143" s="33" t="str">
        <f t="shared" si="39"/>
        <v>E2_3_3_16_mRNA : 0</v>
      </c>
      <c r="J143" s="16" t="str">
        <f t="shared" si="40"/>
        <v>E2_3_3_16 : 0</v>
      </c>
      <c r="K143" s="34" t="str">
        <f t="shared" si="41"/>
        <v>0.00292 - (0.0093 * E2_3_3_16_mRNA)</v>
      </c>
      <c r="L143" s="31" t="str">
        <f t="shared" si="42"/>
        <v>(0.278 * E2_3_3_16_mRNA) - (0.00000278 * E2_3_3_16)</v>
      </c>
      <c r="M143" s="35" t="str">
        <f t="shared" si="43"/>
        <v>mRNA142: -&gt; E2_3_3_16_mRNA | 0.00292 - (0.0093 * E2_3_3_16_mRNA)</v>
      </c>
      <c r="N143" s="29" t="str">
        <f t="shared" si="32"/>
        <v>Peptide142: E2_3_3_16_mRNA -&gt; E2_3_3_16 | (0.278 * E2_3_3_16_mRNA) - (0.000000278 * E2_3_3_16)</v>
      </c>
    </row>
    <row r="144" spans="1:14">
      <c r="A144">
        <v>143</v>
      </c>
      <c r="B144" t="s">
        <v>12876</v>
      </c>
      <c r="C144" t="str">
        <f t="shared" si="33"/>
        <v>E2_3_3_5_mRNA</v>
      </c>
      <c r="D144" t="str">
        <f t="shared" si="34"/>
        <v>E2_3_3_5</v>
      </c>
      <c r="E144" s="29" t="str">
        <f t="shared" si="35"/>
        <v>E2_3_3_5_kcat : 13.7</v>
      </c>
      <c r="F144" s="30" t="str">
        <f t="shared" si="36"/>
        <v>E2_3_3_5_km : 1</v>
      </c>
      <c r="G144" s="31" t="str">
        <f t="shared" si="37"/>
        <v>E2_3_3_5_mRNA : E2_3_3_5_mRNA</v>
      </c>
      <c r="H144" s="32" t="str">
        <f t="shared" si="38"/>
        <v>E2_3_3_5 : E2_3_3_5</v>
      </c>
      <c r="I144" s="33" t="str">
        <f t="shared" si="39"/>
        <v>E2_3_3_5_mRNA : 0</v>
      </c>
      <c r="J144" s="16" t="str">
        <f t="shared" si="40"/>
        <v>E2_3_3_5 : 0</v>
      </c>
      <c r="K144" s="34" t="str">
        <f t="shared" si="41"/>
        <v>0.00292 - (0.0093 * E2_3_3_5_mRNA)</v>
      </c>
      <c r="L144" s="31" t="str">
        <f t="shared" si="42"/>
        <v>(0.278 * E2_3_3_5_mRNA) - (0.00000278 * E2_3_3_5)</v>
      </c>
      <c r="M144" s="35" t="str">
        <f t="shared" si="43"/>
        <v>mRNA143: -&gt; E2_3_3_5_mRNA | 0.00292 - (0.0093 * E2_3_3_5_mRNA)</v>
      </c>
      <c r="N144" s="29" t="str">
        <f t="shared" si="32"/>
        <v>Peptide143: E2_3_3_5_mRNA -&gt; E2_3_3_5 | (0.278 * E2_3_3_5_mRNA) - (0.000000278 * E2_3_3_5)</v>
      </c>
    </row>
    <row r="145" spans="1:14">
      <c r="A145">
        <v>144</v>
      </c>
      <c r="B145" t="s">
        <v>12877</v>
      </c>
      <c r="C145" t="str">
        <f t="shared" si="33"/>
        <v>E2_3_3_9_mRNA</v>
      </c>
      <c r="D145" t="str">
        <f t="shared" si="34"/>
        <v>E2_3_3_9</v>
      </c>
      <c r="E145" s="29" t="str">
        <f t="shared" si="35"/>
        <v>E2_3_3_9_kcat : 13.7</v>
      </c>
      <c r="F145" s="30" t="str">
        <f t="shared" si="36"/>
        <v>E2_3_3_9_km : 1</v>
      </c>
      <c r="G145" s="31" t="str">
        <f t="shared" si="37"/>
        <v>E2_3_3_9_mRNA : E2_3_3_9_mRNA</v>
      </c>
      <c r="H145" s="32" t="str">
        <f t="shared" si="38"/>
        <v>E2_3_3_9 : E2_3_3_9</v>
      </c>
      <c r="I145" s="33" t="str">
        <f t="shared" si="39"/>
        <v>E2_3_3_9_mRNA : 0</v>
      </c>
      <c r="J145" s="16" t="str">
        <f t="shared" si="40"/>
        <v>E2_3_3_9 : 0</v>
      </c>
      <c r="K145" s="34" t="str">
        <f t="shared" si="41"/>
        <v>0.00292 - (0.0093 * E2_3_3_9_mRNA)</v>
      </c>
      <c r="L145" s="31" t="str">
        <f t="shared" si="42"/>
        <v>(0.278 * E2_3_3_9_mRNA) - (0.00000278 * E2_3_3_9)</v>
      </c>
      <c r="M145" s="35" t="str">
        <f t="shared" si="43"/>
        <v>mRNA144: -&gt; E2_3_3_9_mRNA | 0.00292 - (0.0093 * E2_3_3_9_mRNA)</v>
      </c>
      <c r="N145" s="29" t="str">
        <f t="shared" si="32"/>
        <v>Peptide144: E2_3_3_9_mRNA -&gt; E2_3_3_9 | (0.278 * E2_3_3_9_mRNA) - (0.000000278 * E2_3_3_9)</v>
      </c>
    </row>
    <row r="146" spans="1:14">
      <c r="A146">
        <v>145</v>
      </c>
      <c r="B146" t="s">
        <v>12878</v>
      </c>
      <c r="C146" t="str">
        <f t="shared" si="33"/>
        <v>E2_4_1_109_mRNA</v>
      </c>
      <c r="D146" t="str">
        <f t="shared" si="34"/>
        <v>E2_4_1_109</v>
      </c>
      <c r="E146" s="29" t="str">
        <f t="shared" si="35"/>
        <v>E2_4_1_109_kcat : 13.7</v>
      </c>
      <c r="F146" s="30" t="str">
        <f t="shared" si="36"/>
        <v>E2_4_1_109_km : 1</v>
      </c>
      <c r="G146" s="31" t="str">
        <f t="shared" si="37"/>
        <v>E2_4_1_109_mRNA : E2_4_1_109_mRNA</v>
      </c>
      <c r="H146" s="32" t="str">
        <f t="shared" si="38"/>
        <v>E2_4_1_109 : E2_4_1_109</v>
      </c>
      <c r="I146" s="33" t="str">
        <f t="shared" si="39"/>
        <v>E2_4_1_109_mRNA : 0</v>
      </c>
      <c r="J146" s="16" t="str">
        <f t="shared" si="40"/>
        <v>E2_4_1_109 : 0</v>
      </c>
      <c r="K146" s="34" t="str">
        <f t="shared" si="41"/>
        <v>0.00292 - (0.0093 * E2_4_1_109_mRNA)</v>
      </c>
      <c r="L146" s="31" t="str">
        <f t="shared" si="42"/>
        <v>(0.278 * E2_4_1_109_mRNA) - (0.00000278 * E2_4_1_109)</v>
      </c>
      <c r="M146" s="35" t="str">
        <f t="shared" si="43"/>
        <v>mRNA145: -&gt; E2_4_1_109_mRNA | 0.00292 - (0.0093 * E2_4_1_109_mRNA)</v>
      </c>
      <c r="N146" s="29" t="str">
        <f t="shared" si="32"/>
        <v>Peptide145: E2_4_1_109_mRNA -&gt; E2_4_1_109 | (0.278 * E2_4_1_109_mRNA) - (0.000000278 * E2_4_1_109)</v>
      </c>
    </row>
    <row r="147" spans="1:14">
      <c r="A147">
        <v>146</v>
      </c>
      <c r="B147" t="s">
        <v>16026</v>
      </c>
      <c r="C147" t="str">
        <f t="shared" si="33"/>
        <v>E2_4_1_15_mRNA</v>
      </c>
      <c r="D147" t="str">
        <f t="shared" si="34"/>
        <v>E2_4_1_15</v>
      </c>
      <c r="E147" s="29" t="str">
        <f t="shared" si="35"/>
        <v>E2_4_1_15_kcat : 13.7</v>
      </c>
      <c r="F147" s="30" t="str">
        <f t="shared" si="36"/>
        <v>E2_4_1_15_km : 1</v>
      </c>
      <c r="G147" s="31" t="str">
        <f t="shared" si="37"/>
        <v>E2_4_1_15_mRNA : E2_4_1_15_mRNA</v>
      </c>
      <c r="H147" s="32" t="str">
        <f t="shared" si="38"/>
        <v>E2_4_1_15 : E2_4_1_15</v>
      </c>
      <c r="I147" s="33" t="str">
        <f t="shared" si="39"/>
        <v>E2_4_1_15_mRNA : 0</v>
      </c>
      <c r="J147" s="16" t="str">
        <f t="shared" si="40"/>
        <v>E2_4_1_15 : 0</v>
      </c>
      <c r="K147" s="34" t="str">
        <f t="shared" si="41"/>
        <v>0.00292 - (0.0093 * E2_4_1_15_mRNA)</v>
      </c>
      <c r="L147" s="31" t="str">
        <f t="shared" si="42"/>
        <v>(0.278 * E2_4_1_15_mRNA) - (0.00000278 * E2_4_1_15)</v>
      </c>
      <c r="M147" s="35" t="str">
        <f t="shared" si="43"/>
        <v>mRNA146: -&gt; E2_4_1_15_mRNA | 0.00292 - (0.0093 * E2_4_1_15_mRNA)</v>
      </c>
      <c r="N147" s="29" t="str">
        <f t="shared" si="32"/>
        <v>Peptide146: E2_4_1_15_mRNA -&gt; E2_4_1_15 | (0.278 * E2_4_1_15_mRNA) - (0.000000278 * E2_4_1_15)</v>
      </c>
    </row>
    <row r="148" spans="1:14">
      <c r="A148">
        <v>147</v>
      </c>
      <c r="B148" t="s">
        <v>16027</v>
      </c>
      <c r="C148" t="str">
        <f t="shared" si="33"/>
        <v>E2_4_1_18_mRNA</v>
      </c>
      <c r="D148" t="str">
        <f t="shared" si="34"/>
        <v>E2_4_1_18</v>
      </c>
      <c r="E148" s="29" t="str">
        <f t="shared" si="35"/>
        <v>E2_4_1_18_kcat : 13.7</v>
      </c>
      <c r="F148" s="30" t="str">
        <f t="shared" si="36"/>
        <v>E2_4_1_18_km : 1</v>
      </c>
      <c r="G148" s="31" t="str">
        <f t="shared" si="37"/>
        <v>E2_4_1_18_mRNA : E2_4_1_18_mRNA</v>
      </c>
      <c r="H148" s="32" t="str">
        <f t="shared" si="38"/>
        <v>E2_4_1_18 : E2_4_1_18</v>
      </c>
      <c r="I148" s="33" t="str">
        <f t="shared" si="39"/>
        <v>E2_4_1_18_mRNA : 0</v>
      </c>
      <c r="J148" s="16" t="str">
        <f t="shared" si="40"/>
        <v>E2_4_1_18 : 0</v>
      </c>
      <c r="K148" s="34" t="str">
        <f t="shared" si="41"/>
        <v>0.00292 - (0.0093 * E2_4_1_18_mRNA)</v>
      </c>
      <c r="L148" s="31" t="str">
        <f t="shared" si="42"/>
        <v>(0.278 * E2_4_1_18_mRNA) - (0.00000278 * E2_4_1_18)</v>
      </c>
      <c r="M148" s="35" t="str">
        <f t="shared" si="43"/>
        <v>mRNA147: -&gt; E2_4_1_18_mRNA | 0.00292 - (0.0093 * E2_4_1_18_mRNA)</v>
      </c>
      <c r="N148" s="29" t="str">
        <f t="shared" si="32"/>
        <v>Peptide147: E2_4_1_18_mRNA -&gt; E2_4_1_18 | (0.278 * E2_4_1_18_mRNA) - (0.000000278 * E2_4_1_18)</v>
      </c>
    </row>
    <row r="149" spans="1:14">
      <c r="A149">
        <v>148</v>
      </c>
      <c r="B149" t="s">
        <v>12879</v>
      </c>
      <c r="C149" t="str">
        <f t="shared" si="33"/>
        <v>E2_4_1_21_mRNA</v>
      </c>
      <c r="D149" t="str">
        <f t="shared" si="34"/>
        <v>E2_4_1_21</v>
      </c>
      <c r="E149" s="29" t="str">
        <f t="shared" si="35"/>
        <v>E2_4_1_21_kcat : 13.7</v>
      </c>
      <c r="F149" s="30" t="str">
        <f t="shared" si="36"/>
        <v>E2_4_1_21_km : 1</v>
      </c>
      <c r="G149" s="31" t="str">
        <f t="shared" si="37"/>
        <v>E2_4_1_21_mRNA : E2_4_1_21_mRNA</v>
      </c>
      <c r="H149" s="32" t="str">
        <f t="shared" si="38"/>
        <v>E2_4_1_21 : E2_4_1_21</v>
      </c>
      <c r="I149" s="33" t="str">
        <f t="shared" si="39"/>
        <v>E2_4_1_21_mRNA : 0</v>
      </c>
      <c r="J149" s="16" t="str">
        <f t="shared" si="40"/>
        <v>E2_4_1_21 : 0</v>
      </c>
      <c r="K149" s="34" t="str">
        <f t="shared" si="41"/>
        <v>0.00292 - (0.0093 * E2_4_1_21_mRNA)</v>
      </c>
      <c r="L149" s="31" t="str">
        <f t="shared" si="42"/>
        <v>(0.278 * E2_4_1_21_mRNA) - (0.00000278 * E2_4_1_21)</v>
      </c>
      <c r="M149" s="35" t="str">
        <f t="shared" si="43"/>
        <v>mRNA148: -&gt; E2_4_1_21_mRNA | 0.00292 - (0.0093 * E2_4_1_21_mRNA)</v>
      </c>
      <c r="N149" s="29" t="str">
        <f t="shared" si="32"/>
        <v>Peptide148: E2_4_1_21_mRNA -&gt; E2_4_1_21 | (0.278 * E2_4_1_21_mRNA) - (0.000000278 * E2_4_1_21)</v>
      </c>
    </row>
    <row r="150" spans="1:14">
      <c r="A150">
        <v>149</v>
      </c>
      <c r="B150" t="s">
        <v>12880</v>
      </c>
      <c r="C150" t="str">
        <f t="shared" si="33"/>
        <v>E2_4_1_227_mRNA</v>
      </c>
      <c r="D150" t="str">
        <f t="shared" si="34"/>
        <v>E2_4_1_227</v>
      </c>
      <c r="E150" s="29" t="str">
        <f t="shared" si="35"/>
        <v>E2_4_1_227_kcat : 13.7</v>
      </c>
      <c r="F150" s="30" t="str">
        <f t="shared" si="36"/>
        <v>E2_4_1_227_km : 1</v>
      </c>
      <c r="G150" s="31" t="str">
        <f t="shared" si="37"/>
        <v>E2_4_1_227_mRNA : E2_4_1_227_mRNA</v>
      </c>
      <c r="H150" s="32" t="str">
        <f t="shared" si="38"/>
        <v>E2_4_1_227 : E2_4_1_227</v>
      </c>
      <c r="I150" s="33" t="str">
        <f t="shared" si="39"/>
        <v>E2_4_1_227_mRNA : 0</v>
      </c>
      <c r="J150" s="16" t="str">
        <f t="shared" si="40"/>
        <v>E2_4_1_227 : 0</v>
      </c>
      <c r="K150" s="34" t="str">
        <f t="shared" si="41"/>
        <v>0.00292 - (0.0093 * E2_4_1_227_mRNA)</v>
      </c>
      <c r="L150" s="31" t="str">
        <f t="shared" si="42"/>
        <v>(0.278 * E2_4_1_227_mRNA) - (0.00000278 * E2_4_1_227)</v>
      </c>
      <c r="M150" s="35" t="str">
        <f t="shared" si="43"/>
        <v>mRNA149: -&gt; E2_4_1_227_mRNA | 0.00292 - (0.0093 * E2_4_1_227_mRNA)</v>
      </c>
      <c r="N150" s="29" t="str">
        <f t="shared" si="32"/>
        <v>Peptide149: E2_4_1_227_mRNA -&gt; E2_4_1_227 | (0.278 * E2_4_1_227_mRNA) - (0.000000278 * E2_4_1_227)</v>
      </c>
    </row>
    <row r="151" spans="1:14">
      <c r="A151">
        <v>150</v>
      </c>
      <c r="B151" t="s">
        <v>12881</v>
      </c>
      <c r="C151" t="str">
        <f t="shared" si="33"/>
        <v>E2_4_1_25_mRNA</v>
      </c>
      <c r="D151" t="str">
        <f t="shared" si="34"/>
        <v>E2_4_1_25</v>
      </c>
      <c r="E151" s="29" t="str">
        <f t="shared" si="35"/>
        <v>E2_4_1_25_kcat : 13.7</v>
      </c>
      <c r="F151" s="30" t="str">
        <f t="shared" si="36"/>
        <v>E2_4_1_25_km : 1</v>
      </c>
      <c r="G151" s="31" t="str">
        <f t="shared" si="37"/>
        <v>E2_4_1_25_mRNA : E2_4_1_25_mRNA</v>
      </c>
      <c r="H151" s="32" t="str">
        <f t="shared" si="38"/>
        <v>E2_4_1_25 : E2_4_1_25</v>
      </c>
      <c r="I151" s="33" t="str">
        <f t="shared" si="39"/>
        <v>E2_4_1_25_mRNA : 0</v>
      </c>
      <c r="J151" s="16" t="str">
        <f t="shared" si="40"/>
        <v>E2_4_1_25 : 0</v>
      </c>
      <c r="K151" s="34" t="str">
        <f t="shared" si="41"/>
        <v>0.00292 - (0.0093 * E2_4_1_25_mRNA)</v>
      </c>
      <c r="L151" s="31" t="str">
        <f t="shared" si="42"/>
        <v>(0.278 * E2_4_1_25_mRNA) - (0.00000278 * E2_4_1_25)</v>
      </c>
      <c r="M151" s="35" t="str">
        <f t="shared" si="43"/>
        <v>mRNA150: -&gt; E2_4_1_25_mRNA | 0.00292 - (0.0093 * E2_4_1_25_mRNA)</v>
      </c>
      <c r="N151" s="29" t="str">
        <f t="shared" si="32"/>
        <v>Peptide150: E2_4_1_25_mRNA -&gt; E2_4_1_25 | (0.278 * E2_4_1_25_mRNA) - (0.000000278 * E2_4_1_25)</v>
      </c>
    </row>
    <row r="152" spans="1:14">
      <c r="A152">
        <v>151</v>
      </c>
      <c r="B152" t="s">
        <v>12882</v>
      </c>
      <c r="C152" t="str">
        <f t="shared" si="33"/>
        <v>E2_4_1_250_mRNA</v>
      </c>
      <c r="D152" t="str">
        <f t="shared" si="34"/>
        <v>E2_4_1_250</v>
      </c>
      <c r="E152" s="29" t="str">
        <f t="shared" si="35"/>
        <v>E2_4_1_250_kcat : 13.7</v>
      </c>
      <c r="F152" s="30" t="str">
        <f t="shared" si="36"/>
        <v>E2_4_1_250_km : 1</v>
      </c>
      <c r="G152" s="31" t="str">
        <f t="shared" si="37"/>
        <v>E2_4_1_250_mRNA : E2_4_1_250_mRNA</v>
      </c>
      <c r="H152" s="32" t="str">
        <f t="shared" si="38"/>
        <v>E2_4_1_250 : E2_4_1_250</v>
      </c>
      <c r="I152" s="33" t="str">
        <f t="shared" si="39"/>
        <v>E2_4_1_250_mRNA : 0</v>
      </c>
      <c r="J152" s="16" t="str">
        <f t="shared" si="40"/>
        <v>E2_4_1_250 : 0</v>
      </c>
      <c r="K152" s="34" t="str">
        <f t="shared" si="41"/>
        <v>0.00292 - (0.0093 * E2_4_1_250_mRNA)</v>
      </c>
      <c r="L152" s="31" t="str">
        <f t="shared" si="42"/>
        <v>(0.278 * E2_4_1_250_mRNA) - (0.00000278 * E2_4_1_250)</v>
      </c>
      <c r="M152" s="35" t="str">
        <f t="shared" si="43"/>
        <v>mRNA151: -&gt; E2_4_1_250_mRNA | 0.00292 - (0.0093 * E2_4_1_250_mRNA)</v>
      </c>
      <c r="N152" s="29" t="str">
        <f t="shared" si="32"/>
        <v>Peptide151: E2_4_1_250_mRNA -&gt; E2_4_1_250 | (0.278 * E2_4_1_250_mRNA) - (0.000000278 * E2_4_1_250)</v>
      </c>
    </row>
    <row r="153" spans="1:14">
      <c r="A153">
        <v>152</v>
      </c>
      <c r="B153" t="s">
        <v>12883</v>
      </c>
      <c r="C153" t="str">
        <f t="shared" si="33"/>
        <v>E2_4_1_266_mRNA</v>
      </c>
      <c r="D153" t="str">
        <f t="shared" si="34"/>
        <v>E2_4_1_266</v>
      </c>
      <c r="E153" s="29" t="str">
        <f t="shared" si="35"/>
        <v>E2_4_1_266_kcat : 13.7</v>
      </c>
      <c r="F153" s="30" t="str">
        <f t="shared" si="36"/>
        <v>E2_4_1_266_km : 1</v>
      </c>
      <c r="G153" s="31" t="str">
        <f t="shared" si="37"/>
        <v>E2_4_1_266_mRNA : E2_4_1_266_mRNA</v>
      </c>
      <c r="H153" s="32" t="str">
        <f t="shared" si="38"/>
        <v>E2_4_1_266 : E2_4_1_266</v>
      </c>
      <c r="I153" s="33" t="str">
        <f t="shared" si="39"/>
        <v>E2_4_1_266_mRNA : 0</v>
      </c>
      <c r="J153" s="16" t="str">
        <f t="shared" si="40"/>
        <v>E2_4_1_266 : 0</v>
      </c>
      <c r="K153" s="34" t="str">
        <f t="shared" si="41"/>
        <v>0.00292 - (0.0093 * E2_4_1_266_mRNA)</v>
      </c>
      <c r="L153" s="31" t="str">
        <f t="shared" si="42"/>
        <v>(0.278 * E2_4_1_266_mRNA) - (0.00000278 * E2_4_1_266)</v>
      </c>
      <c r="M153" s="35" t="str">
        <f t="shared" si="43"/>
        <v>mRNA152: -&gt; E2_4_1_266_mRNA | 0.00292 - (0.0093 * E2_4_1_266_mRNA)</v>
      </c>
      <c r="N153" s="29" t="str">
        <f t="shared" si="32"/>
        <v>Peptide152: E2_4_1_266_mRNA -&gt; E2_4_1_266 | (0.278 * E2_4_1_266_mRNA) - (0.000000278 * E2_4_1_266)</v>
      </c>
    </row>
    <row r="154" spans="1:14">
      <c r="A154">
        <v>153</v>
      </c>
      <c r="B154" t="s">
        <v>12884</v>
      </c>
      <c r="C154" t="str">
        <f t="shared" si="33"/>
        <v>E2_4_1_287_mRNA</v>
      </c>
      <c r="D154" t="str">
        <f t="shared" si="34"/>
        <v>E2_4_1_287</v>
      </c>
      <c r="E154" s="29" t="str">
        <f t="shared" si="35"/>
        <v>E2_4_1_287_kcat : 13.7</v>
      </c>
      <c r="F154" s="30" t="str">
        <f t="shared" si="36"/>
        <v>E2_4_1_287_km : 1</v>
      </c>
      <c r="G154" s="31" t="str">
        <f t="shared" si="37"/>
        <v>E2_4_1_287_mRNA : E2_4_1_287_mRNA</v>
      </c>
      <c r="H154" s="32" t="str">
        <f t="shared" si="38"/>
        <v>E2_4_1_287 : E2_4_1_287</v>
      </c>
      <c r="I154" s="33" t="str">
        <f t="shared" si="39"/>
        <v>E2_4_1_287_mRNA : 0</v>
      </c>
      <c r="J154" s="16" t="str">
        <f t="shared" si="40"/>
        <v>E2_4_1_287 : 0</v>
      </c>
      <c r="K154" s="34" t="str">
        <f t="shared" si="41"/>
        <v>0.00292 - (0.0093 * E2_4_1_287_mRNA)</v>
      </c>
      <c r="L154" s="31" t="str">
        <f t="shared" si="42"/>
        <v>(0.278 * E2_4_1_287_mRNA) - (0.00000278 * E2_4_1_287)</v>
      </c>
      <c r="M154" s="35" t="str">
        <f t="shared" si="43"/>
        <v>mRNA153: -&gt; E2_4_1_287_mRNA | 0.00292 - (0.0093 * E2_4_1_287_mRNA)</v>
      </c>
      <c r="N154" s="29" t="str">
        <f t="shared" si="32"/>
        <v>Peptide153: E2_4_1_287_mRNA -&gt; E2_4_1_287 | (0.278 * E2_4_1_287_mRNA) - (0.000000278 * E2_4_1_287)</v>
      </c>
    </row>
    <row r="155" spans="1:14">
      <c r="A155">
        <v>154</v>
      </c>
      <c r="B155" t="s">
        <v>12885</v>
      </c>
      <c r="C155" t="str">
        <f t="shared" si="33"/>
        <v>E2_4_1_346_mRNA</v>
      </c>
      <c r="D155" t="str">
        <f t="shared" si="34"/>
        <v>E2_4_1_346</v>
      </c>
      <c r="E155" s="29" t="str">
        <f t="shared" si="35"/>
        <v>E2_4_1_346_kcat : 13.7</v>
      </c>
      <c r="F155" s="30" t="str">
        <f t="shared" si="36"/>
        <v>E2_4_1_346_km : 1</v>
      </c>
      <c r="G155" s="31" t="str">
        <f t="shared" si="37"/>
        <v>E2_4_1_346_mRNA : E2_4_1_346_mRNA</v>
      </c>
      <c r="H155" s="32" t="str">
        <f t="shared" si="38"/>
        <v>E2_4_1_346 : E2_4_1_346</v>
      </c>
      <c r="I155" s="33" t="str">
        <f t="shared" si="39"/>
        <v>E2_4_1_346_mRNA : 0</v>
      </c>
      <c r="J155" s="16" t="str">
        <f t="shared" si="40"/>
        <v>E2_4_1_346 : 0</v>
      </c>
      <c r="K155" s="34" t="str">
        <f t="shared" si="41"/>
        <v>0.00292 - (0.0093 * E2_4_1_346_mRNA)</v>
      </c>
      <c r="L155" s="31" t="str">
        <f t="shared" si="42"/>
        <v>(0.278 * E2_4_1_346_mRNA) - (0.00000278 * E2_4_1_346)</v>
      </c>
      <c r="M155" s="35" t="str">
        <f t="shared" si="43"/>
        <v>mRNA154: -&gt; E2_4_1_346_mRNA | 0.00292 - (0.0093 * E2_4_1_346_mRNA)</v>
      </c>
      <c r="N155" s="29" t="str">
        <f t="shared" si="32"/>
        <v>Peptide154: E2_4_1_346_mRNA -&gt; E2_4_1_346 | (0.278 * E2_4_1_346_mRNA) - (0.000000278 * E2_4_1_346)</v>
      </c>
    </row>
    <row r="156" spans="1:14">
      <c r="A156">
        <v>155</v>
      </c>
      <c r="B156" t="s">
        <v>12886</v>
      </c>
      <c r="C156" t="str">
        <f t="shared" si="33"/>
        <v>E2_4_2_10_mRNA</v>
      </c>
      <c r="D156" t="str">
        <f t="shared" si="34"/>
        <v>E2_4_2_10</v>
      </c>
      <c r="E156" s="29" t="str">
        <f t="shared" si="35"/>
        <v>E2_4_2_10_kcat : 13.7</v>
      </c>
      <c r="F156" s="30" t="str">
        <f t="shared" si="36"/>
        <v>E2_4_2_10_km : 1</v>
      </c>
      <c r="G156" s="31" t="str">
        <f t="shared" si="37"/>
        <v>E2_4_2_10_mRNA : E2_4_2_10_mRNA</v>
      </c>
      <c r="H156" s="32" t="str">
        <f t="shared" si="38"/>
        <v>E2_4_2_10 : E2_4_2_10</v>
      </c>
      <c r="I156" s="33" t="str">
        <f t="shared" si="39"/>
        <v>E2_4_2_10_mRNA : 0</v>
      </c>
      <c r="J156" s="16" t="str">
        <f t="shared" si="40"/>
        <v>E2_4_2_10 : 0</v>
      </c>
      <c r="K156" s="34" t="str">
        <f t="shared" si="41"/>
        <v>0.00292 - (0.0093 * E2_4_2_10_mRNA)</v>
      </c>
      <c r="L156" s="31" t="str">
        <f t="shared" si="42"/>
        <v>(0.278 * E2_4_2_10_mRNA) - (0.00000278 * E2_4_2_10)</v>
      </c>
      <c r="M156" s="35" t="str">
        <f t="shared" si="43"/>
        <v>mRNA155: -&gt; E2_4_2_10_mRNA | 0.00292 - (0.0093 * E2_4_2_10_mRNA)</v>
      </c>
      <c r="N156" s="29" t="str">
        <f t="shared" si="32"/>
        <v>Peptide155: E2_4_2_10_mRNA -&gt; E2_4_2_10 | (0.278 * E2_4_2_10_mRNA) - (0.000000278 * E2_4_2_10)</v>
      </c>
    </row>
    <row r="157" spans="1:14">
      <c r="A157">
        <v>156</v>
      </c>
      <c r="B157" t="s">
        <v>12887</v>
      </c>
      <c r="C157" t="str">
        <f t="shared" si="33"/>
        <v>E2_4_2_14_mRNA</v>
      </c>
      <c r="D157" t="str">
        <f t="shared" si="34"/>
        <v>E2_4_2_14</v>
      </c>
      <c r="E157" s="29" t="str">
        <f t="shared" si="35"/>
        <v>E2_4_2_14_kcat : 13.7</v>
      </c>
      <c r="F157" s="30" t="str">
        <f t="shared" si="36"/>
        <v>E2_4_2_14_km : 1</v>
      </c>
      <c r="G157" s="31" t="str">
        <f t="shared" si="37"/>
        <v>E2_4_2_14_mRNA : E2_4_2_14_mRNA</v>
      </c>
      <c r="H157" s="32" t="str">
        <f t="shared" si="38"/>
        <v>E2_4_2_14 : E2_4_2_14</v>
      </c>
      <c r="I157" s="33" t="str">
        <f t="shared" si="39"/>
        <v>E2_4_2_14_mRNA : 0</v>
      </c>
      <c r="J157" s="16" t="str">
        <f t="shared" si="40"/>
        <v>E2_4_2_14 : 0</v>
      </c>
      <c r="K157" s="34" t="str">
        <f t="shared" si="41"/>
        <v>0.00292 - (0.0093 * E2_4_2_14_mRNA)</v>
      </c>
      <c r="L157" s="31" t="str">
        <f t="shared" si="42"/>
        <v>(0.278 * E2_4_2_14_mRNA) - (0.00000278 * E2_4_2_14)</v>
      </c>
      <c r="M157" s="35" t="str">
        <f t="shared" si="43"/>
        <v>mRNA156: -&gt; E2_4_2_14_mRNA | 0.00292 - (0.0093 * E2_4_2_14_mRNA)</v>
      </c>
      <c r="N157" s="29" t="str">
        <f t="shared" si="32"/>
        <v>Peptide156: E2_4_2_14_mRNA -&gt; E2_4_2_14 | (0.278 * E2_4_2_14_mRNA) - (0.000000278 * E2_4_2_14)</v>
      </c>
    </row>
    <row r="158" spans="1:14">
      <c r="A158">
        <v>157</v>
      </c>
      <c r="B158" t="s">
        <v>12888</v>
      </c>
      <c r="C158" t="str">
        <f t="shared" si="33"/>
        <v>E2_4_2_17_mRNA</v>
      </c>
      <c r="D158" t="str">
        <f t="shared" si="34"/>
        <v>E2_4_2_17</v>
      </c>
      <c r="E158" s="29" t="str">
        <f t="shared" si="35"/>
        <v>E2_4_2_17_kcat : 13.7</v>
      </c>
      <c r="F158" s="30" t="str">
        <f t="shared" si="36"/>
        <v>E2_4_2_17_km : 1</v>
      </c>
      <c r="G158" s="31" t="str">
        <f t="shared" si="37"/>
        <v>E2_4_2_17_mRNA : E2_4_2_17_mRNA</v>
      </c>
      <c r="H158" s="32" t="str">
        <f t="shared" si="38"/>
        <v>E2_4_2_17 : E2_4_2_17</v>
      </c>
      <c r="I158" s="33" t="str">
        <f t="shared" si="39"/>
        <v>E2_4_2_17_mRNA : 0</v>
      </c>
      <c r="J158" s="16" t="str">
        <f t="shared" si="40"/>
        <v>E2_4_2_17 : 0</v>
      </c>
      <c r="K158" s="34" t="str">
        <f t="shared" si="41"/>
        <v>0.00292 - (0.0093 * E2_4_2_17_mRNA)</v>
      </c>
      <c r="L158" s="31" t="str">
        <f t="shared" si="42"/>
        <v>(0.278 * E2_4_2_17_mRNA) - (0.00000278 * E2_4_2_17)</v>
      </c>
      <c r="M158" s="35" t="str">
        <f t="shared" si="43"/>
        <v>mRNA157: -&gt; E2_4_2_17_mRNA | 0.00292 - (0.0093 * E2_4_2_17_mRNA)</v>
      </c>
      <c r="N158" s="29" t="str">
        <f t="shared" si="32"/>
        <v>Peptide157: E2_4_2_17_mRNA -&gt; E2_4_2_17 | (0.278 * E2_4_2_17_mRNA) - (0.000000278 * E2_4_2_17)</v>
      </c>
    </row>
    <row r="159" spans="1:14">
      <c r="A159">
        <v>158</v>
      </c>
      <c r="B159" t="s">
        <v>12889</v>
      </c>
      <c r="C159" t="str">
        <f t="shared" si="33"/>
        <v>E2_4_2_18_mRNA</v>
      </c>
      <c r="D159" t="str">
        <f t="shared" si="34"/>
        <v>E2_4_2_18</v>
      </c>
      <c r="E159" s="29" t="str">
        <f t="shared" si="35"/>
        <v>E2_4_2_18_kcat : 13.7</v>
      </c>
      <c r="F159" s="30" t="str">
        <f t="shared" si="36"/>
        <v>E2_4_2_18_km : 1</v>
      </c>
      <c r="G159" s="31" t="str">
        <f t="shared" si="37"/>
        <v>E2_4_2_18_mRNA : E2_4_2_18_mRNA</v>
      </c>
      <c r="H159" s="32" t="str">
        <f t="shared" si="38"/>
        <v>E2_4_2_18 : E2_4_2_18</v>
      </c>
      <c r="I159" s="33" t="str">
        <f t="shared" si="39"/>
        <v>E2_4_2_18_mRNA : 0</v>
      </c>
      <c r="J159" s="16" t="str">
        <f t="shared" si="40"/>
        <v>E2_4_2_18 : 0</v>
      </c>
      <c r="K159" s="34" t="str">
        <f t="shared" si="41"/>
        <v>0.00292 - (0.0093 * E2_4_2_18_mRNA)</v>
      </c>
      <c r="L159" s="31" t="str">
        <f t="shared" si="42"/>
        <v>(0.278 * E2_4_2_18_mRNA) - (0.00000278 * E2_4_2_18)</v>
      </c>
      <c r="M159" s="35" t="str">
        <f t="shared" si="43"/>
        <v>mRNA158: -&gt; E2_4_2_18_mRNA | 0.00292 - (0.0093 * E2_4_2_18_mRNA)</v>
      </c>
      <c r="N159" s="29" t="str">
        <f t="shared" si="32"/>
        <v>Peptide158: E2_4_2_18_mRNA -&gt; E2_4_2_18 | (0.278 * E2_4_2_18_mRNA) - (0.000000278 * E2_4_2_18)</v>
      </c>
    </row>
    <row r="160" spans="1:14">
      <c r="A160">
        <v>159</v>
      </c>
      <c r="B160" t="s">
        <v>12890</v>
      </c>
      <c r="C160" t="str">
        <f t="shared" si="33"/>
        <v>E2_4_2_19_mRNA</v>
      </c>
      <c r="D160" t="str">
        <f t="shared" si="34"/>
        <v>E2_4_2_19</v>
      </c>
      <c r="E160" s="29" t="str">
        <f t="shared" si="35"/>
        <v>E2_4_2_19_kcat : 13.7</v>
      </c>
      <c r="F160" s="30" t="str">
        <f t="shared" si="36"/>
        <v>E2_4_2_19_km : 1</v>
      </c>
      <c r="G160" s="31" t="str">
        <f t="shared" si="37"/>
        <v>E2_4_2_19_mRNA : E2_4_2_19_mRNA</v>
      </c>
      <c r="H160" s="32" t="str">
        <f t="shared" si="38"/>
        <v>E2_4_2_19 : E2_4_2_19</v>
      </c>
      <c r="I160" s="33" t="str">
        <f t="shared" si="39"/>
        <v>E2_4_2_19_mRNA : 0</v>
      </c>
      <c r="J160" s="16" t="str">
        <f t="shared" si="40"/>
        <v>E2_4_2_19 : 0</v>
      </c>
      <c r="K160" s="34" t="str">
        <f t="shared" si="41"/>
        <v>0.00292 - (0.0093 * E2_4_2_19_mRNA)</v>
      </c>
      <c r="L160" s="31" t="str">
        <f t="shared" si="42"/>
        <v>(0.278 * E2_4_2_19_mRNA) - (0.00000278 * E2_4_2_19)</v>
      </c>
      <c r="M160" s="35" t="str">
        <f t="shared" si="43"/>
        <v>mRNA159: -&gt; E2_4_2_19_mRNA | 0.00292 - (0.0093 * E2_4_2_19_mRNA)</v>
      </c>
      <c r="N160" s="29" t="str">
        <f t="shared" si="32"/>
        <v>Peptide159: E2_4_2_19_mRNA -&gt; E2_4_2_19 | (0.278 * E2_4_2_19_mRNA) - (0.000000278 * E2_4_2_19)</v>
      </c>
    </row>
    <row r="161" spans="1:14">
      <c r="A161">
        <v>160</v>
      </c>
      <c r="B161" t="s">
        <v>12891</v>
      </c>
      <c r="C161" t="str">
        <f t="shared" si="33"/>
        <v>E2_4_2_21_mRNA</v>
      </c>
      <c r="D161" t="str">
        <f t="shared" si="34"/>
        <v>E2_4_2_21</v>
      </c>
      <c r="E161" s="29" t="str">
        <f t="shared" si="35"/>
        <v>E2_4_2_21_kcat : 13.7</v>
      </c>
      <c r="F161" s="30" t="str">
        <f t="shared" si="36"/>
        <v>E2_4_2_21_km : 1</v>
      </c>
      <c r="G161" s="31" t="str">
        <f t="shared" si="37"/>
        <v>E2_4_2_21_mRNA : E2_4_2_21_mRNA</v>
      </c>
      <c r="H161" s="32" t="str">
        <f t="shared" si="38"/>
        <v>E2_4_2_21 : E2_4_2_21</v>
      </c>
      <c r="I161" s="33" t="str">
        <f t="shared" si="39"/>
        <v>E2_4_2_21_mRNA : 0</v>
      </c>
      <c r="J161" s="16" t="str">
        <f t="shared" si="40"/>
        <v>E2_4_2_21 : 0</v>
      </c>
      <c r="K161" s="34" t="str">
        <f t="shared" si="41"/>
        <v>0.00292 - (0.0093 * E2_4_2_21_mRNA)</v>
      </c>
      <c r="L161" s="31" t="str">
        <f t="shared" si="42"/>
        <v>(0.278 * E2_4_2_21_mRNA) - (0.00000278 * E2_4_2_21)</v>
      </c>
      <c r="M161" s="35" t="str">
        <f t="shared" si="43"/>
        <v>mRNA160: -&gt; E2_4_2_21_mRNA | 0.00292 - (0.0093 * E2_4_2_21_mRNA)</v>
      </c>
      <c r="N161" s="29" t="str">
        <f t="shared" si="32"/>
        <v>Peptide160: E2_4_2_21_mRNA -&gt; E2_4_2_21 | (0.278 * E2_4_2_21_mRNA) - (0.000000278 * E2_4_2_21)</v>
      </c>
    </row>
    <row r="162" spans="1:14">
      <c r="A162">
        <v>161</v>
      </c>
      <c r="B162" t="s">
        <v>16028</v>
      </c>
      <c r="C162" t="str">
        <f t="shared" si="33"/>
        <v>E2_4_2_29_mRNA</v>
      </c>
      <c r="D162" t="str">
        <f t="shared" si="34"/>
        <v>E2_4_2_29</v>
      </c>
      <c r="E162" s="29" t="str">
        <f t="shared" si="35"/>
        <v>E2_4_2_29_kcat : 13.7</v>
      </c>
      <c r="F162" s="30" t="str">
        <f t="shared" si="36"/>
        <v>E2_4_2_29_km : 1</v>
      </c>
      <c r="G162" s="31" t="str">
        <f t="shared" si="37"/>
        <v>E2_4_2_29_mRNA : E2_4_2_29_mRNA</v>
      </c>
      <c r="H162" s="32" t="str">
        <f t="shared" si="38"/>
        <v>E2_4_2_29 : E2_4_2_29</v>
      </c>
      <c r="I162" s="33" t="str">
        <f t="shared" si="39"/>
        <v>E2_4_2_29_mRNA : 0</v>
      </c>
      <c r="J162" s="16" t="str">
        <f t="shared" si="40"/>
        <v>E2_4_2_29 : 0</v>
      </c>
      <c r="K162" s="34" t="str">
        <f t="shared" si="41"/>
        <v>0.00292 - (0.0093 * E2_4_2_29_mRNA)</v>
      </c>
      <c r="L162" s="31" t="str">
        <f t="shared" si="42"/>
        <v>(0.278 * E2_4_2_29_mRNA) - (0.00000278 * E2_4_2_29)</v>
      </c>
      <c r="M162" s="35" t="str">
        <f t="shared" si="43"/>
        <v>mRNA161: -&gt; E2_4_2_29_mRNA | 0.00292 - (0.0093 * E2_4_2_29_mRNA)</v>
      </c>
      <c r="N162" s="29" t="str">
        <f t="shared" si="32"/>
        <v>Peptide161: E2_4_2_29_mRNA -&gt; E2_4_2_29 | (0.278 * E2_4_2_29_mRNA) - (0.000000278 * E2_4_2_29)</v>
      </c>
    </row>
    <row r="163" spans="1:14">
      <c r="A163">
        <v>162</v>
      </c>
      <c r="B163" t="s">
        <v>12892</v>
      </c>
      <c r="C163" t="str">
        <f t="shared" si="33"/>
        <v>E2_4_2_45_mRNA</v>
      </c>
      <c r="D163" t="str">
        <f t="shared" si="34"/>
        <v>E2_4_2_45</v>
      </c>
      <c r="E163" s="29" t="str">
        <f t="shared" si="35"/>
        <v>E2_4_2_45_kcat : 13.7</v>
      </c>
      <c r="F163" s="30" t="str">
        <f t="shared" si="36"/>
        <v>E2_4_2_45_km : 1</v>
      </c>
      <c r="G163" s="31" t="str">
        <f t="shared" si="37"/>
        <v>E2_4_2_45_mRNA : E2_4_2_45_mRNA</v>
      </c>
      <c r="H163" s="32" t="str">
        <f t="shared" si="38"/>
        <v>E2_4_2_45 : E2_4_2_45</v>
      </c>
      <c r="I163" s="33" t="str">
        <f t="shared" si="39"/>
        <v>E2_4_2_45_mRNA : 0</v>
      </c>
      <c r="J163" s="16" t="str">
        <f t="shared" si="40"/>
        <v>E2_4_2_45 : 0</v>
      </c>
      <c r="K163" s="34" t="str">
        <f t="shared" si="41"/>
        <v>0.00292 - (0.0093 * E2_4_2_45_mRNA)</v>
      </c>
      <c r="L163" s="31" t="str">
        <f t="shared" si="42"/>
        <v>(0.278 * E2_4_2_45_mRNA) - (0.00000278 * E2_4_2_45)</v>
      </c>
      <c r="M163" s="35" t="str">
        <f t="shared" si="43"/>
        <v>mRNA162: -&gt; E2_4_2_45_mRNA | 0.00292 - (0.0093 * E2_4_2_45_mRNA)</v>
      </c>
      <c r="N163" s="29" t="str">
        <f t="shared" si="32"/>
        <v>Peptide162: E2_4_2_45_mRNA -&gt; E2_4_2_45 | (0.278 * E2_4_2_45_mRNA) - (0.000000278 * E2_4_2_45)</v>
      </c>
    </row>
    <row r="164" spans="1:14">
      <c r="A164">
        <v>163</v>
      </c>
      <c r="B164" t="s">
        <v>12893</v>
      </c>
      <c r="C164" t="str">
        <f t="shared" si="33"/>
        <v>E2_4_2_47_mRNA</v>
      </c>
      <c r="D164" t="str">
        <f t="shared" si="34"/>
        <v>E2_4_2_47</v>
      </c>
      <c r="E164" s="29" t="str">
        <f t="shared" si="35"/>
        <v>E2_4_2_47_kcat : 13.7</v>
      </c>
      <c r="F164" s="30" t="str">
        <f t="shared" si="36"/>
        <v>E2_4_2_47_km : 1</v>
      </c>
      <c r="G164" s="31" t="str">
        <f t="shared" si="37"/>
        <v>E2_4_2_47_mRNA : E2_4_2_47_mRNA</v>
      </c>
      <c r="H164" s="32" t="str">
        <f t="shared" si="38"/>
        <v>E2_4_2_47 : E2_4_2_47</v>
      </c>
      <c r="I164" s="33" t="str">
        <f t="shared" si="39"/>
        <v>E2_4_2_47_mRNA : 0</v>
      </c>
      <c r="J164" s="16" t="str">
        <f t="shared" si="40"/>
        <v>E2_4_2_47 : 0</v>
      </c>
      <c r="K164" s="34" t="str">
        <f t="shared" si="41"/>
        <v>0.00292 - (0.0093 * E2_4_2_47_mRNA)</v>
      </c>
      <c r="L164" s="31" t="str">
        <f t="shared" si="42"/>
        <v>(0.278 * E2_4_2_47_mRNA) - (0.00000278 * E2_4_2_47)</v>
      </c>
      <c r="M164" s="35" t="str">
        <f t="shared" si="43"/>
        <v>mRNA163: -&gt; E2_4_2_47_mRNA | 0.00292 - (0.0093 * E2_4_2_47_mRNA)</v>
      </c>
      <c r="N164" s="29" t="str">
        <f t="shared" si="32"/>
        <v>Peptide163: E2_4_2_47_mRNA -&gt; E2_4_2_47 | (0.278 * E2_4_2_47_mRNA) - (0.000000278 * E2_4_2_47)</v>
      </c>
    </row>
    <row r="165" spans="1:14">
      <c r="A165">
        <v>164</v>
      </c>
      <c r="B165" s="45" t="s">
        <v>17612</v>
      </c>
      <c r="C165" t="str">
        <f t="shared" si="33"/>
        <v>E2_4_2_52_mRNA</v>
      </c>
      <c r="D165" t="str">
        <f t="shared" si="34"/>
        <v>E2_4_2_52</v>
      </c>
      <c r="E165" s="29" t="str">
        <f t="shared" si="35"/>
        <v>E2_4_2_52_kcat : 13.7</v>
      </c>
      <c r="F165" s="30" t="str">
        <f t="shared" si="36"/>
        <v>E2_4_2_52_km : 1</v>
      </c>
      <c r="G165" s="31" t="str">
        <f t="shared" si="37"/>
        <v>E2_4_2_52_mRNA : E2_4_2_52_mRNA</v>
      </c>
      <c r="H165" s="32" t="str">
        <f t="shared" si="38"/>
        <v>E2_4_2_52 : E2_4_2_52</v>
      </c>
      <c r="I165" s="33" t="str">
        <f t="shared" si="39"/>
        <v>E2_4_2_52_mRNA : 0</v>
      </c>
      <c r="J165" s="16" t="str">
        <f t="shared" si="40"/>
        <v>E2_4_2_52 : 0</v>
      </c>
      <c r="K165" s="34" t="str">
        <f t="shared" si="41"/>
        <v>0.00292 - (0.0093 * E2_4_2_52_mRNA)</v>
      </c>
      <c r="L165" s="31" t="str">
        <f t="shared" si="42"/>
        <v>(0.278 * E2_4_2_52_mRNA) - (0.00000278 * E2_4_2_52)</v>
      </c>
      <c r="M165" s="35" t="str">
        <f t="shared" si="43"/>
        <v>mRNA164: -&gt; E2_4_2_52_mRNA | 0.00292 - (0.0093 * E2_4_2_52_mRNA)</v>
      </c>
      <c r="N165" s="29" t="str">
        <f t="shared" si="32"/>
        <v>Peptide164: E2_4_2_52_mRNA -&gt; E2_4_2_52 | (0.278 * E2_4_2_52_mRNA) - (0.000000278 * E2_4_2_52)</v>
      </c>
    </row>
    <row r="166" spans="1:14">
      <c r="A166">
        <v>165</v>
      </c>
      <c r="B166" t="s">
        <v>12894</v>
      </c>
      <c r="C166" t="str">
        <f t="shared" si="33"/>
        <v>E2_4_2_7_mRNA</v>
      </c>
      <c r="D166" t="str">
        <f t="shared" si="34"/>
        <v>E2_4_2_7</v>
      </c>
      <c r="E166" s="29" t="str">
        <f t="shared" si="35"/>
        <v>E2_4_2_7_kcat : 13.7</v>
      </c>
      <c r="F166" s="30" t="str">
        <f t="shared" si="36"/>
        <v>E2_4_2_7_km : 1</v>
      </c>
      <c r="G166" s="31" t="str">
        <f t="shared" si="37"/>
        <v>E2_4_2_7_mRNA : E2_4_2_7_mRNA</v>
      </c>
      <c r="H166" s="32" t="str">
        <f t="shared" si="38"/>
        <v>E2_4_2_7 : E2_4_2_7</v>
      </c>
      <c r="I166" s="33" t="str">
        <f t="shared" si="39"/>
        <v>E2_4_2_7_mRNA : 0</v>
      </c>
      <c r="J166" s="16" t="str">
        <f t="shared" si="40"/>
        <v>E2_4_2_7 : 0</v>
      </c>
      <c r="K166" s="34" t="str">
        <f t="shared" si="41"/>
        <v>0.00292 - (0.0093 * E2_4_2_7_mRNA)</v>
      </c>
      <c r="L166" s="31" t="str">
        <f t="shared" si="42"/>
        <v>(0.278 * E2_4_2_7_mRNA) - (0.00000278 * E2_4_2_7)</v>
      </c>
      <c r="M166" s="35" t="str">
        <f t="shared" si="43"/>
        <v>mRNA165: -&gt; E2_4_2_7_mRNA | 0.00292 - (0.0093 * E2_4_2_7_mRNA)</v>
      </c>
      <c r="N166" s="29" t="str">
        <f t="shared" si="32"/>
        <v>Peptide165: E2_4_2_7_mRNA -&gt; E2_4_2_7 | (0.278 * E2_4_2_7_mRNA) - (0.000000278 * E2_4_2_7)</v>
      </c>
    </row>
    <row r="167" spans="1:14">
      <c r="A167">
        <v>166</v>
      </c>
      <c r="B167" t="s">
        <v>12895</v>
      </c>
      <c r="C167" t="str">
        <f t="shared" si="33"/>
        <v>E2_4_2_8_mRNA</v>
      </c>
      <c r="D167" t="str">
        <f t="shared" si="34"/>
        <v>E2_4_2_8</v>
      </c>
      <c r="E167" s="29" t="str">
        <f t="shared" si="35"/>
        <v>E2_4_2_8_kcat : 13.7</v>
      </c>
      <c r="F167" s="30" t="str">
        <f t="shared" si="36"/>
        <v>E2_4_2_8_km : 1</v>
      </c>
      <c r="G167" s="31" t="str">
        <f t="shared" si="37"/>
        <v>E2_4_2_8_mRNA : E2_4_2_8_mRNA</v>
      </c>
      <c r="H167" s="32" t="str">
        <f t="shared" si="38"/>
        <v>E2_4_2_8 : E2_4_2_8</v>
      </c>
      <c r="I167" s="33" t="str">
        <f t="shared" si="39"/>
        <v>E2_4_2_8_mRNA : 0</v>
      </c>
      <c r="J167" s="16" t="str">
        <f t="shared" si="40"/>
        <v>E2_4_2_8 : 0</v>
      </c>
      <c r="K167" s="34" t="str">
        <f t="shared" si="41"/>
        <v>0.00292 - (0.0093 * E2_4_2_8_mRNA)</v>
      </c>
      <c r="L167" s="31" t="str">
        <f t="shared" si="42"/>
        <v>(0.278 * E2_4_2_8_mRNA) - (0.00000278 * E2_4_2_8)</v>
      </c>
      <c r="M167" s="35" t="str">
        <f t="shared" si="43"/>
        <v>mRNA166: -&gt; E2_4_2_8_mRNA | 0.00292 - (0.0093 * E2_4_2_8_mRNA)</v>
      </c>
      <c r="N167" s="29" t="str">
        <f t="shared" si="32"/>
        <v>Peptide166: E2_4_2_8_mRNA -&gt; E2_4_2_8 | (0.278 * E2_4_2_8_mRNA) - (0.000000278 * E2_4_2_8)</v>
      </c>
    </row>
    <row r="168" spans="1:14">
      <c r="A168">
        <v>167</v>
      </c>
      <c r="B168" t="s">
        <v>12896</v>
      </c>
      <c r="C168" t="str">
        <f t="shared" si="33"/>
        <v>E2_4_2_9_mRNA</v>
      </c>
      <c r="D168" t="str">
        <f t="shared" si="34"/>
        <v>E2_4_2_9</v>
      </c>
      <c r="E168" s="29" t="str">
        <f t="shared" si="35"/>
        <v>E2_4_2_9_kcat : 13.7</v>
      </c>
      <c r="F168" s="30" t="str">
        <f t="shared" si="36"/>
        <v>E2_4_2_9_km : 1</v>
      </c>
      <c r="G168" s="31" t="str">
        <f t="shared" si="37"/>
        <v>E2_4_2_9_mRNA : E2_4_2_9_mRNA</v>
      </c>
      <c r="H168" s="32" t="str">
        <f t="shared" si="38"/>
        <v>E2_4_2_9 : E2_4_2_9</v>
      </c>
      <c r="I168" s="33" t="str">
        <f t="shared" si="39"/>
        <v>E2_4_2_9_mRNA : 0</v>
      </c>
      <c r="J168" s="16" t="str">
        <f t="shared" si="40"/>
        <v>E2_4_2_9 : 0</v>
      </c>
      <c r="K168" s="34" t="str">
        <f t="shared" si="41"/>
        <v>0.00292 - (0.0093 * E2_4_2_9_mRNA)</v>
      </c>
      <c r="L168" s="31" t="str">
        <f t="shared" si="42"/>
        <v>(0.278 * E2_4_2_9_mRNA) - (0.00000278 * E2_4_2_9)</v>
      </c>
      <c r="M168" s="35" t="str">
        <f t="shared" si="43"/>
        <v>mRNA167: -&gt; E2_4_2_9_mRNA | 0.00292 - (0.0093 * E2_4_2_9_mRNA)</v>
      </c>
      <c r="N168" s="29" t="str">
        <f t="shared" si="32"/>
        <v>Peptide167: E2_4_2_9_mRNA -&gt; E2_4_2_9 | (0.278 * E2_4_2_9_mRNA) - (0.000000278 * E2_4_2_9)</v>
      </c>
    </row>
    <row r="169" spans="1:14">
      <c r="A169">
        <v>168</v>
      </c>
      <c r="B169" t="s">
        <v>16029</v>
      </c>
      <c r="C169" t="str">
        <f t="shared" si="33"/>
        <v>E2_4_99_16_mRNA</v>
      </c>
      <c r="D169" t="str">
        <f t="shared" si="34"/>
        <v>E2_4_99_16</v>
      </c>
      <c r="E169" s="29" t="str">
        <f t="shared" si="35"/>
        <v>E2_4_99_16_kcat : 13.7</v>
      </c>
      <c r="F169" s="30" t="str">
        <f t="shared" si="36"/>
        <v>E2_4_99_16_km : 1</v>
      </c>
      <c r="G169" s="31" t="str">
        <f t="shared" si="37"/>
        <v>E2_4_99_16_mRNA : E2_4_99_16_mRNA</v>
      </c>
      <c r="H169" s="32" t="str">
        <f t="shared" si="38"/>
        <v>E2_4_99_16 : E2_4_99_16</v>
      </c>
      <c r="I169" s="33" t="str">
        <f t="shared" si="39"/>
        <v>E2_4_99_16_mRNA : 0</v>
      </c>
      <c r="J169" s="16" t="str">
        <f t="shared" si="40"/>
        <v>E2_4_99_16 : 0</v>
      </c>
      <c r="K169" s="34" t="str">
        <f t="shared" si="41"/>
        <v>0.00292 - (0.0093 * E2_4_99_16_mRNA)</v>
      </c>
      <c r="L169" s="31" t="str">
        <f t="shared" si="42"/>
        <v>(0.278 * E2_4_99_16_mRNA) - (0.00000278 * E2_4_99_16)</v>
      </c>
      <c r="M169" s="35" t="str">
        <f t="shared" si="43"/>
        <v>mRNA168: -&gt; E2_4_99_16_mRNA | 0.00292 - (0.0093 * E2_4_99_16_mRNA)</v>
      </c>
      <c r="N169" s="29" t="str">
        <f t="shared" si="32"/>
        <v>Peptide168: E2_4_99_16_mRNA -&gt; E2_4_99_16 | (0.278 * E2_4_99_16_mRNA) - (0.000000278 * E2_4_99_16)</v>
      </c>
    </row>
    <row r="170" spans="1:14">
      <c r="A170">
        <v>169</v>
      </c>
      <c r="B170" t="s">
        <v>16030</v>
      </c>
      <c r="C170" t="str">
        <f t="shared" si="33"/>
        <v>E2_4_99_28_mRNA</v>
      </c>
      <c r="D170" t="str">
        <f t="shared" si="34"/>
        <v>E2_4_99_28</v>
      </c>
      <c r="E170" s="29" t="str">
        <f t="shared" si="35"/>
        <v>E2_4_99_28_kcat : 13.7</v>
      </c>
      <c r="F170" s="30" t="str">
        <f t="shared" si="36"/>
        <v>E2_4_99_28_km : 1</v>
      </c>
      <c r="G170" s="31" t="str">
        <f t="shared" si="37"/>
        <v>E2_4_99_28_mRNA : E2_4_99_28_mRNA</v>
      </c>
      <c r="H170" s="32" t="str">
        <f t="shared" si="38"/>
        <v>E2_4_99_28 : E2_4_99_28</v>
      </c>
      <c r="I170" s="33" t="str">
        <f t="shared" si="39"/>
        <v>E2_4_99_28_mRNA : 0</v>
      </c>
      <c r="J170" s="16" t="str">
        <f t="shared" si="40"/>
        <v>E2_4_99_28 : 0</v>
      </c>
      <c r="K170" s="34" t="str">
        <f t="shared" si="41"/>
        <v>0.00292 - (0.0093 * E2_4_99_28_mRNA)</v>
      </c>
      <c r="L170" s="31" t="str">
        <f t="shared" si="42"/>
        <v>(0.278 * E2_4_99_28_mRNA) - (0.00000278 * E2_4_99_28)</v>
      </c>
      <c r="M170" s="35" t="str">
        <f t="shared" si="43"/>
        <v>mRNA169: -&gt; E2_4_99_28_mRNA | 0.00292 - (0.0093 * E2_4_99_28_mRNA)</v>
      </c>
      <c r="N170" s="29" t="str">
        <f t="shared" si="32"/>
        <v>Peptide169: E2_4_99_28_mRNA -&gt; E2_4_99_28 | (0.278 * E2_4_99_28_mRNA) - (0.000000278 * E2_4_99_28)</v>
      </c>
    </row>
    <row r="171" spans="1:14">
      <c r="A171">
        <v>170</v>
      </c>
      <c r="B171" t="s">
        <v>12897</v>
      </c>
      <c r="C171" t="str">
        <f t="shared" si="33"/>
        <v>E2_5_1_141_mRNA</v>
      </c>
      <c r="D171" t="str">
        <f t="shared" si="34"/>
        <v>E2_5_1_141</v>
      </c>
      <c r="E171" s="29" t="str">
        <f t="shared" si="35"/>
        <v>E2_5_1_141_kcat : 13.7</v>
      </c>
      <c r="F171" s="30" t="str">
        <f t="shared" si="36"/>
        <v>E2_5_1_141_km : 1</v>
      </c>
      <c r="G171" s="31" t="str">
        <f t="shared" si="37"/>
        <v>E2_5_1_141_mRNA : E2_5_1_141_mRNA</v>
      </c>
      <c r="H171" s="32" t="str">
        <f t="shared" si="38"/>
        <v>E2_5_1_141 : E2_5_1_141</v>
      </c>
      <c r="I171" s="33" t="str">
        <f t="shared" si="39"/>
        <v>E2_5_1_141_mRNA : 0</v>
      </c>
      <c r="J171" s="16" t="str">
        <f t="shared" si="40"/>
        <v>E2_5_1_141 : 0</v>
      </c>
      <c r="K171" s="34" t="str">
        <f t="shared" si="41"/>
        <v>0.00292 - (0.0093 * E2_5_1_141_mRNA)</v>
      </c>
      <c r="L171" s="31" t="str">
        <f t="shared" si="42"/>
        <v>(0.278 * E2_5_1_141_mRNA) - (0.00000278 * E2_5_1_141)</v>
      </c>
      <c r="M171" s="35" t="str">
        <f t="shared" si="43"/>
        <v>mRNA170: -&gt; E2_5_1_141_mRNA | 0.00292 - (0.0093 * E2_5_1_141_mRNA)</v>
      </c>
      <c r="N171" s="29" t="str">
        <f t="shared" si="32"/>
        <v>Peptide170: E2_5_1_141_mRNA -&gt; E2_5_1_141 | (0.278 * E2_5_1_141_mRNA) - (0.000000278 * E2_5_1_141)</v>
      </c>
    </row>
    <row r="172" spans="1:14">
      <c r="A172">
        <v>171</v>
      </c>
      <c r="B172" t="s">
        <v>12898</v>
      </c>
      <c r="C172" t="str">
        <f t="shared" si="33"/>
        <v>E2_5_1_145_mRNA</v>
      </c>
      <c r="D172" t="str">
        <f t="shared" si="34"/>
        <v>E2_5_1_145</v>
      </c>
      <c r="E172" s="29" t="str">
        <f t="shared" si="35"/>
        <v>E2_5_1_145_kcat : 13.7</v>
      </c>
      <c r="F172" s="30" t="str">
        <f t="shared" si="36"/>
        <v>E2_5_1_145_km : 1</v>
      </c>
      <c r="G172" s="31" t="str">
        <f t="shared" si="37"/>
        <v>E2_5_1_145_mRNA : E2_5_1_145_mRNA</v>
      </c>
      <c r="H172" s="32" t="str">
        <f t="shared" si="38"/>
        <v>E2_5_1_145 : E2_5_1_145</v>
      </c>
      <c r="I172" s="33" t="str">
        <f t="shared" si="39"/>
        <v>E2_5_1_145_mRNA : 0</v>
      </c>
      <c r="J172" s="16" t="str">
        <f t="shared" si="40"/>
        <v>E2_5_1_145 : 0</v>
      </c>
      <c r="K172" s="34" t="str">
        <f t="shared" si="41"/>
        <v>0.00292 - (0.0093 * E2_5_1_145_mRNA)</v>
      </c>
      <c r="L172" s="31" t="str">
        <f t="shared" si="42"/>
        <v>(0.278 * E2_5_1_145_mRNA) - (0.00000278 * E2_5_1_145)</v>
      </c>
      <c r="M172" s="35" t="str">
        <f t="shared" si="43"/>
        <v>mRNA171: -&gt; E2_5_1_145_mRNA | 0.00292 - (0.0093 * E2_5_1_145_mRNA)</v>
      </c>
      <c r="N172" s="29" t="str">
        <f t="shared" si="32"/>
        <v>Peptide171: E2_5_1_145_mRNA -&gt; E2_5_1_145 | (0.278 * E2_5_1_145_mRNA) - (0.000000278 * E2_5_1_145)</v>
      </c>
    </row>
    <row r="173" spans="1:14">
      <c r="A173">
        <v>172</v>
      </c>
      <c r="B173" t="s">
        <v>12899</v>
      </c>
      <c r="C173" t="str">
        <f t="shared" si="33"/>
        <v>E2_5_1_15_mRNA</v>
      </c>
      <c r="D173" t="str">
        <f t="shared" si="34"/>
        <v>E2_5_1_15</v>
      </c>
      <c r="E173" s="29" t="str">
        <f t="shared" si="35"/>
        <v>E2_5_1_15_kcat : 13.7</v>
      </c>
      <c r="F173" s="30" t="str">
        <f t="shared" si="36"/>
        <v>E2_5_1_15_km : 1</v>
      </c>
      <c r="G173" s="31" t="str">
        <f t="shared" si="37"/>
        <v>E2_5_1_15_mRNA : E2_5_1_15_mRNA</v>
      </c>
      <c r="H173" s="32" t="str">
        <f t="shared" si="38"/>
        <v>E2_5_1_15 : E2_5_1_15</v>
      </c>
      <c r="I173" s="33" t="str">
        <f t="shared" si="39"/>
        <v>E2_5_1_15_mRNA : 0</v>
      </c>
      <c r="J173" s="16" t="str">
        <f t="shared" si="40"/>
        <v>E2_5_1_15 : 0</v>
      </c>
      <c r="K173" s="34" t="str">
        <f t="shared" si="41"/>
        <v>0.00292 - (0.0093 * E2_5_1_15_mRNA)</v>
      </c>
      <c r="L173" s="31" t="str">
        <f t="shared" si="42"/>
        <v>(0.278 * E2_5_1_15_mRNA) - (0.00000278 * E2_5_1_15)</v>
      </c>
      <c r="M173" s="35" t="str">
        <f t="shared" si="43"/>
        <v>mRNA172: -&gt; E2_5_1_15_mRNA | 0.00292 - (0.0093 * E2_5_1_15_mRNA)</v>
      </c>
      <c r="N173" s="29" t="str">
        <f t="shared" si="32"/>
        <v>Peptide172: E2_5_1_15_mRNA -&gt; E2_5_1_15 | (0.278 * E2_5_1_15_mRNA) - (0.000000278 * E2_5_1_15)</v>
      </c>
    </row>
    <row r="174" spans="1:14">
      <c r="A174">
        <v>173</v>
      </c>
      <c r="B174" t="s">
        <v>12900</v>
      </c>
      <c r="C174" t="str">
        <f t="shared" si="33"/>
        <v>E2_5_1_16_mRNA</v>
      </c>
      <c r="D174" t="str">
        <f t="shared" si="34"/>
        <v>E2_5_1_16</v>
      </c>
      <c r="E174" s="29" t="str">
        <f t="shared" si="35"/>
        <v>E2_5_1_16_kcat : 13.7</v>
      </c>
      <c r="F174" s="30" t="str">
        <f t="shared" si="36"/>
        <v>E2_5_1_16_km : 1</v>
      </c>
      <c r="G174" s="31" t="str">
        <f t="shared" si="37"/>
        <v>E2_5_1_16_mRNA : E2_5_1_16_mRNA</v>
      </c>
      <c r="H174" s="32" t="str">
        <f t="shared" si="38"/>
        <v>E2_5_1_16 : E2_5_1_16</v>
      </c>
      <c r="I174" s="33" t="str">
        <f t="shared" si="39"/>
        <v>E2_5_1_16_mRNA : 0</v>
      </c>
      <c r="J174" s="16" t="str">
        <f t="shared" si="40"/>
        <v>E2_5_1_16 : 0</v>
      </c>
      <c r="K174" s="34" t="str">
        <f t="shared" si="41"/>
        <v>0.00292 - (0.0093 * E2_5_1_16_mRNA)</v>
      </c>
      <c r="L174" s="31" t="str">
        <f t="shared" si="42"/>
        <v>(0.278 * E2_5_1_16_mRNA) - (0.00000278 * E2_5_1_16)</v>
      </c>
      <c r="M174" s="35" t="str">
        <f t="shared" si="43"/>
        <v>mRNA173: -&gt; E2_5_1_16_mRNA | 0.00292 - (0.0093 * E2_5_1_16_mRNA)</v>
      </c>
      <c r="N174" s="29" t="str">
        <f t="shared" si="32"/>
        <v>Peptide173: E2_5_1_16_mRNA -&gt; E2_5_1_16 | (0.278 * E2_5_1_16_mRNA) - (0.000000278 * E2_5_1_16)</v>
      </c>
    </row>
    <row r="175" spans="1:14">
      <c r="A175">
        <v>174</v>
      </c>
      <c r="B175" t="s">
        <v>12901</v>
      </c>
      <c r="C175" t="str">
        <f t="shared" si="33"/>
        <v>E2_5_1_17_mRNA</v>
      </c>
      <c r="D175" t="str">
        <f t="shared" si="34"/>
        <v>E2_5_1_17</v>
      </c>
      <c r="E175" s="29" t="str">
        <f t="shared" si="35"/>
        <v>E2_5_1_17_kcat : 13.7</v>
      </c>
      <c r="F175" s="30" t="str">
        <f t="shared" si="36"/>
        <v>E2_5_1_17_km : 1</v>
      </c>
      <c r="G175" s="31" t="str">
        <f t="shared" si="37"/>
        <v>E2_5_1_17_mRNA : E2_5_1_17_mRNA</v>
      </c>
      <c r="H175" s="32" t="str">
        <f t="shared" si="38"/>
        <v>E2_5_1_17 : E2_5_1_17</v>
      </c>
      <c r="I175" s="33" t="str">
        <f t="shared" si="39"/>
        <v>E2_5_1_17_mRNA : 0</v>
      </c>
      <c r="J175" s="16" t="str">
        <f t="shared" si="40"/>
        <v>E2_5_1_17 : 0</v>
      </c>
      <c r="K175" s="34" t="str">
        <f t="shared" si="41"/>
        <v>0.00292 - (0.0093 * E2_5_1_17_mRNA)</v>
      </c>
      <c r="L175" s="31" t="str">
        <f t="shared" si="42"/>
        <v>(0.278 * E2_5_1_17_mRNA) - (0.00000278 * E2_5_1_17)</v>
      </c>
      <c r="M175" s="35" t="str">
        <f t="shared" si="43"/>
        <v>mRNA174: -&gt; E2_5_1_17_mRNA | 0.00292 - (0.0093 * E2_5_1_17_mRNA)</v>
      </c>
      <c r="N175" s="29" t="str">
        <f t="shared" si="32"/>
        <v>Peptide174: E2_5_1_17_mRNA -&gt; E2_5_1_17 | (0.278 * E2_5_1_17_mRNA) - (0.000000278 * E2_5_1_17)</v>
      </c>
    </row>
    <row r="176" spans="1:14">
      <c r="A176">
        <v>175</v>
      </c>
      <c r="B176" t="s">
        <v>12902</v>
      </c>
      <c r="C176" t="str">
        <f t="shared" si="33"/>
        <v>E2_5_1_19_mRNA</v>
      </c>
      <c r="D176" t="str">
        <f t="shared" si="34"/>
        <v>E2_5_1_19</v>
      </c>
      <c r="E176" s="29" t="str">
        <f t="shared" si="35"/>
        <v>E2_5_1_19_kcat : 13.7</v>
      </c>
      <c r="F176" s="30" t="str">
        <f t="shared" si="36"/>
        <v>E2_5_1_19_km : 1</v>
      </c>
      <c r="G176" s="31" t="str">
        <f t="shared" si="37"/>
        <v>E2_5_1_19_mRNA : E2_5_1_19_mRNA</v>
      </c>
      <c r="H176" s="32" t="str">
        <f t="shared" si="38"/>
        <v>E2_5_1_19 : E2_5_1_19</v>
      </c>
      <c r="I176" s="33" t="str">
        <f t="shared" si="39"/>
        <v>E2_5_1_19_mRNA : 0</v>
      </c>
      <c r="J176" s="16" t="str">
        <f t="shared" si="40"/>
        <v>E2_5_1_19 : 0</v>
      </c>
      <c r="K176" s="34" t="str">
        <f t="shared" si="41"/>
        <v>0.00292 - (0.0093 * E2_5_1_19_mRNA)</v>
      </c>
      <c r="L176" s="31" t="str">
        <f t="shared" si="42"/>
        <v>(0.278 * E2_5_1_19_mRNA) - (0.00000278 * E2_5_1_19)</v>
      </c>
      <c r="M176" s="35" t="str">
        <f t="shared" si="43"/>
        <v>mRNA175: -&gt; E2_5_1_19_mRNA | 0.00292 - (0.0093 * E2_5_1_19_mRNA)</v>
      </c>
      <c r="N176" s="29" t="str">
        <f t="shared" si="32"/>
        <v>Peptide175: E2_5_1_19_mRNA -&gt; E2_5_1_19 | (0.278 * E2_5_1_19_mRNA) - (0.000000278 * E2_5_1_19)</v>
      </c>
    </row>
    <row r="177" spans="1:14">
      <c r="A177">
        <v>176</v>
      </c>
      <c r="B177" t="s">
        <v>12903</v>
      </c>
      <c r="C177" t="str">
        <f t="shared" si="33"/>
        <v>E2_5_1_3_mRNA</v>
      </c>
      <c r="D177" t="str">
        <f t="shared" si="34"/>
        <v>E2_5_1_3</v>
      </c>
      <c r="E177" s="29" t="str">
        <f t="shared" si="35"/>
        <v>E2_5_1_3_kcat : 13.7</v>
      </c>
      <c r="F177" s="30" t="str">
        <f t="shared" si="36"/>
        <v>E2_5_1_3_km : 1</v>
      </c>
      <c r="G177" s="31" t="str">
        <f t="shared" si="37"/>
        <v>E2_5_1_3_mRNA : E2_5_1_3_mRNA</v>
      </c>
      <c r="H177" s="32" t="str">
        <f t="shared" si="38"/>
        <v>E2_5_1_3 : E2_5_1_3</v>
      </c>
      <c r="I177" s="33" t="str">
        <f t="shared" si="39"/>
        <v>E2_5_1_3_mRNA : 0</v>
      </c>
      <c r="J177" s="16" t="str">
        <f t="shared" si="40"/>
        <v>E2_5_1_3 : 0</v>
      </c>
      <c r="K177" s="34" t="str">
        <f t="shared" si="41"/>
        <v>0.00292 - (0.0093 * E2_5_1_3_mRNA)</v>
      </c>
      <c r="L177" s="31" t="str">
        <f t="shared" si="42"/>
        <v>(0.278 * E2_5_1_3_mRNA) - (0.00000278 * E2_5_1_3)</v>
      </c>
      <c r="M177" s="35" t="str">
        <f t="shared" si="43"/>
        <v>mRNA176: -&gt; E2_5_1_3_mRNA | 0.00292 - (0.0093 * E2_5_1_3_mRNA)</v>
      </c>
      <c r="N177" s="29" t="str">
        <f t="shared" si="32"/>
        <v>Peptide176: E2_5_1_3_mRNA -&gt; E2_5_1_3 | (0.278 * E2_5_1_3_mRNA) - (0.000000278 * E2_5_1_3)</v>
      </c>
    </row>
    <row r="178" spans="1:14">
      <c r="A178">
        <v>177</v>
      </c>
      <c r="B178" t="s">
        <v>12904</v>
      </c>
      <c r="C178" t="str">
        <f t="shared" si="33"/>
        <v>E2_5_1_47_mRNA</v>
      </c>
      <c r="D178" t="str">
        <f t="shared" si="34"/>
        <v>E2_5_1_47</v>
      </c>
      <c r="E178" s="29" t="str">
        <f t="shared" si="35"/>
        <v>E2_5_1_47_kcat : 13.7</v>
      </c>
      <c r="F178" s="30" t="str">
        <f t="shared" si="36"/>
        <v>E2_5_1_47_km : 1</v>
      </c>
      <c r="G178" s="31" t="str">
        <f t="shared" si="37"/>
        <v>E2_5_1_47_mRNA : E2_5_1_47_mRNA</v>
      </c>
      <c r="H178" s="32" t="str">
        <f t="shared" si="38"/>
        <v>E2_5_1_47 : E2_5_1_47</v>
      </c>
      <c r="I178" s="33" t="str">
        <f t="shared" si="39"/>
        <v>E2_5_1_47_mRNA : 0</v>
      </c>
      <c r="J178" s="16" t="str">
        <f t="shared" si="40"/>
        <v>E2_5_1_47 : 0</v>
      </c>
      <c r="K178" s="34" t="str">
        <f t="shared" si="41"/>
        <v>0.00292 - (0.0093 * E2_5_1_47_mRNA)</v>
      </c>
      <c r="L178" s="31" t="str">
        <f t="shared" si="42"/>
        <v>(0.278 * E2_5_1_47_mRNA) - (0.00000278 * E2_5_1_47)</v>
      </c>
      <c r="M178" s="35" t="str">
        <f t="shared" si="43"/>
        <v>mRNA177: -&gt; E2_5_1_47_mRNA | 0.00292 - (0.0093 * E2_5_1_47_mRNA)</v>
      </c>
      <c r="N178" s="29" t="str">
        <f t="shared" si="32"/>
        <v>Peptide177: E2_5_1_47_mRNA -&gt; E2_5_1_47 | (0.278 * E2_5_1_47_mRNA) - (0.000000278 * E2_5_1_47)</v>
      </c>
    </row>
    <row r="179" spans="1:14">
      <c r="A179">
        <v>178</v>
      </c>
      <c r="B179" t="s">
        <v>12905</v>
      </c>
      <c r="C179" t="str">
        <f t="shared" si="33"/>
        <v>E2_5_1_48_mRNA</v>
      </c>
      <c r="D179" t="str">
        <f t="shared" si="34"/>
        <v>E2_5_1_48</v>
      </c>
      <c r="E179" s="29" t="str">
        <f t="shared" si="35"/>
        <v>E2_5_1_48_kcat : 13.7</v>
      </c>
      <c r="F179" s="30" t="str">
        <f t="shared" si="36"/>
        <v>E2_5_1_48_km : 1</v>
      </c>
      <c r="G179" s="31" t="str">
        <f t="shared" si="37"/>
        <v>E2_5_1_48_mRNA : E2_5_1_48_mRNA</v>
      </c>
      <c r="H179" s="32" t="str">
        <f t="shared" si="38"/>
        <v>E2_5_1_48 : E2_5_1_48</v>
      </c>
      <c r="I179" s="33" t="str">
        <f t="shared" si="39"/>
        <v>E2_5_1_48_mRNA : 0</v>
      </c>
      <c r="J179" s="16" t="str">
        <f t="shared" si="40"/>
        <v>E2_5_1_48 : 0</v>
      </c>
      <c r="K179" s="34" t="str">
        <f t="shared" si="41"/>
        <v>0.00292 - (0.0093 * E2_5_1_48_mRNA)</v>
      </c>
      <c r="L179" s="31" t="str">
        <f t="shared" si="42"/>
        <v>(0.278 * E2_5_1_48_mRNA) - (0.00000278 * E2_5_1_48)</v>
      </c>
      <c r="M179" s="35" t="str">
        <f t="shared" si="43"/>
        <v>mRNA178: -&gt; E2_5_1_48_mRNA | 0.00292 - (0.0093 * E2_5_1_48_mRNA)</v>
      </c>
      <c r="N179" s="29" t="str">
        <f t="shared" si="32"/>
        <v>Peptide178: E2_5_1_48_mRNA -&gt; E2_5_1_48 | (0.278 * E2_5_1_48_mRNA) - (0.000000278 * E2_5_1_48)</v>
      </c>
    </row>
    <row r="180" spans="1:14">
      <c r="A180">
        <v>179</v>
      </c>
      <c r="B180" t="s">
        <v>12906</v>
      </c>
      <c r="C180" t="str">
        <f t="shared" si="33"/>
        <v>E2_5_1_54_mRNA</v>
      </c>
      <c r="D180" t="str">
        <f t="shared" si="34"/>
        <v>E2_5_1_54</v>
      </c>
      <c r="E180" s="29" t="str">
        <f t="shared" si="35"/>
        <v>E2_5_1_54_kcat : 13.7</v>
      </c>
      <c r="F180" s="30" t="str">
        <f t="shared" si="36"/>
        <v>E2_5_1_54_km : 1</v>
      </c>
      <c r="G180" s="31" t="str">
        <f t="shared" si="37"/>
        <v>E2_5_1_54_mRNA : E2_5_1_54_mRNA</v>
      </c>
      <c r="H180" s="32" t="str">
        <f t="shared" si="38"/>
        <v>E2_5_1_54 : E2_5_1_54</v>
      </c>
      <c r="I180" s="33" t="str">
        <f t="shared" si="39"/>
        <v>E2_5_1_54_mRNA : 0</v>
      </c>
      <c r="J180" s="16" t="str">
        <f t="shared" si="40"/>
        <v>E2_5_1_54 : 0</v>
      </c>
      <c r="K180" s="34" t="str">
        <f t="shared" si="41"/>
        <v>0.00292 - (0.0093 * E2_5_1_54_mRNA)</v>
      </c>
      <c r="L180" s="31" t="str">
        <f t="shared" si="42"/>
        <v>(0.278 * E2_5_1_54_mRNA) - (0.00000278 * E2_5_1_54)</v>
      </c>
      <c r="M180" s="35" t="str">
        <f t="shared" si="43"/>
        <v>mRNA179: -&gt; E2_5_1_54_mRNA | 0.00292 - (0.0093 * E2_5_1_54_mRNA)</v>
      </c>
      <c r="N180" s="29" t="str">
        <f t="shared" si="32"/>
        <v>Peptide179: E2_5_1_54_mRNA -&gt; E2_5_1_54 | (0.278 * E2_5_1_54_mRNA) - (0.000000278 * E2_5_1_54)</v>
      </c>
    </row>
    <row r="181" spans="1:14">
      <c r="A181">
        <v>180</v>
      </c>
      <c r="B181" t="s">
        <v>16031</v>
      </c>
      <c r="C181" t="str">
        <f t="shared" si="33"/>
        <v>E2_5_1_6_mRNA</v>
      </c>
      <c r="D181" t="str">
        <f t="shared" si="34"/>
        <v>E2_5_1_6</v>
      </c>
      <c r="E181" s="29" t="str">
        <f t="shared" si="35"/>
        <v>E2_5_1_6_kcat : 13.7</v>
      </c>
      <c r="F181" s="30" t="str">
        <f t="shared" si="36"/>
        <v>E2_5_1_6_km : 1</v>
      </c>
      <c r="G181" s="31" t="str">
        <f t="shared" si="37"/>
        <v>E2_5_1_6_mRNA : E2_5_1_6_mRNA</v>
      </c>
      <c r="H181" s="32" t="str">
        <f t="shared" si="38"/>
        <v>E2_5_1_6 : E2_5_1_6</v>
      </c>
      <c r="I181" s="33" t="str">
        <f t="shared" si="39"/>
        <v>E2_5_1_6_mRNA : 0</v>
      </c>
      <c r="J181" s="16" t="str">
        <f t="shared" si="40"/>
        <v>E2_5_1_6 : 0</v>
      </c>
      <c r="K181" s="34" t="str">
        <f t="shared" si="41"/>
        <v>0.00292 - (0.0093 * E2_5_1_6_mRNA)</v>
      </c>
      <c r="L181" s="31" t="str">
        <f t="shared" si="42"/>
        <v>(0.278 * E2_5_1_6_mRNA) - (0.00000278 * E2_5_1_6)</v>
      </c>
      <c r="M181" s="35" t="str">
        <f t="shared" si="43"/>
        <v>mRNA180: -&gt; E2_5_1_6_mRNA | 0.00292 - (0.0093 * E2_5_1_6_mRNA)</v>
      </c>
      <c r="N181" s="29" t="str">
        <f t="shared" si="32"/>
        <v>Peptide180: E2_5_1_6_mRNA -&gt; E2_5_1_6 | (0.278 * E2_5_1_6_mRNA) - (0.000000278 * E2_5_1_6)</v>
      </c>
    </row>
    <row r="182" spans="1:14">
      <c r="A182">
        <v>181</v>
      </c>
      <c r="B182" t="s">
        <v>12907</v>
      </c>
      <c r="C182" t="str">
        <f t="shared" si="33"/>
        <v>E2_5_1_61_mRNA</v>
      </c>
      <c r="D182" t="str">
        <f t="shared" si="34"/>
        <v>E2_5_1_61</v>
      </c>
      <c r="E182" s="29" t="str">
        <f t="shared" si="35"/>
        <v>E2_5_1_61_kcat : 13.7</v>
      </c>
      <c r="F182" s="30" t="str">
        <f t="shared" si="36"/>
        <v>E2_5_1_61_km : 1</v>
      </c>
      <c r="G182" s="31" t="str">
        <f t="shared" si="37"/>
        <v>E2_5_1_61_mRNA : E2_5_1_61_mRNA</v>
      </c>
      <c r="H182" s="32" t="str">
        <f t="shared" si="38"/>
        <v>E2_5_1_61 : E2_5_1_61</v>
      </c>
      <c r="I182" s="33" t="str">
        <f t="shared" si="39"/>
        <v>E2_5_1_61_mRNA : 0</v>
      </c>
      <c r="J182" s="16" t="str">
        <f t="shared" si="40"/>
        <v>E2_5_1_61 : 0</v>
      </c>
      <c r="K182" s="34" t="str">
        <f t="shared" si="41"/>
        <v>0.00292 - (0.0093 * E2_5_1_61_mRNA)</v>
      </c>
      <c r="L182" s="31" t="str">
        <f t="shared" si="42"/>
        <v>(0.278 * E2_5_1_61_mRNA) - (0.00000278 * E2_5_1_61)</v>
      </c>
      <c r="M182" s="35" t="str">
        <f t="shared" si="43"/>
        <v>mRNA181: -&gt; E2_5_1_61_mRNA | 0.00292 - (0.0093 * E2_5_1_61_mRNA)</v>
      </c>
      <c r="N182" s="29" t="str">
        <f t="shared" si="32"/>
        <v>Peptide181: E2_5_1_61_mRNA -&gt; E2_5_1_61 | (0.278 * E2_5_1_61_mRNA) - (0.000000278 * E2_5_1_61)</v>
      </c>
    </row>
    <row r="183" spans="1:14">
      <c r="A183">
        <v>182</v>
      </c>
      <c r="B183" t="s">
        <v>12908</v>
      </c>
      <c r="C183" t="str">
        <f t="shared" si="33"/>
        <v>E2_5_1_7_mRNA</v>
      </c>
      <c r="D183" t="str">
        <f t="shared" si="34"/>
        <v>E2_5_1_7</v>
      </c>
      <c r="E183" s="29" t="str">
        <f t="shared" si="35"/>
        <v>E2_5_1_7_kcat : 13.7</v>
      </c>
      <c r="F183" s="30" t="str">
        <f t="shared" si="36"/>
        <v>E2_5_1_7_km : 1</v>
      </c>
      <c r="G183" s="31" t="str">
        <f t="shared" si="37"/>
        <v>E2_5_1_7_mRNA : E2_5_1_7_mRNA</v>
      </c>
      <c r="H183" s="32" t="str">
        <f t="shared" si="38"/>
        <v>E2_5_1_7 : E2_5_1_7</v>
      </c>
      <c r="I183" s="33" t="str">
        <f t="shared" si="39"/>
        <v>E2_5_1_7_mRNA : 0</v>
      </c>
      <c r="J183" s="16" t="str">
        <f t="shared" si="40"/>
        <v>E2_5_1_7 : 0</v>
      </c>
      <c r="K183" s="34" t="str">
        <f t="shared" si="41"/>
        <v>0.00292 - (0.0093 * E2_5_1_7_mRNA)</v>
      </c>
      <c r="L183" s="31" t="str">
        <f t="shared" si="42"/>
        <v>(0.278 * E2_5_1_7_mRNA) - (0.00000278 * E2_5_1_7)</v>
      </c>
      <c r="M183" s="35" t="str">
        <f t="shared" si="43"/>
        <v>mRNA182: -&gt; E2_5_1_7_mRNA | 0.00292 - (0.0093 * E2_5_1_7_mRNA)</v>
      </c>
      <c r="N183" s="29" t="str">
        <f t="shared" si="32"/>
        <v>Peptide182: E2_5_1_7_mRNA -&gt; E2_5_1_7 | (0.278 * E2_5_1_7_mRNA) - (0.000000278 * E2_5_1_7)</v>
      </c>
    </row>
    <row r="184" spans="1:14">
      <c r="A184">
        <v>183</v>
      </c>
      <c r="B184" t="s">
        <v>12909</v>
      </c>
      <c r="C184" t="str">
        <f t="shared" si="33"/>
        <v>E2_5_1_72_mRNA</v>
      </c>
      <c r="D184" t="str">
        <f t="shared" si="34"/>
        <v>E2_5_1_72</v>
      </c>
      <c r="E184" s="29" t="str">
        <f t="shared" si="35"/>
        <v>E2_5_1_72_kcat : 13.7</v>
      </c>
      <c r="F184" s="30" t="str">
        <f t="shared" si="36"/>
        <v>E2_5_1_72_km : 1</v>
      </c>
      <c r="G184" s="31" t="str">
        <f t="shared" si="37"/>
        <v>E2_5_1_72_mRNA : E2_5_1_72_mRNA</v>
      </c>
      <c r="H184" s="32" t="str">
        <f t="shared" si="38"/>
        <v>E2_5_1_72 : E2_5_1_72</v>
      </c>
      <c r="I184" s="33" t="str">
        <f t="shared" si="39"/>
        <v>E2_5_1_72_mRNA : 0</v>
      </c>
      <c r="J184" s="16" t="str">
        <f t="shared" si="40"/>
        <v>E2_5_1_72 : 0</v>
      </c>
      <c r="K184" s="34" t="str">
        <f t="shared" si="41"/>
        <v>0.00292 - (0.0093 * E2_5_1_72_mRNA)</v>
      </c>
      <c r="L184" s="31" t="str">
        <f t="shared" si="42"/>
        <v>(0.278 * E2_5_1_72_mRNA) - (0.00000278 * E2_5_1_72)</v>
      </c>
      <c r="M184" s="35" t="str">
        <f t="shared" si="43"/>
        <v>mRNA183: -&gt; E2_5_1_72_mRNA | 0.00292 - (0.0093 * E2_5_1_72_mRNA)</v>
      </c>
      <c r="N184" s="29" t="str">
        <f t="shared" si="32"/>
        <v>Peptide183: E2_5_1_72_mRNA -&gt; E2_5_1_72 | (0.278 * E2_5_1_72_mRNA) - (0.000000278 * E2_5_1_72)</v>
      </c>
    </row>
    <row r="185" spans="1:14">
      <c r="A185">
        <v>184</v>
      </c>
      <c r="B185" t="s">
        <v>12910</v>
      </c>
      <c r="C185" t="str">
        <f t="shared" si="33"/>
        <v>E2_5_1_74_mRNA</v>
      </c>
      <c r="D185" t="str">
        <f t="shared" si="34"/>
        <v>E2_5_1_74</v>
      </c>
      <c r="E185" s="29" t="str">
        <f t="shared" si="35"/>
        <v>E2_5_1_74_kcat : 13.7</v>
      </c>
      <c r="F185" s="30" t="str">
        <f t="shared" si="36"/>
        <v>E2_5_1_74_km : 1</v>
      </c>
      <c r="G185" s="31" t="str">
        <f t="shared" si="37"/>
        <v>E2_5_1_74_mRNA : E2_5_1_74_mRNA</v>
      </c>
      <c r="H185" s="32" t="str">
        <f t="shared" si="38"/>
        <v>E2_5_1_74 : E2_5_1_74</v>
      </c>
      <c r="I185" s="33" t="str">
        <f t="shared" si="39"/>
        <v>E2_5_1_74_mRNA : 0</v>
      </c>
      <c r="J185" s="16" t="str">
        <f t="shared" si="40"/>
        <v>E2_5_1_74 : 0</v>
      </c>
      <c r="K185" s="34" t="str">
        <f t="shared" si="41"/>
        <v>0.00292 - (0.0093 * E2_5_1_74_mRNA)</v>
      </c>
      <c r="L185" s="31" t="str">
        <f t="shared" si="42"/>
        <v>(0.278 * E2_5_1_74_mRNA) - (0.00000278 * E2_5_1_74)</v>
      </c>
      <c r="M185" s="35" t="str">
        <f t="shared" si="43"/>
        <v>mRNA184: -&gt; E2_5_1_74_mRNA | 0.00292 - (0.0093 * E2_5_1_74_mRNA)</v>
      </c>
      <c r="N185" s="29" t="str">
        <f t="shared" si="32"/>
        <v>Peptide184: E2_5_1_74_mRNA -&gt; E2_5_1_74 | (0.278 * E2_5_1_74_mRNA) - (0.000000278 * E2_5_1_74)</v>
      </c>
    </row>
    <row r="186" spans="1:14">
      <c r="A186">
        <v>185</v>
      </c>
      <c r="B186" t="s">
        <v>12911</v>
      </c>
      <c r="C186" t="str">
        <f t="shared" si="33"/>
        <v>E2_5_1_75_mRNA</v>
      </c>
      <c r="D186" t="str">
        <f t="shared" si="34"/>
        <v>E2_5_1_75</v>
      </c>
      <c r="E186" s="29" t="str">
        <f t="shared" si="35"/>
        <v>E2_5_1_75_kcat : 13.7</v>
      </c>
      <c r="F186" s="30" t="str">
        <f t="shared" si="36"/>
        <v>E2_5_1_75_km : 1</v>
      </c>
      <c r="G186" s="31" t="str">
        <f t="shared" si="37"/>
        <v>E2_5_1_75_mRNA : E2_5_1_75_mRNA</v>
      </c>
      <c r="H186" s="32" t="str">
        <f t="shared" si="38"/>
        <v>E2_5_1_75 : E2_5_1_75</v>
      </c>
      <c r="I186" s="33" t="str">
        <f t="shared" si="39"/>
        <v>E2_5_1_75_mRNA : 0</v>
      </c>
      <c r="J186" s="16" t="str">
        <f t="shared" si="40"/>
        <v>E2_5_1_75 : 0</v>
      </c>
      <c r="K186" s="34" t="str">
        <f t="shared" si="41"/>
        <v>0.00292 - (0.0093 * E2_5_1_75_mRNA)</v>
      </c>
      <c r="L186" s="31" t="str">
        <f t="shared" si="42"/>
        <v>(0.278 * E2_5_1_75_mRNA) - (0.00000278 * E2_5_1_75)</v>
      </c>
      <c r="M186" s="35" t="str">
        <f t="shared" si="43"/>
        <v>mRNA185: -&gt; E2_5_1_75_mRNA | 0.00292 - (0.0093 * E2_5_1_75_mRNA)</v>
      </c>
      <c r="N186" s="29" t="str">
        <f t="shared" si="32"/>
        <v>Peptide185: E2_5_1_75_mRNA -&gt; E2_5_1_75 | (0.278 * E2_5_1_75_mRNA) - (0.000000278 * E2_5_1_75)</v>
      </c>
    </row>
    <row r="187" spans="1:14">
      <c r="A187">
        <v>186</v>
      </c>
      <c r="B187" t="s">
        <v>12912</v>
      </c>
      <c r="C187" t="str">
        <f t="shared" si="33"/>
        <v>E2_5_1_78_mRNA</v>
      </c>
      <c r="D187" t="str">
        <f t="shared" si="34"/>
        <v>E2_5_1_78</v>
      </c>
      <c r="E187" s="29" t="str">
        <f t="shared" si="35"/>
        <v>E2_5_1_78_kcat : 13.7</v>
      </c>
      <c r="F187" s="30" t="str">
        <f t="shared" si="36"/>
        <v>E2_5_1_78_km : 1</v>
      </c>
      <c r="G187" s="31" t="str">
        <f t="shared" si="37"/>
        <v>E2_5_1_78_mRNA : E2_5_1_78_mRNA</v>
      </c>
      <c r="H187" s="32" t="str">
        <f t="shared" si="38"/>
        <v>E2_5_1_78 : E2_5_1_78</v>
      </c>
      <c r="I187" s="33" t="str">
        <f t="shared" si="39"/>
        <v>E2_5_1_78_mRNA : 0</v>
      </c>
      <c r="J187" s="16" t="str">
        <f t="shared" si="40"/>
        <v>E2_5_1_78 : 0</v>
      </c>
      <c r="K187" s="34" t="str">
        <f t="shared" si="41"/>
        <v>0.00292 - (0.0093 * E2_5_1_78_mRNA)</v>
      </c>
      <c r="L187" s="31" t="str">
        <f t="shared" si="42"/>
        <v>(0.278 * E2_5_1_78_mRNA) - (0.00000278 * E2_5_1_78)</v>
      </c>
      <c r="M187" s="35" t="str">
        <f t="shared" si="43"/>
        <v>mRNA186: -&gt; E2_5_1_78_mRNA | 0.00292 - (0.0093 * E2_5_1_78_mRNA)</v>
      </c>
      <c r="N187" s="29" t="str">
        <f t="shared" si="32"/>
        <v>Peptide186: E2_5_1_78_mRNA -&gt; E2_5_1_78 | (0.278 * E2_5_1_78_mRNA) - (0.000000278 * E2_5_1_78)</v>
      </c>
    </row>
    <row r="188" spans="1:14">
      <c r="A188">
        <v>187</v>
      </c>
      <c r="B188" t="s">
        <v>12913</v>
      </c>
      <c r="C188" t="str">
        <f t="shared" si="33"/>
        <v>E2_5_1_9_mRNA</v>
      </c>
      <c r="D188" t="str">
        <f t="shared" si="34"/>
        <v>E2_5_1_9</v>
      </c>
      <c r="E188" s="29" t="str">
        <f t="shared" si="35"/>
        <v>E2_5_1_9_kcat : 13.7</v>
      </c>
      <c r="F188" s="30" t="str">
        <f t="shared" si="36"/>
        <v>E2_5_1_9_km : 1</v>
      </c>
      <c r="G188" s="31" t="str">
        <f t="shared" si="37"/>
        <v>E2_5_1_9_mRNA : E2_5_1_9_mRNA</v>
      </c>
      <c r="H188" s="32" t="str">
        <f t="shared" si="38"/>
        <v>E2_5_1_9 : E2_5_1_9</v>
      </c>
      <c r="I188" s="33" t="str">
        <f t="shared" si="39"/>
        <v>E2_5_1_9_mRNA : 0</v>
      </c>
      <c r="J188" s="16" t="str">
        <f t="shared" si="40"/>
        <v>E2_5_1_9 : 0</v>
      </c>
      <c r="K188" s="34" t="str">
        <f t="shared" si="41"/>
        <v>0.00292 - (0.0093 * E2_5_1_9_mRNA)</v>
      </c>
      <c r="L188" s="31" t="str">
        <f t="shared" si="42"/>
        <v>(0.278 * E2_5_1_9_mRNA) - (0.00000278 * E2_5_1_9)</v>
      </c>
      <c r="M188" s="35" t="str">
        <f t="shared" si="43"/>
        <v>mRNA187: -&gt; E2_5_1_9_mRNA | 0.00292 - (0.0093 * E2_5_1_9_mRNA)</v>
      </c>
      <c r="N188" s="29" t="str">
        <f t="shared" si="32"/>
        <v>Peptide187: E2_5_1_9_mRNA -&gt; E2_5_1_9 | (0.278 * E2_5_1_9_mRNA) - (0.000000278 * E2_5_1_9)</v>
      </c>
    </row>
    <row r="189" spans="1:14">
      <c r="A189">
        <v>188</v>
      </c>
      <c r="B189" t="s">
        <v>17637</v>
      </c>
      <c r="C189" t="str">
        <f t="shared" si="33"/>
        <v>E2_6_1_1_mRNA</v>
      </c>
      <c r="D189" t="str">
        <f t="shared" si="34"/>
        <v>E2_6_1_1</v>
      </c>
      <c r="E189" s="29" t="str">
        <f t="shared" si="35"/>
        <v>E2_6_1_1_kcat : 13.7</v>
      </c>
      <c r="F189" s="30" t="str">
        <f t="shared" si="36"/>
        <v>E2_6_1_1_km : 1</v>
      </c>
      <c r="G189" s="31" t="str">
        <f t="shared" si="37"/>
        <v>E2_6_1_1_mRNA : E2_6_1_1_mRNA</v>
      </c>
      <c r="H189" s="32" t="str">
        <f t="shared" si="38"/>
        <v>E2_6_1_1 : E2_6_1_1</v>
      </c>
      <c r="I189" s="33" t="str">
        <f t="shared" si="39"/>
        <v>E2_6_1_1_mRNA : 0</v>
      </c>
      <c r="J189" s="16" t="str">
        <f t="shared" si="40"/>
        <v>E2_6_1_1 : 0</v>
      </c>
      <c r="K189" s="34" t="str">
        <f t="shared" si="41"/>
        <v>0.00292 - (0.0093 * E2_6_1_1_mRNA)</v>
      </c>
      <c r="L189" s="31" t="str">
        <f t="shared" si="42"/>
        <v>(0.278 * E2_6_1_1_mRNA) - (0.00000278 * E2_6_1_1)</v>
      </c>
      <c r="M189" s="35" t="str">
        <f t="shared" si="43"/>
        <v>mRNA188: -&gt; E2_6_1_1_mRNA | 0.00292 - (0.0093 * E2_6_1_1_mRNA)</v>
      </c>
      <c r="N189" s="29" t="str">
        <f t="shared" si="32"/>
        <v>Peptide188: E2_6_1_1_mRNA -&gt; E2_6_1_1 | (0.278 * E2_6_1_1_mRNA) - (0.000000278 * E2_6_1_1)</v>
      </c>
    </row>
    <row r="190" spans="1:14">
      <c r="A190">
        <v>189</v>
      </c>
      <c r="B190" t="s">
        <v>12914</v>
      </c>
      <c r="C190" t="str">
        <f t="shared" si="33"/>
        <v>E2_6_1_11_mRNA</v>
      </c>
      <c r="D190" t="str">
        <f t="shared" si="34"/>
        <v>E2_6_1_11</v>
      </c>
      <c r="E190" s="29" t="str">
        <f t="shared" si="35"/>
        <v>E2_6_1_11_kcat : 13.7</v>
      </c>
      <c r="F190" s="30" t="str">
        <f t="shared" si="36"/>
        <v>E2_6_1_11_km : 1</v>
      </c>
      <c r="G190" s="31" t="str">
        <f t="shared" si="37"/>
        <v>E2_6_1_11_mRNA : E2_6_1_11_mRNA</v>
      </c>
      <c r="H190" s="32" t="str">
        <f t="shared" si="38"/>
        <v>E2_6_1_11 : E2_6_1_11</v>
      </c>
      <c r="I190" s="33" t="str">
        <f t="shared" si="39"/>
        <v>E2_6_1_11_mRNA : 0</v>
      </c>
      <c r="J190" s="16" t="str">
        <f t="shared" si="40"/>
        <v>E2_6_1_11 : 0</v>
      </c>
      <c r="K190" s="34" t="str">
        <f t="shared" si="41"/>
        <v>0.00292 - (0.0093 * E2_6_1_11_mRNA)</v>
      </c>
      <c r="L190" s="31" t="str">
        <f t="shared" si="42"/>
        <v>(0.278 * E2_6_1_11_mRNA) - (0.00000278 * E2_6_1_11)</v>
      </c>
      <c r="M190" s="35" t="str">
        <f t="shared" si="43"/>
        <v>mRNA189: -&gt; E2_6_1_11_mRNA | 0.00292 - (0.0093 * E2_6_1_11_mRNA)</v>
      </c>
      <c r="N190" s="29" t="str">
        <f t="shared" si="32"/>
        <v>Peptide189: E2_6_1_11_mRNA -&gt; E2_6_1_11 | (0.278 * E2_6_1_11_mRNA) - (0.000000278 * E2_6_1_11)</v>
      </c>
    </row>
    <row r="191" spans="1:14">
      <c r="A191">
        <v>190</v>
      </c>
      <c r="B191" t="s">
        <v>12915</v>
      </c>
      <c r="C191" t="str">
        <f t="shared" si="33"/>
        <v>E2_6_1_16_mRNA</v>
      </c>
      <c r="D191" t="str">
        <f t="shared" si="34"/>
        <v>E2_6_1_16</v>
      </c>
      <c r="E191" s="29" t="str">
        <f t="shared" si="35"/>
        <v>E2_6_1_16_kcat : 13.7</v>
      </c>
      <c r="F191" s="30" t="str">
        <f t="shared" si="36"/>
        <v>E2_6_1_16_km : 1</v>
      </c>
      <c r="G191" s="31" t="str">
        <f t="shared" si="37"/>
        <v>E2_6_1_16_mRNA : E2_6_1_16_mRNA</v>
      </c>
      <c r="H191" s="32" t="str">
        <f t="shared" si="38"/>
        <v>E2_6_1_16 : E2_6_1_16</v>
      </c>
      <c r="I191" s="33" t="str">
        <f t="shared" si="39"/>
        <v>E2_6_1_16_mRNA : 0</v>
      </c>
      <c r="J191" s="16" t="str">
        <f t="shared" si="40"/>
        <v>E2_6_1_16 : 0</v>
      </c>
      <c r="K191" s="34" t="str">
        <f t="shared" si="41"/>
        <v>0.00292 - (0.0093 * E2_6_1_16_mRNA)</v>
      </c>
      <c r="L191" s="31" t="str">
        <f t="shared" si="42"/>
        <v>(0.278 * E2_6_1_16_mRNA) - (0.00000278 * E2_6_1_16)</v>
      </c>
      <c r="M191" s="35" t="str">
        <f t="shared" si="43"/>
        <v>mRNA190: -&gt; E2_6_1_16_mRNA | 0.00292 - (0.0093 * E2_6_1_16_mRNA)</v>
      </c>
      <c r="N191" s="29" t="str">
        <f t="shared" si="32"/>
        <v>Peptide190: E2_6_1_16_mRNA -&gt; E2_6_1_16 | (0.278 * E2_6_1_16_mRNA) - (0.000000278 * E2_6_1_16)</v>
      </c>
    </row>
    <row r="192" spans="1:14">
      <c r="A192">
        <v>191</v>
      </c>
      <c r="B192" t="s">
        <v>12916</v>
      </c>
      <c r="C192" t="str">
        <f t="shared" si="33"/>
        <v>E2_6_1_17_mRNA</v>
      </c>
      <c r="D192" t="str">
        <f t="shared" si="34"/>
        <v>E2_6_1_17</v>
      </c>
      <c r="E192" s="29" t="str">
        <f t="shared" si="35"/>
        <v>E2_6_1_17_kcat : 13.7</v>
      </c>
      <c r="F192" s="30" t="str">
        <f t="shared" si="36"/>
        <v>E2_6_1_17_km : 1</v>
      </c>
      <c r="G192" s="31" t="str">
        <f t="shared" si="37"/>
        <v>E2_6_1_17_mRNA : E2_6_1_17_mRNA</v>
      </c>
      <c r="H192" s="32" t="str">
        <f t="shared" si="38"/>
        <v>E2_6_1_17 : E2_6_1_17</v>
      </c>
      <c r="I192" s="33" t="str">
        <f t="shared" si="39"/>
        <v>E2_6_1_17_mRNA : 0</v>
      </c>
      <c r="J192" s="16" t="str">
        <f t="shared" si="40"/>
        <v>E2_6_1_17 : 0</v>
      </c>
      <c r="K192" s="34" t="str">
        <f t="shared" si="41"/>
        <v>0.00292 - (0.0093 * E2_6_1_17_mRNA)</v>
      </c>
      <c r="L192" s="31" t="str">
        <f t="shared" si="42"/>
        <v>(0.278 * E2_6_1_17_mRNA) - (0.00000278 * E2_6_1_17)</v>
      </c>
      <c r="M192" s="35" t="str">
        <f t="shared" si="43"/>
        <v>mRNA191: -&gt; E2_6_1_17_mRNA | 0.00292 - (0.0093 * E2_6_1_17_mRNA)</v>
      </c>
      <c r="N192" s="29" t="str">
        <f t="shared" si="32"/>
        <v>Peptide191: E2_6_1_17_mRNA -&gt; E2_6_1_17 | (0.278 * E2_6_1_17_mRNA) - (0.000000278 * E2_6_1_17)</v>
      </c>
    </row>
    <row r="193" spans="1:14">
      <c r="A193">
        <v>192</v>
      </c>
      <c r="B193" t="s">
        <v>12917</v>
      </c>
      <c r="C193" t="str">
        <f t="shared" si="33"/>
        <v>E2_6_1_19_mRNA</v>
      </c>
      <c r="D193" t="str">
        <f t="shared" si="34"/>
        <v>E2_6_1_19</v>
      </c>
      <c r="E193" s="29" t="str">
        <f t="shared" si="35"/>
        <v>E2_6_1_19_kcat : 13.7</v>
      </c>
      <c r="F193" s="30" t="str">
        <f t="shared" si="36"/>
        <v>E2_6_1_19_km : 1</v>
      </c>
      <c r="G193" s="31" t="str">
        <f t="shared" si="37"/>
        <v>E2_6_1_19_mRNA : E2_6_1_19_mRNA</v>
      </c>
      <c r="H193" s="32" t="str">
        <f t="shared" si="38"/>
        <v>E2_6_1_19 : E2_6_1_19</v>
      </c>
      <c r="I193" s="33" t="str">
        <f t="shared" si="39"/>
        <v>E2_6_1_19_mRNA : 0</v>
      </c>
      <c r="J193" s="16" t="str">
        <f t="shared" si="40"/>
        <v>E2_6_1_19 : 0</v>
      </c>
      <c r="K193" s="34" t="str">
        <f t="shared" si="41"/>
        <v>0.00292 - (0.0093 * E2_6_1_19_mRNA)</v>
      </c>
      <c r="L193" s="31" t="str">
        <f t="shared" si="42"/>
        <v>(0.278 * E2_6_1_19_mRNA) - (0.00000278 * E2_6_1_19)</v>
      </c>
      <c r="M193" s="35" t="str">
        <f t="shared" si="43"/>
        <v>mRNA192: -&gt; E2_6_1_19_mRNA | 0.00292 - (0.0093 * E2_6_1_19_mRNA)</v>
      </c>
      <c r="N193" s="29" t="str">
        <f t="shared" si="32"/>
        <v>Peptide192: E2_6_1_19_mRNA -&gt; E2_6_1_19 | (0.278 * E2_6_1_19_mRNA) - (0.000000278 * E2_6_1_19)</v>
      </c>
    </row>
    <row r="194" spans="1:14">
      <c r="A194">
        <v>193</v>
      </c>
      <c r="B194" t="s">
        <v>12918</v>
      </c>
      <c r="C194" t="str">
        <f t="shared" si="33"/>
        <v>E2_6_1_42_mRNA</v>
      </c>
      <c r="D194" t="str">
        <f t="shared" si="34"/>
        <v>E2_6_1_42</v>
      </c>
      <c r="E194" s="29" t="str">
        <f t="shared" si="35"/>
        <v>E2_6_1_42_kcat : 13.7</v>
      </c>
      <c r="F194" s="30" t="str">
        <f t="shared" si="36"/>
        <v>E2_6_1_42_km : 1</v>
      </c>
      <c r="G194" s="31" t="str">
        <f t="shared" si="37"/>
        <v>E2_6_1_42_mRNA : E2_6_1_42_mRNA</v>
      </c>
      <c r="H194" s="32" t="str">
        <f t="shared" si="38"/>
        <v>E2_6_1_42 : E2_6_1_42</v>
      </c>
      <c r="I194" s="33" t="str">
        <f t="shared" si="39"/>
        <v>E2_6_1_42_mRNA : 0</v>
      </c>
      <c r="J194" s="16" t="str">
        <f t="shared" si="40"/>
        <v>E2_6_1_42 : 0</v>
      </c>
      <c r="K194" s="34" t="str">
        <f t="shared" si="41"/>
        <v>0.00292 - (0.0093 * E2_6_1_42_mRNA)</v>
      </c>
      <c r="L194" s="31" t="str">
        <f t="shared" si="42"/>
        <v>(0.278 * E2_6_1_42_mRNA) - (0.00000278 * E2_6_1_42)</v>
      </c>
      <c r="M194" s="35" t="str">
        <f t="shared" si="43"/>
        <v>mRNA193: -&gt; E2_6_1_42_mRNA | 0.00292 - (0.0093 * E2_6_1_42_mRNA)</v>
      </c>
      <c r="N194" s="29" t="str">
        <f t="shared" ref="N194:N257" si="44">CONCATENATE("Peptide",A194,": ",C194," -&gt; ",D194," | ","(","0.278"," * ",C194,")"," - ","(","0.000000278"," * ",D194,")")</f>
        <v>Peptide193: E2_6_1_42_mRNA -&gt; E2_6_1_42 | (0.278 * E2_6_1_42_mRNA) - (0.000000278 * E2_6_1_42)</v>
      </c>
    </row>
    <row r="195" spans="1:14">
      <c r="A195">
        <v>194</v>
      </c>
      <c r="B195" t="s">
        <v>12919</v>
      </c>
      <c r="C195" t="str">
        <f t="shared" ref="C195:C258" si="45">CONCATENATE(D195,"_mRNA")</f>
        <v>E2_6_1_52_mRNA</v>
      </c>
      <c r="D195" t="str">
        <f t="shared" ref="D195:D258" si="46">CONCATENATE("E",B195)</f>
        <v>E2_6_1_52</v>
      </c>
      <c r="E195" s="29" t="str">
        <f t="shared" ref="E195:E258" si="47">CONCATENATE("E",B195,"_kcat : 13.7")</f>
        <v>E2_6_1_52_kcat : 13.7</v>
      </c>
      <c r="F195" s="30" t="str">
        <f t="shared" ref="F195:F258" si="48">CONCATENATE("E",B195,"_km : 1")</f>
        <v>E2_6_1_52_km : 1</v>
      </c>
      <c r="G195" s="31" t="str">
        <f t="shared" ref="G195:G258" si="49">CONCATENATE(C195," : ",C195)</f>
        <v>E2_6_1_52_mRNA : E2_6_1_52_mRNA</v>
      </c>
      <c r="H195" s="32" t="str">
        <f t="shared" ref="H195:H258" si="50">CONCATENATE(D195," : ",D195)</f>
        <v>E2_6_1_52 : E2_6_1_52</v>
      </c>
      <c r="I195" s="33" t="str">
        <f t="shared" ref="I195:I258" si="51">CONCATENATE(C195," : ","0")</f>
        <v>E2_6_1_52_mRNA : 0</v>
      </c>
      <c r="J195" s="16" t="str">
        <f t="shared" ref="J195:J258" si="52">CONCATENATE(D195," : ","0")</f>
        <v>E2_6_1_52 : 0</v>
      </c>
      <c r="K195" s="34" t="str">
        <f t="shared" ref="K195:K258" si="53">CONCATENATE("0.00292 - (0.0093 * ",C195,")")</f>
        <v>0.00292 - (0.0093 * E2_6_1_52_mRNA)</v>
      </c>
      <c r="L195" s="31" t="str">
        <f t="shared" ref="L195:L258" si="54">CONCATENATE("(0.278 * ",C195,")"," - (0.00000278 * ",D195,")")</f>
        <v>(0.278 * E2_6_1_52_mRNA) - (0.00000278 * E2_6_1_52)</v>
      </c>
      <c r="M195" s="35" t="str">
        <f t="shared" ref="M195:M258" si="55">CONCATENATE("mRNA",A195,": -&gt; ",C195," | ","0.00292"," - ","(","0.0093"," * ",C195,")")</f>
        <v>mRNA194: -&gt; E2_6_1_52_mRNA | 0.00292 - (0.0093 * E2_6_1_52_mRNA)</v>
      </c>
      <c r="N195" s="29" t="str">
        <f t="shared" si="44"/>
        <v>Peptide194: E2_6_1_52_mRNA -&gt; E2_6_1_52 | (0.278 * E2_6_1_52_mRNA) - (0.000000278 * E2_6_1_52)</v>
      </c>
    </row>
    <row r="196" spans="1:14">
      <c r="A196">
        <v>195</v>
      </c>
      <c r="B196" t="s">
        <v>12920</v>
      </c>
      <c r="C196" t="str">
        <f t="shared" si="45"/>
        <v>E2_6_1_62_mRNA</v>
      </c>
      <c r="D196" t="str">
        <f t="shared" si="46"/>
        <v>E2_6_1_62</v>
      </c>
      <c r="E196" s="29" t="str">
        <f t="shared" si="47"/>
        <v>E2_6_1_62_kcat : 13.7</v>
      </c>
      <c r="F196" s="30" t="str">
        <f t="shared" si="48"/>
        <v>E2_6_1_62_km : 1</v>
      </c>
      <c r="G196" s="31" t="str">
        <f t="shared" si="49"/>
        <v>E2_6_1_62_mRNA : E2_6_1_62_mRNA</v>
      </c>
      <c r="H196" s="32" t="str">
        <f t="shared" si="50"/>
        <v>E2_6_1_62 : E2_6_1_62</v>
      </c>
      <c r="I196" s="33" t="str">
        <f t="shared" si="51"/>
        <v>E2_6_1_62_mRNA : 0</v>
      </c>
      <c r="J196" s="16" t="str">
        <f t="shared" si="52"/>
        <v>E2_6_1_62 : 0</v>
      </c>
      <c r="K196" s="34" t="str">
        <f t="shared" si="53"/>
        <v>0.00292 - (0.0093 * E2_6_1_62_mRNA)</v>
      </c>
      <c r="L196" s="31" t="str">
        <f t="shared" si="54"/>
        <v>(0.278 * E2_6_1_62_mRNA) - (0.00000278 * E2_6_1_62)</v>
      </c>
      <c r="M196" s="35" t="str">
        <f t="shared" si="55"/>
        <v>mRNA195: -&gt; E2_6_1_62_mRNA | 0.00292 - (0.0093 * E2_6_1_62_mRNA)</v>
      </c>
      <c r="N196" s="29" t="str">
        <f t="shared" si="44"/>
        <v>Peptide195: E2_6_1_62_mRNA -&gt; E2_6_1_62 | (0.278 * E2_6_1_62_mRNA) - (0.000000278 * E2_6_1_62)</v>
      </c>
    </row>
    <row r="197" spans="1:14">
      <c r="A197">
        <v>196</v>
      </c>
      <c r="B197" t="s">
        <v>16032</v>
      </c>
      <c r="C197" t="str">
        <f t="shared" si="45"/>
        <v>E2_6_1_85_mRNA</v>
      </c>
      <c r="D197" t="str">
        <f t="shared" si="46"/>
        <v>E2_6_1_85</v>
      </c>
      <c r="E197" s="29" t="str">
        <f t="shared" si="47"/>
        <v>E2_6_1_85_kcat : 13.7</v>
      </c>
      <c r="F197" s="30" t="str">
        <f t="shared" si="48"/>
        <v>E2_6_1_85_km : 1</v>
      </c>
      <c r="G197" s="31" t="str">
        <f t="shared" si="49"/>
        <v>E2_6_1_85_mRNA : E2_6_1_85_mRNA</v>
      </c>
      <c r="H197" s="32" t="str">
        <f t="shared" si="50"/>
        <v>E2_6_1_85 : E2_6_1_85</v>
      </c>
      <c r="I197" s="33" t="str">
        <f t="shared" si="51"/>
        <v>E2_6_1_85_mRNA : 0</v>
      </c>
      <c r="J197" s="16" t="str">
        <f t="shared" si="52"/>
        <v>E2_6_1_85 : 0</v>
      </c>
      <c r="K197" s="34" t="str">
        <f t="shared" si="53"/>
        <v>0.00292 - (0.0093 * E2_6_1_85_mRNA)</v>
      </c>
      <c r="L197" s="31" t="str">
        <f t="shared" si="54"/>
        <v>(0.278 * E2_6_1_85_mRNA) - (0.00000278 * E2_6_1_85)</v>
      </c>
      <c r="M197" s="35" t="str">
        <f t="shared" si="55"/>
        <v>mRNA196: -&gt; E2_6_1_85_mRNA | 0.00292 - (0.0093 * E2_6_1_85_mRNA)</v>
      </c>
      <c r="N197" s="29" t="str">
        <f t="shared" si="44"/>
        <v>Peptide196: E2_6_1_85_mRNA -&gt; E2_6_1_85 | (0.278 * E2_6_1_85_mRNA) - (0.000000278 * E2_6_1_85)</v>
      </c>
    </row>
    <row r="198" spans="1:14">
      <c r="A198">
        <v>197</v>
      </c>
      <c r="B198" t="s">
        <v>12921</v>
      </c>
      <c r="C198" t="str">
        <f t="shared" si="45"/>
        <v>E2_6_1_9_mRNA</v>
      </c>
      <c r="D198" t="str">
        <f t="shared" si="46"/>
        <v>E2_6_1_9</v>
      </c>
      <c r="E198" s="29" t="str">
        <f t="shared" si="47"/>
        <v>E2_6_1_9_kcat : 13.7</v>
      </c>
      <c r="F198" s="30" t="str">
        <f t="shared" si="48"/>
        <v>E2_6_1_9_km : 1</v>
      </c>
      <c r="G198" s="31" t="str">
        <f t="shared" si="49"/>
        <v>E2_6_1_9_mRNA : E2_6_1_9_mRNA</v>
      </c>
      <c r="H198" s="32" t="str">
        <f t="shared" si="50"/>
        <v>E2_6_1_9 : E2_6_1_9</v>
      </c>
      <c r="I198" s="33" t="str">
        <f t="shared" si="51"/>
        <v>E2_6_1_9_mRNA : 0</v>
      </c>
      <c r="J198" s="16" t="str">
        <f t="shared" si="52"/>
        <v>E2_6_1_9 : 0</v>
      </c>
      <c r="K198" s="34" t="str">
        <f t="shared" si="53"/>
        <v>0.00292 - (0.0093 * E2_6_1_9_mRNA)</v>
      </c>
      <c r="L198" s="31" t="str">
        <f t="shared" si="54"/>
        <v>(0.278 * E2_6_1_9_mRNA) - (0.00000278 * E2_6_1_9)</v>
      </c>
      <c r="M198" s="35" t="str">
        <f t="shared" si="55"/>
        <v>mRNA197: -&gt; E2_6_1_9_mRNA | 0.00292 - (0.0093 * E2_6_1_9_mRNA)</v>
      </c>
      <c r="N198" s="29" t="str">
        <f t="shared" si="44"/>
        <v>Peptide197: E2_6_1_9_mRNA -&gt; E2_6_1_9 | (0.278 * E2_6_1_9_mRNA) - (0.000000278 * E2_6_1_9)</v>
      </c>
    </row>
    <row r="199" spans="1:14">
      <c r="A199">
        <v>198</v>
      </c>
      <c r="B199" t="s">
        <v>12922</v>
      </c>
      <c r="C199" t="str">
        <f t="shared" si="45"/>
        <v>E2_7_1_12_mRNA</v>
      </c>
      <c r="D199" t="str">
        <f t="shared" si="46"/>
        <v>E2_7_1_12</v>
      </c>
      <c r="E199" s="29" t="str">
        <f t="shared" si="47"/>
        <v>E2_7_1_12_kcat : 13.7</v>
      </c>
      <c r="F199" s="30" t="str">
        <f t="shared" si="48"/>
        <v>E2_7_1_12_km : 1</v>
      </c>
      <c r="G199" s="31" t="str">
        <f t="shared" si="49"/>
        <v>E2_7_1_12_mRNA : E2_7_1_12_mRNA</v>
      </c>
      <c r="H199" s="32" t="str">
        <f t="shared" si="50"/>
        <v>E2_7_1_12 : E2_7_1_12</v>
      </c>
      <c r="I199" s="33" t="str">
        <f t="shared" si="51"/>
        <v>E2_7_1_12_mRNA : 0</v>
      </c>
      <c r="J199" s="16" t="str">
        <f t="shared" si="52"/>
        <v>E2_7_1_12 : 0</v>
      </c>
      <c r="K199" s="34" t="str">
        <f t="shared" si="53"/>
        <v>0.00292 - (0.0093 * E2_7_1_12_mRNA)</v>
      </c>
      <c r="L199" s="31" t="str">
        <f t="shared" si="54"/>
        <v>(0.278 * E2_7_1_12_mRNA) - (0.00000278 * E2_7_1_12)</v>
      </c>
      <c r="M199" s="35" t="str">
        <f t="shared" si="55"/>
        <v>mRNA198: -&gt; E2_7_1_12_mRNA | 0.00292 - (0.0093 * E2_7_1_12_mRNA)</v>
      </c>
      <c r="N199" s="29" t="str">
        <f t="shared" si="44"/>
        <v>Peptide198: E2_7_1_12_mRNA -&gt; E2_7_1_12 | (0.278 * E2_7_1_12_mRNA) - (0.000000278 * E2_7_1_12)</v>
      </c>
    </row>
    <row r="200" spans="1:14">
      <c r="A200">
        <v>199</v>
      </c>
      <c r="B200" t="s">
        <v>12923</v>
      </c>
      <c r="C200" t="str">
        <f t="shared" si="45"/>
        <v>E2_7_1_148_mRNA</v>
      </c>
      <c r="D200" t="str">
        <f t="shared" si="46"/>
        <v>E2_7_1_148</v>
      </c>
      <c r="E200" s="29" t="str">
        <f t="shared" si="47"/>
        <v>E2_7_1_148_kcat : 13.7</v>
      </c>
      <c r="F200" s="30" t="str">
        <f t="shared" si="48"/>
        <v>E2_7_1_148_km : 1</v>
      </c>
      <c r="G200" s="31" t="str">
        <f t="shared" si="49"/>
        <v>E2_7_1_148_mRNA : E2_7_1_148_mRNA</v>
      </c>
      <c r="H200" s="32" t="str">
        <f t="shared" si="50"/>
        <v>E2_7_1_148 : E2_7_1_148</v>
      </c>
      <c r="I200" s="33" t="str">
        <f t="shared" si="51"/>
        <v>E2_7_1_148_mRNA : 0</v>
      </c>
      <c r="J200" s="16" t="str">
        <f t="shared" si="52"/>
        <v>E2_7_1_148 : 0</v>
      </c>
      <c r="K200" s="34" t="str">
        <f t="shared" si="53"/>
        <v>0.00292 - (0.0093 * E2_7_1_148_mRNA)</v>
      </c>
      <c r="L200" s="31" t="str">
        <f t="shared" si="54"/>
        <v>(0.278 * E2_7_1_148_mRNA) - (0.00000278 * E2_7_1_148)</v>
      </c>
      <c r="M200" s="35" t="str">
        <f t="shared" si="55"/>
        <v>mRNA199: -&gt; E2_7_1_148_mRNA | 0.00292 - (0.0093 * E2_7_1_148_mRNA)</v>
      </c>
      <c r="N200" s="29" t="str">
        <f t="shared" si="44"/>
        <v>Peptide199: E2_7_1_148_mRNA -&gt; E2_7_1_148 | (0.278 * E2_7_1_148_mRNA) - (0.000000278 * E2_7_1_148)</v>
      </c>
    </row>
    <row r="201" spans="1:14">
      <c r="A201">
        <v>200</v>
      </c>
      <c r="B201" t="s">
        <v>12924</v>
      </c>
      <c r="C201" t="str">
        <f t="shared" si="45"/>
        <v>E2_7_1_156_mRNA</v>
      </c>
      <c r="D201" t="str">
        <f t="shared" si="46"/>
        <v>E2_7_1_156</v>
      </c>
      <c r="E201" s="29" t="str">
        <f t="shared" si="47"/>
        <v>E2_7_1_156_kcat : 13.7</v>
      </c>
      <c r="F201" s="30" t="str">
        <f t="shared" si="48"/>
        <v>E2_7_1_156_km : 1</v>
      </c>
      <c r="G201" s="31" t="str">
        <f t="shared" si="49"/>
        <v>E2_7_1_156_mRNA : E2_7_1_156_mRNA</v>
      </c>
      <c r="H201" s="32" t="str">
        <f t="shared" si="50"/>
        <v>E2_7_1_156 : E2_7_1_156</v>
      </c>
      <c r="I201" s="33" t="str">
        <f t="shared" si="51"/>
        <v>E2_7_1_156_mRNA : 0</v>
      </c>
      <c r="J201" s="16" t="str">
        <f t="shared" si="52"/>
        <v>E2_7_1_156 : 0</v>
      </c>
      <c r="K201" s="34" t="str">
        <f t="shared" si="53"/>
        <v>0.00292 - (0.0093 * E2_7_1_156_mRNA)</v>
      </c>
      <c r="L201" s="31" t="str">
        <f t="shared" si="54"/>
        <v>(0.278 * E2_7_1_156_mRNA) - (0.00000278 * E2_7_1_156)</v>
      </c>
      <c r="M201" s="35" t="str">
        <f t="shared" si="55"/>
        <v>mRNA200: -&gt; E2_7_1_156_mRNA | 0.00292 - (0.0093 * E2_7_1_156_mRNA)</v>
      </c>
      <c r="N201" s="29" t="str">
        <f t="shared" si="44"/>
        <v>Peptide200: E2_7_1_156_mRNA -&gt; E2_7_1_156 | (0.278 * E2_7_1_156_mRNA) - (0.000000278 * E2_7_1_156)</v>
      </c>
    </row>
    <row r="202" spans="1:14">
      <c r="A202">
        <v>201</v>
      </c>
      <c r="B202" t="s">
        <v>12925</v>
      </c>
      <c r="C202" t="str">
        <f t="shared" si="45"/>
        <v>E2_7_1_17_mRNA</v>
      </c>
      <c r="D202" t="str">
        <f t="shared" si="46"/>
        <v>E2_7_1_17</v>
      </c>
      <c r="E202" s="29" t="str">
        <f t="shared" si="47"/>
        <v>E2_7_1_17_kcat : 13.7</v>
      </c>
      <c r="F202" s="30" t="str">
        <f t="shared" si="48"/>
        <v>E2_7_1_17_km : 1</v>
      </c>
      <c r="G202" s="31" t="str">
        <f t="shared" si="49"/>
        <v>E2_7_1_17_mRNA : E2_7_1_17_mRNA</v>
      </c>
      <c r="H202" s="32" t="str">
        <f t="shared" si="50"/>
        <v>E2_7_1_17 : E2_7_1_17</v>
      </c>
      <c r="I202" s="33" t="str">
        <f t="shared" si="51"/>
        <v>E2_7_1_17_mRNA : 0</v>
      </c>
      <c r="J202" s="16" t="str">
        <f t="shared" si="52"/>
        <v>E2_7_1_17 : 0</v>
      </c>
      <c r="K202" s="34" t="str">
        <f t="shared" si="53"/>
        <v>0.00292 - (0.0093 * E2_7_1_17_mRNA)</v>
      </c>
      <c r="L202" s="31" t="str">
        <f t="shared" si="54"/>
        <v>(0.278 * E2_7_1_17_mRNA) - (0.00000278 * E2_7_1_17)</v>
      </c>
      <c r="M202" s="35" t="str">
        <f t="shared" si="55"/>
        <v>mRNA201: -&gt; E2_7_1_17_mRNA | 0.00292 - (0.0093 * E2_7_1_17_mRNA)</v>
      </c>
      <c r="N202" s="29" t="str">
        <f t="shared" si="44"/>
        <v>Peptide201: E2_7_1_17_mRNA -&gt; E2_7_1_17 | (0.278 * E2_7_1_17_mRNA) - (0.000000278 * E2_7_1_17)</v>
      </c>
    </row>
    <row r="203" spans="1:14">
      <c r="A203">
        <v>202</v>
      </c>
      <c r="B203" s="45" t="s">
        <v>17613</v>
      </c>
      <c r="C203" t="str">
        <f t="shared" si="45"/>
        <v>E2_7_1_197_mRNA</v>
      </c>
      <c r="D203" t="str">
        <f t="shared" si="46"/>
        <v>E2_7_1_197</v>
      </c>
      <c r="E203" s="29" t="str">
        <f t="shared" si="47"/>
        <v>E2_7_1_197_kcat : 13.7</v>
      </c>
      <c r="F203" s="30" t="str">
        <f t="shared" si="48"/>
        <v>E2_7_1_197_km : 1</v>
      </c>
      <c r="G203" s="31" t="str">
        <f t="shared" si="49"/>
        <v>E2_7_1_197_mRNA : E2_7_1_197_mRNA</v>
      </c>
      <c r="H203" s="32" t="str">
        <f t="shared" si="50"/>
        <v>E2_7_1_197 : E2_7_1_197</v>
      </c>
      <c r="I203" s="33" t="str">
        <f t="shared" si="51"/>
        <v>E2_7_1_197_mRNA : 0</v>
      </c>
      <c r="J203" s="16" t="str">
        <f t="shared" si="52"/>
        <v>E2_7_1_197 : 0</v>
      </c>
      <c r="K203" s="34" t="str">
        <f t="shared" si="53"/>
        <v>0.00292 - (0.0093 * E2_7_1_197_mRNA)</v>
      </c>
      <c r="L203" s="31" t="str">
        <f t="shared" si="54"/>
        <v>(0.278 * E2_7_1_197_mRNA) - (0.00000278 * E2_7_1_197)</v>
      </c>
      <c r="M203" s="35" t="str">
        <f t="shared" si="55"/>
        <v>mRNA202: -&gt; E2_7_1_197_mRNA | 0.00292 - (0.0093 * E2_7_1_197_mRNA)</v>
      </c>
      <c r="N203" s="29" t="str">
        <f t="shared" si="44"/>
        <v>Peptide202: E2_7_1_197_mRNA -&gt; E2_7_1_197 | (0.278 * E2_7_1_197_mRNA) - (0.000000278 * E2_7_1_197)</v>
      </c>
    </row>
    <row r="204" spans="1:14">
      <c r="A204">
        <v>203</v>
      </c>
      <c r="B204" t="s">
        <v>12926</v>
      </c>
      <c r="C204" t="str">
        <f t="shared" si="45"/>
        <v>E2_7_1_2_mRNA</v>
      </c>
      <c r="D204" t="str">
        <f t="shared" si="46"/>
        <v>E2_7_1_2</v>
      </c>
      <c r="E204" s="29" t="str">
        <f t="shared" si="47"/>
        <v>E2_7_1_2_kcat : 13.7</v>
      </c>
      <c r="F204" s="30" t="str">
        <f t="shared" si="48"/>
        <v>E2_7_1_2_km : 1</v>
      </c>
      <c r="G204" s="31" t="str">
        <f t="shared" si="49"/>
        <v>E2_7_1_2_mRNA : E2_7_1_2_mRNA</v>
      </c>
      <c r="H204" s="32" t="str">
        <f t="shared" si="50"/>
        <v>E2_7_1_2 : E2_7_1_2</v>
      </c>
      <c r="I204" s="33" t="str">
        <f t="shared" si="51"/>
        <v>E2_7_1_2_mRNA : 0</v>
      </c>
      <c r="J204" s="16" t="str">
        <f t="shared" si="52"/>
        <v>E2_7_1_2 : 0</v>
      </c>
      <c r="K204" s="34" t="str">
        <f t="shared" si="53"/>
        <v>0.00292 - (0.0093 * E2_7_1_2_mRNA)</v>
      </c>
      <c r="L204" s="31" t="str">
        <f t="shared" si="54"/>
        <v>(0.278 * E2_7_1_2_mRNA) - (0.00000278 * E2_7_1_2)</v>
      </c>
      <c r="M204" s="35" t="str">
        <f t="shared" si="55"/>
        <v>mRNA203: -&gt; E2_7_1_2_mRNA | 0.00292 - (0.0093 * E2_7_1_2_mRNA)</v>
      </c>
      <c r="N204" s="29" t="str">
        <f t="shared" si="44"/>
        <v>Peptide203: E2_7_1_2_mRNA -&gt; E2_7_1_2 | (0.278 * E2_7_1_2_mRNA) - (0.000000278 * E2_7_1_2)</v>
      </c>
    </row>
    <row r="205" spans="1:14">
      <c r="A205">
        <v>204</v>
      </c>
      <c r="B205" t="s">
        <v>12927</v>
      </c>
      <c r="C205" t="str">
        <f t="shared" si="45"/>
        <v>E2_7_1_211_mRNA</v>
      </c>
      <c r="D205" t="str">
        <f t="shared" si="46"/>
        <v>E2_7_1_211</v>
      </c>
      <c r="E205" s="29" t="str">
        <f t="shared" si="47"/>
        <v>E2_7_1_211_kcat : 13.7</v>
      </c>
      <c r="F205" s="30" t="str">
        <f t="shared" si="48"/>
        <v>E2_7_1_211_km : 1</v>
      </c>
      <c r="G205" s="31" t="str">
        <f t="shared" si="49"/>
        <v>E2_7_1_211_mRNA : E2_7_1_211_mRNA</v>
      </c>
      <c r="H205" s="32" t="str">
        <f t="shared" si="50"/>
        <v>E2_7_1_211 : E2_7_1_211</v>
      </c>
      <c r="I205" s="33" t="str">
        <f t="shared" si="51"/>
        <v>E2_7_1_211_mRNA : 0</v>
      </c>
      <c r="J205" s="16" t="str">
        <f t="shared" si="52"/>
        <v>E2_7_1_211 : 0</v>
      </c>
      <c r="K205" s="34" t="str">
        <f t="shared" si="53"/>
        <v>0.00292 - (0.0093 * E2_7_1_211_mRNA)</v>
      </c>
      <c r="L205" s="31" t="str">
        <f t="shared" si="54"/>
        <v>(0.278 * E2_7_1_211_mRNA) - (0.00000278 * E2_7_1_211)</v>
      </c>
      <c r="M205" s="35" t="str">
        <f t="shared" si="55"/>
        <v>mRNA204: -&gt; E2_7_1_211_mRNA | 0.00292 - (0.0093 * E2_7_1_211_mRNA)</v>
      </c>
      <c r="N205" s="29" t="str">
        <f t="shared" si="44"/>
        <v>Peptide204: E2_7_1_211_mRNA -&gt; E2_7_1_211 | (0.278 * E2_7_1_211_mRNA) - (0.000000278 * E2_7_1_211)</v>
      </c>
    </row>
    <row r="206" spans="1:14">
      <c r="A206">
        <v>205</v>
      </c>
      <c r="B206" t="s">
        <v>12928</v>
      </c>
      <c r="C206" t="str">
        <f t="shared" si="45"/>
        <v>E2_7_1_23_mRNA</v>
      </c>
      <c r="D206" t="str">
        <f t="shared" si="46"/>
        <v>E2_7_1_23</v>
      </c>
      <c r="E206" s="29" t="str">
        <f t="shared" si="47"/>
        <v>E2_7_1_23_kcat : 13.7</v>
      </c>
      <c r="F206" s="30" t="str">
        <f t="shared" si="48"/>
        <v>E2_7_1_23_km : 1</v>
      </c>
      <c r="G206" s="31" t="str">
        <f t="shared" si="49"/>
        <v>E2_7_1_23_mRNA : E2_7_1_23_mRNA</v>
      </c>
      <c r="H206" s="32" t="str">
        <f t="shared" si="50"/>
        <v>E2_7_1_23 : E2_7_1_23</v>
      </c>
      <c r="I206" s="33" t="str">
        <f t="shared" si="51"/>
        <v>E2_7_1_23_mRNA : 0</v>
      </c>
      <c r="J206" s="16" t="str">
        <f t="shared" si="52"/>
        <v>E2_7_1_23 : 0</v>
      </c>
      <c r="K206" s="34" t="str">
        <f t="shared" si="53"/>
        <v>0.00292 - (0.0093 * E2_7_1_23_mRNA)</v>
      </c>
      <c r="L206" s="31" t="str">
        <f t="shared" si="54"/>
        <v>(0.278 * E2_7_1_23_mRNA) - (0.00000278 * E2_7_1_23)</v>
      </c>
      <c r="M206" s="35" t="str">
        <f t="shared" si="55"/>
        <v>mRNA205: -&gt; E2_7_1_23_mRNA | 0.00292 - (0.0093 * E2_7_1_23_mRNA)</v>
      </c>
      <c r="N206" s="29" t="str">
        <f t="shared" si="44"/>
        <v>Peptide205: E2_7_1_23_mRNA -&gt; E2_7_1_23 | (0.278 * E2_7_1_23_mRNA) - (0.000000278 * E2_7_1_23)</v>
      </c>
    </row>
    <row r="207" spans="1:14">
      <c r="A207">
        <v>206</v>
      </c>
      <c r="B207" t="s">
        <v>12929</v>
      </c>
      <c r="C207" t="str">
        <f t="shared" si="45"/>
        <v>E2_7_1_24_mRNA</v>
      </c>
      <c r="D207" t="str">
        <f t="shared" si="46"/>
        <v>E2_7_1_24</v>
      </c>
      <c r="E207" s="29" t="str">
        <f t="shared" si="47"/>
        <v>E2_7_1_24_kcat : 13.7</v>
      </c>
      <c r="F207" s="30" t="str">
        <f t="shared" si="48"/>
        <v>E2_7_1_24_km : 1</v>
      </c>
      <c r="G207" s="31" t="str">
        <f t="shared" si="49"/>
        <v>E2_7_1_24_mRNA : E2_7_1_24_mRNA</v>
      </c>
      <c r="H207" s="32" t="str">
        <f t="shared" si="50"/>
        <v>E2_7_1_24 : E2_7_1_24</v>
      </c>
      <c r="I207" s="33" t="str">
        <f t="shared" si="51"/>
        <v>E2_7_1_24_mRNA : 0</v>
      </c>
      <c r="J207" s="16" t="str">
        <f t="shared" si="52"/>
        <v>E2_7_1_24 : 0</v>
      </c>
      <c r="K207" s="34" t="str">
        <f t="shared" si="53"/>
        <v>0.00292 - (0.0093 * E2_7_1_24_mRNA)</v>
      </c>
      <c r="L207" s="31" t="str">
        <f t="shared" si="54"/>
        <v>(0.278 * E2_7_1_24_mRNA) - (0.00000278 * E2_7_1_24)</v>
      </c>
      <c r="M207" s="35" t="str">
        <f t="shared" si="55"/>
        <v>mRNA206: -&gt; E2_7_1_24_mRNA | 0.00292 - (0.0093 * E2_7_1_24_mRNA)</v>
      </c>
      <c r="N207" s="29" t="str">
        <f t="shared" si="44"/>
        <v>Peptide206: E2_7_1_24_mRNA -&gt; E2_7_1_24 | (0.278 * E2_7_1_24_mRNA) - (0.000000278 * E2_7_1_24)</v>
      </c>
    </row>
    <row r="208" spans="1:14">
      <c r="A208">
        <v>207</v>
      </c>
      <c r="B208" t="s">
        <v>12930</v>
      </c>
      <c r="C208" t="str">
        <f t="shared" si="45"/>
        <v>E2_7_1_26_mRNA</v>
      </c>
      <c r="D208" t="str">
        <f t="shared" si="46"/>
        <v>E2_7_1_26</v>
      </c>
      <c r="E208" s="29" t="str">
        <f t="shared" si="47"/>
        <v>E2_7_1_26_kcat : 13.7</v>
      </c>
      <c r="F208" s="30" t="str">
        <f t="shared" si="48"/>
        <v>E2_7_1_26_km : 1</v>
      </c>
      <c r="G208" s="31" t="str">
        <f t="shared" si="49"/>
        <v>E2_7_1_26_mRNA : E2_7_1_26_mRNA</v>
      </c>
      <c r="H208" s="32" t="str">
        <f t="shared" si="50"/>
        <v>E2_7_1_26 : E2_7_1_26</v>
      </c>
      <c r="I208" s="33" t="str">
        <f t="shared" si="51"/>
        <v>E2_7_1_26_mRNA : 0</v>
      </c>
      <c r="J208" s="16" t="str">
        <f t="shared" si="52"/>
        <v>E2_7_1_26 : 0</v>
      </c>
      <c r="K208" s="34" t="str">
        <f t="shared" si="53"/>
        <v>0.00292 - (0.0093 * E2_7_1_26_mRNA)</v>
      </c>
      <c r="L208" s="31" t="str">
        <f t="shared" si="54"/>
        <v>(0.278 * E2_7_1_26_mRNA) - (0.00000278 * E2_7_1_26)</v>
      </c>
      <c r="M208" s="35" t="str">
        <f t="shared" si="55"/>
        <v>mRNA207: -&gt; E2_7_1_26_mRNA | 0.00292 - (0.0093 * E2_7_1_26_mRNA)</v>
      </c>
      <c r="N208" s="29" t="str">
        <f t="shared" si="44"/>
        <v>Peptide207: E2_7_1_26_mRNA -&gt; E2_7_1_26 | (0.278 * E2_7_1_26_mRNA) - (0.000000278 * E2_7_1_26)</v>
      </c>
    </row>
    <row r="209" spans="1:14">
      <c r="A209">
        <v>208</v>
      </c>
      <c r="B209" t="s">
        <v>12931</v>
      </c>
      <c r="C209" t="str">
        <f t="shared" si="45"/>
        <v>E2_7_1_30_mRNA</v>
      </c>
      <c r="D209" t="str">
        <f t="shared" si="46"/>
        <v>E2_7_1_30</v>
      </c>
      <c r="E209" s="29" t="str">
        <f t="shared" si="47"/>
        <v>E2_7_1_30_kcat : 13.7</v>
      </c>
      <c r="F209" s="30" t="str">
        <f t="shared" si="48"/>
        <v>E2_7_1_30_km : 1</v>
      </c>
      <c r="G209" s="31" t="str">
        <f t="shared" si="49"/>
        <v>E2_7_1_30_mRNA : E2_7_1_30_mRNA</v>
      </c>
      <c r="H209" s="32" t="str">
        <f t="shared" si="50"/>
        <v>E2_7_1_30 : E2_7_1_30</v>
      </c>
      <c r="I209" s="33" t="str">
        <f t="shared" si="51"/>
        <v>E2_7_1_30_mRNA : 0</v>
      </c>
      <c r="J209" s="16" t="str">
        <f t="shared" si="52"/>
        <v>E2_7_1_30 : 0</v>
      </c>
      <c r="K209" s="34" t="str">
        <f t="shared" si="53"/>
        <v>0.00292 - (0.0093 * E2_7_1_30_mRNA)</v>
      </c>
      <c r="L209" s="31" t="str">
        <f t="shared" si="54"/>
        <v>(0.278 * E2_7_1_30_mRNA) - (0.00000278 * E2_7_1_30)</v>
      </c>
      <c r="M209" s="35" t="str">
        <f t="shared" si="55"/>
        <v>mRNA208: -&gt; E2_7_1_30_mRNA | 0.00292 - (0.0093 * E2_7_1_30_mRNA)</v>
      </c>
      <c r="N209" s="29" t="str">
        <f t="shared" si="44"/>
        <v>Peptide208: E2_7_1_30_mRNA -&gt; E2_7_1_30 | (0.278 * E2_7_1_30_mRNA) - (0.000000278 * E2_7_1_30)</v>
      </c>
    </row>
    <row r="210" spans="1:14">
      <c r="A210">
        <v>209</v>
      </c>
      <c r="B210" t="s">
        <v>12932</v>
      </c>
      <c r="C210" t="str">
        <f t="shared" si="45"/>
        <v>E2_7_1_31_mRNA</v>
      </c>
      <c r="D210" t="str">
        <f t="shared" si="46"/>
        <v>E2_7_1_31</v>
      </c>
      <c r="E210" s="29" t="str">
        <f t="shared" si="47"/>
        <v>E2_7_1_31_kcat : 13.7</v>
      </c>
      <c r="F210" s="30" t="str">
        <f t="shared" si="48"/>
        <v>E2_7_1_31_km : 1</v>
      </c>
      <c r="G210" s="31" t="str">
        <f t="shared" si="49"/>
        <v>E2_7_1_31_mRNA : E2_7_1_31_mRNA</v>
      </c>
      <c r="H210" s="32" t="str">
        <f t="shared" si="50"/>
        <v>E2_7_1_31 : E2_7_1_31</v>
      </c>
      <c r="I210" s="33" t="str">
        <f t="shared" si="51"/>
        <v>E2_7_1_31_mRNA : 0</v>
      </c>
      <c r="J210" s="16" t="str">
        <f t="shared" si="52"/>
        <v>E2_7_1_31 : 0</v>
      </c>
      <c r="K210" s="34" t="str">
        <f t="shared" si="53"/>
        <v>0.00292 - (0.0093 * E2_7_1_31_mRNA)</v>
      </c>
      <c r="L210" s="31" t="str">
        <f t="shared" si="54"/>
        <v>(0.278 * E2_7_1_31_mRNA) - (0.00000278 * E2_7_1_31)</v>
      </c>
      <c r="M210" s="35" t="str">
        <f t="shared" si="55"/>
        <v>mRNA209: -&gt; E2_7_1_31_mRNA | 0.00292 - (0.0093 * E2_7_1_31_mRNA)</v>
      </c>
      <c r="N210" s="29" t="str">
        <f t="shared" si="44"/>
        <v>Peptide209: E2_7_1_31_mRNA -&gt; E2_7_1_31 | (0.278 * E2_7_1_31_mRNA) - (0.000000278 * E2_7_1_31)</v>
      </c>
    </row>
    <row r="211" spans="1:14">
      <c r="A211">
        <v>210</v>
      </c>
      <c r="B211" t="s">
        <v>12933</v>
      </c>
      <c r="C211" t="str">
        <f t="shared" si="45"/>
        <v>E2_7_1_33_mRNA</v>
      </c>
      <c r="D211" t="str">
        <f t="shared" si="46"/>
        <v>E2_7_1_33</v>
      </c>
      <c r="E211" s="29" t="str">
        <f t="shared" si="47"/>
        <v>E2_7_1_33_kcat : 13.7</v>
      </c>
      <c r="F211" s="30" t="str">
        <f t="shared" si="48"/>
        <v>E2_7_1_33_km : 1</v>
      </c>
      <c r="G211" s="31" t="str">
        <f t="shared" si="49"/>
        <v>E2_7_1_33_mRNA : E2_7_1_33_mRNA</v>
      </c>
      <c r="H211" s="32" t="str">
        <f t="shared" si="50"/>
        <v>E2_7_1_33 : E2_7_1_33</v>
      </c>
      <c r="I211" s="33" t="str">
        <f t="shared" si="51"/>
        <v>E2_7_1_33_mRNA : 0</v>
      </c>
      <c r="J211" s="16" t="str">
        <f t="shared" si="52"/>
        <v>E2_7_1_33 : 0</v>
      </c>
      <c r="K211" s="34" t="str">
        <f t="shared" si="53"/>
        <v>0.00292 - (0.0093 * E2_7_1_33_mRNA)</v>
      </c>
      <c r="L211" s="31" t="str">
        <f t="shared" si="54"/>
        <v>(0.278 * E2_7_1_33_mRNA) - (0.00000278 * E2_7_1_33)</v>
      </c>
      <c r="M211" s="35" t="str">
        <f t="shared" si="55"/>
        <v>mRNA210: -&gt; E2_7_1_33_mRNA | 0.00292 - (0.0093 * E2_7_1_33_mRNA)</v>
      </c>
      <c r="N211" s="29" t="str">
        <f t="shared" si="44"/>
        <v>Peptide210: E2_7_1_33_mRNA -&gt; E2_7_1_33 | (0.278 * E2_7_1_33_mRNA) - (0.000000278 * E2_7_1_33)</v>
      </c>
    </row>
    <row r="212" spans="1:14">
      <c r="A212">
        <v>211</v>
      </c>
      <c r="B212" t="s">
        <v>12934</v>
      </c>
      <c r="C212" t="str">
        <f t="shared" si="45"/>
        <v>E2_7_1_35_mRNA</v>
      </c>
      <c r="D212" t="str">
        <f t="shared" si="46"/>
        <v>E2_7_1_35</v>
      </c>
      <c r="E212" s="29" t="str">
        <f t="shared" si="47"/>
        <v>E2_7_1_35_kcat : 13.7</v>
      </c>
      <c r="F212" s="30" t="str">
        <f t="shared" si="48"/>
        <v>E2_7_1_35_km : 1</v>
      </c>
      <c r="G212" s="31" t="str">
        <f t="shared" si="49"/>
        <v>E2_7_1_35_mRNA : E2_7_1_35_mRNA</v>
      </c>
      <c r="H212" s="32" t="str">
        <f t="shared" si="50"/>
        <v>E2_7_1_35 : E2_7_1_35</v>
      </c>
      <c r="I212" s="33" t="str">
        <f t="shared" si="51"/>
        <v>E2_7_1_35_mRNA : 0</v>
      </c>
      <c r="J212" s="16" t="str">
        <f t="shared" si="52"/>
        <v>E2_7_1_35 : 0</v>
      </c>
      <c r="K212" s="34" t="str">
        <f t="shared" si="53"/>
        <v>0.00292 - (0.0093 * E2_7_1_35_mRNA)</v>
      </c>
      <c r="L212" s="31" t="str">
        <f t="shared" si="54"/>
        <v>(0.278 * E2_7_1_35_mRNA) - (0.00000278 * E2_7_1_35)</v>
      </c>
      <c r="M212" s="35" t="str">
        <f t="shared" si="55"/>
        <v>mRNA211: -&gt; E2_7_1_35_mRNA | 0.00292 - (0.0093 * E2_7_1_35_mRNA)</v>
      </c>
      <c r="N212" s="29" t="str">
        <f t="shared" si="44"/>
        <v>Peptide211: E2_7_1_35_mRNA -&gt; E2_7_1_35 | (0.278 * E2_7_1_35_mRNA) - (0.000000278 * E2_7_1_35)</v>
      </c>
    </row>
    <row r="213" spans="1:14">
      <c r="A213">
        <v>212</v>
      </c>
      <c r="B213" t="s">
        <v>12935</v>
      </c>
      <c r="C213" t="str">
        <f t="shared" si="45"/>
        <v>E2_7_1_39_mRNA</v>
      </c>
      <c r="D213" t="str">
        <f t="shared" si="46"/>
        <v>E2_7_1_39</v>
      </c>
      <c r="E213" s="29" t="str">
        <f t="shared" si="47"/>
        <v>E2_7_1_39_kcat : 13.7</v>
      </c>
      <c r="F213" s="30" t="str">
        <f t="shared" si="48"/>
        <v>E2_7_1_39_km : 1</v>
      </c>
      <c r="G213" s="31" t="str">
        <f t="shared" si="49"/>
        <v>E2_7_1_39_mRNA : E2_7_1_39_mRNA</v>
      </c>
      <c r="H213" s="32" t="str">
        <f t="shared" si="50"/>
        <v>E2_7_1_39 : E2_7_1_39</v>
      </c>
      <c r="I213" s="33" t="str">
        <f t="shared" si="51"/>
        <v>E2_7_1_39_mRNA : 0</v>
      </c>
      <c r="J213" s="16" t="str">
        <f t="shared" si="52"/>
        <v>E2_7_1_39 : 0</v>
      </c>
      <c r="K213" s="34" t="str">
        <f t="shared" si="53"/>
        <v>0.00292 - (0.0093 * E2_7_1_39_mRNA)</v>
      </c>
      <c r="L213" s="31" t="str">
        <f t="shared" si="54"/>
        <v>(0.278 * E2_7_1_39_mRNA) - (0.00000278 * E2_7_1_39)</v>
      </c>
      <c r="M213" s="35" t="str">
        <f t="shared" si="55"/>
        <v>mRNA212: -&gt; E2_7_1_39_mRNA | 0.00292 - (0.0093 * E2_7_1_39_mRNA)</v>
      </c>
      <c r="N213" s="29" t="str">
        <f t="shared" si="44"/>
        <v>Peptide212: E2_7_1_39_mRNA -&gt; E2_7_1_39 | (0.278 * E2_7_1_39_mRNA) - (0.000000278 * E2_7_1_39)</v>
      </c>
    </row>
    <row r="214" spans="1:14">
      <c r="A214">
        <v>213</v>
      </c>
      <c r="B214" t="s">
        <v>12936</v>
      </c>
      <c r="C214" t="str">
        <f t="shared" si="45"/>
        <v>E2_7_1_40_mRNA</v>
      </c>
      <c r="D214" t="str">
        <f t="shared" si="46"/>
        <v>E2_7_1_40</v>
      </c>
      <c r="E214" s="29" t="str">
        <f t="shared" si="47"/>
        <v>E2_7_1_40_kcat : 13.7</v>
      </c>
      <c r="F214" s="30" t="str">
        <f t="shared" si="48"/>
        <v>E2_7_1_40_km : 1</v>
      </c>
      <c r="G214" s="31" t="str">
        <f t="shared" si="49"/>
        <v>E2_7_1_40_mRNA : E2_7_1_40_mRNA</v>
      </c>
      <c r="H214" s="32" t="str">
        <f t="shared" si="50"/>
        <v>E2_7_1_40 : E2_7_1_40</v>
      </c>
      <c r="I214" s="33" t="str">
        <f t="shared" si="51"/>
        <v>E2_7_1_40_mRNA : 0</v>
      </c>
      <c r="J214" s="16" t="str">
        <f t="shared" si="52"/>
        <v>E2_7_1_40 : 0</v>
      </c>
      <c r="K214" s="34" t="str">
        <f t="shared" si="53"/>
        <v>0.00292 - (0.0093 * E2_7_1_40_mRNA)</v>
      </c>
      <c r="L214" s="31" t="str">
        <f t="shared" si="54"/>
        <v>(0.278 * E2_7_1_40_mRNA) - (0.00000278 * E2_7_1_40)</v>
      </c>
      <c r="M214" s="35" t="str">
        <f t="shared" si="55"/>
        <v>mRNA213: -&gt; E2_7_1_40_mRNA | 0.00292 - (0.0093 * E2_7_1_40_mRNA)</v>
      </c>
      <c r="N214" s="29" t="str">
        <f t="shared" si="44"/>
        <v>Peptide213: E2_7_1_40_mRNA -&gt; E2_7_1_40 | (0.278 * E2_7_1_40_mRNA) - (0.000000278 * E2_7_1_40)</v>
      </c>
    </row>
    <row r="215" spans="1:14">
      <c r="A215">
        <v>214</v>
      </c>
      <c r="B215" t="s">
        <v>12937</v>
      </c>
      <c r="C215" t="str">
        <f t="shared" si="45"/>
        <v>E2_7_1_49_mRNA</v>
      </c>
      <c r="D215" t="str">
        <f t="shared" si="46"/>
        <v>E2_7_1_49</v>
      </c>
      <c r="E215" s="29" t="str">
        <f t="shared" si="47"/>
        <v>E2_7_1_49_kcat : 13.7</v>
      </c>
      <c r="F215" s="30" t="str">
        <f t="shared" si="48"/>
        <v>E2_7_1_49_km : 1</v>
      </c>
      <c r="G215" s="31" t="str">
        <f t="shared" si="49"/>
        <v>E2_7_1_49_mRNA : E2_7_1_49_mRNA</v>
      </c>
      <c r="H215" s="32" t="str">
        <f t="shared" si="50"/>
        <v>E2_7_1_49 : E2_7_1_49</v>
      </c>
      <c r="I215" s="33" t="str">
        <f t="shared" si="51"/>
        <v>E2_7_1_49_mRNA : 0</v>
      </c>
      <c r="J215" s="16" t="str">
        <f t="shared" si="52"/>
        <v>E2_7_1_49 : 0</v>
      </c>
      <c r="K215" s="34" t="str">
        <f t="shared" si="53"/>
        <v>0.00292 - (0.0093 * E2_7_1_49_mRNA)</v>
      </c>
      <c r="L215" s="31" t="str">
        <f t="shared" si="54"/>
        <v>(0.278 * E2_7_1_49_mRNA) - (0.00000278 * E2_7_1_49)</v>
      </c>
      <c r="M215" s="35" t="str">
        <f t="shared" si="55"/>
        <v>mRNA214: -&gt; E2_7_1_49_mRNA | 0.00292 - (0.0093 * E2_7_1_49_mRNA)</v>
      </c>
      <c r="N215" s="29" t="str">
        <f t="shared" si="44"/>
        <v>Peptide214: E2_7_1_49_mRNA -&gt; E2_7_1_49 | (0.278 * E2_7_1_49_mRNA) - (0.000000278 * E2_7_1_49)</v>
      </c>
    </row>
    <row r="216" spans="1:14">
      <c r="A216">
        <v>215</v>
      </c>
      <c r="B216" t="s">
        <v>12938</v>
      </c>
      <c r="C216" t="str">
        <f t="shared" si="45"/>
        <v>E2_7_1_50_mRNA</v>
      </c>
      <c r="D216" t="str">
        <f t="shared" si="46"/>
        <v>E2_7_1_50</v>
      </c>
      <c r="E216" s="29" t="str">
        <f t="shared" si="47"/>
        <v>E2_7_1_50_kcat : 13.7</v>
      </c>
      <c r="F216" s="30" t="str">
        <f t="shared" si="48"/>
        <v>E2_7_1_50_km : 1</v>
      </c>
      <c r="G216" s="31" t="str">
        <f t="shared" si="49"/>
        <v>E2_7_1_50_mRNA : E2_7_1_50_mRNA</v>
      </c>
      <c r="H216" s="32" t="str">
        <f t="shared" si="50"/>
        <v>E2_7_1_50 : E2_7_1_50</v>
      </c>
      <c r="I216" s="33" t="str">
        <f t="shared" si="51"/>
        <v>E2_7_1_50_mRNA : 0</v>
      </c>
      <c r="J216" s="16" t="str">
        <f t="shared" si="52"/>
        <v>E2_7_1_50 : 0</v>
      </c>
      <c r="K216" s="34" t="str">
        <f t="shared" si="53"/>
        <v>0.00292 - (0.0093 * E2_7_1_50_mRNA)</v>
      </c>
      <c r="L216" s="31" t="str">
        <f t="shared" si="54"/>
        <v>(0.278 * E2_7_1_50_mRNA) - (0.00000278 * E2_7_1_50)</v>
      </c>
      <c r="M216" s="35" t="str">
        <f t="shared" si="55"/>
        <v>mRNA215: -&gt; E2_7_1_50_mRNA | 0.00292 - (0.0093 * E2_7_1_50_mRNA)</v>
      </c>
      <c r="N216" s="29" t="str">
        <f t="shared" si="44"/>
        <v>Peptide215: E2_7_1_50_mRNA -&gt; E2_7_1_50 | (0.278 * E2_7_1_50_mRNA) - (0.000000278 * E2_7_1_50)</v>
      </c>
    </row>
    <row r="217" spans="1:14">
      <c r="A217">
        <v>216</v>
      </c>
      <c r="B217" t="s">
        <v>16033</v>
      </c>
      <c r="C217" t="str">
        <f t="shared" si="45"/>
        <v>E2_7_1_56_mRNA</v>
      </c>
      <c r="D217" t="str">
        <f t="shared" si="46"/>
        <v>E2_7_1_56</v>
      </c>
      <c r="E217" s="29" t="str">
        <f t="shared" si="47"/>
        <v>E2_7_1_56_kcat : 13.7</v>
      </c>
      <c r="F217" s="30" t="str">
        <f t="shared" si="48"/>
        <v>E2_7_1_56_km : 1</v>
      </c>
      <c r="G217" s="31" t="str">
        <f t="shared" si="49"/>
        <v>E2_7_1_56_mRNA : E2_7_1_56_mRNA</v>
      </c>
      <c r="H217" s="32" t="str">
        <f t="shared" si="50"/>
        <v>E2_7_1_56 : E2_7_1_56</v>
      </c>
      <c r="I217" s="33" t="str">
        <f t="shared" si="51"/>
        <v>E2_7_1_56_mRNA : 0</v>
      </c>
      <c r="J217" s="16" t="str">
        <f t="shared" si="52"/>
        <v>E2_7_1_56 : 0</v>
      </c>
      <c r="K217" s="34" t="str">
        <f t="shared" si="53"/>
        <v>0.00292 - (0.0093 * E2_7_1_56_mRNA)</v>
      </c>
      <c r="L217" s="31" t="str">
        <f t="shared" si="54"/>
        <v>(0.278 * E2_7_1_56_mRNA) - (0.00000278 * E2_7_1_56)</v>
      </c>
      <c r="M217" s="35" t="str">
        <f t="shared" si="55"/>
        <v>mRNA216: -&gt; E2_7_1_56_mRNA | 0.00292 - (0.0093 * E2_7_1_56_mRNA)</v>
      </c>
      <c r="N217" s="29" t="str">
        <f t="shared" si="44"/>
        <v>Peptide216: E2_7_1_56_mRNA -&gt; E2_7_1_56 | (0.278 * E2_7_1_56_mRNA) - (0.000000278 * E2_7_1_56)</v>
      </c>
    </row>
    <row r="218" spans="1:14">
      <c r="A218">
        <v>217</v>
      </c>
      <c r="B218" s="45" t="s">
        <v>17614</v>
      </c>
      <c r="C218" t="str">
        <f t="shared" si="45"/>
        <v>E2_7_1_6_mRNA</v>
      </c>
      <c r="D218" t="str">
        <f t="shared" si="46"/>
        <v>E2_7_1_6</v>
      </c>
      <c r="E218" s="29" t="str">
        <f t="shared" si="47"/>
        <v>E2_7_1_6_kcat : 13.7</v>
      </c>
      <c r="F218" s="30" t="str">
        <f t="shared" si="48"/>
        <v>E2_7_1_6_km : 1</v>
      </c>
      <c r="G218" s="31" t="str">
        <f t="shared" si="49"/>
        <v>E2_7_1_6_mRNA : E2_7_1_6_mRNA</v>
      </c>
      <c r="H218" s="32" t="str">
        <f t="shared" si="50"/>
        <v>E2_7_1_6 : E2_7_1_6</v>
      </c>
      <c r="I218" s="33" t="str">
        <f t="shared" si="51"/>
        <v>E2_7_1_6_mRNA : 0</v>
      </c>
      <c r="J218" s="16" t="str">
        <f t="shared" si="52"/>
        <v>E2_7_1_6 : 0</v>
      </c>
      <c r="K218" s="34" t="str">
        <f t="shared" si="53"/>
        <v>0.00292 - (0.0093 * E2_7_1_6_mRNA)</v>
      </c>
      <c r="L218" s="31" t="str">
        <f t="shared" si="54"/>
        <v>(0.278 * E2_7_1_6_mRNA) - (0.00000278 * E2_7_1_6)</v>
      </c>
      <c r="M218" s="35" t="str">
        <f t="shared" si="55"/>
        <v>mRNA217: -&gt; E2_7_1_6_mRNA | 0.00292 - (0.0093 * E2_7_1_6_mRNA)</v>
      </c>
      <c r="N218" s="29" t="str">
        <f t="shared" si="44"/>
        <v>Peptide217: E2_7_1_6_mRNA -&gt; E2_7_1_6 | (0.278 * E2_7_1_6_mRNA) - (0.000000278 * E2_7_1_6)</v>
      </c>
    </row>
    <row r="219" spans="1:14">
      <c r="A219">
        <v>218</v>
      </c>
      <c r="B219" t="s">
        <v>12939</v>
      </c>
      <c r="C219" t="str">
        <f t="shared" si="45"/>
        <v>E2_7_1_63_mRNA</v>
      </c>
      <c r="D219" t="str">
        <f t="shared" si="46"/>
        <v>E2_7_1_63</v>
      </c>
      <c r="E219" s="29" t="str">
        <f t="shared" si="47"/>
        <v>E2_7_1_63_kcat : 13.7</v>
      </c>
      <c r="F219" s="30" t="str">
        <f t="shared" si="48"/>
        <v>E2_7_1_63_km : 1</v>
      </c>
      <c r="G219" s="31" t="str">
        <f t="shared" si="49"/>
        <v>E2_7_1_63_mRNA : E2_7_1_63_mRNA</v>
      </c>
      <c r="H219" s="32" t="str">
        <f t="shared" si="50"/>
        <v>E2_7_1_63 : E2_7_1_63</v>
      </c>
      <c r="I219" s="33" t="str">
        <f t="shared" si="51"/>
        <v>E2_7_1_63_mRNA : 0</v>
      </c>
      <c r="J219" s="16" t="str">
        <f t="shared" si="52"/>
        <v>E2_7_1_63 : 0</v>
      </c>
      <c r="K219" s="34" t="str">
        <f t="shared" si="53"/>
        <v>0.00292 - (0.0093 * E2_7_1_63_mRNA)</v>
      </c>
      <c r="L219" s="31" t="str">
        <f t="shared" si="54"/>
        <v>(0.278 * E2_7_1_63_mRNA) - (0.00000278 * E2_7_1_63)</v>
      </c>
      <c r="M219" s="35" t="str">
        <f t="shared" si="55"/>
        <v>mRNA218: -&gt; E2_7_1_63_mRNA | 0.00292 - (0.0093 * E2_7_1_63_mRNA)</v>
      </c>
      <c r="N219" s="29" t="str">
        <f t="shared" si="44"/>
        <v>Peptide218: E2_7_1_63_mRNA -&gt; E2_7_1_63 | (0.278 * E2_7_1_63_mRNA) - (0.000000278 * E2_7_1_63)</v>
      </c>
    </row>
    <row r="220" spans="1:14">
      <c r="A220">
        <v>219</v>
      </c>
      <c r="B220" t="s">
        <v>12940</v>
      </c>
      <c r="C220" t="str">
        <f t="shared" si="45"/>
        <v>E2_7_1_71_mRNA</v>
      </c>
      <c r="D220" t="str">
        <f t="shared" si="46"/>
        <v>E2_7_1_71</v>
      </c>
      <c r="E220" s="29" t="str">
        <f t="shared" si="47"/>
        <v>E2_7_1_71_kcat : 13.7</v>
      </c>
      <c r="F220" s="30" t="str">
        <f t="shared" si="48"/>
        <v>E2_7_1_71_km : 1</v>
      </c>
      <c r="G220" s="31" t="str">
        <f t="shared" si="49"/>
        <v>E2_7_1_71_mRNA : E2_7_1_71_mRNA</v>
      </c>
      <c r="H220" s="32" t="str">
        <f t="shared" si="50"/>
        <v>E2_7_1_71 : E2_7_1_71</v>
      </c>
      <c r="I220" s="33" t="str">
        <f t="shared" si="51"/>
        <v>E2_7_1_71_mRNA : 0</v>
      </c>
      <c r="J220" s="16" t="str">
        <f t="shared" si="52"/>
        <v>E2_7_1_71 : 0</v>
      </c>
      <c r="K220" s="34" t="str">
        <f t="shared" si="53"/>
        <v>0.00292 - (0.0093 * E2_7_1_71_mRNA)</v>
      </c>
      <c r="L220" s="31" t="str">
        <f t="shared" si="54"/>
        <v>(0.278 * E2_7_1_71_mRNA) - (0.00000278 * E2_7_1_71)</v>
      </c>
      <c r="M220" s="35" t="str">
        <f t="shared" si="55"/>
        <v>mRNA219: -&gt; E2_7_1_71_mRNA | 0.00292 - (0.0093 * E2_7_1_71_mRNA)</v>
      </c>
      <c r="N220" s="29" t="str">
        <f t="shared" si="44"/>
        <v>Peptide219: E2_7_1_71_mRNA -&gt; E2_7_1_71 | (0.278 * E2_7_1_71_mRNA) - (0.000000278 * E2_7_1_71)</v>
      </c>
    </row>
    <row r="221" spans="1:14">
      <c r="A221">
        <v>220</v>
      </c>
      <c r="B221" t="s">
        <v>12941</v>
      </c>
      <c r="C221" t="str">
        <f t="shared" si="45"/>
        <v>E2_7_1_92_mRNA</v>
      </c>
      <c r="D221" t="str">
        <f t="shared" si="46"/>
        <v>E2_7_1_92</v>
      </c>
      <c r="E221" s="29" t="str">
        <f t="shared" si="47"/>
        <v>E2_7_1_92_kcat : 13.7</v>
      </c>
      <c r="F221" s="30" t="str">
        <f t="shared" si="48"/>
        <v>E2_7_1_92_km : 1</v>
      </c>
      <c r="G221" s="31" t="str">
        <f t="shared" si="49"/>
        <v>E2_7_1_92_mRNA : E2_7_1_92_mRNA</v>
      </c>
      <c r="H221" s="32" t="str">
        <f t="shared" si="50"/>
        <v>E2_7_1_92 : E2_7_1_92</v>
      </c>
      <c r="I221" s="33" t="str">
        <f t="shared" si="51"/>
        <v>E2_7_1_92_mRNA : 0</v>
      </c>
      <c r="J221" s="16" t="str">
        <f t="shared" si="52"/>
        <v>E2_7_1_92 : 0</v>
      </c>
      <c r="K221" s="34" t="str">
        <f t="shared" si="53"/>
        <v>0.00292 - (0.0093 * E2_7_1_92_mRNA)</v>
      </c>
      <c r="L221" s="31" t="str">
        <f t="shared" si="54"/>
        <v>(0.278 * E2_7_1_92_mRNA) - (0.00000278 * E2_7_1_92)</v>
      </c>
      <c r="M221" s="35" t="str">
        <f t="shared" si="55"/>
        <v>mRNA220: -&gt; E2_7_1_92_mRNA | 0.00292 - (0.0093 * E2_7_1_92_mRNA)</v>
      </c>
      <c r="N221" s="29" t="str">
        <f t="shared" si="44"/>
        <v>Peptide220: E2_7_1_92_mRNA -&gt; E2_7_1_92 | (0.278 * E2_7_1_92_mRNA) - (0.000000278 * E2_7_1_92)</v>
      </c>
    </row>
    <row r="222" spans="1:14">
      <c r="A222">
        <v>221</v>
      </c>
      <c r="B222" t="s">
        <v>12942</v>
      </c>
      <c r="C222" t="str">
        <f t="shared" si="45"/>
        <v>E2_7_11_1_mRNA</v>
      </c>
      <c r="D222" t="str">
        <f t="shared" si="46"/>
        <v>E2_7_11_1</v>
      </c>
      <c r="E222" s="29" t="str">
        <f t="shared" si="47"/>
        <v>E2_7_11_1_kcat : 13.7</v>
      </c>
      <c r="F222" s="30" t="str">
        <f t="shared" si="48"/>
        <v>E2_7_11_1_km : 1</v>
      </c>
      <c r="G222" s="31" t="str">
        <f t="shared" si="49"/>
        <v>E2_7_11_1_mRNA : E2_7_11_1_mRNA</v>
      </c>
      <c r="H222" s="32" t="str">
        <f t="shared" si="50"/>
        <v>E2_7_11_1 : E2_7_11_1</v>
      </c>
      <c r="I222" s="33" t="str">
        <f t="shared" si="51"/>
        <v>E2_7_11_1_mRNA : 0</v>
      </c>
      <c r="J222" s="16" t="str">
        <f t="shared" si="52"/>
        <v>E2_7_11_1 : 0</v>
      </c>
      <c r="K222" s="34" t="str">
        <f t="shared" si="53"/>
        <v>0.00292 - (0.0093 * E2_7_11_1_mRNA)</v>
      </c>
      <c r="L222" s="31" t="str">
        <f t="shared" si="54"/>
        <v>(0.278 * E2_7_11_1_mRNA) - (0.00000278 * E2_7_11_1)</v>
      </c>
      <c r="M222" s="35" t="str">
        <f t="shared" si="55"/>
        <v>mRNA221: -&gt; E2_7_11_1_mRNA | 0.00292 - (0.0093 * E2_7_11_1_mRNA)</v>
      </c>
      <c r="N222" s="29" t="str">
        <f t="shared" si="44"/>
        <v>Peptide221: E2_7_11_1_mRNA -&gt; E2_7_11_1 | (0.278 * E2_7_11_1_mRNA) - (0.000000278 * E2_7_11_1)</v>
      </c>
    </row>
    <row r="223" spans="1:14">
      <c r="A223">
        <v>222</v>
      </c>
      <c r="B223" t="s">
        <v>12943</v>
      </c>
      <c r="C223" t="str">
        <f t="shared" si="45"/>
        <v>E2_7_13_3_mRNA</v>
      </c>
      <c r="D223" t="str">
        <f t="shared" si="46"/>
        <v>E2_7_13_3</v>
      </c>
      <c r="E223" s="29" t="str">
        <f t="shared" si="47"/>
        <v>E2_7_13_3_kcat : 13.7</v>
      </c>
      <c r="F223" s="30" t="str">
        <f t="shared" si="48"/>
        <v>E2_7_13_3_km : 1</v>
      </c>
      <c r="G223" s="31" t="str">
        <f t="shared" si="49"/>
        <v>E2_7_13_3_mRNA : E2_7_13_3_mRNA</v>
      </c>
      <c r="H223" s="32" t="str">
        <f t="shared" si="50"/>
        <v>E2_7_13_3 : E2_7_13_3</v>
      </c>
      <c r="I223" s="33" t="str">
        <f t="shared" si="51"/>
        <v>E2_7_13_3_mRNA : 0</v>
      </c>
      <c r="J223" s="16" t="str">
        <f t="shared" si="52"/>
        <v>E2_7_13_3 : 0</v>
      </c>
      <c r="K223" s="34" t="str">
        <f t="shared" si="53"/>
        <v>0.00292 - (0.0093 * E2_7_13_3_mRNA)</v>
      </c>
      <c r="L223" s="31" t="str">
        <f t="shared" si="54"/>
        <v>(0.278 * E2_7_13_3_mRNA) - (0.00000278 * E2_7_13_3)</v>
      </c>
      <c r="M223" s="35" t="str">
        <f t="shared" si="55"/>
        <v>mRNA222: -&gt; E2_7_13_3_mRNA | 0.00292 - (0.0093 * E2_7_13_3_mRNA)</v>
      </c>
      <c r="N223" s="29" t="str">
        <f t="shared" si="44"/>
        <v>Peptide222: E2_7_13_3_mRNA -&gt; E2_7_13_3 | (0.278 * E2_7_13_3_mRNA) - (0.000000278 * E2_7_13_3)</v>
      </c>
    </row>
    <row r="224" spans="1:14">
      <c r="A224">
        <v>223</v>
      </c>
      <c r="B224" t="s">
        <v>12944</v>
      </c>
      <c r="C224" t="str">
        <f t="shared" si="45"/>
        <v>E2_7_2_1_mRNA</v>
      </c>
      <c r="D224" t="str">
        <f t="shared" si="46"/>
        <v>E2_7_2_1</v>
      </c>
      <c r="E224" s="29" t="str">
        <f t="shared" si="47"/>
        <v>E2_7_2_1_kcat : 13.7</v>
      </c>
      <c r="F224" s="30" t="str">
        <f t="shared" si="48"/>
        <v>E2_7_2_1_km : 1</v>
      </c>
      <c r="G224" s="31" t="str">
        <f t="shared" si="49"/>
        <v>E2_7_2_1_mRNA : E2_7_2_1_mRNA</v>
      </c>
      <c r="H224" s="32" t="str">
        <f t="shared" si="50"/>
        <v>E2_7_2_1 : E2_7_2_1</v>
      </c>
      <c r="I224" s="33" t="str">
        <f t="shared" si="51"/>
        <v>E2_7_2_1_mRNA : 0</v>
      </c>
      <c r="J224" s="16" t="str">
        <f t="shared" si="52"/>
        <v>E2_7_2_1 : 0</v>
      </c>
      <c r="K224" s="34" t="str">
        <f t="shared" si="53"/>
        <v>0.00292 - (0.0093 * E2_7_2_1_mRNA)</v>
      </c>
      <c r="L224" s="31" t="str">
        <f t="shared" si="54"/>
        <v>(0.278 * E2_7_2_1_mRNA) - (0.00000278 * E2_7_2_1)</v>
      </c>
      <c r="M224" s="35" t="str">
        <f t="shared" si="55"/>
        <v>mRNA223: -&gt; E2_7_2_1_mRNA | 0.00292 - (0.0093 * E2_7_2_1_mRNA)</v>
      </c>
      <c r="N224" s="29" t="str">
        <f t="shared" si="44"/>
        <v>Peptide223: E2_7_2_1_mRNA -&gt; E2_7_2_1 | (0.278 * E2_7_2_1_mRNA) - (0.000000278 * E2_7_2_1)</v>
      </c>
    </row>
    <row r="225" spans="1:14">
      <c r="A225">
        <v>224</v>
      </c>
      <c r="B225" t="s">
        <v>12945</v>
      </c>
      <c r="C225" t="str">
        <f t="shared" si="45"/>
        <v>E2_7_2_11_mRNA</v>
      </c>
      <c r="D225" t="str">
        <f t="shared" si="46"/>
        <v>E2_7_2_11</v>
      </c>
      <c r="E225" s="29" t="str">
        <f t="shared" si="47"/>
        <v>E2_7_2_11_kcat : 13.7</v>
      </c>
      <c r="F225" s="30" t="str">
        <f t="shared" si="48"/>
        <v>E2_7_2_11_km : 1</v>
      </c>
      <c r="G225" s="31" t="str">
        <f t="shared" si="49"/>
        <v>E2_7_2_11_mRNA : E2_7_2_11_mRNA</v>
      </c>
      <c r="H225" s="32" t="str">
        <f t="shared" si="50"/>
        <v>E2_7_2_11 : E2_7_2_11</v>
      </c>
      <c r="I225" s="33" t="str">
        <f t="shared" si="51"/>
        <v>E2_7_2_11_mRNA : 0</v>
      </c>
      <c r="J225" s="16" t="str">
        <f t="shared" si="52"/>
        <v>E2_7_2_11 : 0</v>
      </c>
      <c r="K225" s="34" t="str">
        <f t="shared" si="53"/>
        <v>0.00292 - (0.0093 * E2_7_2_11_mRNA)</v>
      </c>
      <c r="L225" s="31" t="str">
        <f t="shared" si="54"/>
        <v>(0.278 * E2_7_2_11_mRNA) - (0.00000278 * E2_7_2_11)</v>
      </c>
      <c r="M225" s="35" t="str">
        <f t="shared" si="55"/>
        <v>mRNA224: -&gt; E2_7_2_11_mRNA | 0.00292 - (0.0093 * E2_7_2_11_mRNA)</v>
      </c>
      <c r="N225" s="29" t="str">
        <f t="shared" si="44"/>
        <v>Peptide224: E2_7_2_11_mRNA -&gt; E2_7_2_11 | (0.278 * E2_7_2_11_mRNA) - (0.000000278 * E2_7_2_11)</v>
      </c>
    </row>
    <row r="226" spans="1:14">
      <c r="A226">
        <v>225</v>
      </c>
      <c r="B226" t="s">
        <v>12946</v>
      </c>
      <c r="C226" t="str">
        <f t="shared" si="45"/>
        <v>E2_7_2_3_mRNA</v>
      </c>
      <c r="D226" t="str">
        <f t="shared" si="46"/>
        <v>E2_7_2_3</v>
      </c>
      <c r="E226" s="29" t="str">
        <f t="shared" si="47"/>
        <v>E2_7_2_3_kcat : 13.7</v>
      </c>
      <c r="F226" s="30" t="str">
        <f t="shared" si="48"/>
        <v>E2_7_2_3_km : 1</v>
      </c>
      <c r="G226" s="31" t="str">
        <f t="shared" si="49"/>
        <v>E2_7_2_3_mRNA : E2_7_2_3_mRNA</v>
      </c>
      <c r="H226" s="32" t="str">
        <f t="shared" si="50"/>
        <v>E2_7_2_3 : E2_7_2_3</v>
      </c>
      <c r="I226" s="33" t="str">
        <f t="shared" si="51"/>
        <v>E2_7_2_3_mRNA : 0</v>
      </c>
      <c r="J226" s="16" t="str">
        <f t="shared" si="52"/>
        <v>E2_7_2_3 : 0</v>
      </c>
      <c r="K226" s="34" t="str">
        <f t="shared" si="53"/>
        <v>0.00292 - (0.0093 * E2_7_2_3_mRNA)</v>
      </c>
      <c r="L226" s="31" t="str">
        <f t="shared" si="54"/>
        <v>(0.278 * E2_7_2_3_mRNA) - (0.00000278 * E2_7_2_3)</v>
      </c>
      <c r="M226" s="35" t="str">
        <f t="shared" si="55"/>
        <v>mRNA225: -&gt; E2_7_2_3_mRNA | 0.00292 - (0.0093 * E2_7_2_3_mRNA)</v>
      </c>
      <c r="N226" s="29" t="str">
        <f t="shared" si="44"/>
        <v>Peptide225: E2_7_2_3_mRNA -&gt; E2_7_2_3 | (0.278 * E2_7_2_3_mRNA) - (0.000000278 * E2_7_2_3)</v>
      </c>
    </row>
    <row r="227" spans="1:14">
      <c r="A227">
        <v>226</v>
      </c>
      <c r="B227" t="s">
        <v>12947</v>
      </c>
      <c r="C227" t="str">
        <f t="shared" si="45"/>
        <v>E2_7_2_4_mRNA</v>
      </c>
      <c r="D227" t="str">
        <f t="shared" si="46"/>
        <v>E2_7_2_4</v>
      </c>
      <c r="E227" s="29" t="str">
        <f t="shared" si="47"/>
        <v>E2_7_2_4_kcat : 13.7</v>
      </c>
      <c r="F227" s="30" t="str">
        <f t="shared" si="48"/>
        <v>E2_7_2_4_km : 1</v>
      </c>
      <c r="G227" s="31" t="str">
        <f t="shared" si="49"/>
        <v>E2_7_2_4_mRNA : E2_7_2_4_mRNA</v>
      </c>
      <c r="H227" s="32" t="str">
        <f t="shared" si="50"/>
        <v>E2_7_2_4 : E2_7_2_4</v>
      </c>
      <c r="I227" s="33" t="str">
        <f t="shared" si="51"/>
        <v>E2_7_2_4_mRNA : 0</v>
      </c>
      <c r="J227" s="16" t="str">
        <f t="shared" si="52"/>
        <v>E2_7_2_4 : 0</v>
      </c>
      <c r="K227" s="34" t="str">
        <f t="shared" si="53"/>
        <v>0.00292 - (0.0093 * E2_7_2_4_mRNA)</v>
      </c>
      <c r="L227" s="31" t="str">
        <f t="shared" si="54"/>
        <v>(0.278 * E2_7_2_4_mRNA) - (0.00000278 * E2_7_2_4)</v>
      </c>
      <c r="M227" s="35" t="str">
        <f t="shared" si="55"/>
        <v>mRNA226: -&gt; E2_7_2_4_mRNA | 0.00292 - (0.0093 * E2_7_2_4_mRNA)</v>
      </c>
      <c r="N227" s="29" t="str">
        <f t="shared" si="44"/>
        <v>Peptide226: E2_7_2_4_mRNA -&gt; E2_7_2_4 | (0.278 * E2_7_2_4_mRNA) - (0.000000278 * E2_7_2_4)</v>
      </c>
    </row>
    <row r="228" spans="1:14">
      <c r="A228">
        <v>227</v>
      </c>
      <c r="B228" t="s">
        <v>16034</v>
      </c>
      <c r="C228" t="str">
        <f t="shared" si="45"/>
        <v>E2_7_2_8_mRNA</v>
      </c>
      <c r="D228" t="str">
        <f t="shared" si="46"/>
        <v>E2_7_2_8</v>
      </c>
      <c r="E228" s="29" t="str">
        <f t="shared" si="47"/>
        <v>E2_7_2_8_kcat : 13.7</v>
      </c>
      <c r="F228" s="30" t="str">
        <f t="shared" si="48"/>
        <v>E2_7_2_8_km : 1</v>
      </c>
      <c r="G228" s="31" t="str">
        <f t="shared" si="49"/>
        <v>E2_7_2_8_mRNA : E2_7_2_8_mRNA</v>
      </c>
      <c r="H228" s="32" t="str">
        <f t="shared" si="50"/>
        <v>E2_7_2_8 : E2_7_2_8</v>
      </c>
      <c r="I228" s="33" t="str">
        <f t="shared" si="51"/>
        <v>E2_7_2_8_mRNA : 0</v>
      </c>
      <c r="J228" s="16" t="str">
        <f t="shared" si="52"/>
        <v>E2_7_2_8 : 0</v>
      </c>
      <c r="K228" s="34" t="str">
        <f t="shared" si="53"/>
        <v>0.00292 - (0.0093 * E2_7_2_8_mRNA)</v>
      </c>
      <c r="L228" s="31" t="str">
        <f t="shared" si="54"/>
        <v>(0.278 * E2_7_2_8_mRNA) - (0.00000278 * E2_7_2_8)</v>
      </c>
      <c r="M228" s="35" t="str">
        <f t="shared" si="55"/>
        <v>mRNA227: -&gt; E2_7_2_8_mRNA | 0.00292 - (0.0093 * E2_7_2_8_mRNA)</v>
      </c>
      <c r="N228" s="29" t="str">
        <f t="shared" si="44"/>
        <v>Peptide227: E2_7_2_8_mRNA -&gt; E2_7_2_8 | (0.278 * E2_7_2_8_mRNA) - (0.000000278 * E2_7_2_8)</v>
      </c>
    </row>
    <row r="229" spans="1:14">
      <c r="A229">
        <v>228</v>
      </c>
      <c r="B229" t="s">
        <v>16035</v>
      </c>
      <c r="C229" t="str">
        <f t="shared" si="45"/>
        <v>E2_7_3_9_mRNA</v>
      </c>
      <c r="D229" t="str">
        <f t="shared" si="46"/>
        <v>E2_7_3_9</v>
      </c>
      <c r="E229" s="29" t="str">
        <f t="shared" si="47"/>
        <v>E2_7_3_9_kcat : 13.7</v>
      </c>
      <c r="F229" s="30" t="str">
        <f t="shared" si="48"/>
        <v>E2_7_3_9_km : 1</v>
      </c>
      <c r="G229" s="31" t="str">
        <f t="shared" si="49"/>
        <v>E2_7_3_9_mRNA : E2_7_3_9_mRNA</v>
      </c>
      <c r="H229" s="32" t="str">
        <f t="shared" si="50"/>
        <v>E2_7_3_9 : E2_7_3_9</v>
      </c>
      <c r="I229" s="33" t="str">
        <f t="shared" si="51"/>
        <v>E2_7_3_9_mRNA : 0</v>
      </c>
      <c r="J229" s="16" t="str">
        <f t="shared" si="52"/>
        <v>E2_7_3_9 : 0</v>
      </c>
      <c r="K229" s="34" t="str">
        <f t="shared" si="53"/>
        <v>0.00292 - (0.0093 * E2_7_3_9_mRNA)</v>
      </c>
      <c r="L229" s="31" t="str">
        <f t="shared" si="54"/>
        <v>(0.278 * E2_7_3_9_mRNA) - (0.00000278 * E2_7_3_9)</v>
      </c>
      <c r="M229" s="35" t="str">
        <f t="shared" si="55"/>
        <v>mRNA228: -&gt; E2_7_3_9_mRNA | 0.00292 - (0.0093 * E2_7_3_9_mRNA)</v>
      </c>
      <c r="N229" s="29" t="str">
        <f t="shared" si="44"/>
        <v>Peptide228: E2_7_3_9_mRNA -&gt; E2_7_3_9 | (0.278 * E2_7_3_9_mRNA) - (0.000000278 * E2_7_3_9)</v>
      </c>
    </row>
    <row r="230" spans="1:14">
      <c r="A230">
        <v>229</v>
      </c>
      <c r="B230" t="s">
        <v>12948</v>
      </c>
      <c r="C230" t="str">
        <f t="shared" si="45"/>
        <v>E2_7_4_1_mRNA</v>
      </c>
      <c r="D230" t="str">
        <f t="shared" si="46"/>
        <v>E2_7_4_1</v>
      </c>
      <c r="E230" s="29" t="str">
        <f t="shared" si="47"/>
        <v>E2_7_4_1_kcat : 13.7</v>
      </c>
      <c r="F230" s="30" t="str">
        <f t="shared" si="48"/>
        <v>E2_7_4_1_km : 1</v>
      </c>
      <c r="G230" s="31" t="str">
        <f t="shared" si="49"/>
        <v>E2_7_4_1_mRNA : E2_7_4_1_mRNA</v>
      </c>
      <c r="H230" s="32" t="str">
        <f t="shared" si="50"/>
        <v>E2_7_4_1 : E2_7_4_1</v>
      </c>
      <c r="I230" s="33" t="str">
        <f t="shared" si="51"/>
        <v>E2_7_4_1_mRNA : 0</v>
      </c>
      <c r="J230" s="16" t="str">
        <f t="shared" si="52"/>
        <v>E2_7_4_1 : 0</v>
      </c>
      <c r="K230" s="34" t="str">
        <f t="shared" si="53"/>
        <v>0.00292 - (0.0093 * E2_7_4_1_mRNA)</v>
      </c>
      <c r="L230" s="31" t="str">
        <f t="shared" si="54"/>
        <v>(0.278 * E2_7_4_1_mRNA) - (0.00000278 * E2_7_4_1)</v>
      </c>
      <c r="M230" s="35" t="str">
        <f t="shared" si="55"/>
        <v>mRNA229: -&gt; E2_7_4_1_mRNA | 0.00292 - (0.0093 * E2_7_4_1_mRNA)</v>
      </c>
      <c r="N230" s="29" t="str">
        <f t="shared" si="44"/>
        <v>Peptide229: E2_7_4_1_mRNA -&gt; E2_7_4_1 | (0.278 * E2_7_4_1_mRNA) - (0.000000278 * E2_7_4_1)</v>
      </c>
    </row>
    <row r="231" spans="1:14">
      <c r="A231">
        <v>230</v>
      </c>
      <c r="B231" t="s">
        <v>12949</v>
      </c>
      <c r="C231" t="str">
        <f t="shared" si="45"/>
        <v>E2_7_4_16_mRNA</v>
      </c>
      <c r="D231" t="str">
        <f t="shared" si="46"/>
        <v>E2_7_4_16</v>
      </c>
      <c r="E231" s="29" t="str">
        <f t="shared" si="47"/>
        <v>E2_7_4_16_kcat : 13.7</v>
      </c>
      <c r="F231" s="30" t="str">
        <f t="shared" si="48"/>
        <v>E2_7_4_16_km : 1</v>
      </c>
      <c r="G231" s="31" t="str">
        <f t="shared" si="49"/>
        <v>E2_7_4_16_mRNA : E2_7_4_16_mRNA</v>
      </c>
      <c r="H231" s="32" t="str">
        <f t="shared" si="50"/>
        <v>E2_7_4_16 : E2_7_4_16</v>
      </c>
      <c r="I231" s="33" t="str">
        <f t="shared" si="51"/>
        <v>E2_7_4_16_mRNA : 0</v>
      </c>
      <c r="J231" s="16" t="str">
        <f t="shared" si="52"/>
        <v>E2_7_4_16 : 0</v>
      </c>
      <c r="K231" s="34" t="str">
        <f t="shared" si="53"/>
        <v>0.00292 - (0.0093 * E2_7_4_16_mRNA)</v>
      </c>
      <c r="L231" s="31" t="str">
        <f t="shared" si="54"/>
        <v>(0.278 * E2_7_4_16_mRNA) - (0.00000278 * E2_7_4_16)</v>
      </c>
      <c r="M231" s="35" t="str">
        <f t="shared" si="55"/>
        <v>mRNA230: -&gt; E2_7_4_16_mRNA | 0.00292 - (0.0093 * E2_7_4_16_mRNA)</v>
      </c>
      <c r="N231" s="29" t="str">
        <f t="shared" si="44"/>
        <v>Peptide230: E2_7_4_16_mRNA -&gt; E2_7_4_16 | (0.278 * E2_7_4_16_mRNA) - (0.000000278 * E2_7_4_16)</v>
      </c>
    </row>
    <row r="232" spans="1:14">
      <c r="A232">
        <v>231</v>
      </c>
      <c r="B232" t="s">
        <v>12950</v>
      </c>
      <c r="C232" t="str">
        <f t="shared" si="45"/>
        <v>E2_7_4_22_mRNA</v>
      </c>
      <c r="D232" t="str">
        <f t="shared" si="46"/>
        <v>E2_7_4_22</v>
      </c>
      <c r="E232" s="29" t="str">
        <f t="shared" si="47"/>
        <v>E2_7_4_22_kcat : 13.7</v>
      </c>
      <c r="F232" s="30" t="str">
        <f t="shared" si="48"/>
        <v>E2_7_4_22_km : 1</v>
      </c>
      <c r="G232" s="31" t="str">
        <f t="shared" si="49"/>
        <v>E2_7_4_22_mRNA : E2_7_4_22_mRNA</v>
      </c>
      <c r="H232" s="32" t="str">
        <f t="shared" si="50"/>
        <v>E2_7_4_22 : E2_7_4_22</v>
      </c>
      <c r="I232" s="33" t="str">
        <f t="shared" si="51"/>
        <v>E2_7_4_22_mRNA : 0</v>
      </c>
      <c r="J232" s="16" t="str">
        <f t="shared" si="52"/>
        <v>E2_7_4_22 : 0</v>
      </c>
      <c r="K232" s="34" t="str">
        <f t="shared" si="53"/>
        <v>0.00292 - (0.0093 * E2_7_4_22_mRNA)</v>
      </c>
      <c r="L232" s="31" t="str">
        <f t="shared" si="54"/>
        <v>(0.278 * E2_7_4_22_mRNA) - (0.00000278 * E2_7_4_22)</v>
      </c>
      <c r="M232" s="35" t="str">
        <f t="shared" si="55"/>
        <v>mRNA231: -&gt; E2_7_4_22_mRNA | 0.00292 - (0.0093 * E2_7_4_22_mRNA)</v>
      </c>
      <c r="N232" s="29" t="str">
        <f t="shared" si="44"/>
        <v>Peptide231: E2_7_4_22_mRNA -&gt; E2_7_4_22 | (0.278 * E2_7_4_22_mRNA) - (0.000000278 * E2_7_4_22)</v>
      </c>
    </row>
    <row r="233" spans="1:14">
      <c r="A233">
        <v>232</v>
      </c>
      <c r="B233" t="s">
        <v>12951</v>
      </c>
      <c r="C233" t="str">
        <f t="shared" si="45"/>
        <v>E2_7_4_25_mRNA</v>
      </c>
      <c r="D233" t="str">
        <f t="shared" si="46"/>
        <v>E2_7_4_25</v>
      </c>
      <c r="E233" s="29" t="str">
        <f t="shared" si="47"/>
        <v>E2_7_4_25_kcat : 13.7</v>
      </c>
      <c r="F233" s="30" t="str">
        <f t="shared" si="48"/>
        <v>E2_7_4_25_km : 1</v>
      </c>
      <c r="G233" s="31" t="str">
        <f t="shared" si="49"/>
        <v>E2_7_4_25_mRNA : E2_7_4_25_mRNA</v>
      </c>
      <c r="H233" s="32" t="str">
        <f t="shared" si="50"/>
        <v>E2_7_4_25 : E2_7_4_25</v>
      </c>
      <c r="I233" s="33" t="str">
        <f t="shared" si="51"/>
        <v>E2_7_4_25_mRNA : 0</v>
      </c>
      <c r="J233" s="16" t="str">
        <f t="shared" si="52"/>
        <v>E2_7_4_25 : 0</v>
      </c>
      <c r="K233" s="34" t="str">
        <f t="shared" si="53"/>
        <v>0.00292 - (0.0093 * E2_7_4_25_mRNA)</v>
      </c>
      <c r="L233" s="31" t="str">
        <f t="shared" si="54"/>
        <v>(0.278 * E2_7_4_25_mRNA) - (0.00000278 * E2_7_4_25)</v>
      </c>
      <c r="M233" s="35" t="str">
        <f t="shared" si="55"/>
        <v>mRNA232: -&gt; E2_7_4_25_mRNA | 0.00292 - (0.0093 * E2_7_4_25_mRNA)</v>
      </c>
      <c r="N233" s="29" t="str">
        <f t="shared" si="44"/>
        <v>Peptide232: E2_7_4_25_mRNA -&gt; E2_7_4_25 | (0.278 * E2_7_4_25_mRNA) - (0.000000278 * E2_7_4_25)</v>
      </c>
    </row>
    <row r="234" spans="1:14">
      <c r="A234">
        <v>233</v>
      </c>
      <c r="B234" t="s">
        <v>12952</v>
      </c>
      <c r="C234" t="str">
        <f t="shared" si="45"/>
        <v>E2_7_4_3_mRNA</v>
      </c>
      <c r="D234" t="str">
        <f t="shared" si="46"/>
        <v>E2_7_4_3</v>
      </c>
      <c r="E234" s="29" t="str">
        <f t="shared" si="47"/>
        <v>E2_7_4_3_kcat : 13.7</v>
      </c>
      <c r="F234" s="30" t="str">
        <f t="shared" si="48"/>
        <v>E2_7_4_3_km : 1</v>
      </c>
      <c r="G234" s="31" t="str">
        <f t="shared" si="49"/>
        <v>E2_7_4_3_mRNA : E2_7_4_3_mRNA</v>
      </c>
      <c r="H234" s="32" t="str">
        <f t="shared" si="50"/>
        <v>E2_7_4_3 : E2_7_4_3</v>
      </c>
      <c r="I234" s="33" t="str">
        <f t="shared" si="51"/>
        <v>E2_7_4_3_mRNA : 0</v>
      </c>
      <c r="J234" s="16" t="str">
        <f t="shared" si="52"/>
        <v>E2_7_4_3 : 0</v>
      </c>
      <c r="K234" s="34" t="str">
        <f t="shared" si="53"/>
        <v>0.00292 - (0.0093 * E2_7_4_3_mRNA)</v>
      </c>
      <c r="L234" s="31" t="str">
        <f t="shared" si="54"/>
        <v>(0.278 * E2_7_4_3_mRNA) - (0.00000278 * E2_7_4_3)</v>
      </c>
      <c r="M234" s="35" t="str">
        <f t="shared" si="55"/>
        <v>mRNA233: -&gt; E2_7_4_3_mRNA | 0.00292 - (0.0093 * E2_7_4_3_mRNA)</v>
      </c>
      <c r="N234" s="29" t="str">
        <f t="shared" si="44"/>
        <v>Peptide233: E2_7_4_3_mRNA -&gt; E2_7_4_3 | (0.278 * E2_7_4_3_mRNA) - (0.000000278 * E2_7_4_3)</v>
      </c>
    </row>
    <row r="235" spans="1:14">
      <c r="A235">
        <v>234</v>
      </c>
      <c r="B235" t="s">
        <v>12953</v>
      </c>
      <c r="C235" t="str">
        <f t="shared" si="45"/>
        <v>E2_7_4_6_mRNA</v>
      </c>
      <c r="D235" t="str">
        <f t="shared" si="46"/>
        <v>E2_7_4_6</v>
      </c>
      <c r="E235" s="29" t="str">
        <f t="shared" si="47"/>
        <v>E2_7_4_6_kcat : 13.7</v>
      </c>
      <c r="F235" s="30" t="str">
        <f t="shared" si="48"/>
        <v>E2_7_4_6_km : 1</v>
      </c>
      <c r="G235" s="31" t="str">
        <f t="shared" si="49"/>
        <v>E2_7_4_6_mRNA : E2_7_4_6_mRNA</v>
      </c>
      <c r="H235" s="32" t="str">
        <f t="shared" si="50"/>
        <v>E2_7_4_6 : E2_7_4_6</v>
      </c>
      <c r="I235" s="33" t="str">
        <f t="shared" si="51"/>
        <v>E2_7_4_6_mRNA : 0</v>
      </c>
      <c r="J235" s="16" t="str">
        <f t="shared" si="52"/>
        <v>E2_7_4_6 : 0</v>
      </c>
      <c r="K235" s="34" t="str">
        <f t="shared" si="53"/>
        <v>0.00292 - (0.0093 * E2_7_4_6_mRNA)</v>
      </c>
      <c r="L235" s="31" t="str">
        <f t="shared" si="54"/>
        <v>(0.278 * E2_7_4_6_mRNA) - (0.00000278 * E2_7_4_6)</v>
      </c>
      <c r="M235" s="35" t="str">
        <f t="shared" si="55"/>
        <v>mRNA234: -&gt; E2_7_4_6_mRNA | 0.00292 - (0.0093 * E2_7_4_6_mRNA)</v>
      </c>
      <c r="N235" s="29" t="str">
        <f t="shared" si="44"/>
        <v>Peptide234: E2_7_4_6_mRNA -&gt; E2_7_4_6 | (0.278 * E2_7_4_6_mRNA) - (0.000000278 * E2_7_4_6)</v>
      </c>
    </row>
    <row r="236" spans="1:14">
      <c r="A236">
        <v>235</v>
      </c>
      <c r="B236" t="s">
        <v>12954</v>
      </c>
      <c r="C236" t="str">
        <f t="shared" si="45"/>
        <v>E2_7_4_7_mRNA</v>
      </c>
      <c r="D236" t="str">
        <f t="shared" si="46"/>
        <v>E2_7_4_7</v>
      </c>
      <c r="E236" s="29" t="str">
        <f t="shared" si="47"/>
        <v>E2_7_4_7_kcat : 13.7</v>
      </c>
      <c r="F236" s="30" t="str">
        <f t="shared" si="48"/>
        <v>E2_7_4_7_km : 1</v>
      </c>
      <c r="G236" s="31" t="str">
        <f t="shared" si="49"/>
        <v>E2_7_4_7_mRNA : E2_7_4_7_mRNA</v>
      </c>
      <c r="H236" s="32" t="str">
        <f t="shared" si="50"/>
        <v>E2_7_4_7 : E2_7_4_7</v>
      </c>
      <c r="I236" s="33" t="str">
        <f t="shared" si="51"/>
        <v>E2_7_4_7_mRNA : 0</v>
      </c>
      <c r="J236" s="16" t="str">
        <f t="shared" si="52"/>
        <v>E2_7_4_7 : 0</v>
      </c>
      <c r="K236" s="34" t="str">
        <f t="shared" si="53"/>
        <v>0.00292 - (0.0093 * E2_7_4_7_mRNA)</v>
      </c>
      <c r="L236" s="31" t="str">
        <f t="shared" si="54"/>
        <v>(0.278 * E2_7_4_7_mRNA) - (0.00000278 * E2_7_4_7)</v>
      </c>
      <c r="M236" s="35" t="str">
        <f t="shared" si="55"/>
        <v>mRNA235: -&gt; E2_7_4_7_mRNA | 0.00292 - (0.0093 * E2_7_4_7_mRNA)</v>
      </c>
      <c r="N236" s="29" t="str">
        <f t="shared" si="44"/>
        <v>Peptide235: E2_7_4_7_mRNA -&gt; E2_7_4_7 | (0.278 * E2_7_4_7_mRNA) - (0.000000278 * E2_7_4_7)</v>
      </c>
    </row>
    <row r="237" spans="1:14">
      <c r="A237">
        <v>236</v>
      </c>
      <c r="B237" t="s">
        <v>12955</v>
      </c>
      <c r="C237" t="str">
        <f t="shared" si="45"/>
        <v>E2_7_4_8_mRNA</v>
      </c>
      <c r="D237" t="str">
        <f t="shared" si="46"/>
        <v>E2_7_4_8</v>
      </c>
      <c r="E237" s="29" t="str">
        <f t="shared" si="47"/>
        <v>E2_7_4_8_kcat : 13.7</v>
      </c>
      <c r="F237" s="30" t="str">
        <f t="shared" si="48"/>
        <v>E2_7_4_8_km : 1</v>
      </c>
      <c r="G237" s="31" t="str">
        <f t="shared" si="49"/>
        <v>E2_7_4_8_mRNA : E2_7_4_8_mRNA</v>
      </c>
      <c r="H237" s="32" t="str">
        <f t="shared" si="50"/>
        <v>E2_7_4_8 : E2_7_4_8</v>
      </c>
      <c r="I237" s="33" t="str">
        <f t="shared" si="51"/>
        <v>E2_7_4_8_mRNA : 0</v>
      </c>
      <c r="J237" s="16" t="str">
        <f t="shared" si="52"/>
        <v>E2_7_4_8 : 0</v>
      </c>
      <c r="K237" s="34" t="str">
        <f t="shared" si="53"/>
        <v>0.00292 - (0.0093 * E2_7_4_8_mRNA)</v>
      </c>
      <c r="L237" s="31" t="str">
        <f t="shared" si="54"/>
        <v>(0.278 * E2_7_4_8_mRNA) - (0.00000278 * E2_7_4_8)</v>
      </c>
      <c r="M237" s="35" t="str">
        <f t="shared" si="55"/>
        <v>mRNA236: -&gt; E2_7_4_8_mRNA | 0.00292 - (0.0093 * E2_7_4_8_mRNA)</v>
      </c>
      <c r="N237" s="29" t="str">
        <f t="shared" si="44"/>
        <v>Peptide236: E2_7_4_8_mRNA -&gt; E2_7_4_8 | (0.278 * E2_7_4_8_mRNA) - (0.000000278 * E2_7_4_8)</v>
      </c>
    </row>
    <row r="238" spans="1:14">
      <c r="A238">
        <v>237</v>
      </c>
      <c r="B238" t="s">
        <v>12956</v>
      </c>
      <c r="C238" t="str">
        <f t="shared" si="45"/>
        <v>E2_7_4_9_mRNA</v>
      </c>
      <c r="D238" t="str">
        <f t="shared" si="46"/>
        <v>E2_7_4_9</v>
      </c>
      <c r="E238" s="29" t="str">
        <f t="shared" si="47"/>
        <v>E2_7_4_9_kcat : 13.7</v>
      </c>
      <c r="F238" s="30" t="str">
        <f t="shared" si="48"/>
        <v>E2_7_4_9_km : 1</v>
      </c>
      <c r="G238" s="31" t="str">
        <f t="shared" si="49"/>
        <v>E2_7_4_9_mRNA : E2_7_4_9_mRNA</v>
      </c>
      <c r="H238" s="32" t="str">
        <f t="shared" si="50"/>
        <v>E2_7_4_9 : E2_7_4_9</v>
      </c>
      <c r="I238" s="33" t="str">
        <f t="shared" si="51"/>
        <v>E2_7_4_9_mRNA : 0</v>
      </c>
      <c r="J238" s="16" t="str">
        <f t="shared" si="52"/>
        <v>E2_7_4_9 : 0</v>
      </c>
      <c r="K238" s="34" t="str">
        <f t="shared" si="53"/>
        <v>0.00292 - (0.0093 * E2_7_4_9_mRNA)</v>
      </c>
      <c r="L238" s="31" t="str">
        <f t="shared" si="54"/>
        <v>(0.278 * E2_7_4_9_mRNA) - (0.00000278 * E2_7_4_9)</v>
      </c>
      <c r="M238" s="35" t="str">
        <f t="shared" si="55"/>
        <v>mRNA237: -&gt; E2_7_4_9_mRNA | 0.00292 - (0.0093 * E2_7_4_9_mRNA)</v>
      </c>
      <c r="N238" s="29" t="str">
        <f t="shared" si="44"/>
        <v>Peptide237: E2_7_4_9_mRNA -&gt; E2_7_4_9 | (0.278 * E2_7_4_9_mRNA) - (0.000000278 * E2_7_4_9)</v>
      </c>
    </row>
    <row r="239" spans="1:14">
      <c r="A239">
        <v>238</v>
      </c>
      <c r="B239" t="s">
        <v>12957</v>
      </c>
      <c r="C239" t="str">
        <f t="shared" si="45"/>
        <v>E2_7_6_1_mRNA</v>
      </c>
      <c r="D239" t="str">
        <f t="shared" si="46"/>
        <v>E2_7_6_1</v>
      </c>
      <c r="E239" s="29" t="str">
        <f t="shared" si="47"/>
        <v>E2_7_6_1_kcat : 13.7</v>
      </c>
      <c r="F239" s="30" t="str">
        <f t="shared" si="48"/>
        <v>E2_7_6_1_km : 1</v>
      </c>
      <c r="G239" s="31" t="str">
        <f t="shared" si="49"/>
        <v>E2_7_6_1_mRNA : E2_7_6_1_mRNA</v>
      </c>
      <c r="H239" s="32" t="str">
        <f t="shared" si="50"/>
        <v>E2_7_6_1 : E2_7_6_1</v>
      </c>
      <c r="I239" s="33" t="str">
        <f t="shared" si="51"/>
        <v>E2_7_6_1_mRNA : 0</v>
      </c>
      <c r="J239" s="16" t="str">
        <f t="shared" si="52"/>
        <v>E2_7_6_1 : 0</v>
      </c>
      <c r="K239" s="34" t="str">
        <f t="shared" si="53"/>
        <v>0.00292 - (0.0093 * E2_7_6_1_mRNA)</v>
      </c>
      <c r="L239" s="31" t="str">
        <f t="shared" si="54"/>
        <v>(0.278 * E2_7_6_1_mRNA) - (0.00000278 * E2_7_6_1)</v>
      </c>
      <c r="M239" s="35" t="str">
        <f t="shared" si="55"/>
        <v>mRNA238: -&gt; E2_7_6_1_mRNA | 0.00292 - (0.0093 * E2_7_6_1_mRNA)</v>
      </c>
      <c r="N239" s="29" t="str">
        <f t="shared" si="44"/>
        <v>Peptide238: E2_7_6_1_mRNA -&gt; E2_7_6_1 | (0.278 * E2_7_6_1_mRNA) - (0.000000278 * E2_7_6_1)</v>
      </c>
    </row>
    <row r="240" spans="1:14">
      <c r="A240">
        <v>239</v>
      </c>
      <c r="B240" t="s">
        <v>12958</v>
      </c>
      <c r="C240" t="str">
        <f t="shared" si="45"/>
        <v>E2_7_6_3_mRNA</v>
      </c>
      <c r="D240" t="str">
        <f t="shared" si="46"/>
        <v>E2_7_6_3</v>
      </c>
      <c r="E240" s="29" t="str">
        <f t="shared" si="47"/>
        <v>E2_7_6_3_kcat : 13.7</v>
      </c>
      <c r="F240" s="30" t="str">
        <f t="shared" si="48"/>
        <v>E2_7_6_3_km : 1</v>
      </c>
      <c r="G240" s="31" t="str">
        <f t="shared" si="49"/>
        <v>E2_7_6_3_mRNA : E2_7_6_3_mRNA</v>
      </c>
      <c r="H240" s="32" t="str">
        <f t="shared" si="50"/>
        <v>E2_7_6_3 : E2_7_6_3</v>
      </c>
      <c r="I240" s="33" t="str">
        <f t="shared" si="51"/>
        <v>E2_7_6_3_mRNA : 0</v>
      </c>
      <c r="J240" s="16" t="str">
        <f t="shared" si="52"/>
        <v>E2_7_6_3 : 0</v>
      </c>
      <c r="K240" s="34" t="str">
        <f t="shared" si="53"/>
        <v>0.00292 - (0.0093 * E2_7_6_3_mRNA)</v>
      </c>
      <c r="L240" s="31" t="str">
        <f t="shared" si="54"/>
        <v>(0.278 * E2_7_6_3_mRNA) - (0.00000278 * E2_7_6_3)</v>
      </c>
      <c r="M240" s="35" t="str">
        <f t="shared" si="55"/>
        <v>mRNA239: -&gt; E2_7_6_3_mRNA | 0.00292 - (0.0093 * E2_7_6_3_mRNA)</v>
      </c>
      <c r="N240" s="29" t="str">
        <f t="shared" si="44"/>
        <v>Peptide239: E2_7_6_3_mRNA -&gt; E2_7_6_3 | (0.278 * E2_7_6_3_mRNA) - (0.000000278 * E2_7_6_3)</v>
      </c>
    </row>
    <row r="241" spans="1:14">
      <c r="A241">
        <v>240</v>
      </c>
      <c r="B241" t="s">
        <v>12959</v>
      </c>
      <c r="C241" t="str">
        <f t="shared" si="45"/>
        <v>E2_7_6_5_mRNA</v>
      </c>
      <c r="D241" t="str">
        <f t="shared" si="46"/>
        <v>E2_7_6_5</v>
      </c>
      <c r="E241" s="29" t="str">
        <f t="shared" si="47"/>
        <v>E2_7_6_5_kcat : 13.7</v>
      </c>
      <c r="F241" s="30" t="str">
        <f t="shared" si="48"/>
        <v>E2_7_6_5_km : 1</v>
      </c>
      <c r="G241" s="31" t="str">
        <f t="shared" si="49"/>
        <v>E2_7_6_5_mRNA : E2_7_6_5_mRNA</v>
      </c>
      <c r="H241" s="32" t="str">
        <f t="shared" si="50"/>
        <v>E2_7_6_5 : E2_7_6_5</v>
      </c>
      <c r="I241" s="33" t="str">
        <f t="shared" si="51"/>
        <v>E2_7_6_5_mRNA : 0</v>
      </c>
      <c r="J241" s="16" t="str">
        <f t="shared" si="52"/>
        <v>E2_7_6_5 : 0</v>
      </c>
      <c r="K241" s="34" t="str">
        <f t="shared" si="53"/>
        <v>0.00292 - (0.0093 * E2_7_6_5_mRNA)</v>
      </c>
      <c r="L241" s="31" t="str">
        <f t="shared" si="54"/>
        <v>(0.278 * E2_7_6_5_mRNA) - (0.00000278 * E2_7_6_5)</v>
      </c>
      <c r="M241" s="35" t="str">
        <f t="shared" si="55"/>
        <v>mRNA240: -&gt; E2_7_6_5_mRNA | 0.00292 - (0.0093 * E2_7_6_5_mRNA)</v>
      </c>
      <c r="N241" s="29" t="str">
        <f t="shared" si="44"/>
        <v>Peptide240: E2_7_6_5_mRNA -&gt; E2_7_6_5 | (0.278 * E2_7_6_5_mRNA) - (0.000000278 * E2_7_6_5)</v>
      </c>
    </row>
    <row r="242" spans="1:14">
      <c r="A242">
        <v>241</v>
      </c>
      <c r="B242" t="s">
        <v>12960</v>
      </c>
      <c r="C242" t="str">
        <f t="shared" si="45"/>
        <v>E2_7_7_108_mRNA</v>
      </c>
      <c r="D242" t="str">
        <f t="shared" si="46"/>
        <v>E2_7_7_108</v>
      </c>
      <c r="E242" s="29" t="str">
        <f t="shared" si="47"/>
        <v>E2_7_7_108_kcat : 13.7</v>
      </c>
      <c r="F242" s="30" t="str">
        <f t="shared" si="48"/>
        <v>E2_7_7_108_km : 1</v>
      </c>
      <c r="G242" s="31" t="str">
        <f t="shared" si="49"/>
        <v>E2_7_7_108_mRNA : E2_7_7_108_mRNA</v>
      </c>
      <c r="H242" s="32" t="str">
        <f t="shared" si="50"/>
        <v>E2_7_7_108 : E2_7_7_108</v>
      </c>
      <c r="I242" s="33" t="str">
        <f t="shared" si="51"/>
        <v>E2_7_7_108_mRNA : 0</v>
      </c>
      <c r="J242" s="16" t="str">
        <f t="shared" si="52"/>
        <v>E2_7_7_108 : 0</v>
      </c>
      <c r="K242" s="34" t="str">
        <f t="shared" si="53"/>
        <v>0.00292 - (0.0093 * E2_7_7_108_mRNA)</v>
      </c>
      <c r="L242" s="31" t="str">
        <f t="shared" si="54"/>
        <v>(0.278 * E2_7_7_108_mRNA) - (0.00000278 * E2_7_7_108)</v>
      </c>
      <c r="M242" s="35" t="str">
        <f t="shared" si="55"/>
        <v>mRNA241: -&gt; E2_7_7_108_mRNA | 0.00292 - (0.0093 * E2_7_7_108_mRNA)</v>
      </c>
      <c r="N242" s="29" t="str">
        <f t="shared" si="44"/>
        <v>Peptide241: E2_7_7_108_mRNA -&gt; E2_7_7_108 | (0.278 * E2_7_7_108_mRNA) - (0.000000278 * E2_7_7_108)</v>
      </c>
    </row>
    <row r="243" spans="1:14">
      <c r="A243">
        <v>242</v>
      </c>
      <c r="B243" t="s">
        <v>12961</v>
      </c>
      <c r="C243" t="str">
        <f t="shared" si="45"/>
        <v>E2_7_7_13_mRNA</v>
      </c>
      <c r="D243" t="str">
        <f t="shared" si="46"/>
        <v>E2_7_7_13</v>
      </c>
      <c r="E243" s="29" t="str">
        <f t="shared" si="47"/>
        <v>E2_7_7_13_kcat : 13.7</v>
      </c>
      <c r="F243" s="30" t="str">
        <f t="shared" si="48"/>
        <v>E2_7_7_13_km : 1</v>
      </c>
      <c r="G243" s="31" t="str">
        <f t="shared" si="49"/>
        <v>E2_7_7_13_mRNA : E2_7_7_13_mRNA</v>
      </c>
      <c r="H243" s="32" t="str">
        <f t="shared" si="50"/>
        <v>E2_7_7_13 : E2_7_7_13</v>
      </c>
      <c r="I243" s="33" t="str">
        <f t="shared" si="51"/>
        <v>E2_7_7_13_mRNA : 0</v>
      </c>
      <c r="J243" s="16" t="str">
        <f t="shared" si="52"/>
        <v>E2_7_7_13 : 0</v>
      </c>
      <c r="K243" s="34" t="str">
        <f t="shared" si="53"/>
        <v>0.00292 - (0.0093 * E2_7_7_13_mRNA)</v>
      </c>
      <c r="L243" s="31" t="str">
        <f t="shared" si="54"/>
        <v>(0.278 * E2_7_7_13_mRNA) - (0.00000278 * E2_7_7_13)</v>
      </c>
      <c r="M243" s="35" t="str">
        <f t="shared" si="55"/>
        <v>mRNA242: -&gt; E2_7_7_13_mRNA | 0.00292 - (0.0093 * E2_7_7_13_mRNA)</v>
      </c>
      <c r="N243" s="29" t="str">
        <f t="shared" si="44"/>
        <v>Peptide242: E2_7_7_13_mRNA -&gt; E2_7_7_13 | (0.278 * E2_7_7_13_mRNA) - (0.000000278 * E2_7_7_13)</v>
      </c>
    </row>
    <row r="244" spans="1:14">
      <c r="A244">
        <v>243</v>
      </c>
      <c r="B244" t="s">
        <v>12962</v>
      </c>
      <c r="C244" t="str">
        <f t="shared" si="45"/>
        <v>E2_7_7_18_mRNA</v>
      </c>
      <c r="D244" t="str">
        <f t="shared" si="46"/>
        <v>E2_7_7_18</v>
      </c>
      <c r="E244" s="29" t="str">
        <f t="shared" si="47"/>
        <v>E2_7_7_18_kcat : 13.7</v>
      </c>
      <c r="F244" s="30" t="str">
        <f t="shared" si="48"/>
        <v>E2_7_7_18_km : 1</v>
      </c>
      <c r="G244" s="31" t="str">
        <f t="shared" si="49"/>
        <v>E2_7_7_18_mRNA : E2_7_7_18_mRNA</v>
      </c>
      <c r="H244" s="32" t="str">
        <f t="shared" si="50"/>
        <v>E2_7_7_18 : E2_7_7_18</v>
      </c>
      <c r="I244" s="33" t="str">
        <f t="shared" si="51"/>
        <v>E2_7_7_18_mRNA : 0</v>
      </c>
      <c r="J244" s="16" t="str">
        <f t="shared" si="52"/>
        <v>E2_7_7_18 : 0</v>
      </c>
      <c r="K244" s="34" t="str">
        <f t="shared" si="53"/>
        <v>0.00292 - (0.0093 * E2_7_7_18_mRNA)</v>
      </c>
      <c r="L244" s="31" t="str">
        <f t="shared" si="54"/>
        <v>(0.278 * E2_7_7_18_mRNA) - (0.00000278 * E2_7_7_18)</v>
      </c>
      <c r="M244" s="35" t="str">
        <f t="shared" si="55"/>
        <v>mRNA243: -&gt; E2_7_7_18_mRNA | 0.00292 - (0.0093 * E2_7_7_18_mRNA)</v>
      </c>
      <c r="N244" s="29" t="str">
        <f t="shared" si="44"/>
        <v>Peptide243: E2_7_7_18_mRNA -&gt; E2_7_7_18 | (0.278 * E2_7_7_18_mRNA) - (0.000000278 * E2_7_7_18)</v>
      </c>
    </row>
    <row r="245" spans="1:14">
      <c r="A245">
        <v>244</v>
      </c>
      <c r="B245" t="s">
        <v>12963</v>
      </c>
      <c r="C245" t="str">
        <f t="shared" si="45"/>
        <v>E2_7_7_2_mRNA</v>
      </c>
      <c r="D245" t="str">
        <f t="shared" si="46"/>
        <v>E2_7_7_2</v>
      </c>
      <c r="E245" s="29" t="str">
        <f t="shared" si="47"/>
        <v>E2_7_7_2_kcat : 13.7</v>
      </c>
      <c r="F245" s="30" t="str">
        <f t="shared" si="48"/>
        <v>E2_7_7_2_km : 1</v>
      </c>
      <c r="G245" s="31" t="str">
        <f t="shared" si="49"/>
        <v>E2_7_7_2_mRNA : E2_7_7_2_mRNA</v>
      </c>
      <c r="H245" s="32" t="str">
        <f t="shared" si="50"/>
        <v>E2_7_7_2 : E2_7_7_2</v>
      </c>
      <c r="I245" s="33" t="str">
        <f t="shared" si="51"/>
        <v>E2_7_7_2_mRNA : 0</v>
      </c>
      <c r="J245" s="16" t="str">
        <f t="shared" si="52"/>
        <v>E2_7_7_2 : 0</v>
      </c>
      <c r="K245" s="34" t="str">
        <f t="shared" si="53"/>
        <v>0.00292 - (0.0093 * E2_7_7_2_mRNA)</v>
      </c>
      <c r="L245" s="31" t="str">
        <f t="shared" si="54"/>
        <v>(0.278 * E2_7_7_2_mRNA) - (0.00000278 * E2_7_7_2)</v>
      </c>
      <c r="M245" s="35" t="str">
        <f t="shared" si="55"/>
        <v>mRNA244: -&gt; E2_7_7_2_mRNA | 0.00292 - (0.0093 * E2_7_7_2_mRNA)</v>
      </c>
      <c r="N245" s="29" t="str">
        <f t="shared" si="44"/>
        <v>Peptide244: E2_7_7_2_mRNA -&gt; E2_7_7_2 | (0.278 * E2_7_7_2_mRNA) - (0.000000278 * E2_7_7_2)</v>
      </c>
    </row>
    <row r="246" spans="1:14">
      <c r="A246">
        <v>245</v>
      </c>
      <c r="B246" t="s">
        <v>12964</v>
      </c>
      <c r="C246" t="str">
        <f t="shared" si="45"/>
        <v>E2_7_7_23_mRNA</v>
      </c>
      <c r="D246" t="str">
        <f t="shared" si="46"/>
        <v>E2_7_7_23</v>
      </c>
      <c r="E246" s="29" t="str">
        <f t="shared" si="47"/>
        <v>E2_7_7_23_kcat : 13.7</v>
      </c>
      <c r="F246" s="30" t="str">
        <f t="shared" si="48"/>
        <v>E2_7_7_23_km : 1</v>
      </c>
      <c r="G246" s="31" t="str">
        <f t="shared" si="49"/>
        <v>E2_7_7_23_mRNA : E2_7_7_23_mRNA</v>
      </c>
      <c r="H246" s="32" t="str">
        <f t="shared" si="50"/>
        <v>E2_7_7_23 : E2_7_7_23</v>
      </c>
      <c r="I246" s="33" t="str">
        <f t="shared" si="51"/>
        <v>E2_7_7_23_mRNA : 0</v>
      </c>
      <c r="J246" s="16" t="str">
        <f t="shared" si="52"/>
        <v>E2_7_7_23 : 0</v>
      </c>
      <c r="K246" s="34" t="str">
        <f t="shared" si="53"/>
        <v>0.00292 - (0.0093 * E2_7_7_23_mRNA)</v>
      </c>
      <c r="L246" s="31" t="str">
        <f t="shared" si="54"/>
        <v>(0.278 * E2_7_7_23_mRNA) - (0.00000278 * E2_7_7_23)</v>
      </c>
      <c r="M246" s="35" t="str">
        <f t="shared" si="55"/>
        <v>mRNA245: -&gt; E2_7_7_23_mRNA | 0.00292 - (0.0093 * E2_7_7_23_mRNA)</v>
      </c>
      <c r="N246" s="29" t="str">
        <f t="shared" si="44"/>
        <v>Peptide245: E2_7_7_23_mRNA -&gt; E2_7_7_23 | (0.278 * E2_7_7_23_mRNA) - (0.000000278 * E2_7_7_23)</v>
      </c>
    </row>
    <row r="247" spans="1:14">
      <c r="A247">
        <v>246</v>
      </c>
      <c r="B247" t="s">
        <v>12965</v>
      </c>
      <c r="C247" t="str">
        <f t="shared" si="45"/>
        <v>E2_7_7_24_mRNA</v>
      </c>
      <c r="D247" t="str">
        <f t="shared" si="46"/>
        <v>E2_7_7_24</v>
      </c>
      <c r="E247" s="29" t="str">
        <f t="shared" si="47"/>
        <v>E2_7_7_24_kcat : 13.7</v>
      </c>
      <c r="F247" s="30" t="str">
        <f t="shared" si="48"/>
        <v>E2_7_7_24_km : 1</v>
      </c>
      <c r="G247" s="31" t="str">
        <f t="shared" si="49"/>
        <v>E2_7_7_24_mRNA : E2_7_7_24_mRNA</v>
      </c>
      <c r="H247" s="32" t="str">
        <f t="shared" si="50"/>
        <v>E2_7_7_24 : E2_7_7_24</v>
      </c>
      <c r="I247" s="33" t="str">
        <f t="shared" si="51"/>
        <v>E2_7_7_24_mRNA : 0</v>
      </c>
      <c r="J247" s="16" t="str">
        <f t="shared" si="52"/>
        <v>E2_7_7_24 : 0</v>
      </c>
      <c r="K247" s="34" t="str">
        <f t="shared" si="53"/>
        <v>0.00292 - (0.0093 * E2_7_7_24_mRNA)</v>
      </c>
      <c r="L247" s="31" t="str">
        <f t="shared" si="54"/>
        <v>(0.278 * E2_7_7_24_mRNA) - (0.00000278 * E2_7_7_24)</v>
      </c>
      <c r="M247" s="35" t="str">
        <f t="shared" si="55"/>
        <v>mRNA246: -&gt; E2_7_7_24_mRNA | 0.00292 - (0.0093 * E2_7_7_24_mRNA)</v>
      </c>
      <c r="N247" s="29" t="str">
        <f t="shared" si="44"/>
        <v>Peptide246: E2_7_7_24_mRNA -&gt; E2_7_7_24 | (0.278 * E2_7_7_24_mRNA) - (0.000000278 * E2_7_7_24)</v>
      </c>
    </row>
    <row r="248" spans="1:14">
      <c r="A248">
        <v>247</v>
      </c>
      <c r="B248" t="s">
        <v>12966</v>
      </c>
      <c r="C248" t="str">
        <f t="shared" si="45"/>
        <v>E2_7_7_27_mRNA</v>
      </c>
      <c r="D248" t="str">
        <f t="shared" si="46"/>
        <v>E2_7_7_27</v>
      </c>
      <c r="E248" s="29" t="str">
        <f t="shared" si="47"/>
        <v>E2_7_7_27_kcat : 13.7</v>
      </c>
      <c r="F248" s="30" t="str">
        <f t="shared" si="48"/>
        <v>E2_7_7_27_km : 1</v>
      </c>
      <c r="G248" s="31" t="str">
        <f t="shared" si="49"/>
        <v>E2_7_7_27_mRNA : E2_7_7_27_mRNA</v>
      </c>
      <c r="H248" s="32" t="str">
        <f t="shared" si="50"/>
        <v>E2_7_7_27 : E2_7_7_27</v>
      </c>
      <c r="I248" s="33" t="str">
        <f t="shared" si="51"/>
        <v>E2_7_7_27_mRNA : 0</v>
      </c>
      <c r="J248" s="16" t="str">
        <f t="shared" si="52"/>
        <v>E2_7_7_27 : 0</v>
      </c>
      <c r="K248" s="34" t="str">
        <f t="shared" si="53"/>
        <v>0.00292 - (0.0093 * E2_7_7_27_mRNA)</v>
      </c>
      <c r="L248" s="31" t="str">
        <f t="shared" si="54"/>
        <v>(0.278 * E2_7_7_27_mRNA) - (0.00000278 * E2_7_7_27)</v>
      </c>
      <c r="M248" s="35" t="str">
        <f t="shared" si="55"/>
        <v>mRNA247: -&gt; E2_7_7_27_mRNA | 0.00292 - (0.0093 * E2_7_7_27_mRNA)</v>
      </c>
      <c r="N248" s="29" t="str">
        <f t="shared" si="44"/>
        <v>Peptide247: E2_7_7_27_mRNA -&gt; E2_7_7_27 | (0.278 * E2_7_7_27_mRNA) - (0.000000278 * E2_7_7_27)</v>
      </c>
    </row>
    <row r="249" spans="1:14">
      <c r="A249">
        <v>248</v>
      </c>
      <c r="B249" t="s">
        <v>12967</v>
      </c>
      <c r="C249" t="str">
        <f t="shared" si="45"/>
        <v>E2_7_7_3_mRNA</v>
      </c>
      <c r="D249" t="str">
        <f t="shared" si="46"/>
        <v>E2_7_7_3</v>
      </c>
      <c r="E249" s="29" t="str">
        <f t="shared" si="47"/>
        <v>E2_7_7_3_kcat : 13.7</v>
      </c>
      <c r="F249" s="30" t="str">
        <f t="shared" si="48"/>
        <v>E2_7_7_3_km : 1</v>
      </c>
      <c r="G249" s="31" t="str">
        <f t="shared" si="49"/>
        <v>E2_7_7_3_mRNA : E2_7_7_3_mRNA</v>
      </c>
      <c r="H249" s="32" t="str">
        <f t="shared" si="50"/>
        <v>E2_7_7_3 : E2_7_7_3</v>
      </c>
      <c r="I249" s="33" t="str">
        <f t="shared" si="51"/>
        <v>E2_7_7_3_mRNA : 0</v>
      </c>
      <c r="J249" s="16" t="str">
        <f t="shared" si="52"/>
        <v>E2_7_7_3 : 0</v>
      </c>
      <c r="K249" s="34" t="str">
        <f t="shared" si="53"/>
        <v>0.00292 - (0.0093 * E2_7_7_3_mRNA)</v>
      </c>
      <c r="L249" s="31" t="str">
        <f t="shared" si="54"/>
        <v>(0.278 * E2_7_7_3_mRNA) - (0.00000278 * E2_7_7_3)</v>
      </c>
      <c r="M249" s="35" t="str">
        <f t="shared" si="55"/>
        <v>mRNA248: -&gt; E2_7_7_3_mRNA | 0.00292 - (0.0093 * E2_7_7_3_mRNA)</v>
      </c>
      <c r="N249" s="29" t="str">
        <f t="shared" si="44"/>
        <v>Peptide248: E2_7_7_3_mRNA -&gt; E2_7_7_3 | (0.278 * E2_7_7_3_mRNA) - (0.000000278 * E2_7_7_3)</v>
      </c>
    </row>
    <row r="250" spans="1:14">
      <c r="A250">
        <v>249</v>
      </c>
      <c r="B250" t="s">
        <v>12968</v>
      </c>
      <c r="C250" t="str">
        <f t="shared" si="45"/>
        <v>E2_7_7_4_mRNA</v>
      </c>
      <c r="D250" t="str">
        <f t="shared" si="46"/>
        <v>E2_7_7_4</v>
      </c>
      <c r="E250" s="29" t="str">
        <f t="shared" si="47"/>
        <v>E2_7_7_4_kcat : 13.7</v>
      </c>
      <c r="F250" s="30" t="str">
        <f t="shared" si="48"/>
        <v>E2_7_7_4_km : 1</v>
      </c>
      <c r="G250" s="31" t="str">
        <f t="shared" si="49"/>
        <v>E2_7_7_4_mRNA : E2_7_7_4_mRNA</v>
      </c>
      <c r="H250" s="32" t="str">
        <f t="shared" si="50"/>
        <v>E2_7_7_4 : E2_7_7_4</v>
      </c>
      <c r="I250" s="33" t="str">
        <f t="shared" si="51"/>
        <v>E2_7_7_4_mRNA : 0</v>
      </c>
      <c r="J250" s="16" t="str">
        <f t="shared" si="52"/>
        <v>E2_7_7_4 : 0</v>
      </c>
      <c r="K250" s="34" t="str">
        <f t="shared" si="53"/>
        <v>0.00292 - (0.0093 * E2_7_7_4_mRNA)</v>
      </c>
      <c r="L250" s="31" t="str">
        <f t="shared" si="54"/>
        <v>(0.278 * E2_7_7_4_mRNA) - (0.00000278 * E2_7_7_4)</v>
      </c>
      <c r="M250" s="35" t="str">
        <f t="shared" si="55"/>
        <v>mRNA249: -&gt; E2_7_7_4_mRNA | 0.00292 - (0.0093 * E2_7_7_4_mRNA)</v>
      </c>
      <c r="N250" s="29" t="str">
        <f t="shared" si="44"/>
        <v>Peptide249: E2_7_7_4_mRNA -&gt; E2_7_7_4 | (0.278 * E2_7_7_4_mRNA) - (0.000000278 * E2_7_7_4)</v>
      </c>
    </row>
    <row r="251" spans="1:14">
      <c r="A251">
        <v>250</v>
      </c>
      <c r="B251" t="s">
        <v>16036</v>
      </c>
      <c r="C251" t="str">
        <f t="shared" si="45"/>
        <v>E2_7_7_41_mRNA</v>
      </c>
      <c r="D251" t="str">
        <f t="shared" si="46"/>
        <v>E2_7_7_41</v>
      </c>
      <c r="E251" s="29" t="str">
        <f t="shared" si="47"/>
        <v>E2_7_7_41_kcat : 13.7</v>
      </c>
      <c r="F251" s="30" t="str">
        <f t="shared" si="48"/>
        <v>E2_7_7_41_km : 1</v>
      </c>
      <c r="G251" s="31" t="str">
        <f t="shared" si="49"/>
        <v>E2_7_7_41_mRNA : E2_7_7_41_mRNA</v>
      </c>
      <c r="H251" s="32" t="str">
        <f t="shared" si="50"/>
        <v>E2_7_7_41 : E2_7_7_41</v>
      </c>
      <c r="I251" s="33" t="str">
        <f t="shared" si="51"/>
        <v>E2_7_7_41_mRNA : 0</v>
      </c>
      <c r="J251" s="16" t="str">
        <f t="shared" si="52"/>
        <v>E2_7_7_41 : 0</v>
      </c>
      <c r="K251" s="34" t="str">
        <f t="shared" si="53"/>
        <v>0.00292 - (0.0093 * E2_7_7_41_mRNA)</v>
      </c>
      <c r="L251" s="31" t="str">
        <f t="shared" si="54"/>
        <v>(0.278 * E2_7_7_41_mRNA) - (0.00000278 * E2_7_7_41)</v>
      </c>
      <c r="M251" s="35" t="str">
        <f t="shared" si="55"/>
        <v>mRNA250: -&gt; E2_7_7_41_mRNA | 0.00292 - (0.0093 * E2_7_7_41_mRNA)</v>
      </c>
      <c r="N251" s="29" t="str">
        <f t="shared" si="44"/>
        <v>Peptide250: E2_7_7_41_mRNA -&gt; E2_7_7_41 | (0.278 * E2_7_7_41_mRNA) - (0.000000278 * E2_7_7_41)</v>
      </c>
    </row>
    <row r="252" spans="1:14">
      <c r="A252">
        <v>251</v>
      </c>
      <c r="B252" t="s">
        <v>16037</v>
      </c>
      <c r="C252" t="str">
        <f t="shared" si="45"/>
        <v>E2_7_7_42_mRNA</v>
      </c>
      <c r="D252" t="str">
        <f t="shared" si="46"/>
        <v>E2_7_7_42</v>
      </c>
      <c r="E252" s="29" t="str">
        <f t="shared" si="47"/>
        <v>E2_7_7_42_kcat : 13.7</v>
      </c>
      <c r="F252" s="30" t="str">
        <f t="shared" si="48"/>
        <v>E2_7_7_42_km : 1</v>
      </c>
      <c r="G252" s="31" t="str">
        <f t="shared" si="49"/>
        <v>E2_7_7_42_mRNA : E2_7_7_42_mRNA</v>
      </c>
      <c r="H252" s="32" t="str">
        <f t="shared" si="50"/>
        <v>E2_7_7_42 : E2_7_7_42</v>
      </c>
      <c r="I252" s="33" t="str">
        <f t="shared" si="51"/>
        <v>E2_7_7_42_mRNA : 0</v>
      </c>
      <c r="J252" s="16" t="str">
        <f t="shared" si="52"/>
        <v>E2_7_7_42 : 0</v>
      </c>
      <c r="K252" s="34" t="str">
        <f t="shared" si="53"/>
        <v>0.00292 - (0.0093 * E2_7_7_42_mRNA)</v>
      </c>
      <c r="L252" s="31" t="str">
        <f t="shared" si="54"/>
        <v>(0.278 * E2_7_7_42_mRNA) - (0.00000278 * E2_7_7_42)</v>
      </c>
      <c r="M252" s="35" t="str">
        <f t="shared" si="55"/>
        <v>mRNA251: -&gt; E2_7_7_42_mRNA | 0.00292 - (0.0093 * E2_7_7_42_mRNA)</v>
      </c>
      <c r="N252" s="29" t="str">
        <f t="shared" si="44"/>
        <v>Peptide251: E2_7_7_42_mRNA -&gt; E2_7_7_42 | (0.278 * E2_7_7_42_mRNA) - (0.000000278 * E2_7_7_42)</v>
      </c>
    </row>
    <row r="253" spans="1:14">
      <c r="A253">
        <v>252</v>
      </c>
      <c r="B253" s="45" t="s">
        <v>17615</v>
      </c>
      <c r="C253" t="str">
        <f t="shared" si="45"/>
        <v>E2_7_7_49_mRNA</v>
      </c>
      <c r="D253" t="str">
        <f t="shared" si="46"/>
        <v>E2_7_7_49</v>
      </c>
      <c r="E253" s="29" t="str">
        <f t="shared" si="47"/>
        <v>E2_7_7_49_kcat : 13.7</v>
      </c>
      <c r="F253" s="30" t="str">
        <f t="shared" si="48"/>
        <v>E2_7_7_49_km : 1</v>
      </c>
      <c r="G253" s="31" t="str">
        <f t="shared" si="49"/>
        <v>E2_7_7_49_mRNA : E2_7_7_49_mRNA</v>
      </c>
      <c r="H253" s="32" t="str">
        <f t="shared" si="50"/>
        <v>E2_7_7_49 : E2_7_7_49</v>
      </c>
      <c r="I253" s="33" t="str">
        <f t="shared" si="51"/>
        <v>E2_7_7_49_mRNA : 0</v>
      </c>
      <c r="J253" s="16" t="str">
        <f t="shared" si="52"/>
        <v>E2_7_7_49 : 0</v>
      </c>
      <c r="K253" s="34" t="str">
        <f t="shared" si="53"/>
        <v>0.00292 - (0.0093 * E2_7_7_49_mRNA)</v>
      </c>
      <c r="L253" s="31" t="str">
        <f t="shared" si="54"/>
        <v>(0.278 * E2_7_7_49_mRNA) - (0.00000278 * E2_7_7_49)</v>
      </c>
      <c r="M253" s="35" t="str">
        <f t="shared" si="55"/>
        <v>mRNA252: -&gt; E2_7_7_49_mRNA | 0.00292 - (0.0093 * E2_7_7_49_mRNA)</v>
      </c>
      <c r="N253" s="29" t="str">
        <f t="shared" si="44"/>
        <v>Peptide252: E2_7_7_49_mRNA -&gt; E2_7_7_49 | (0.278 * E2_7_7_49_mRNA) - (0.000000278 * E2_7_7_49)</v>
      </c>
    </row>
    <row r="254" spans="1:14">
      <c r="A254">
        <v>253</v>
      </c>
      <c r="B254" t="s">
        <v>12969</v>
      </c>
      <c r="C254" t="str">
        <f t="shared" si="45"/>
        <v>E2_7_7_56_mRNA</v>
      </c>
      <c r="D254" t="str">
        <f t="shared" si="46"/>
        <v>E2_7_7_56</v>
      </c>
      <c r="E254" s="29" t="str">
        <f t="shared" si="47"/>
        <v>E2_7_7_56_kcat : 13.7</v>
      </c>
      <c r="F254" s="30" t="str">
        <f t="shared" si="48"/>
        <v>E2_7_7_56_km : 1</v>
      </c>
      <c r="G254" s="31" t="str">
        <f t="shared" si="49"/>
        <v>E2_7_7_56_mRNA : E2_7_7_56_mRNA</v>
      </c>
      <c r="H254" s="32" t="str">
        <f t="shared" si="50"/>
        <v>E2_7_7_56 : E2_7_7_56</v>
      </c>
      <c r="I254" s="33" t="str">
        <f t="shared" si="51"/>
        <v>E2_7_7_56_mRNA : 0</v>
      </c>
      <c r="J254" s="16" t="str">
        <f t="shared" si="52"/>
        <v>E2_7_7_56 : 0</v>
      </c>
      <c r="K254" s="34" t="str">
        <f t="shared" si="53"/>
        <v>0.00292 - (0.0093 * E2_7_7_56_mRNA)</v>
      </c>
      <c r="L254" s="31" t="str">
        <f t="shared" si="54"/>
        <v>(0.278 * E2_7_7_56_mRNA) - (0.00000278 * E2_7_7_56)</v>
      </c>
      <c r="M254" s="35" t="str">
        <f t="shared" si="55"/>
        <v>mRNA253: -&gt; E2_7_7_56_mRNA | 0.00292 - (0.0093 * E2_7_7_56_mRNA)</v>
      </c>
      <c r="N254" s="29" t="str">
        <f t="shared" si="44"/>
        <v>Peptide253: E2_7_7_56_mRNA -&gt; E2_7_7_56 | (0.278 * E2_7_7_56_mRNA) - (0.000000278 * E2_7_7_56)</v>
      </c>
    </row>
    <row r="255" spans="1:14">
      <c r="A255">
        <v>254</v>
      </c>
      <c r="B255" t="s">
        <v>12970</v>
      </c>
      <c r="C255" t="str">
        <f t="shared" si="45"/>
        <v>E2_7_7_59_mRNA</v>
      </c>
      <c r="D255" t="str">
        <f t="shared" si="46"/>
        <v>E2_7_7_59</v>
      </c>
      <c r="E255" s="29" t="str">
        <f t="shared" si="47"/>
        <v>E2_7_7_59_kcat : 13.7</v>
      </c>
      <c r="F255" s="30" t="str">
        <f t="shared" si="48"/>
        <v>E2_7_7_59_km : 1</v>
      </c>
      <c r="G255" s="31" t="str">
        <f t="shared" si="49"/>
        <v>E2_7_7_59_mRNA : E2_7_7_59_mRNA</v>
      </c>
      <c r="H255" s="32" t="str">
        <f t="shared" si="50"/>
        <v>E2_7_7_59 : E2_7_7_59</v>
      </c>
      <c r="I255" s="33" t="str">
        <f t="shared" si="51"/>
        <v>E2_7_7_59_mRNA : 0</v>
      </c>
      <c r="J255" s="16" t="str">
        <f t="shared" si="52"/>
        <v>E2_7_7_59 : 0</v>
      </c>
      <c r="K255" s="34" t="str">
        <f t="shared" si="53"/>
        <v>0.00292 - (0.0093 * E2_7_7_59_mRNA)</v>
      </c>
      <c r="L255" s="31" t="str">
        <f t="shared" si="54"/>
        <v>(0.278 * E2_7_7_59_mRNA) - (0.00000278 * E2_7_7_59)</v>
      </c>
      <c r="M255" s="35" t="str">
        <f t="shared" si="55"/>
        <v>mRNA254: -&gt; E2_7_7_59_mRNA | 0.00292 - (0.0093 * E2_7_7_59_mRNA)</v>
      </c>
      <c r="N255" s="29" t="str">
        <f t="shared" si="44"/>
        <v>Peptide254: E2_7_7_59_mRNA -&gt; E2_7_7_59 | (0.278 * E2_7_7_59_mRNA) - (0.000000278 * E2_7_7_59)</v>
      </c>
    </row>
    <row r="256" spans="1:14">
      <c r="A256">
        <v>255</v>
      </c>
      <c r="B256" t="s">
        <v>12971</v>
      </c>
      <c r="C256" t="str">
        <f t="shared" si="45"/>
        <v>E2_7_7_6_mRNA</v>
      </c>
      <c r="D256" t="str">
        <f t="shared" si="46"/>
        <v>E2_7_7_6</v>
      </c>
      <c r="E256" s="29" t="str">
        <f t="shared" si="47"/>
        <v>E2_7_7_6_kcat : 13.7</v>
      </c>
      <c r="F256" s="30" t="str">
        <f t="shared" si="48"/>
        <v>E2_7_7_6_km : 1</v>
      </c>
      <c r="G256" s="31" t="str">
        <f t="shared" si="49"/>
        <v>E2_7_7_6_mRNA : E2_7_7_6_mRNA</v>
      </c>
      <c r="H256" s="32" t="str">
        <f t="shared" si="50"/>
        <v>E2_7_7_6 : E2_7_7_6</v>
      </c>
      <c r="I256" s="33" t="str">
        <f t="shared" si="51"/>
        <v>E2_7_7_6_mRNA : 0</v>
      </c>
      <c r="J256" s="16" t="str">
        <f t="shared" si="52"/>
        <v>E2_7_7_6 : 0</v>
      </c>
      <c r="K256" s="34" t="str">
        <f t="shared" si="53"/>
        <v>0.00292 - (0.0093 * E2_7_7_6_mRNA)</v>
      </c>
      <c r="L256" s="31" t="str">
        <f t="shared" si="54"/>
        <v>(0.278 * E2_7_7_6_mRNA) - (0.00000278 * E2_7_7_6)</v>
      </c>
      <c r="M256" s="35" t="str">
        <f t="shared" si="55"/>
        <v>mRNA255: -&gt; E2_7_7_6_mRNA | 0.00292 - (0.0093 * E2_7_7_6_mRNA)</v>
      </c>
      <c r="N256" s="29" t="str">
        <f t="shared" si="44"/>
        <v>Peptide255: E2_7_7_6_mRNA -&gt; E2_7_7_6 | (0.278 * E2_7_7_6_mRNA) - (0.000000278 * E2_7_7_6)</v>
      </c>
    </row>
    <row r="257" spans="1:14">
      <c r="A257">
        <v>256</v>
      </c>
      <c r="B257" t="s">
        <v>12972</v>
      </c>
      <c r="C257" t="str">
        <f t="shared" si="45"/>
        <v>E2_7_7_60_mRNA</v>
      </c>
      <c r="D257" t="str">
        <f t="shared" si="46"/>
        <v>E2_7_7_60</v>
      </c>
      <c r="E257" s="29" t="str">
        <f t="shared" si="47"/>
        <v>E2_7_7_60_kcat : 13.7</v>
      </c>
      <c r="F257" s="30" t="str">
        <f t="shared" si="48"/>
        <v>E2_7_7_60_km : 1</v>
      </c>
      <c r="G257" s="31" t="str">
        <f t="shared" si="49"/>
        <v>E2_7_7_60_mRNA : E2_7_7_60_mRNA</v>
      </c>
      <c r="H257" s="32" t="str">
        <f t="shared" si="50"/>
        <v>E2_7_7_60 : E2_7_7_60</v>
      </c>
      <c r="I257" s="33" t="str">
        <f t="shared" si="51"/>
        <v>E2_7_7_60_mRNA : 0</v>
      </c>
      <c r="J257" s="16" t="str">
        <f t="shared" si="52"/>
        <v>E2_7_7_60 : 0</v>
      </c>
      <c r="K257" s="34" t="str">
        <f t="shared" si="53"/>
        <v>0.00292 - (0.0093 * E2_7_7_60_mRNA)</v>
      </c>
      <c r="L257" s="31" t="str">
        <f t="shared" si="54"/>
        <v>(0.278 * E2_7_7_60_mRNA) - (0.00000278 * E2_7_7_60)</v>
      </c>
      <c r="M257" s="35" t="str">
        <f t="shared" si="55"/>
        <v>mRNA256: -&gt; E2_7_7_60_mRNA | 0.00292 - (0.0093 * E2_7_7_60_mRNA)</v>
      </c>
      <c r="N257" s="29" t="str">
        <f t="shared" si="44"/>
        <v>Peptide256: E2_7_7_60_mRNA -&gt; E2_7_7_60 | (0.278 * E2_7_7_60_mRNA) - (0.000000278 * E2_7_7_60)</v>
      </c>
    </row>
    <row r="258" spans="1:14">
      <c r="A258">
        <v>257</v>
      </c>
      <c r="B258" t="s">
        <v>12973</v>
      </c>
      <c r="C258" t="str">
        <f t="shared" si="45"/>
        <v>E2_7_7_62_mRNA</v>
      </c>
      <c r="D258" t="str">
        <f t="shared" si="46"/>
        <v>E2_7_7_62</v>
      </c>
      <c r="E258" s="29" t="str">
        <f t="shared" si="47"/>
        <v>E2_7_7_62_kcat : 13.7</v>
      </c>
      <c r="F258" s="30" t="str">
        <f t="shared" si="48"/>
        <v>E2_7_7_62_km : 1</v>
      </c>
      <c r="G258" s="31" t="str">
        <f t="shared" si="49"/>
        <v>E2_7_7_62_mRNA : E2_7_7_62_mRNA</v>
      </c>
      <c r="H258" s="32" t="str">
        <f t="shared" si="50"/>
        <v>E2_7_7_62 : E2_7_7_62</v>
      </c>
      <c r="I258" s="33" t="str">
        <f t="shared" si="51"/>
        <v>E2_7_7_62_mRNA : 0</v>
      </c>
      <c r="J258" s="16" t="str">
        <f t="shared" si="52"/>
        <v>E2_7_7_62 : 0</v>
      </c>
      <c r="K258" s="34" t="str">
        <f t="shared" si="53"/>
        <v>0.00292 - (0.0093 * E2_7_7_62_mRNA)</v>
      </c>
      <c r="L258" s="31" t="str">
        <f t="shared" si="54"/>
        <v>(0.278 * E2_7_7_62_mRNA) - (0.00000278 * E2_7_7_62)</v>
      </c>
      <c r="M258" s="35" t="str">
        <f t="shared" si="55"/>
        <v>mRNA257: -&gt; E2_7_7_62_mRNA | 0.00292 - (0.0093 * E2_7_7_62_mRNA)</v>
      </c>
      <c r="N258" s="29" t="str">
        <f t="shared" ref="N258:N321" si="56">CONCATENATE("Peptide",A258,": ",C258," -&gt; ",D258," | ","(","0.278"," * ",C258,")"," - ","(","0.000000278"," * ",D258,")")</f>
        <v>Peptide257: E2_7_7_62_mRNA -&gt; E2_7_7_62 | (0.278 * E2_7_7_62_mRNA) - (0.000000278 * E2_7_7_62)</v>
      </c>
    </row>
    <row r="259" spans="1:14">
      <c r="A259">
        <v>258</v>
      </c>
      <c r="B259" t="s">
        <v>12974</v>
      </c>
      <c r="C259" t="str">
        <f t="shared" ref="C259:C322" si="57">CONCATENATE(D259,"_mRNA")</f>
        <v>E2_7_7_7_mRNA</v>
      </c>
      <c r="D259" t="str">
        <f t="shared" ref="D259:D322" si="58">CONCATENATE("E",B259)</f>
        <v>E2_7_7_7</v>
      </c>
      <c r="E259" s="29" t="str">
        <f t="shared" ref="E259:E322" si="59">CONCATENATE("E",B259,"_kcat : 13.7")</f>
        <v>E2_7_7_7_kcat : 13.7</v>
      </c>
      <c r="F259" s="30" t="str">
        <f t="shared" ref="F259:F322" si="60">CONCATENATE("E",B259,"_km : 1")</f>
        <v>E2_7_7_7_km : 1</v>
      </c>
      <c r="G259" s="31" t="str">
        <f t="shared" ref="G259:G322" si="61">CONCATENATE(C259," : ",C259)</f>
        <v>E2_7_7_7_mRNA : E2_7_7_7_mRNA</v>
      </c>
      <c r="H259" s="32" t="str">
        <f t="shared" ref="H259:H322" si="62">CONCATENATE(D259," : ",D259)</f>
        <v>E2_7_7_7 : E2_7_7_7</v>
      </c>
      <c r="I259" s="33" t="str">
        <f t="shared" ref="I259:I322" si="63">CONCATENATE(C259," : ","0")</f>
        <v>E2_7_7_7_mRNA : 0</v>
      </c>
      <c r="J259" s="16" t="str">
        <f t="shared" ref="J259:J322" si="64">CONCATENATE(D259," : ","0")</f>
        <v>E2_7_7_7 : 0</v>
      </c>
      <c r="K259" s="34" t="str">
        <f t="shared" ref="K259:K322" si="65">CONCATENATE("0.00292 - (0.0093 * ",C259,")")</f>
        <v>0.00292 - (0.0093 * E2_7_7_7_mRNA)</v>
      </c>
      <c r="L259" s="31" t="str">
        <f t="shared" ref="L259:L322" si="66">CONCATENATE("(0.278 * ",C259,")"," - (0.00000278 * ",D259,")")</f>
        <v>(0.278 * E2_7_7_7_mRNA) - (0.00000278 * E2_7_7_7)</v>
      </c>
      <c r="M259" s="35" t="str">
        <f t="shared" ref="M259:M322" si="67">CONCATENATE("mRNA",A259,": -&gt; ",C259," | ","0.00292"," - ","(","0.0093"," * ",C259,")")</f>
        <v>mRNA258: -&gt; E2_7_7_7_mRNA | 0.00292 - (0.0093 * E2_7_7_7_mRNA)</v>
      </c>
      <c r="N259" s="29" t="str">
        <f t="shared" si="56"/>
        <v>Peptide258: E2_7_7_7_mRNA -&gt; E2_7_7_7 | (0.278 * E2_7_7_7_mRNA) - (0.000000278 * E2_7_7_7)</v>
      </c>
    </row>
    <row r="260" spans="1:14">
      <c r="A260">
        <v>259</v>
      </c>
      <c r="B260" t="s">
        <v>12975</v>
      </c>
      <c r="C260" t="str">
        <f t="shared" si="57"/>
        <v>E2_7_7_72_mRNA</v>
      </c>
      <c r="D260" t="str">
        <f t="shared" si="58"/>
        <v>E2_7_7_72</v>
      </c>
      <c r="E260" s="29" t="str">
        <f t="shared" si="59"/>
        <v>E2_7_7_72_kcat : 13.7</v>
      </c>
      <c r="F260" s="30" t="str">
        <f t="shared" si="60"/>
        <v>E2_7_7_72_km : 1</v>
      </c>
      <c r="G260" s="31" t="str">
        <f t="shared" si="61"/>
        <v>E2_7_7_72_mRNA : E2_7_7_72_mRNA</v>
      </c>
      <c r="H260" s="32" t="str">
        <f t="shared" si="62"/>
        <v>E2_7_7_72 : E2_7_7_72</v>
      </c>
      <c r="I260" s="33" t="str">
        <f t="shared" si="63"/>
        <v>E2_7_7_72_mRNA : 0</v>
      </c>
      <c r="J260" s="16" t="str">
        <f t="shared" si="64"/>
        <v>E2_7_7_72 : 0</v>
      </c>
      <c r="K260" s="34" t="str">
        <f t="shared" si="65"/>
        <v>0.00292 - (0.0093 * E2_7_7_72_mRNA)</v>
      </c>
      <c r="L260" s="31" t="str">
        <f t="shared" si="66"/>
        <v>(0.278 * E2_7_7_72_mRNA) - (0.00000278 * E2_7_7_72)</v>
      </c>
      <c r="M260" s="35" t="str">
        <f t="shared" si="67"/>
        <v>mRNA259: -&gt; E2_7_7_72_mRNA | 0.00292 - (0.0093 * E2_7_7_72_mRNA)</v>
      </c>
      <c r="N260" s="29" t="str">
        <f t="shared" si="56"/>
        <v>Peptide259: E2_7_7_72_mRNA -&gt; E2_7_7_72 | (0.278 * E2_7_7_72_mRNA) - (0.000000278 * E2_7_7_72)</v>
      </c>
    </row>
    <row r="261" spans="1:14">
      <c r="A261">
        <v>260</v>
      </c>
      <c r="B261" t="s">
        <v>12976</v>
      </c>
      <c r="C261" t="str">
        <f t="shared" si="57"/>
        <v>E2_7_7_77_mRNA</v>
      </c>
      <c r="D261" t="str">
        <f t="shared" si="58"/>
        <v>E2_7_7_77</v>
      </c>
      <c r="E261" s="29" t="str">
        <f t="shared" si="59"/>
        <v>E2_7_7_77_kcat : 13.7</v>
      </c>
      <c r="F261" s="30" t="str">
        <f t="shared" si="60"/>
        <v>E2_7_7_77_km : 1</v>
      </c>
      <c r="G261" s="31" t="str">
        <f t="shared" si="61"/>
        <v>E2_7_7_77_mRNA : E2_7_7_77_mRNA</v>
      </c>
      <c r="H261" s="32" t="str">
        <f t="shared" si="62"/>
        <v>E2_7_7_77 : E2_7_7_77</v>
      </c>
      <c r="I261" s="33" t="str">
        <f t="shared" si="63"/>
        <v>E2_7_7_77_mRNA : 0</v>
      </c>
      <c r="J261" s="16" t="str">
        <f t="shared" si="64"/>
        <v>E2_7_7_77 : 0</v>
      </c>
      <c r="K261" s="34" t="str">
        <f t="shared" si="65"/>
        <v>0.00292 - (0.0093 * E2_7_7_77_mRNA)</v>
      </c>
      <c r="L261" s="31" t="str">
        <f t="shared" si="66"/>
        <v>(0.278 * E2_7_7_77_mRNA) - (0.00000278 * E2_7_7_77)</v>
      </c>
      <c r="M261" s="35" t="str">
        <f t="shared" si="67"/>
        <v>mRNA260: -&gt; E2_7_7_77_mRNA | 0.00292 - (0.0093 * E2_7_7_77_mRNA)</v>
      </c>
      <c r="N261" s="29" t="str">
        <f t="shared" si="56"/>
        <v>Peptide260: E2_7_7_77_mRNA -&gt; E2_7_7_77 | (0.278 * E2_7_7_77_mRNA) - (0.000000278 * E2_7_7_77)</v>
      </c>
    </row>
    <row r="262" spans="1:14">
      <c r="A262">
        <v>261</v>
      </c>
      <c r="B262" t="s">
        <v>16038</v>
      </c>
      <c r="C262" t="str">
        <f t="shared" si="57"/>
        <v>E2_7_7_8_mRNA</v>
      </c>
      <c r="D262" t="str">
        <f t="shared" si="58"/>
        <v>E2_7_7_8</v>
      </c>
      <c r="E262" s="29" t="str">
        <f t="shared" si="59"/>
        <v>E2_7_7_8_kcat : 13.7</v>
      </c>
      <c r="F262" s="30" t="str">
        <f t="shared" si="60"/>
        <v>E2_7_7_8_km : 1</v>
      </c>
      <c r="G262" s="31" t="str">
        <f t="shared" si="61"/>
        <v>E2_7_7_8_mRNA : E2_7_7_8_mRNA</v>
      </c>
      <c r="H262" s="32" t="str">
        <f t="shared" si="62"/>
        <v>E2_7_7_8 : E2_7_7_8</v>
      </c>
      <c r="I262" s="33" t="str">
        <f t="shared" si="63"/>
        <v>E2_7_7_8_mRNA : 0</v>
      </c>
      <c r="J262" s="16" t="str">
        <f t="shared" si="64"/>
        <v>E2_7_7_8 : 0</v>
      </c>
      <c r="K262" s="34" t="str">
        <f t="shared" si="65"/>
        <v>0.00292 - (0.0093 * E2_7_7_8_mRNA)</v>
      </c>
      <c r="L262" s="31" t="str">
        <f t="shared" si="66"/>
        <v>(0.278 * E2_7_7_8_mRNA) - (0.00000278 * E2_7_7_8)</v>
      </c>
      <c r="M262" s="35" t="str">
        <f t="shared" si="67"/>
        <v>mRNA261: -&gt; E2_7_7_8_mRNA | 0.00292 - (0.0093 * E2_7_7_8_mRNA)</v>
      </c>
      <c r="N262" s="29" t="str">
        <f t="shared" si="56"/>
        <v>Peptide261: E2_7_7_8_mRNA -&gt; E2_7_7_8 | (0.278 * E2_7_7_8_mRNA) - (0.000000278 * E2_7_7_8)</v>
      </c>
    </row>
    <row r="263" spans="1:14">
      <c r="A263">
        <v>262</v>
      </c>
      <c r="B263" t="s">
        <v>12977</v>
      </c>
      <c r="C263" t="str">
        <f t="shared" si="57"/>
        <v>E2_7_7_85_mRNA</v>
      </c>
      <c r="D263" t="str">
        <f t="shared" si="58"/>
        <v>E2_7_7_85</v>
      </c>
      <c r="E263" s="29" t="str">
        <f t="shared" si="59"/>
        <v>E2_7_7_85_kcat : 13.7</v>
      </c>
      <c r="F263" s="30" t="str">
        <f t="shared" si="60"/>
        <v>E2_7_7_85_km : 1</v>
      </c>
      <c r="G263" s="31" t="str">
        <f t="shared" si="61"/>
        <v>E2_7_7_85_mRNA : E2_7_7_85_mRNA</v>
      </c>
      <c r="H263" s="32" t="str">
        <f t="shared" si="62"/>
        <v>E2_7_7_85 : E2_7_7_85</v>
      </c>
      <c r="I263" s="33" t="str">
        <f t="shared" si="63"/>
        <v>E2_7_7_85_mRNA : 0</v>
      </c>
      <c r="J263" s="16" t="str">
        <f t="shared" si="64"/>
        <v>E2_7_7_85 : 0</v>
      </c>
      <c r="K263" s="34" t="str">
        <f t="shared" si="65"/>
        <v>0.00292 - (0.0093 * E2_7_7_85_mRNA)</v>
      </c>
      <c r="L263" s="31" t="str">
        <f t="shared" si="66"/>
        <v>(0.278 * E2_7_7_85_mRNA) - (0.00000278 * E2_7_7_85)</v>
      </c>
      <c r="M263" s="35" t="str">
        <f t="shared" si="67"/>
        <v>mRNA262: -&gt; E2_7_7_85_mRNA | 0.00292 - (0.0093 * E2_7_7_85_mRNA)</v>
      </c>
      <c r="N263" s="29" t="str">
        <f t="shared" si="56"/>
        <v>Peptide262: E2_7_7_85_mRNA -&gt; E2_7_7_85 | (0.278 * E2_7_7_85_mRNA) - (0.000000278 * E2_7_7_85)</v>
      </c>
    </row>
    <row r="264" spans="1:14">
      <c r="A264">
        <v>263</v>
      </c>
      <c r="B264" t="s">
        <v>12978</v>
      </c>
      <c r="C264" t="str">
        <f t="shared" si="57"/>
        <v>E2_7_7_87_mRNA</v>
      </c>
      <c r="D264" t="str">
        <f t="shared" si="58"/>
        <v>E2_7_7_87</v>
      </c>
      <c r="E264" s="29" t="str">
        <f t="shared" si="59"/>
        <v>E2_7_7_87_kcat : 13.7</v>
      </c>
      <c r="F264" s="30" t="str">
        <f t="shared" si="60"/>
        <v>E2_7_7_87_km : 1</v>
      </c>
      <c r="G264" s="31" t="str">
        <f t="shared" si="61"/>
        <v>E2_7_7_87_mRNA : E2_7_7_87_mRNA</v>
      </c>
      <c r="H264" s="32" t="str">
        <f t="shared" si="62"/>
        <v>E2_7_7_87 : E2_7_7_87</v>
      </c>
      <c r="I264" s="33" t="str">
        <f t="shared" si="63"/>
        <v>E2_7_7_87_mRNA : 0</v>
      </c>
      <c r="J264" s="16" t="str">
        <f t="shared" si="64"/>
        <v>E2_7_7_87 : 0</v>
      </c>
      <c r="K264" s="34" t="str">
        <f t="shared" si="65"/>
        <v>0.00292 - (0.0093 * E2_7_7_87_mRNA)</v>
      </c>
      <c r="L264" s="31" t="str">
        <f t="shared" si="66"/>
        <v>(0.278 * E2_7_7_87_mRNA) - (0.00000278 * E2_7_7_87)</v>
      </c>
      <c r="M264" s="35" t="str">
        <f t="shared" si="67"/>
        <v>mRNA263: -&gt; E2_7_7_87_mRNA | 0.00292 - (0.0093 * E2_7_7_87_mRNA)</v>
      </c>
      <c r="N264" s="29" t="str">
        <f t="shared" si="56"/>
        <v>Peptide263: E2_7_7_87_mRNA -&gt; E2_7_7_87 | (0.278 * E2_7_7_87_mRNA) - (0.000000278 * E2_7_7_87)</v>
      </c>
    </row>
    <row r="265" spans="1:14">
      <c r="A265">
        <v>264</v>
      </c>
      <c r="B265" t="s">
        <v>12979</v>
      </c>
      <c r="C265" t="str">
        <f t="shared" si="57"/>
        <v>E2_7_7_89_mRNA</v>
      </c>
      <c r="D265" t="str">
        <f t="shared" si="58"/>
        <v>E2_7_7_89</v>
      </c>
      <c r="E265" s="29" t="str">
        <f t="shared" si="59"/>
        <v>E2_7_7_89_kcat : 13.7</v>
      </c>
      <c r="F265" s="30" t="str">
        <f t="shared" si="60"/>
        <v>E2_7_7_89_km : 1</v>
      </c>
      <c r="G265" s="31" t="str">
        <f t="shared" si="61"/>
        <v>E2_7_7_89_mRNA : E2_7_7_89_mRNA</v>
      </c>
      <c r="H265" s="32" t="str">
        <f t="shared" si="62"/>
        <v>E2_7_7_89 : E2_7_7_89</v>
      </c>
      <c r="I265" s="33" t="str">
        <f t="shared" si="63"/>
        <v>E2_7_7_89_mRNA : 0</v>
      </c>
      <c r="J265" s="16" t="str">
        <f t="shared" si="64"/>
        <v>E2_7_7_89 : 0</v>
      </c>
      <c r="K265" s="34" t="str">
        <f t="shared" si="65"/>
        <v>0.00292 - (0.0093 * E2_7_7_89_mRNA)</v>
      </c>
      <c r="L265" s="31" t="str">
        <f t="shared" si="66"/>
        <v>(0.278 * E2_7_7_89_mRNA) - (0.00000278 * E2_7_7_89)</v>
      </c>
      <c r="M265" s="35" t="str">
        <f t="shared" si="67"/>
        <v>mRNA264: -&gt; E2_7_7_89_mRNA | 0.00292 - (0.0093 * E2_7_7_89_mRNA)</v>
      </c>
      <c r="N265" s="29" t="str">
        <f t="shared" si="56"/>
        <v>Peptide264: E2_7_7_89_mRNA -&gt; E2_7_7_89 | (0.278 * E2_7_7_89_mRNA) - (0.000000278 * E2_7_7_89)</v>
      </c>
    </row>
    <row r="266" spans="1:14">
      <c r="A266">
        <v>265</v>
      </c>
      <c r="B266" t="s">
        <v>12980</v>
      </c>
      <c r="C266" t="str">
        <f t="shared" si="57"/>
        <v>E2_7_7_9_mRNA</v>
      </c>
      <c r="D266" t="str">
        <f t="shared" si="58"/>
        <v>E2_7_7_9</v>
      </c>
      <c r="E266" s="29" t="str">
        <f t="shared" si="59"/>
        <v>E2_7_7_9_kcat : 13.7</v>
      </c>
      <c r="F266" s="30" t="str">
        <f t="shared" si="60"/>
        <v>E2_7_7_9_km : 1</v>
      </c>
      <c r="G266" s="31" t="str">
        <f t="shared" si="61"/>
        <v>E2_7_7_9_mRNA : E2_7_7_9_mRNA</v>
      </c>
      <c r="H266" s="32" t="str">
        <f t="shared" si="62"/>
        <v>E2_7_7_9 : E2_7_7_9</v>
      </c>
      <c r="I266" s="33" t="str">
        <f t="shared" si="63"/>
        <v>E2_7_7_9_mRNA : 0</v>
      </c>
      <c r="J266" s="16" t="str">
        <f t="shared" si="64"/>
        <v>E2_7_7_9 : 0</v>
      </c>
      <c r="K266" s="34" t="str">
        <f t="shared" si="65"/>
        <v>0.00292 - (0.0093 * E2_7_7_9_mRNA)</v>
      </c>
      <c r="L266" s="31" t="str">
        <f t="shared" si="66"/>
        <v>(0.278 * E2_7_7_9_mRNA) - (0.00000278 * E2_7_7_9)</v>
      </c>
      <c r="M266" s="35" t="str">
        <f t="shared" si="67"/>
        <v>mRNA265: -&gt; E2_7_7_9_mRNA | 0.00292 - (0.0093 * E2_7_7_9_mRNA)</v>
      </c>
      <c r="N266" s="29" t="str">
        <f t="shared" si="56"/>
        <v>Peptide265: E2_7_7_9_mRNA -&gt; E2_7_7_9 | (0.278 * E2_7_7_9_mRNA) - (0.000000278 * E2_7_7_9)</v>
      </c>
    </row>
    <row r="267" spans="1:14">
      <c r="A267">
        <v>266</v>
      </c>
      <c r="B267" t="s">
        <v>12981</v>
      </c>
      <c r="C267" t="str">
        <f t="shared" si="57"/>
        <v>E2_7_8_13_mRNA</v>
      </c>
      <c r="D267" t="str">
        <f t="shared" si="58"/>
        <v>E2_7_8_13</v>
      </c>
      <c r="E267" s="29" t="str">
        <f t="shared" si="59"/>
        <v>E2_7_8_13_kcat : 13.7</v>
      </c>
      <c r="F267" s="30" t="str">
        <f t="shared" si="60"/>
        <v>E2_7_8_13_km : 1</v>
      </c>
      <c r="G267" s="31" t="str">
        <f t="shared" si="61"/>
        <v>E2_7_8_13_mRNA : E2_7_8_13_mRNA</v>
      </c>
      <c r="H267" s="32" t="str">
        <f t="shared" si="62"/>
        <v>E2_7_8_13 : E2_7_8_13</v>
      </c>
      <c r="I267" s="33" t="str">
        <f t="shared" si="63"/>
        <v>E2_7_8_13_mRNA : 0</v>
      </c>
      <c r="J267" s="16" t="str">
        <f t="shared" si="64"/>
        <v>E2_7_8_13 : 0</v>
      </c>
      <c r="K267" s="34" t="str">
        <f t="shared" si="65"/>
        <v>0.00292 - (0.0093 * E2_7_8_13_mRNA)</v>
      </c>
      <c r="L267" s="31" t="str">
        <f t="shared" si="66"/>
        <v>(0.278 * E2_7_8_13_mRNA) - (0.00000278 * E2_7_8_13)</v>
      </c>
      <c r="M267" s="35" t="str">
        <f t="shared" si="67"/>
        <v>mRNA266: -&gt; E2_7_8_13_mRNA | 0.00292 - (0.0093 * E2_7_8_13_mRNA)</v>
      </c>
      <c r="N267" s="29" t="str">
        <f t="shared" si="56"/>
        <v>Peptide266: E2_7_8_13_mRNA -&gt; E2_7_8_13 | (0.278 * E2_7_8_13_mRNA) - (0.000000278 * E2_7_8_13)</v>
      </c>
    </row>
    <row r="268" spans="1:14">
      <c r="A268">
        <v>267</v>
      </c>
      <c r="B268" t="s">
        <v>12982</v>
      </c>
      <c r="C268" t="str">
        <f t="shared" si="57"/>
        <v>E2_7_8_26_mRNA</v>
      </c>
      <c r="D268" t="str">
        <f t="shared" si="58"/>
        <v>E2_7_8_26</v>
      </c>
      <c r="E268" s="29" t="str">
        <f t="shared" si="59"/>
        <v>E2_7_8_26_kcat : 13.7</v>
      </c>
      <c r="F268" s="30" t="str">
        <f t="shared" si="60"/>
        <v>E2_7_8_26_km : 1</v>
      </c>
      <c r="G268" s="31" t="str">
        <f t="shared" si="61"/>
        <v>E2_7_8_26_mRNA : E2_7_8_26_mRNA</v>
      </c>
      <c r="H268" s="32" t="str">
        <f t="shared" si="62"/>
        <v>E2_7_8_26 : E2_7_8_26</v>
      </c>
      <c r="I268" s="33" t="str">
        <f t="shared" si="63"/>
        <v>E2_7_8_26_mRNA : 0</v>
      </c>
      <c r="J268" s="16" t="str">
        <f t="shared" si="64"/>
        <v>E2_7_8_26 : 0</v>
      </c>
      <c r="K268" s="34" t="str">
        <f t="shared" si="65"/>
        <v>0.00292 - (0.0093 * E2_7_8_26_mRNA)</v>
      </c>
      <c r="L268" s="31" t="str">
        <f t="shared" si="66"/>
        <v>(0.278 * E2_7_8_26_mRNA) - (0.00000278 * E2_7_8_26)</v>
      </c>
      <c r="M268" s="35" t="str">
        <f t="shared" si="67"/>
        <v>mRNA267: -&gt; E2_7_8_26_mRNA | 0.00292 - (0.0093 * E2_7_8_26_mRNA)</v>
      </c>
      <c r="N268" s="29" t="str">
        <f t="shared" si="56"/>
        <v>Peptide267: E2_7_8_26_mRNA -&gt; E2_7_8_26 | (0.278 * E2_7_8_26_mRNA) - (0.000000278 * E2_7_8_26)</v>
      </c>
    </row>
    <row r="269" spans="1:14">
      <c r="A269">
        <v>268</v>
      </c>
      <c r="B269" t="s">
        <v>12983</v>
      </c>
      <c r="C269" t="str">
        <f t="shared" si="57"/>
        <v>E2_7_8_5_mRNA</v>
      </c>
      <c r="D269" t="str">
        <f t="shared" si="58"/>
        <v>E2_7_8_5</v>
      </c>
      <c r="E269" s="29" t="str">
        <f t="shared" si="59"/>
        <v>E2_7_8_5_kcat : 13.7</v>
      </c>
      <c r="F269" s="30" t="str">
        <f t="shared" si="60"/>
        <v>E2_7_8_5_km : 1</v>
      </c>
      <c r="G269" s="31" t="str">
        <f t="shared" si="61"/>
        <v>E2_7_8_5_mRNA : E2_7_8_5_mRNA</v>
      </c>
      <c r="H269" s="32" t="str">
        <f t="shared" si="62"/>
        <v>E2_7_8_5 : E2_7_8_5</v>
      </c>
      <c r="I269" s="33" t="str">
        <f t="shared" si="63"/>
        <v>E2_7_8_5_mRNA : 0</v>
      </c>
      <c r="J269" s="16" t="str">
        <f t="shared" si="64"/>
        <v>E2_7_8_5 : 0</v>
      </c>
      <c r="K269" s="34" t="str">
        <f t="shared" si="65"/>
        <v>0.00292 - (0.0093 * E2_7_8_5_mRNA)</v>
      </c>
      <c r="L269" s="31" t="str">
        <f t="shared" si="66"/>
        <v>(0.278 * E2_7_8_5_mRNA) - (0.00000278 * E2_7_8_5)</v>
      </c>
      <c r="M269" s="35" t="str">
        <f t="shared" si="67"/>
        <v>mRNA268: -&gt; E2_7_8_5_mRNA | 0.00292 - (0.0093 * E2_7_8_5_mRNA)</v>
      </c>
      <c r="N269" s="29" t="str">
        <f t="shared" si="56"/>
        <v>Peptide268: E2_7_8_5_mRNA -&gt; E2_7_8_5 | (0.278 * E2_7_8_5_mRNA) - (0.000000278 * E2_7_8_5)</v>
      </c>
    </row>
    <row r="270" spans="1:14">
      <c r="A270">
        <v>269</v>
      </c>
      <c r="B270" t="s">
        <v>12984</v>
      </c>
      <c r="C270" t="str">
        <f t="shared" si="57"/>
        <v>E2_7_8_7_mRNA</v>
      </c>
      <c r="D270" t="str">
        <f t="shared" si="58"/>
        <v>E2_7_8_7</v>
      </c>
      <c r="E270" s="29" t="str">
        <f t="shared" si="59"/>
        <v>E2_7_8_7_kcat : 13.7</v>
      </c>
      <c r="F270" s="30" t="str">
        <f t="shared" si="60"/>
        <v>E2_7_8_7_km : 1</v>
      </c>
      <c r="G270" s="31" t="str">
        <f t="shared" si="61"/>
        <v>E2_7_8_7_mRNA : E2_7_8_7_mRNA</v>
      </c>
      <c r="H270" s="32" t="str">
        <f t="shared" si="62"/>
        <v>E2_7_8_7 : E2_7_8_7</v>
      </c>
      <c r="I270" s="33" t="str">
        <f t="shared" si="63"/>
        <v>E2_7_8_7_mRNA : 0</v>
      </c>
      <c r="J270" s="16" t="str">
        <f t="shared" si="64"/>
        <v>E2_7_8_7 : 0</v>
      </c>
      <c r="K270" s="34" t="str">
        <f t="shared" si="65"/>
        <v>0.00292 - (0.0093 * E2_7_8_7_mRNA)</v>
      </c>
      <c r="L270" s="31" t="str">
        <f t="shared" si="66"/>
        <v>(0.278 * E2_7_8_7_mRNA) - (0.00000278 * E2_7_8_7)</v>
      </c>
      <c r="M270" s="35" t="str">
        <f t="shared" si="67"/>
        <v>mRNA269: -&gt; E2_7_8_7_mRNA | 0.00292 - (0.0093 * E2_7_8_7_mRNA)</v>
      </c>
      <c r="N270" s="29" t="str">
        <f t="shared" si="56"/>
        <v>Peptide269: E2_7_8_7_mRNA -&gt; E2_7_8_7 | (0.278 * E2_7_8_7_mRNA) - (0.000000278 * E2_7_8_7)</v>
      </c>
    </row>
    <row r="271" spans="1:14">
      <c r="A271">
        <v>270</v>
      </c>
      <c r="B271" t="s">
        <v>12985</v>
      </c>
      <c r="C271" t="str">
        <f t="shared" si="57"/>
        <v>E2_8_1_10_mRNA</v>
      </c>
      <c r="D271" t="str">
        <f t="shared" si="58"/>
        <v>E2_8_1_10</v>
      </c>
      <c r="E271" s="29" t="str">
        <f t="shared" si="59"/>
        <v>E2_8_1_10_kcat : 13.7</v>
      </c>
      <c r="F271" s="30" t="str">
        <f t="shared" si="60"/>
        <v>E2_8_1_10_km : 1</v>
      </c>
      <c r="G271" s="31" t="str">
        <f t="shared" si="61"/>
        <v>E2_8_1_10_mRNA : E2_8_1_10_mRNA</v>
      </c>
      <c r="H271" s="32" t="str">
        <f t="shared" si="62"/>
        <v>E2_8_1_10 : E2_8_1_10</v>
      </c>
      <c r="I271" s="33" t="str">
        <f t="shared" si="63"/>
        <v>E2_8_1_10_mRNA : 0</v>
      </c>
      <c r="J271" s="16" t="str">
        <f t="shared" si="64"/>
        <v>E2_8_1_10 : 0</v>
      </c>
      <c r="K271" s="34" t="str">
        <f t="shared" si="65"/>
        <v>0.00292 - (0.0093 * E2_8_1_10_mRNA)</v>
      </c>
      <c r="L271" s="31" t="str">
        <f t="shared" si="66"/>
        <v>(0.278 * E2_8_1_10_mRNA) - (0.00000278 * E2_8_1_10)</v>
      </c>
      <c r="M271" s="35" t="str">
        <f t="shared" si="67"/>
        <v>mRNA270: -&gt; E2_8_1_10_mRNA | 0.00292 - (0.0093 * E2_8_1_10_mRNA)</v>
      </c>
      <c r="N271" s="29" t="str">
        <f t="shared" si="56"/>
        <v>Peptide270: E2_8_1_10_mRNA -&gt; E2_8_1_10 | (0.278 * E2_8_1_10_mRNA) - (0.000000278 * E2_8_1_10)</v>
      </c>
    </row>
    <row r="272" spans="1:14">
      <c r="A272">
        <v>271</v>
      </c>
      <c r="B272" t="s">
        <v>12986</v>
      </c>
      <c r="C272" t="str">
        <f t="shared" si="57"/>
        <v>E2_8_1_12_mRNA</v>
      </c>
      <c r="D272" t="str">
        <f t="shared" si="58"/>
        <v>E2_8_1_12</v>
      </c>
      <c r="E272" s="29" t="str">
        <f t="shared" si="59"/>
        <v>E2_8_1_12_kcat : 13.7</v>
      </c>
      <c r="F272" s="30" t="str">
        <f t="shared" si="60"/>
        <v>E2_8_1_12_km : 1</v>
      </c>
      <c r="G272" s="31" t="str">
        <f t="shared" si="61"/>
        <v>E2_8_1_12_mRNA : E2_8_1_12_mRNA</v>
      </c>
      <c r="H272" s="32" t="str">
        <f t="shared" si="62"/>
        <v>E2_8_1_12 : E2_8_1_12</v>
      </c>
      <c r="I272" s="33" t="str">
        <f t="shared" si="63"/>
        <v>E2_8_1_12_mRNA : 0</v>
      </c>
      <c r="J272" s="16" t="str">
        <f t="shared" si="64"/>
        <v>E2_8_1_12 : 0</v>
      </c>
      <c r="K272" s="34" t="str">
        <f t="shared" si="65"/>
        <v>0.00292 - (0.0093 * E2_8_1_12_mRNA)</v>
      </c>
      <c r="L272" s="31" t="str">
        <f t="shared" si="66"/>
        <v>(0.278 * E2_8_1_12_mRNA) - (0.00000278 * E2_8_1_12)</v>
      </c>
      <c r="M272" s="35" t="str">
        <f t="shared" si="67"/>
        <v>mRNA271: -&gt; E2_8_1_12_mRNA | 0.00292 - (0.0093 * E2_8_1_12_mRNA)</v>
      </c>
      <c r="N272" s="29" t="str">
        <f t="shared" si="56"/>
        <v>Peptide271: E2_8_1_12_mRNA -&gt; E2_8_1_12 | (0.278 * E2_8_1_12_mRNA) - (0.000000278 * E2_8_1_12)</v>
      </c>
    </row>
    <row r="273" spans="1:14">
      <c r="A273">
        <v>272</v>
      </c>
      <c r="B273" t="s">
        <v>17932</v>
      </c>
      <c r="C273" t="str">
        <f t="shared" si="57"/>
        <v>E2_8_1_13_mRNA</v>
      </c>
      <c r="D273" t="str">
        <f t="shared" si="58"/>
        <v>E2_8_1_13</v>
      </c>
      <c r="E273" s="29" t="str">
        <f t="shared" si="59"/>
        <v>E2_8_1_13_kcat : 13.7</v>
      </c>
      <c r="F273" s="30" t="str">
        <f t="shared" si="60"/>
        <v>E2_8_1_13_km : 1</v>
      </c>
      <c r="G273" s="31" t="str">
        <f t="shared" si="61"/>
        <v>E2_8_1_13_mRNA : E2_8_1_13_mRNA</v>
      </c>
      <c r="H273" s="32" t="str">
        <f t="shared" si="62"/>
        <v>E2_8_1_13 : E2_8_1_13</v>
      </c>
      <c r="I273" s="33" t="str">
        <f t="shared" si="63"/>
        <v>E2_8_1_13_mRNA : 0</v>
      </c>
      <c r="J273" s="16" t="str">
        <f t="shared" si="64"/>
        <v>E2_8_1_13 : 0</v>
      </c>
      <c r="K273" s="34" t="str">
        <f t="shared" si="65"/>
        <v>0.00292 - (0.0093 * E2_8_1_13_mRNA)</v>
      </c>
      <c r="L273" s="31" t="str">
        <f t="shared" si="66"/>
        <v>(0.278 * E2_8_1_13_mRNA) - (0.00000278 * E2_8_1_13)</v>
      </c>
      <c r="M273" s="35" t="str">
        <f t="shared" si="67"/>
        <v>mRNA272: -&gt; E2_8_1_13_mRNA | 0.00292 - (0.0093 * E2_8_1_13_mRNA)</v>
      </c>
      <c r="N273" s="29" t="str">
        <f t="shared" si="56"/>
        <v>Peptide272: E2_8_1_13_mRNA -&gt; E2_8_1_13 | (0.278 * E2_8_1_13_mRNA) - (0.000000278 * E2_8_1_13)</v>
      </c>
    </row>
    <row r="274" spans="1:14">
      <c r="A274">
        <v>273</v>
      </c>
      <c r="B274" t="s">
        <v>12987</v>
      </c>
      <c r="C274" t="str">
        <f t="shared" si="57"/>
        <v>E2_8_1_6_mRNA</v>
      </c>
      <c r="D274" t="str">
        <f t="shared" si="58"/>
        <v>E2_8_1_6</v>
      </c>
      <c r="E274" s="29" t="str">
        <f t="shared" si="59"/>
        <v>E2_8_1_6_kcat : 13.7</v>
      </c>
      <c r="F274" s="30" t="str">
        <f t="shared" si="60"/>
        <v>E2_8_1_6_km : 1</v>
      </c>
      <c r="G274" s="31" t="str">
        <f t="shared" si="61"/>
        <v>E2_8_1_6_mRNA : E2_8_1_6_mRNA</v>
      </c>
      <c r="H274" s="32" t="str">
        <f t="shared" si="62"/>
        <v>E2_8_1_6 : E2_8_1_6</v>
      </c>
      <c r="I274" s="33" t="str">
        <f t="shared" si="63"/>
        <v>E2_8_1_6_mRNA : 0</v>
      </c>
      <c r="J274" s="16" t="str">
        <f t="shared" si="64"/>
        <v>E2_8_1_6 : 0</v>
      </c>
      <c r="K274" s="34" t="str">
        <f t="shared" si="65"/>
        <v>0.00292 - (0.0093 * E2_8_1_6_mRNA)</v>
      </c>
      <c r="L274" s="31" t="str">
        <f t="shared" si="66"/>
        <v>(0.278 * E2_8_1_6_mRNA) - (0.00000278 * E2_8_1_6)</v>
      </c>
      <c r="M274" s="35" t="str">
        <f t="shared" si="67"/>
        <v>mRNA273: -&gt; E2_8_1_6_mRNA | 0.00292 - (0.0093 * E2_8_1_6_mRNA)</v>
      </c>
      <c r="N274" s="29" t="str">
        <f t="shared" si="56"/>
        <v>Peptide273: E2_8_1_6_mRNA -&gt; E2_8_1_6 | (0.278 * E2_8_1_6_mRNA) - (0.000000278 * E2_8_1_6)</v>
      </c>
    </row>
    <row r="275" spans="1:14">
      <c r="A275">
        <v>274</v>
      </c>
      <c r="B275" t="s">
        <v>12988</v>
      </c>
      <c r="C275" t="str">
        <f t="shared" si="57"/>
        <v>E2_8_1_7_mRNA</v>
      </c>
      <c r="D275" t="str">
        <f t="shared" si="58"/>
        <v>E2_8_1_7</v>
      </c>
      <c r="E275" s="29" t="str">
        <f t="shared" si="59"/>
        <v>E2_8_1_7_kcat : 13.7</v>
      </c>
      <c r="F275" s="30" t="str">
        <f t="shared" si="60"/>
        <v>E2_8_1_7_km : 1</v>
      </c>
      <c r="G275" s="31" t="str">
        <f t="shared" si="61"/>
        <v>E2_8_1_7_mRNA : E2_8_1_7_mRNA</v>
      </c>
      <c r="H275" s="32" t="str">
        <f t="shared" si="62"/>
        <v>E2_8_1_7 : E2_8_1_7</v>
      </c>
      <c r="I275" s="33" t="str">
        <f t="shared" si="63"/>
        <v>E2_8_1_7_mRNA : 0</v>
      </c>
      <c r="J275" s="16" t="str">
        <f t="shared" si="64"/>
        <v>E2_8_1_7 : 0</v>
      </c>
      <c r="K275" s="34" t="str">
        <f t="shared" si="65"/>
        <v>0.00292 - (0.0093 * E2_8_1_7_mRNA)</v>
      </c>
      <c r="L275" s="31" t="str">
        <f t="shared" si="66"/>
        <v>(0.278 * E2_8_1_7_mRNA) - (0.00000278 * E2_8_1_7)</v>
      </c>
      <c r="M275" s="35" t="str">
        <f t="shared" si="67"/>
        <v>mRNA274: -&gt; E2_8_1_7_mRNA | 0.00292 - (0.0093 * E2_8_1_7_mRNA)</v>
      </c>
      <c r="N275" s="29" t="str">
        <f t="shared" si="56"/>
        <v>Peptide274: E2_8_1_7_mRNA -&gt; E2_8_1_7 | (0.278 * E2_8_1_7_mRNA) - (0.000000278 * E2_8_1_7)</v>
      </c>
    </row>
    <row r="276" spans="1:14">
      <c r="A276">
        <v>275</v>
      </c>
      <c r="B276" t="s">
        <v>12989</v>
      </c>
      <c r="C276" t="str">
        <f t="shared" si="57"/>
        <v>E2_8_1_8_mRNA</v>
      </c>
      <c r="D276" t="str">
        <f t="shared" si="58"/>
        <v>E2_8_1_8</v>
      </c>
      <c r="E276" s="29" t="str">
        <f t="shared" si="59"/>
        <v>E2_8_1_8_kcat : 13.7</v>
      </c>
      <c r="F276" s="30" t="str">
        <f t="shared" si="60"/>
        <v>E2_8_1_8_km : 1</v>
      </c>
      <c r="G276" s="31" t="str">
        <f t="shared" si="61"/>
        <v>E2_8_1_8_mRNA : E2_8_1_8_mRNA</v>
      </c>
      <c r="H276" s="32" t="str">
        <f t="shared" si="62"/>
        <v>E2_8_1_8 : E2_8_1_8</v>
      </c>
      <c r="I276" s="33" t="str">
        <f t="shared" si="63"/>
        <v>E2_8_1_8_mRNA : 0</v>
      </c>
      <c r="J276" s="16" t="str">
        <f t="shared" si="64"/>
        <v>E2_8_1_8 : 0</v>
      </c>
      <c r="K276" s="34" t="str">
        <f t="shared" si="65"/>
        <v>0.00292 - (0.0093 * E2_8_1_8_mRNA)</v>
      </c>
      <c r="L276" s="31" t="str">
        <f t="shared" si="66"/>
        <v>(0.278 * E2_8_1_8_mRNA) - (0.00000278 * E2_8_1_8)</v>
      </c>
      <c r="M276" s="35" t="str">
        <f t="shared" si="67"/>
        <v>mRNA275: -&gt; E2_8_1_8_mRNA | 0.00292 - (0.0093 * E2_8_1_8_mRNA)</v>
      </c>
      <c r="N276" s="29" t="str">
        <f t="shared" si="56"/>
        <v>Peptide275: E2_8_1_8_mRNA -&gt; E2_8_1_8 | (0.278 * E2_8_1_8_mRNA) - (0.000000278 * E2_8_1_8)</v>
      </c>
    </row>
    <row r="277" spans="1:14">
      <c r="A277">
        <v>276</v>
      </c>
      <c r="B277" t="s">
        <v>12990</v>
      </c>
      <c r="C277" t="str">
        <f t="shared" si="57"/>
        <v>E2_8_4_2_mRNA</v>
      </c>
      <c r="D277" t="str">
        <f t="shared" si="58"/>
        <v>E2_8_4_2</v>
      </c>
      <c r="E277" s="29" t="str">
        <f t="shared" si="59"/>
        <v>E2_8_4_2_kcat : 13.7</v>
      </c>
      <c r="F277" s="30" t="str">
        <f t="shared" si="60"/>
        <v>E2_8_4_2_km : 1</v>
      </c>
      <c r="G277" s="31" t="str">
        <f t="shared" si="61"/>
        <v>E2_8_4_2_mRNA : E2_8_4_2_mRNA</v>
      </c>
      <c r="H277" s="32" t="str">
        <f t="shared" si="62"/>
        <v>E2_8_4_2 : E2_8_4_2</v>
      </c>
      <c r="I277" s="33" t="str">
        <f t="shared" si="63"/>
        <v>E2_8_4_2_mRNA : 0</v>
      </c>
      <c r="J277" s="16" t="str">
        <f t="shared" si="64"/>
        <v>E2_8_4_2 : 0</v>
      </c>
      <c r="K277" s="34" t="str">
        <f t="shared" si="65"/>
        <v>0.00292 - (0.0093 * E2_8_4_2_mRNA)</v>
      </c>
      <c r="L277" s="31" t="str">
        <f t="shared" si="66"/>
        <v>(0.278 * E2_8_4_2_mRNA) - (0.00000278 * E2_8_4_2)</v>
      </c>
      <c r="M277" s="35" t="str">
        <f t="shared" si="67"/>
        <v>mRNA276: -&gt; E2_8_4_2_mRNA | 0.00292 - (0.0093 * E2_8_4_2_mRNA)</v>
      </c>
      <c r="N277" s="29" t="str">
        <f t="shared" si="56"/>
        <v>Peptide276: E2_8_4_2_mRNA -&gt; E2_8_4_2 | (0.278 * E2_8_4_2_mRNA) - (0.000000278 * E2_8_4_2)</v>
      </c>
    </row>
    <row r="278" spans="1:14">
      <c r="A278">
        <v>277</v>
      </c>
      <c r="B278" t="s">
        <v>12991</v>
      </c>
      <c r="C278" t="str">
        <f t="shared" si="57"/>
        <v>E2_8_4_3_mRNA</v>
      </c>
      <c r="D278" t="str">
        <f t="shared" si="58"/>
        <v>E2_8_4_3</v>
      </c>
      <c r="E278" s="29" t="str">
        <f t="shared" si="59"/>
        <v>E2_8_4_3_kcat : 13.7</v>
      </c>
      <c r="F278" s="30" t="str">
        <f t="shared" si="60"/>
        <v>E2_8_4_3_km : 1</v>
      </c>
      <c r="G278" s="31" t="str">
        <f t="shared" si="61"/>
        <v>E2_8_4_3_mRNA : E2_8_4_3_mRNA</v>
      </c>
      <c r="H278" s="32" t="str">
        <f t="shared" si="62"/>
        <v>E2_8_4_3 : E2_8_4_3</v>
      </c>
      <c r="I278" s="33" t="str">
        <f t="shared" si="63"/>
        <v>E2_8_4_3_mRNA : 0</v>
      </c>
      <c r="J278" s="16" t="str">
        <f t="shared" si="64"/>
        <v>E2_8_4_3 : 0</v>
      </c>
      <c r="K278" s="34" t="str">
        <f t="shared" si="65"/>
        <v>0.00292 - (0.0093 * E2_8_4_3_mRNA)</v>
      </c>
      <c r="L278" s="31" t="str">
        <f t="shared" si="66"/>
        <v>(0.278 * E2_8_4_3_mRNA) - (0.00000278 * E2_8_4_3)</v>
      </c>
      <c r="M278" s="35" t="str">
        <f t="shared" si="67"/>
        <v>mRNA277: -&gt; E2_8_4_3_mRNA | 0.00292 - (0.0093 * E2_8_4_3_mRNA)</v>
      </c>
      <c r="N278" s="29" t="str">
        <f t="shared" si="56"/>
        <v>Peptide277: E2_8_4_3_mRNA -&gt; E2_8_4_3 | (0.278 * E2_8_4_3_mRNA) - (0.000000278 * E2_8_4_3)</v>
      </c>
    </row>
    <row r="279" spans="1:14">
      <c r="A279">
        <v>278</v>
      </c>
      <c r="B279" t="s">
        <v>12992</v>
      </c>
      <c r="C279" t="str">
        <f t="shared" si="57"/>
        <v>E3_1_1_24_mRNA</v>
      </c>
      <c r="D279" t="str">
        <f t="shared" si="58"/>
        <v>E3_1_1_24</v>
      </c>
      <c r="E279" s="29" t="str">
        <f t="shared" si="59"/>
        <v>E3_1_1_24_kcat : 13.7</v>
      </c>
      <c r="F279" s="30" t="str">
        <f t="shared" si="60"/>
        <v>E3_1_1_24_km : 1</v>
      </c>
      <c r="G279" s="31" t="str">
        <f t="shared" si="61"/>
        <v>E3_1_1_24_mRNA : E3_1_1_24_mRNA</v>
      </c>
      <c r="H279" s="32" t="str">
        <f t="shared" si="62"/>
        <v>E3_1_1_24 : E3_1_1_24</v>
      </c>
      <c r="I279" s="33" t="str">
        <f t="shared" si="63"/>
        <v>E3_1_1_24_mRNA : 0</v>
      </c>
      <c r="J279" s="16" t="str">
        <f t="shared" si="64"/>
        <v>E3_1_1_24 : 0</v>
      </c>
      <c r="K279" s="34" t="str">
        <f t="shared" si="65"/>
        <v>0.00292 - (0.0093 * E3_1_1_24_mRNA)</v>
      </c>
      <c r="L279" s="31" t="str">
        <f t="shared" si="66"/>
        <v>(0.278 * E3_1_1_24_mRNA) - (0.00000278 * E3_1_1_24)</v>
      </c>
      <c r="M279" s="35" t="str">
        <f t="shared" si="67"/>
        <v>mRNA278: -&gt; E3_1_1_24_mRNA | 0.00292 - (0.0093 * E3_1_1_24_mRNA)</v>
      </c>
      <c r="N279" s="29" t="str">
        <f t="shared" si="56"/>
        <v>Peptide278: E3_1_1_24_mRNA -&gt; E3_1_1_24 | (0.278 * E3_1_1_24_mRNA) - (0.000000278 * E3_1_1_24)</v>
      </c>
    </row>
    <row r="280" spans="1:14">
      <c r="A280">
        <v>279</v>
      </c>
      <c r="B280" t="s">
        <v>12993</v>
      </c>
      <c r="C280" t="str">
        <f t="shared" si="57"/>
        <v>E3_1_1_29_mRNA</v>
      </c>
      <c r="D280" t="str">
        <f t="shared" si="58"/>
        <v>E3_1_1_29</v>
      </c>
      <c r="E280" s="29" t="str">
        <f t="shared" si="59"/>
        <v>E3_1_1_29_kcat : 13.7</v>
      </c>
      <c r="F280" s="30" t="str">
        <f t="shared" si="60"/>
        <v>E3_1_1_29_km : 1</v>
      </c>
      <c r="G280" s="31" t="str">
        <f t="shared" si="61"/>
        <v>E3_1_1_29_mRNA : E3_1_1_29_mRNA</v>
      </c>
      <c r="H280" s="32" t="str">
        <f t="shared" si="62"/>
        <v>E3_1_1_29 : E3_1_1_29</v>
      </c>
      <c r="I280" s="33" t="str">
        <f t="shared" si="63"/>
        <v>E3_1_1_29_mRNA : 0</v>
      </c>
      <c r="J280" s="16" t="str">
        <f t="shared" si="64"/>
        <v>E3_1_1_29 : 0</v>
      </c>
      <c r="K280" s="34" t="str">
        <f t="shared" si="65"/>
        <v>0.00292 - (0.0093 * E3_1_1_29_mRNA)</v>
      </c>
      <c r="L280" s="31" t="str">
        <f t="shared" si="66"/>
        <v>(0.278 * E3_1_1_29_mRNA) - (0.00000278 * E3_1_1_29)</v>
      </c>
      <c r="M280" s="35" t="str">
        <f t="shared" si="67"/>
        <v>mRNA279: -&gt; E3_1_1_29_mRNA | 0.00292 - (0.0093 * E3_1_1_29_mRNA)</v>
      </c>
      <c r="N280" s="29" t="str">
        <f t="shared" si="56"/>
        <v>Peptide279: E3_1_1_29_mRNA -&gt; E3_1_1_29 | (0.278 * E3_1_1_29_mRNA) - (0.000000278 * E3_1_1_29)</v>
      </c>
    </row>
    <row r="281" spans="1:14">
      <c r="A281">
        <v>280</v>
      </c>
      <c r="B281" t="s">
        <v>12994</v>
      </c>
      <c r="C281" t="str">
        <f t="shared" si="57"/>
        <v>E3_1_1_31_mRNA</v>
      </c>
      <c r="D281" t="str">
        <f t="shared" si="58"/>
        <v>E3_1_1_31</v>
      </c>
      <c r="E281" s="29" t="str">
        <f t="shared" si="59"/>
        <v>E3_1_1_31_kcat : 13.7</v>
      </c>
      <c r="F281" s="30" t="str">
        <f t="shared" si="60"/>
        <v>E3_1_1_31_km : 1</v>
      </c>
      <c r="G281" s="31" t="str">
        <f t="shared" si="61"/>
        <v>E3_1_1_31_mRNA : E3_1_1_31_mRNA</v>
      </c>
      <c r="H281" s="32" t="str">
        <f t="shared" si="62"/>
        <v>E3_1_1_31 : E3_1_1_31</v>
      </c>
      <c r="I281" s="33" t="str">
        <f t="shared" si="63"/>
        <v>E3_1_1_31_mRNA : 0</v>
      </c>
      <c r="J281" s="16" t="str">
        <f t="shared" si="64"/>
        <v>E3_1_1_31 : 0</v>
      </c>
      <c r="K281" s="34" t="str">
        <f t="shared" si="65"/>
        <v>0.00292 - (0.0093 * E3_1_1_31_mRNA)</v>
      </c>
      <c r="L281" s="31" t="str">
        <f t="shared" si="66"/>
        <v>(0.278 * E3_1_1_31_mRNA) - (0.00000278 * E3_1_1_31)</v>
      </c>
      <c r="M281" s="35" t="str">
        <f t="shared" si="67"/>
        <v>mRNA280: -&gt; E3_1_1_31_mRNA | 0.00292 - (0.0093 * E3_1_1_31_mRNA)</v>
      </c>
      <c r="N281" s="29" t="str">
        <f t="shared" si="56"/>
        <v>Peptide280: E3_1_1_31_mRNA -&gt; E3_1_1_31 | (0.278 * E3_1_1_31_mRNA) - (0.000000278 * E3_1_1_31)</v>
      </c>
    </row>
    <row r="282" spans="1:14">
      <c r="A282">
        <v>281</v>
      </c>
      <c r="B282" t="s">
        <v>12995</v>
      </c>
      <c r="C282" t="str">
        <f t="shared" si="57"/>
        <v>E3_1_1_96_mRNA</v>
      </c>
      <c r="D282" t="str">
        <f t="shared" si="58"/>
        <v>E3_1_1_96</v>
      </c>
      <c r="E282" s="29" t="str">
        <f t="shared" si="59"/>
        <v>E3_1_1_96_kcat : 13.7</v>
      </c>
      <c r="F282" s="30" t="str">
        <f t="shared" si="60"/>
        <v>E3_1_1_96_km : 1</v>
      </c>
      <c r="G282" s="31" t="str">
        <f t="shared" si="61"/>
        <v>E3_1_1_96_mRNA : E3_1_1_96_mRNA</v>
      </c>
      <c r="H282" s="32" t="str">
        <f t="shared" si="62"/>
        <v>E3_1_1_96 : E3_1_1_96</v>
      </c>
      <c r="I282" s="33" t="str">
        <f t="shared" si="63"/>
        <v>E3_1_1_96_mRNA : 0</v>
      </c>
      <c r="J282" s="16" t="str">
        <f t="shared" si="64"/>
        <v>E3_1_1_96 : 0</v>
      </c>
      <c r="K282" s="34" t="str">
        <f t="shared" si="65"/>
        <v>0.00292 - (0.0093 * E3_1_1_96_mRNA)</v>
      </c>
      <c r="L282" s="31" t="str">
        <f t="shared" si="66"/>
        <v>(0.278 * E3_1_1_96_mRNA) - (0.00000278 * E3_1_1_96)</v>
      </c>
      <c r="M282" s="35" t="str">
        <f t="shared" si="67"/>
        <v>mRNA281: -&gt; E3_1_1_96_mRNA | 0.00292 - (0.0093 * E3_1_1_96_mRNA)</v>
      </c>
      <c r="N282" s="29" t="str">
        <f t="shared" si="56"/>
        <v>Peptide281: E3_1_1_96_mRNA -&gt; E3_1_1_96 | (0.278 * E3_1_1_96_mRNA) - (0.000000278 * E3_1_1_96)</v>
      </c>
    </row>
    <row r="283" spans="1:14">
      <c r="A283">
        <v>282</v>
      </c>
      <c r="B283" t="s">
        <v>12996</v>
      </c>
      <c r="C283" t="str">
        <f t="shared" si="57"/>
        <v>E3_1_11_2_mRNA</v>
      </c>
      <c r="D283" t="str">
        <f t="shared" si="58"/>
        <v>E3_1_11_2</v>
      </c>
      <c r="E283" s="29" t="str">
        <f t="shared" si="59"/>
        <v>E3_1_11_2_kcat : 13.7</v>
      </c>
      <c r="F283" s="30" t="str">
        <f t="shared" si="60"/>
        <v>E3_1_11_2_km : 1</v>
      </c>
      <c r="G283" s="31" t="str">
        <f t="shared" si="61"/>
        <v>E3_1_11_2_mRNA : E3_1_11_2_mRNA</v>
      </c>
      <c r="H283" s="32" t="str">
        <f t="shared" si="62"/>
        <v>E3_1_11_2 : E3_1_11_2</v>
      </c>
      <c r="I283" s="33" t="str">
        <f t="shared" si="63"/>
        <v>E3_1_11_2_mRNA : 0</v>
      </c>
      <c r="J283" s="16" t="str">
        <f t="shared" si="64"/>
        <v>E3_1_11_2 : 0</v>
      </c>
      <c r="K283" s="34" t="str">
        <f t="shared" si="65"/>
        <v>0.00292 - (0.0093 * E3_1_11_2_mRNA)</v>
      </c>
      <c r="L283" s="31" t="str">
        <f t="shared" si="66"/>
        <v>(0.278 * E3_1_11_2_mRNA) - (0.00000278 * E3_1_11_2)</v>
      </c>
      <c r="M283" s="35" t="str">
        <f t="shared" si="67"/>
        <v>mRNA282: -&gt; E3_1_11_2_mRNA | 0.00292 - (0.0093 * E3_1_11_2_mRNA)</v>
      </c>
      <c r="N283" s="29" t="str">
        <f t="shared" si="56"/>
        <v>Peptide282: E3_1_11_2_mRNA -&gt; E3_1_11_2 | (0.278 * E3_1_11_2_mRNA) - (0.000000278 * E3_1_11_2)</v>
      </c>
    </row>
    <row r="284" spans="1:14">
      <c r="A284">
        <v>283</v>
      </c>
      <c r="B284" t="s">
        <v>12997</v>
      </c>
      <c r="C284" t="str">
        <f t="shared" si="57"/>
        <v>E3_1_11_6_mRNA</v>
      </c>
      <c r="D284" t="str">
        <f t="shared" si="58"/>
        <v>E3_1_11_6</v>
      </c>
      <c r="E284" s="29" t="str">
        <f t="shared" si="59"/>
        <v>E3_1_11_6_kcat : 13.7</v>
      </c>
      <c r="F284" s="30" t="str">
        <f t="shared" si="60"/>
        <v>E3_1_11_6_km : 1</v>
      </c>
      <c r="G284" s="31" t="str">
        <f t="shared" si="61"/>
        <v>E3_1_11_6_mRNA : E3_1_11_6_mRNA</v>
      </c>
      <c r="H284" s="32" t="str">
        <f t="shared" si="62"/>
        <v>E3_1_11_6 : E3_1_11_6</v>
      </c>
      <c r="I284" s="33" t="str">
        <f t="shared" si="63"/>
        <v>E3_1_11_6_mRNA : 0</v>
      </c>
      <c r="J284" s="16" t="str">
        <f t="shared" si="64"/>
        <v>E3_1_11_6 : 0</v>
      </c>
      <c r="K284" s="34" t="str">
        <f t="shared" si="65"/>
        <v>0.00292 - (0.0093 * E3_1_11_6_mRNA)</v>
      </c>
      <c r="L284" s="31" t="str">
        <f t="shared" si="66"/>
        <v>(0.278 * E3_1_11_6_mRNA) - (0.00000278 * E3_1_11_6)</v>
      </c>
      <c r="M284" s="35" t="str">
        <f t="shared" si="67"/>
        <v>mRNA283: -&gt; E3_1_11_6_mRNA | 0.00292 - (0.0093 * E3_1_11_6_mRNA)</v>
      </c>
      <c r="N284" s="29" t="str">
        <f t="shared" si="56"/>
        <v>Peptide283: E3_1_11_6_mRNA -&gt; E3_1_11_6 | (0.278 * E3_1_11_6_mRNA) - (0.000000278 * E3_1_11_6)</v>
      </c>
    </row>
    <row r="285" spans="1:14">
      <c r="A285">
        <v>284</v>
      </c>
      <c r="B285" s="45" t="s">
        <v>17616</v>
      </c>
      <c r="C285" t="str">
        <f t="shared" si="57"/>
        <v>E3_1_12_1_mRNA</v>
      </c>
      <c r="D285" t="str">
        <f t="shared" si="58"/>
        <v>E3_1_12_1</v>
      </c>
      <c r="E285" s="29" t="str">
        <f t="shared" si="59"/>
        <v>E3_1_12_1_kcat : 13.7</v>
      </c>
      <c r="F285" s="30" t="str">
        <f t="shared" si="60"/>
        <v>E3_1_12_1_km : 1</v>
      </c>
      <c r="G285" s="31" t="str">
        <f t="shared" si="61"/>
        <v>E3_1_12_1_mRNA : E3_1_12_1_mRNA</v>
      </c>
      <c r="H285" s="32" t="str">
        <f t="shared" si="62"/>
        <v>E3_1_12_1 : E3_1_12_1</v>
      </c>
      <c r="I285" s="33" t="str">
        <f t="shared" si="63"/>
        <v>E3_1_12_1_mRNA : 0</v>
      </c>
      <c r="J285" s="16" t="str">
        <f t="shared" si="64"/>
        <v>E3_1_12_1 : 0</v>
      </c>
      <c r="K285" s="34" t="str">
        <f t="shared" si="65"/>
        <v>0.00292 - (0.0093 * E3_1_12_1_mRNA)</v>
      </c>
      <c r="L285" s="31" t="str">
        <f t="shared" si="66"/>
        <v>(0.278 * E3_1_12_1_mRNA) - (0.00000278 * E3_1_12_1)</v>
      </c>
      <c r="M285" s="35" t="str">
        <f t="shared" si="67"/>
        <v>mRNA284: -&gt; E3_1_12_1_mRNA | 0.00292 - (0.0093 * E3_1_12_1_mRNA)</v>
      </c>
      <c r="N285" s="29" t="str">
        <f t="shared" si="56"/>
        <v>Peptide284: E3_1_12_1_mRNA -&gt; E3_1_12_1 | (0.278 * E3_1_12_1_mRNA) - (0.000000278 * E3_1_12_1)</v>
      </c>
    </row>
    <row r="286" spans="1:14">
      <c r="A286">
        <v>285</v>
      </c>
      <c r="B286" t="s">
        <v>12998</v>
      </c>
      <c r="C286" t="str">
        <f t="shared" si="57"/>
        <v>E3_1_13_5_mRNA</v>
      </c>
      <c r="D286" t="str">
        <f t="shared" si="58"/>
        <v>E3_1_13_5</v>
      </c>
      <c r="E286" s="29" t="str">
        <f t="shared" si="59"/>
        <v>E3_1_13_5_kcat : 13.7</v>
      </c>
      <c r="F286" s="30" t="str">
        <f t="shared" si="60"/>
        <v>E3_1_13_5_km : 1</v>
      </c>
      <c r="G286" s="31" t="str">
        <f t="shared" si="61"/>
        <v>E3_1_13_5_mRNA : E3_1_13_5_mRNA</v>
      </c>
      <c r="H286" s="32" t="str">
        <f t="shared" si="62"/>
        <v>E3_1_13_5 : E3_1_13_5</v>
      </c>
      <c r="I286" s="33" t="str">
        <f t="shared" si="63"/>
        <v>E3_1_13_5_mRNA : 0</v>
      </c>
      <c r="J286" s="16" t="str">
        <f t="shared" si="64"/>
        <v>E3_1_13_5 : 0</v>
      </c>
      <c r="K286" s="34" t="str">
        <f t="shared" si="65"/>
        <v>0.00292 - (0.0093 * E3_1_13_5_mRNA)</v>
      </c>
      <c r="L286" s="31" t="str">
        <f t="shared" si="66"/>
        <v>(0.278 * E3_1_13_5_mRNA) - (0.00000278 * E3_1_13_5)</v>
      </c>
      <c r="M286" s="35" t="str">
        <f t="shared" si="67"/>
        <v>mRNA285: -&gt; E3_1_13_5_mRNA | 0.00292 - (0.0093 * E3_1_13_5_mRNA)</v>
      </c>
      <c r="N286" s="29" t="str">
        <f t="shared" si="56"/>
        <v>Peptide285: E3_1_13_5_mRNA -&gt; E3_1_13_5 | (0.278 * E3_1_13_5_mRNA) - (0.000000278 * E3_1_13_5)</v>
      </c>
    </row>
    <row r="287" spans="1:14">
      <c r="A287">
        <v>286</v>
      </c>
      <c r="B287" t="s">
        <v>12999</v>
      </c>
      <c r="C287" t="str">
        <f t="shared" si="57"/>
        <v>E3_1_21_10_mRNA</v>
      </c>
      <c r="D287" t="str">
        <f t="shared" si="58"/>
        <v>E3_1_21_10</v>
      </c>
      <c r="E287" s="29" t="str">
        <f t="shared" si="59"/>
        <v>E3_1_21_10_kcat : 13.7</v>
      </c>
      <c r="F287" s="30" t="str">
        <f t="shared" si="60"/>
        <v>E3_1_21_10_km : 1</v>
      </c>
      <c r="G287" s="31" t="str">
        <f t="shared" si="61"/>
        <v>E3_1_21_10_mRNA : E3_1_21_10_mRNA</v>
      </c>
      <c r="H287" s="32" t="str">
        <f t="shared" si="62"/>
        <v>E3_1_21_10 : E3_1_21_10</v>
      </c>
      <c r="I287" s="33" t="str">
        <f t="shared" si="63"/>
        <v>E3_1_21_10_mRNA : 0</v>
      </c>
      <c r="J287" s="16" t="str">
        <f t="shared" si="64"/>
        <v>E3_1_21_10 : 0</v>
      </c>
      <c r="K287" s="34" t="str">
        <f t="shared" si="65"/>
        <v>0.00292 - (0.0093 * E3_1_21_10_mRNA)</v>
      </c>
      <c r="L287" s="31" t="str">
        <f t="shared" si="66"/>
        <v>(0.278 * E3_1_21_10_mRNA) - (0.00000278 * E3_1_21_10)</v>
      </c>
      <c r="M287" s="35" t="str">
        <f t="shared" si="67"/>
        <v>mRNA286: -&gt; E3_1_21_10_mRNA | 0.00292 - (0.0093 * E3_1_21_10_mRNA)</v>
      </c>
      <c r="N287" s="29" t="str">
        <f t="shared" si="56"/>
        <v>Peptide286: E3_1_21_10_mRNA -&gt; E3_1_21_10 | (0.278 * E3_1_21_10_mRNA) - (0.000000278 * E3_1_21_10)</v>
      </c>
    </row>
    <row r="288" spans="1:14">
      <c r="A288">
        <v>287</v>
      </c>
      <c r="B288" s="45" t="s">
        <v>17617</v>
      </c>
      <c r="C288" t="str">
        <f t="shared" si="57"/>
        <v>E3_1_21_3_mRNA</v>
      </c>
      <c r="D288" t="str">
        <f t="shared" si="58"/>
        <v>E3_1_21_3</v>
      </c>
      <c r="E288" s="29" t="str">
        <f t="shared" si="59"/>
        <v>E3_1_21_3_kcat : 13.7</v>
      </c>
      <c r="F288" s="30" t="str">
        <f t="shared" si="60"/>
        <v>E3_1_21_3_km : 1</v>
      </c>
      <c r="G288" s="31" t="str">
        <f t="shared" si="61"/>
        <v>E3_1_21_3_mRNA : E3_1_21_3_mRNA</v>
      </c>
      <c r="H288" s="32" t="str">
        <f t="shared" si="62"/>
        <v>E3_1_21_3 : E3_1_21_3</v>
      </c>
      <c r="I288" s="33" t="str">
        <f t="shared" si="63"/>
        <v>E3_1_21_3_mRNA : 0</v>
      </c>
      <c r="J288" s="16" t="str">
        <f t="shared" si="64"/>
        <v>E3_1_21_3 : 0</v>
      </c>
      <c r="K288" s="34" t="str">
        <f t="shared" si="65"/>
        <v>0.00292 - (0.0093 * E3_1_21_3_mRNA)</v>
      </c>
      <c r="L288" s="31" t="str">
        <f t="shared" si="66"/>
        <v>(0.278 * E3_1_21_3_mRNA) - (0.00000278 * E3_1_21_3)</v>
      </c>
      <c r="M288" s="35" t="str">
        <f t="shared" si="67"/>
        <v>mRNA287: -&gt; E3_1_21_3_mRNA | 0.00292 - (0.0093 * E3_1_21_3_mRNA)</v>
      </c>
      <c r="N288" s="29" t="str">
        <f t="shared" si="56"/>
        <v>Peptide287: E3_1_21_3_mRNA -&gt; E3_1_21_3 | (0.278 * E3_1_21_3_mRNA) - (0.000000278 * E3_1_21_3)</v>
      </c>
    </row>
    <row r="289" spans="1:14">
      <c r="A289">
        <v>288</v>
      </c>
      <c r="B289" t="s">
        <v>13000</v>
      </c>
      <c r="C289" t="str">
        <f t="shared" si="57"/>
        <v>E3_1_26_3_mRNA</v>
      </c>
      <c r="D289" t="str">
        <f t="shared" si="58"/>
        <v>E3_1_26_3</v>
      </c>
      <c r="E289" s="29" t="str">
        <f t="shared" si="59"/>
        <v>E3_1_26_3_kcat : 13.7</v>
      </c>
      <c r="F289" s="30" t="str">
        <f t="shared" si="60"/>
        <v>E3_1_26_3_km : 1</v>
      </c>
      <c r="G289" s="31" t="str">
        <f t="shared" si="61"/>
        <v>E3_1_26_3_mRNA : E3_1_26_3_mRNA</v>
      </c>
      <c r="H289" s="32" t="str">
        <f t="shared" si="62"/>
        <v>E3_1_26_3 : E3_1_26_3</v>
      </c>
      <c r="I289" s="33" t="str">
        <f t="shared" si="63"/>
        <v>E3_1_26_3_mRNA : 0</v>
      </c>
      <c r="J289" s="16" t="str">
        <f t="shared" si="64"/>
        <v>E3_1_26_3 : 0</v>
      </c>
      <c r="K289" s="34" t="str">
        <f t="shared" si="65"/>
        <v>0.00292 - (0.0093 * E3_1_26_3_mRNA)</v>
      </c>
      <c r="L289" s="31" t="str">
        <f t="shared" si="66"/>
        <v>(0.278 * E3_1_26_3_mRNA) - (0.00000278 * E3_1_26_3)</v>
      </c>
      <c r="M289" s="35" t="str">
        <f t="shared" si="67"/>
        <v>mRNA288: -&gt; E3_1_26_3_mRNA | 0.00292 - (0.0093 * E3_1_26_3_mRNA)</v>
      </c>
      <c r="N289" s="29" t="str">
        <f t="shared" si="56"/>
        <v>Peptide288: E3_1_26_3_mRNA -&gt; E3_1_26_3 | (0.278 * E3_1_26_3_mRNA) - (0.000000278 * E3_1_26_3)</v>
      </c>
    </row>
    <row r="290" spans="1:14">
      <c r="A290">
        <v>289</v>
      </c>
      <c r="B290" t="s">
        <v>13001</v>
      </c>
      <c r="C290" t="str">
        <f t="shared" si="57"/>
        <v>E3_1_26_4_mRNA</v>
      </c>
      <c r="D290" t="str">
        <f t="shared" si="58"/>
        <v>E3_1_26_4</v>
      </c>
      <c r="E290" s="29" t="str">
        <f t="shared" si="59"/>
        <v>E3_1_26_4_kcat : 13.7</v>
      </c>
      <c r="F290" s="30" t="str">
        <f t="shared" si="60"/>
        <v>E3_1_26_4_km : 1</v>
      </c>
      <c r="G290" s="31" t="str">
        <f t="shared" si="61"/>
        <v>E3_1_26_4_mRNA : E3_1_26_4_mRNA</v>
      </c>
      <c r="H290" s="32" t="str">
        <f t="shared" si="62"/>
        <v>E3_1_26_4 : E3_1_26_4</v>
      </c>
      <c r="I290" s="33" t="str">
        <f t="shared" si="63"/>
        <v>E3_1_26_4_mRNA : 0</v>
      </c>
      <c r="J290" s="16" t="str">
        <f t="shared" si="64"/>
        <v>E3_1_26_4 : 0</v>
      </c>
      <c r="K290" s="34" t="str">
        <f t="shared" si="65"/>
        <v>0.00292 - (0.0093 * E3_1_26_4_mRNA)</v>
      </c>
      <c r="L290" s="31" t="str">
        <f t="shared" si="66"/>
        <v>(0.278 * E3_1_26_4_mRNA) - (0.00000278 * E3_1_26_4)</v>
      </c>
      <c r="M290" s="35" t="str">
        <f t="shared" si="67"/>
        <v>mRNA289: -&gt; E3_1_26_4_mRNA | 0.00292 - (0.0093 * E3_1_26_4_mRNA)</v>
      </c>
      <c r="N290" s="29" t="str">
        <f t="shared" si="56"/>
        <v>Peptide289: E3_1_26_4_mRNA -&gt; E3_1_26_4 | (0.278 * E3_1_26_4_mRNA) - (0.000000278 * E3_1_26_4)</v>
      </c>
    </row>
    <row r="291" spans="1:14">
      <c r="A291">
        <v>290</v>
      </c>
      <c r="B291" t="s">
        <v>13002</v>
      </c>
      <c r="C291" t="str">
        <f t="shared" si="57"/>
        <v>E3_1_26_5_mRNA</v>
      </c>
      <c r="D291" t="str">
        <f t="shared" si="58"/>
        <v>E3_1_26_5</v>
      </c>
      <c r="E291" s="29" t="str">
        <f t="shared" si="59"/>
        <v>E3_1_26_5_kcat : 13.7</v>
      </c>
      <c r="F291" s="30" t="str">
        <f t="shared" si="60"/>
        <v>E3_1_26_5_km : 1</v>
      </c>
      <c r="G291" s="31" t="str">
        <f t="shared" si="61"/>
        <v>E3_1_26_5_mRNA : E3_1_26_5_mRNA</v>
      </c>
      <c r="H291" s="32" t="str">
        <f t="shared" si="62"/>
        <v>E3_1_26_5 : E3_1_26_5</v>
      </c>
      <c r="I291" s="33" t="str">
        <f t="shared" si="63"/>
        <v>E3_1_26_5_mRNA : 0</v>
      </c>
      <c r="J291" s="16" t="str">
        <f t="shared" si="64"/>
        <v>E3_1_26_5 : 0</v>
      </c>
      <c r="K291" s="34" t="str">
        <f t="shared" si="65"/>
        <v>0.00292 - (0.0093 * E3_1_26_5_mRNA)</v>
      </c>
      <c r="L291" s="31" t="str">
        <f t="shared" si="66"/>
        <v>(0.278 * E3_1_26_5_mRNA) - (0.00000278 * E3_1_26_5)</v>
      </c>
      <c r="M291" s="35" t="str">
        <f t="shared" si="67"/>
        <v>mRNA290: -&gt; E3_1_26_5_mRNA | 0.00292 - (0.0093 * E3_1_26_5_mRNA)</v>
      </c>
      <c r="N291" s="29" t="str">
        <f t="shared" si="56"/>
        <v>Peptide290: E3_1_26_5_mRNA -&gt; E3_1_26_5 | (0.278 * E3_1_26_5_mRNA) - (0.000000278 * E3_1_26_5)</v>
      </c>
    </row>
    <row r="292" spans="1:14">
      <c r="A292">
        <v>291</v>
      </c>
      <c r="B292" t="s">
        <v>13003</v>
      </c>
      <c r="C292" t="str">
        <f t="shared" si="57"/>
        <v>E3_1_3_1_mRNA</v>
      </c>
      <c r="D292" t="str">
        <f t="shared" si="58"/>
        <v>E3_1_3_1</v>
      </c>
      <c r="E292" s="29" t="str">
        <f t="shared" si="59"/>
        <v>E3_1_3_1_kcat : 13.7</v>
      </c>
      <c r="F292" s="30" t="str">
        <f t="shared" si="60"/>
        <v>E3_1_3_1_km : 1</v>
      </c>
      <c r="G292" s="31" t="str">
        <f t="shared" si="61"/>
        <v>E3_1_3_1_mRNA : E3_1_3_1_mRNA</v>
      </c>
      <c r="H292" s="32" t="str">
        <f t="shared" si="62"/>
        <v>E3_1_3_1 : E3_1_3_1</v>
      </c>
      <c r="I292" s="33" t="str">
        <f t="shared" si="63"/>
        <v>E3_1_3_1_mRNA : 0</v>
      </c>
      <c r="J292" s="16" t="str">
        <f t="shared" si="64"/>
        <v>E3_1_3_1 : 0</v>
      </c>
      <c r="K292" s="34" t="str">
        <f t="shared" si="65"/>
        <v>0.00292 - (0.0093 * E3_1_3_1_mRNA)</v>
      </c>
      <c r="L292" s="31" t="str">
        <f t="shared" si="66"/>
        <v>(0.278 * E3_1_3_1_mRNA) - (0.00000278 * E3_1_3_1)</v>
      </c>
      <c r="M292" s="35" t="str">
        <f t="shared" si="67"/>
        <v>mRNA291: -&gt; E3_1_3_1_mRNA | 0.00292 - (0.0093 * E3_1_3_1_mRNA)</v>
      </c>
      <c r="N292" s="29" t="str">
        <f t="shared" si="56"/>
        <v>Peptide291: E3_1_3_1_mRNA -&gt; E3_1_3_1 | (0.278 * E3_1_3_1_mRNA) - (0.000000278 * E3_1_3_1)</v>
      </c>
    </row>
    <row r="293" spans="1:14">
      <c r="A293">
        <v>292</v>
      </c>
      <c r="B293" t="s">
        <v>13004</v>
      </c>
      <c r="C293" t="str">
        <f t="shared" si="57"/>
        <v>E3_1_3_11_mRNA</v>
      </c>
      <c r="D293" t="str">
        <f t="shared" si="58"/>
        <v>E3_1_3_11</v>
      </c>
      <c r="E293" s="29" t="str">
        <f t="shared" si="59"/>
        <v>E3_1_3_11_kcat : 13.7</v>
      </c>
      <c r="F293" s="30" t="str">
        <f t="shared" si="60"/>
        <v>E3_1_3_11_km : 1</v>
      </c>
      <c r="G293" s="31" t="str">
        <f t="shared" si="61"/>
        <v>E3_1_3_11_mRNA : E3_1_3_11_mRNA</v>
      </c>
      <c r="H293" s="32" t="str">
        <f t="shared" si="62"/>
        <v>E3_1_3_11 : E3_1_3_11</v>
      </c>
      <c r="I293" s="33" t="str">
        <f t="shared" si="63"/>
        <v>E3_1_3_11_mRNA : 0</v>
      </c>
      <c r="J293" s="16" t="str">
        <f t="shared" si="64"/>
        <v>E3_1_3_11 : 0</v>
      </c>
      <c r="K293" s="34" t="str">
        <f t="shared" si="65"/>
        <v>0.00292 - (0.0093 * E3_1_3_11_mRNA)</v>
      </c>
      <c r="L293" s="31" t="str">
        <f t="shared" si="66"/>
        <v>(0.278 * E3_1_3_11_mRNA) - (0.00000278 * E3_1_3_11)</v>
      </c>
      <c r="M293" s="35" t="str">
        <f t="shared" si="67"/>
        <v>mRNA292: -&gt; E3_1_3_11_mRNA | 0.00292 - (0.0093 * E3_1_3_11_mRNA)</v>
      </c>
      <c r="N293" s="29" t="str">
        <f t="shared" si="56"/>
        <v>Peptide292: E3_1_3_11_mRNA -&gt; E3_1_3_11 | (0.278 * E3_1_3_11_mRNA) - (0.000000278 * E3_1_3_11)</v>
      </c>
    </row>
    <row r="294" spans="1:14">
      <c r="A294">
        <v>293</v>
      </c>
      <c r="B294" t="s">
        <v>13005</v>
      </c>
      <c r="C294" t="str">
        <f t="shared" si="57"/>
        <v>E3_1_3_12_mRNA</v>
      </c>
      <c r="D294" t="str">
        <f t="shared" si="58"/>
        <v>E3_1_3_12</v>
      </c>
      <c r="E294" s="29" t="str">
        <f t="shared" si="59"/>
        <v>E3_1_3_12_kcat : 13.7</v>
      </c>
      <c r="F294" s="30" t="str">
        <f t="shared" si="60"/>
        <v>E3_1_3_12_km : 1</v>
      </c>
      <c r="G294" s="31" t="str">
        <f t="shared" si="61"/>
        <v>E3_1_3_12_mRNA : E3_1_3_12_mRNA</v>
      </c>
      <c r="H294" s="32" t="str">
        <f t="shared" si="62"/>
        <v>E3_1_3_12 : E3_1_3_12</v>
      </c>
      <c r="I294" s="33" t="str">
        <f t="shared" si="63"/>
        <v>E3_1_3_12_mRNA : 0</v>
      </c>
      <c r="J294" s="16" t="str">
        <f t="shared" si="64"/>
        <v>E3_1_3_12 : 0</v>
      </c>
      <c r="K294" s="34" t="str">
        <f t="shared" si="65"/>
        <v>0.00292 - (0.0093 * E3_1_3_12_mRNA)</v>
      </c>
      <c r="L294" s="31" t="str">
        <f t="shared" si="66"/>
        <v>(0.278 * E3_1_3_12_mRNA) - (0.00000278 * E3_1_3_12)</v>
      </c>
      <c r="M294" s="35" t="str">
        <f t="shared" si="67"/>
        <v>mRNA293: -&gt; E3_1_3_12_mRNA | 0.00292 - (0.0093 * E3_1_3_12_mRNA)</v>
      </c>
      <c r="N294" s="29" t="str">
        <f t="shared" si="56"/>
        <v>Peptide293: E3_1_3_12_mRNA -&gt; E3_1_3_12 | (0.278 * E3_1_3_12_mRNA) - (0.000000278 * E3_1_3_12)</v>
      </c>
    </row>
    <row r="295" spans="1:14">
      <c r="A295">
        <v>294</v>
      </c>
      <c r="B295" t="s">
        <v>13006</v>
      </c>
      <c r="C295" t="str">
        <f t="shared" si="57"/>
        <v>E3_1_3_15_mRNA</v>
      </c>
      <c r="D295" t="str">
        <f t="shared" si="58"/>
        <v>E3_1_3_15</v>
      </c>
      <c r="E295" s="29" t="str">
        <f t="shared" si="59"/>
        <v>E3_1_3_15_kcat : 13.7</v>
      </c>
      <c r="F295" s="30" t="str">
        <f t="shared" si="60"/>
        <v>E3_1_3_15_km : 1</v>
      </c>
      <c r="G295" s="31" t="str">
        <f t="shared" si="61"/>
        <v>E3_1_3_15_mRNA : E3_1_3_15_mRNA</v>
      </c>
      <c r="H295" s="32" t="str">
        <f t="shared" si="62"/>
        <v>E3_1_3_15 : E3_1_3_15</v>
      </c>
      <c r="I295" s="33" t="str">
        <f t="shared" si="63"/>
        <v>E3_1_3_15_mRNA : 0</v>
      </c>
      <c r="J295" s="16" t="str">
        <f t="shared" si="64"/>
        <v>E3_1_3_15 : 0</v>
      </c>
      <c r="K295" s="34" t="str">
        <f t="shared" si="65"/>
        <v>0.00292 - (0.0093 * E3_1_3_15_mRNA)</v>
      </c>
      <c r="L295" s="31" t="str">
        <f t="shared" si="66"/>
        <v>(0.278 * E3_1_3_15_mRNA) - (0.00000278 * E3_1_3_15)</v>
      </c>
      <c r="M295" s="35" t="str">
        <f t="shared" si="67"/>
        <v>mRNA294: -&gt; E3_1_3_15_mRNA | 0.00292 - (0.0093 * E3_1_3_15_mRNA)</v>
      </c>
      <c r="N295" s="29" t="str">
        <f t="shared" si="56"/>
        <v>Peptide294: E3_1_3_15_mRNA -&gt; E3_1_3_15 | (0.278 * E3_1_3_15_mRNA) - (0.000000278 * E3_1_3_15)</v>
      </c>
    </row>
    <row r="296" spans="1:14">
      <c r="A296">
        <v>295</v>
      </c>
      <c r="B296" t="s">
        <v>13007</v>
      </c>
      <c r="C296" t="str">
        <f t="shared" si="57"/>
        <v>E3_1_3_16_mRNA</v>
      </c>
      <c r="D296" t="str">
        <f t="shared" si="58"/>
        <v>E3_1_3_16</v>
      </c>
      <c r="E296" s="29" t="str">
        <f t="shared" si="59"/>
        <v>E3_1_3_16_kcat : 13.7</v>
      </c>
      <c r="F296" s="30" t="str">
        <f t="shared" si="60"/>
        <v>E3_1_3_16_km : 1</v>
      </c>
      <c r="G296" s="31" t="str">
        <f t="shared" si="61"/>
        <v>E3_1_3_16_mRNA : E3_1_3_16_mRNA</v>
      </c>
      <c r="H296" s="32" t="str">
        <f t="shared" si="62"/>
        <v>E3_1_3_16 : E3_1_3_16</v>
      </c>
      <c r="I296" s="33" t="str">
        <f t="shared" si="63"/>
        <v>E3_1_3_16_mRNA : 0</v>
      </c>
      <c r="J296" s="16" t="str">
        <f t="shared" si="64"/>
        <v>E3_1_3_16 : 0</v>
      </c>
      <c r="K296" s="34" t="str">
        <f t="shared" si="65"/>
        <v>0.00292 - (0.0093 * E3_1_3_16_mRNA)</v>
      </c>
      <c r="L296" s="31" t="str">
        <f t="shared" si="66"/>
        <v>(0.278 * E3_1_3_16_mRNA) - (0.00000278 * E3_1_3_16)</v>
      </c>
      <c r="M296" s="35" t="str">
        <f t="shared" si="67"/>
        <v>mRNA295: -&gt; E3_1_3_16_mRNA | 0.00292 - (0.0093 * E3_1_3_16_mRNA)</v>
      </c>
      <c r="N296" s="29" t="str">
        <f t="shared" si="56"/>
        <v>Peptide295: E3_1_3_16_mRNA -&gt; E3_1_3_16 | (0.278 * E3_1_3_16_mRNA) - (0.000000278 * E3_1_3_16)</v>
      </c>
    </row>
    <row r="297" spans="1:14">
      <c r="A297">
        <v>296</v>
      </c>
      <c r="B297" t="s">
        <v>13008</v>
      </c>
      <c r="C297" t="str">
        <f t="shared" si="57"/>
        <v>E3_1_3_2_mRNA</v>
      </c>
      <c r="D297" t="str">
        <f t="shared" si="58"/>
        <v>E3_1_3_2</v>
      </c>
      <c r="E297" s="29" t="str">
        <f t="shared" si="59"/>
        <v>E3_1_3_2_kcat : 13.7</v>
      </c>
      <c r="F297" s="30" t="str">
        <f t="shared" si="60"/>
        <v>E3_1_3_2_km : 1</v>
      </c>
      <c r="G297" s="31" t="str">
        <f t="shared" si="61"/>
        <v>E3_1_3_2_mRNA : E3_1_3_2_mRNA</v>
      </c>
      <c r="H297" s="32" t="str">
        <f t="shared" si="62"/>
        <v>E3_1_3_2 : E3_1_3_2</v>
      </c>
      <c r="I297" s="33" t="str">
        <f t="shared" si="63"/>
        <v>E3_1_3_2_mRNA : 0</v>
      </c>
      <c r="J297" s="16" t="str">
        <f t="shared" si="64"/>
        <v>E3_1_3_2 : 0</v>
      </c>
      <c r="K297" s="34" t="str">
        <f t="shared" si="65"/>
        <v>0.00292 - (0.0093 * E3_1_3_2_mRNA)</v>
      </c>
      <c r="L297" s="31" t="str">
        <f t="shared" si="66"/>
        <v>(0.278 * E3_1_3_2_mRNA) - (0.00000278 * E3_1_3_2)</v>
      </c>
      <c r="M297" s="35" t="str">
        <f t="shared" si="67"/>
        <v>mRNA296: -&gt; E3_1_3_2_mRNA | 0.00292 - (0.0093 * E3_1_3_2_mRNA)</v>
      </c>
      <c r="N297" s="29" t="str">
        <f t="shared" si="56"/>
        <v>Peptide296: E3_1_3_2_mRNA -&gt; E3_1_3_2 | (0.278 * E3_1_3_2_mRNA) - (0.000000278 * E3_1_3_2)</v>
      </c>
    </row>
    <row r="298" spans="1:14">
      <c r="A298">
        <v>297</v>
      </c>
      <c r="B298" t="s">
        <v>13009</v>
      </c>
      <c r="C298" t="str">
        <f t="shared" si="57"/>
        <v>E3_1_3_3_mRNA</v>
      </c>
      <c r="D298" t="str">
        <f t="shared" si="58"/>
        <v>E3_1_3_3</v>
      </c>
      <c r="E298" s="29" t="str">
        <f t="shared" si="59"/>
        <v>E3_1_3_3_kcat : 13.7</v>
      </c>
      <c r="F298" s="30" t="str">
        <f t="shared" si="60"/>
        <v>E3_1_3_3_km : 1</v>
      </c>
      <c r="G298" s="31" t="str">
        <f t="shared" si="61"/>
        <v>E3_1_3_3_mRNA : E3_1_3_3_mRNA</v>
      </c>
      <c r="H298" s="32" t="str">
        <f t="shared" si="62"/>
        <v>E3_1_3_3 : E3_1_3_3</v>
      </c>
      <c r="I298" s="33" t="str">
        <f t="shared" si="63"/>
        <v>E3_1_3_3_mRNA : 0</v>
      </c>
      <c r="J298" s="16" t="str">
        <f t="shared" si="64"/>
        <v>E3_1_3_3 : 0</v>
      </c>
      <c r="K298" s="34" t="str">
        <f t="shared" si="65"/>
        <v>0.00292 - (0.0093 * E3_1_3_3_mRNA)</v>
      </c>
      <c r="L298" s="31" t="str">
        <f t="shared" si="66"/>
        <v>(0.278 * E3_1_3_3_mRNA) - (0.00000278 * E3_1_3_3)</v>
      </c>
      <c r="M298" s="35" t="str">
        <f t="shared" si="67"/>
        <v>mRNA297: -&gt; E3_1_3_3_mRNA | 0.00292 - (0.0093 * E3_1_3_3_mRNA)</v>
      </c>
      <c r="N298" s="29" t="str">
        <f t="shared" si="56"/>
        <v>Peptide297: E3_1_3_3_mRNA -&gt; E3_1_3_3 | (0.278 * E3_1_3_3_mRNA) - (0.000000278 * E3_1_3_3)</v>
      </c>
    </row>
    <row r="299" spans="1:14">
      <c r="A299">
        <v>298</v>
      </c>
      <c r="B299" t="s">
        <v>13010</v>
      </c>
      <c r="C299" t="str">
        <f t="shared" si="57"/>
        <v>E3_1_3_48_mRNA</v>
      </c>
      <c r="D299" t="str">
        <f t="shared" si="58"/>
        <v>E3_1_3_48</v>
      </c>
      <c r="E299" s="29" t="str">
        <f t="shared" si="59"/>
        <v>E3_1_3_48_kcat : 13.7</v>
      </c>
      <c r="F299" s="30" t="str">
        <f t="shared" si="60"/>
        <v>E3_1_3_48_km : 1</v>
      </c>
      <c r="G299" s="31" t="str">
        <f t="shared" si="61"/>
        <v>E3_1_3_48_mRNA : E3_1_3_48_mRNA</v>
      </c>
      <c r="H299" s="32" t="str">
        <f t="shared" si="62"/>
        <v>E3_1_3_48 : E3_1_3_48</v>
      </c>
      <c r="I299" s="33" t="str">
        <f t="shared" si="63"/>
        <v>E3_1_3_48_mRNA : 0</v>
      </c>
      <c r="J299" s="16" t="str">
        <f t="shared" si="64"/>
        <v>E3_1_3_48 : 0</v>
      </c>
      <c r="K299" s="34" t="str">
        <f t="shared" si="65"/>
        <v>0.00292 - (0.0093 * E3_1_3_48_mRNA)</v>
      </c>
      <c r="L299" s="31" t="str">
        <f t="shared" si="66"/>
        <v>(0.278 * E3_1_3_48_mRNA) - (0.00000278 * E3_1_3_48)</v>
      </c>
      <c r="M299" s="35" t="str">
        <f t="shared" si="67"/>
        <v>mRNA298: -&gt; E3_1_3_48_mRNA | 0.00292 - (0.0093 * E3_1_3_48_mRNA)</v>
      </c>
      <c r="N299" s="29" t="str">
        <f t="shared" si="56"/>
        <v>Peptide298: E3_1_3_48_mRNA -&gt; E3_1_3_48 | (0.278 * E3_1_3_48_mRNA) - (0.000000278 * E3_1_3_48)</v>
      </c>
    </row>
    <row r="300" spans="1:14">
      <c r="A300">
        <v>299</v>
      </c>
      <c r="B300" t="s">
        <v>13011</v>
      </c>
      <c r="C300" t="str">
        <f t="shared" si="57"/>
        <v>E3_1_3_5_mRNA</v>
      </c>
      <c r="D300" t="str">
        <f t="shared" si="58"/>
        <v>E3_1_3_5</v>
      </c>
      <c r="E300" s="29" t="str">
        <f t="shared" si="59"/>
        <v>E3_1_3_5_kcat : 13.7</v>
      </c>
      <c r="F300" s="30" t="str">
        <f t="shared" si="60"/>
        <v>E3_1_3_5_km : 1</v>
      </c>
      <c r="G300" s="31" t="str">
        <f t="shared" si="61"/>
        <v>E3_1_3_5_mRNA : E3_1_3_5_mRNA</v>
      </c>
      <c r="H300" s="32" t="str">
        <f t="shared" si="62"/>
        <v>E3_1_3_5 : E3_1_3_5</v>
      </c>
      <c r="I300" s="33" t="str">
        <f t="shared" si="63"/>
        <v>E3_1_3_5_mRNA : 0</v>
      </c>
      <c r="J300" s="16" t="str">
        <f t="shared" si="64"/>
        <v>E3_1_3_5 : 0</v>
      </c>
      <c r="K300" s="34" t="str">
        <f t="shared" si="65"/>
        <v>0.00292 - (0.0093 * E3_1_3_5_mRNA)</v>
      </c>
      <c r="L300" s="31" t="str">
        <f t="shared" si="66"/>
        <v>(0.278 * E3_1_3_5_mRNA) - (0.00000278 * E3_1_3_5)</v>
      </c>
      <c r="M300" s="35" t="str">
        <f t="shared" si="67"/>
        <v>mRNA299: -&gt; E3_1_3_5_mRNA | 0.00292 - (0.0093 * E3_1_3_5_mRNA)</v>
      </c>
      <c r="N300" s="29" t="str">
        <f t="shared" si="56"/>
        <v>Peptide299: E3_1_3_5_mRNA -&gt; E3_1_3_5 | (0.278 * E3_1_3_5_mRNA) - (0.000000278 * E3_1_3_5)</v>
      </c>
    </row>
    <row r="301" spans="1:14">
      <c r="A301">
        <v>300</v>
      </c>
      <c r="B301" t="s">
        <v>16039</v>
      </c>
      <c r="C301" t="str">
        <f t="shared" si="57"/>
        <v>E3_1_3_7_mRNA</v>
      </c>
      <c r="D301" t="str">
        <f t="shared" si="58"/>
        <v>E3_1_3_7</v>
      </c>
      <c r="E301" s="29" t="str">
        <f t="shared" si="59"/>
        <v>E3_1_3_7_kcat : 13.7</v>
      </c>
      <c r="F301" s="30" t="str">
        <f t="shared" si="60"/>
        <v>E3_1_3_7_km : 1</v>
      </c>
      <c r="G301" s="31" t="str">
        <f t="shared" si="61"/>
        <v>E3_1_3_7_mRNA : E3_1_3_7_mRNA</v>
      </c>
      <c r="H301" s="32" t="str">
        <f t="shared" si="62"/>
        <v>E3_1_3_7 : E3_1_3_7</v>
      </c>
      <c r="I301" s="33" t="str">
        <f t="shared" si="63"/>
        <v>E3_1_3_7_mRNA : 0</v>
      </c>
      <c r="J301" s="16" t="str">
        <f t="shared" si="64"/>
        <v>E3_1_3_7 : 0</v>
      </c>
      <c r="K301" s="34" t="str">
        <f t="shared" si="65"/>
        <v>0.00292 - (0.0093 * E3_1_3_7_mRNA)</v>
      </c>
      <c r="L301" s="31" t="str">
        <f t="shared" si="66"/>
        <v>(0.278 * E3_1_3_7_mRNA) - (0.00000278 * E3_1_3_7)</v>
      </c>
      <c r="M301" s="35" t="str">
        <f t="shared" si="67"/>
        <v>mRNA300: -&gt; E3_1_3_7_mRNA | 0.00292 - (0.0093 * E3_1_3_7_mRNA)</v>
      </c>
      <c r="N301" s="29" t="str">
        <f t="shared" si="56"/>
        <v>Peptide300: E3_1_3_7_mRNA -&gt; E3_1_3_7 | (0.278 * E3_1_3_7_mRNA) - (0.000000278 * E3_1_3_7)</v>
      </c>
    </row>
    <row r="302" spans="1:14">
      <c r="A302">
        <v>301</v>
      </c>
      <c r="B302" t="s">
        <v>13012</v>
      </c>
      <c r="C302" t="str">
        <f t="shared" si="57"/>
        <v>E3_13_2_1_mRNA</v>
      </c>
      <c r="D302" t="str">
        <f t="shared" si="58"/>
        <v>E3_13_2_1</v>
      </c>
      <c r="E302" s="29" t="str">
        <f t="shared" si="59"/>
        <v>E3_13_2_1_kcat : 13.7</v>
      </c>
      <c r="F302" s="30" t="str">
        <f t="shared" si="60"/>
        <v>E3_13_2_1_km : 1</v>
      </c>
      <c r="G302" s="31" t="str">
        <f t="shared" si="61"/>
        <v>E3_13_2_1_mRNA : E3_13_2_1_mRNA</v>
      </c>
      <c r="H302" s="32" t="str">
        <f t="shared" si="62"/>
        <v>E3_13_2_1 : E3_13_2_1</v>
      </c>
      <c r="I302" s="33" t="str">
        <f t="shared" si="63"/>
        <v>E3_13_2_1_mRNA : 0</v>
      </c>
      <c r="J302" s="16" t="str">
        <f t="shared" si="64"/>
        <v>E3_13_2_1 : 0</v>
      </c>
      <c r="K302" s="34" t="str">
        <f t="shared" si="65"/>
        <v>0.00292 - (0.0093 * E3_13_2_1_mRNA)</v>
      </c>
      <c r="L302" s="31" t="str">
        <f t="shared" si="66"/>
        <v>(0.278 * E3_13_2_1_mRNA) - (0.00000278 * E3_13_2_1)</v>
      </c>
      <c r="M302" s="35" t="str">
        <f t="shared" si="67"/>
        <v>mRNA301: -&gt; E3_13_2_1_mRNA | 0.00292 - (0.0093 * E3_13_2_1_mRNA)</v>
      </c>
      <c r="N302" s="29" t="str">
        <f t="shared" si="56"/>
        <v>Peptide301: E3_13_2_1_mRNA -&gt; E3_13_2_1 | (0.278 * E3_13_2_1_mRNA) - (0.000000278 * E3_13_2_1)</v>
      </c>
    </row>
    <row r="303" spans="1:14">
      <c r="A303">
        <v>302</v>
      </c>
      <c r="B303" t="s">
        <v>13013</v>
      </c>
      <c r="C303" t="str">
        <f t="shared" si="57"/>
        <v>E3_2_1_141_mRNA</v>
      </c>
      <c r="D303" t="str">
        <f t="shared" si="58"/>
        <v>E3_2_1_141</v>
      </c>
      <c r="E303" s="29" t="str">
        <f t="shared" si="59"/>
        <v>E3_2_1_141_kcat : 13.7</v>
      </c>
      <c r="F303" s="30" t="str">
        <f t="shared" si="60"/>
        <v>E3_2_1_141_km : 1</v>
      </c>
      <c r="G303" s="31" t="str">
        <f t="shared" si="61"/>
        <v>E3_2_1_141_mRNA : E3_2_1_141_mRNA</v>
      </c>
      <c r="H303" s="32" t="str">
        <f t="shared" si="62"/>
        <v>E3_2_1_141 : E3_2_1_141</v>
      </c>
      <c r="I303" s="33" t="str">
        <f t="shared" si="63"/>
        <v>E3_2_1_141_mRNA : 0</v>
      </c>
      <c r="J303" s="16" t="str">
        <f t="shared" si="64"/>
        <v>E3_2_1_141 : 0</v>
      </c>
      <c r="K303" s="34" t="str">
        <f t="shared" si="65"/>
        <v>0.00292 - (0.0093 * E3_2_1_141_mRNA)</v>
      </c>
      <c r="L303" s="31" t="str">
        <f t="shared" si="66"/>
        <v>(0.278 * E3_2_1_141_mRNA) - (0.00000278 * E3_2_1_141)</v>
      </c>
      <c r="M303" s="35" t="str">
        <f t="shared" si="67"/>
        <v>mRNA302: -&gt; E3_2_1_141_mRNA | 0.00292 - (0.0093 * E3_2_1_141_mRNA)</v>
      </c>
      <c r="N303" s="29" t="str">
        <f t="shared" si="56"/>
        <v>Peptide302: E3_2_1_141_mRNA -&gt; E3_2_1_141 | (0.278 * E3_2_1_141_mRNA) - (0.000000278 * E3_2_1_141)</v>
      </c>
    </row>
    <row r="304" spans="1:14">
      <c r="A304">
        <v>303</v>
      </c>
      <c r="B304" s="45" t="s">
        <v>17618</v>
      </c>
      <c r="C304" t="str">
        <f t="shared" si="57"/>
        <v>E3_2_1_18_mRNA</v>
      </c>
      <c r="D304" t="str">
        <f t="shared" si="58"/>
        <v>E3_2_1_18</v>
      </c>
      <c r="E304" s="29" t="str">
        <f t="shared" si="59"/>
        <v>E3_2_1_18_kcat : 13.7</v>
      </c>
      <c r="F304" s="30" t="str">
        <f t="shared" si="60"/>
        <v>E3_2_1_18_km : 1</v>
      </c>
      <c r="G304" s="31" t="str">
        <f t="shared" si="61"/>
        <v>E3_2_1_18_mRNA : E3_2_1_18_mRNA</v>
      </c>
      <c r="H304" s="32" t="str">
        <f t="shared" si="62"/>
        <v>E3_2_1_18 : E3_2_1_18</v>
      </c>
      <c r="I304" s="33" t="str">
        <f t="shared" si="63"/>
        <v>E3_2_1_18_mRNA : 0</v>
      </c>
      <c r="J304" s="16" t="str">
        <f t="shared" si="64"/>
        <v>E3_2_1_18 : 0</v>
      </c>
      <c r="K304" s="34" t="str">
        <f t="shared" si="65"/>
        <v>0.00292 - (0.0093 * E3_2_1_18_mRNA)</v>
      </c>
      <c r="L304" s="31" t="str">
        <f t="shared" si="66"/>
        <v>(0.278 * E3_2_1_18_mRNA) - (0.00000278 * E3_2_1_18)</v>
      </c>
      <c r="M304" s="35" t="str">
        <f t="shared" si="67"/>
        <v>mRNA303: -&gt; E3_2_1_18_mRNA | 0.00292 - (0.0093 * E3_2_1_18_mRNA)</v>
      </c>
      <c r="N304" s="29" t="str">
        <f t="shared" si="56"/>
        <v>Peptide303: E3_2_1_18_mRNA -&gt; E3_2_1_18 | (0.278 * E3_2_1_18_mRNA) - (0.000000278 * E3_2_1_18)</v>
      </c>
    </row>
    <row r="305" spans="1:14">
      <c r="A305">
        <v>304</v>
      </c>
      <c r="B305" t="s">
        <v>13014</v>
      </c>
      <c r="C305" t="str">
        <f t="shared" si="57"/>
        <v>E3_2_1_196_mRNA</v>
      </c>
      <c r="D305" t="str">
        <f t="shared" si="58"/>
        <v>E3_2_1_196</v>
      </c>
      <c r="E305" s="29" t="str">
        <f t="shared" si="59"/>
        <v>E3_2_1_196_kcat : 13.7</v>
      </c>
      <c r="F305" s="30" t="str">
        <f t="shared" si="60"/>
        <v>E3_2_1_196_km : 1</v>
      </c>
      <c r="G305" s="31" t="str">
        <f t="shared" si="61"/>
        <v>E3_2_1_196_mRNA : E3_2_1_196_mRNA</v>
      </c>
      <c r="H305" s="32" t="str">
        <f t="shared" si="62"/>
        <v>E3_2_1_196 : E3_2_1_196</v>
      </c>
      <c r="I305" s="33" t="str">
        <f t="shared" si="63"/>
        <v>E3_2_1_196_mRNA : 0</v>
      </c>
      <c r="J305" s="16" t="str">
        <f t="shared" si="64"/>
        <v>E3_2_1_196 : 0</v>
      </c>
      <c r="K305" s="34" t="str">
        <f t="shared" si="65"/>
        <v>0.00292 - (0.0093 * E3_2_1_196_mRNA)</v>
      </c>
      <c r="L305" s="31" t="str">
        <f t="shared" si="66"/>
        <v>(0.278 * E3_2_1_196_mRNA) - (0.00000278 * E3_2_1_196)</v>
      </c>
      <c r="M305" s="35" t="str">
        <f t="shared" si="67"/>
        <v>mRNA304: -&gt; E3_2_1_196_mRNA | 0.00292 - (0.0093 * E3_2_1_196_mRNA)</v>
      </c>
      <c r="N305" s="29" t="str">
        <f t="shared" si="56"/>
        <v>Peptide304: E3_2_1_196_mRNA -&gt; E3_2_1_196 | (0.278 * E3_2_1_196_mRNA) - (0.000000278 * E3_2_1_196)</v>
      </c>
    </row>
    <row r="306" spans="1:14">
      <c r="A306">
        <v>305</v>
      </c>
      <c r="B306" t="s">
        <v>13015</v>
      </c>
      <c r="C306" t="str">
        <f t="shared" si="57"/>
        <v>E3_2_2_20_mRNA</v>
      </c>
      <c r="D306" t="str">
        <f t="shared" si="58"/>
        <v>E3_2_2_20</v>
      </c>
      <c r="E306" s="29" t="str">
        <f t="shared" si="59"/>
        <v>E3_2_2_20_kcat : 13.7</v>
      </c>
      <c r="F306" s="30" t="str">
        <f t="shared" si="60"/>
        <v>E3_2_2_20_km : 1</v>
      </c>
      <c r="G306" s="31" t="str">
        <f t="shared" si="61"/>
        <v>E3_2_2_20_mRNA : E3_2_2_20_mRNA</v>
      </c>
      <c r="H306" s="32" t="str">
        <f t="shared" si="62"/>
        <v>E3_2_2_20 : E3_2_2_20</v>
      </c>
      <c r="I306" s="33" t="str">
        <f t="shared" si="63"/>
        <v>E3_2_2_20_mRNA : 0</v>
      </c>
      <c r="J306" s="16" t="str">
        <f t="shared" si="64"/>
        <v>E3_2_2_20 : 0</v>
      </c>
      <c r="K306" s="34" t="str">
        <f t="shared" si="65"/>
        <v>0.00292 - (0.0093 * E3_2_2_20_mRNA)</v>
      </c>
      <c r="L306" s="31" t="str">
        <f t="shared" si="66"/>
        <v>(0.278 * E3_2_2_20_mRNA) - (0.00000278 * E3_2_2_20)</v>
      </c>
      <c r="M306" s="35" t="str">
        <f t="shared" si="67"/>
        <v>mRNA305: -&gt; E3_2_2_20_mRNA | 0.00292 - (0.0093 * E3_2_2_20_mRNA)</v>
      </c>
      <c r="N306" s="29" t="str">
        <f t="shared" si="56"/>
        <v>Peptide305: E3_2_2_20_mRNA -&gt; E3_2_2_20 | (0.278 * E3_2_2_20_mRNA) - (0.000000278 * E3_2_2_20)</v>
      </c>
    </row>
    <row r="307" spans="1:14">
      <c r="A307">
        <v>306</v>
      </c>
      <c r="B307" t="s">
        <v>13016</v>
      </c>
      <c r="C307" t="str">
        <f t="shared" si="57"/>
        <v>E3_2_2_27_mRNA</v>
      </c>
      <c r="D307" t="str">
        <f t="shared" si="58"/>
        <v>E3_2_2_27</v>
      </c>
      <c r="E307" s="29" t="str">
        <f t="shared" si="59"/>
        <v>E3_2_2_27_kcat : 13.7</v>
      </c>
      <c r="F307" s="30" t="str">
        <f t="shared" si="60"/>
        <v>E3_2_2_27_km : 1</v>
      </c>
      <c r="G307" s="31" t="str">
        <f t="shared" si="61"/>
        <v>E3_2_2_27_mRNA : E3_2_2_27_mRNA</v>
      </c>
      <c r="H307" s="32" t="str">
        <f t="shared" si="62"/>
        <v>E3_2_2_27 : E3_2_2_27</v>
      </c>
      <c r="I307" s="33" t="str">
        <f t="shared" si="63"/>
        <v>E3_2_2_27_mRNA : 0</v>
      </c>
      <c r="J307" s="16" t="str">
        <f t="shared" si="64"/>
        <v>E3_2_2_27 : 0</v>
      </c>
      <c r="K307" s="34" t="str">
        <f t="shared" si="65"/>
        <v>0.00292 - (0.0093 * E3_2_2_27_mRNA)</v>
      </c>
      <c r="L307" s="31" t="str">
        <f t="shared" si="66"/>
        <v>(0.278 * E3_2_2_27_mRNA) - (0.00000278 * E3_2_2_27)</v>
      </c>
      <c r="M307" s="35" t="str">
        <f t="shared" si="67"/>
        <v>mRNA306: -&gt; E3_2_2_27_mRNA | 0.00292 - (0.0093 * E3_2_2_27_mRNA)</v>
      </c>
      <c r="N307" s="29" t="str">
        <f t="shared" si="56"/>
        <v>Peptide306: E3_2_2_27_mRNA -&gt; E3_2_2_27 | (0.278 * E3_2_2_27_mRNA) - (0.000000278 * E3_2_2_27)</v>
      </c>
    </row>
    <row r="308" spans="1:14">
      <c r="A308">
        <v>307</v>
      </c>
      <c r="B308" t="s">
        <v>13017</v>
      </c>
      <c r="C308" t="str">
        <f t="shared" si="57"/>
        <v>E3_2_2_4_mRNA</v>
      </c>
      <c r="D308" t="str">
        <f t="shared" si="58"/>
        <v>E3_2_2_4</v>
      </c>
      <c r="E308" s="29" t="str">
        <f t="shared" si="59"/>
        <v>E3_2_2_4_kcat : 13.7</v>
      </c>
      <c r="F308" s="30" t="str">
        <f t="shared" si="60"/>
        <v>E3_2_2_4_km : 1</v>
      </c>
      <c r="G308" s="31" t="str">
        <f t="shared" si="61"/>
        <v>E3_2_2_4_mRNA : E3_2_2_4_mRNA</v>
      </c>
      <c r="H308" s="32" t="str">
        <f t="shared" si="62"/>
        <v>E3_2_2_4 : E3_2_2_4</v>
      </c>
      <c r="I308" s="33" t="str">
        <f t="shared" si="63"/>
        <v>E3_2_2_4_mRNA : 0</v>
      </c>
      <c r="J308" s="16" t="str">
        <f t="shared" si="64"/>
        <v>E3_2_2_4 : 0</v>
      </c>
      <c r="K308" s="34" t="str">
        <f t="shared" si="65"/>
        <v>0.00292 - (0.0093 * E3_2_2_4_mRNA)</v>
      </c>
      <c r="L308" s="31" t="str">
        <f t="shared" si="66"/>
        <v>(0.278 * E3_2_2_4_mRNA) - (0.00000278 * E3_2_2_4)</v>
      </c>
      <c r="M308" s="35" t="str">
        <f t="shared" si="67"/>
        <v>mRNA307: -&gt; E3_2_2_4_mRNA | 0.00292 - (0.0093 * E3_2_2_4_mRNA)</v>
      </c>
      <c r="N308" s="29" t="str">
        <f t="shared" si="56"/>
        <v>Peptide307: E3_2_2_4_mRNA -&gt; E3_2_2_4 | (0.278 * E3_2_2_4_mRNA) - (0.000000278 * E3_2_2_4)</v>
      </c>
    </row>
    <row r="309" spans="1:14">
      <c r="A309">
        <v>308</v>
      </c>
      <c r="B309" t="s">
        <v>13018</v>
      </c>
      <c r="C309" t="str">
        <f t="shared" si="57"/>
        <v>E3_3_2_2_mRNA</v>
      </c>
      <c r="D309" t="str">
        <f t="shared" si="58"/>
        <v>E3_3_2_2</v>
      </c>
      <c r="E309" s="29" t="str">
        <f t="shared" si="59"/>
        <v>E3_3_2_2_kcat : 13.7</v>
      </c>
      <c r="F309" s="30" t="str">
        <f t="shared" si="60"/>
        <v>E3_3_2_2_km : 1</v>
      </c>
      <c r="G309" s="31" t="str">
        <f t="shared" si="61"/>
        <v>E3_3_2_2_mRNA : E3_3_2_2_mRNA</v>
      </c>
      <c r="H309" s="32" t="str">
        <f t="shared" si="62"/>
        <v>E3_3_2_2 : E3_3_2_2</v>
      </c>
      <c r="I309" s="33" t="str">
        <f t="shared" si="63"/>
        <v>E3_3_2_2_mRNA : 0</v>
      </c>
      <c r="J309" s="16" t="str">
        <f t="shared" si="64"/>
        <v>E3_3_2_2 : 0</v>
      </c>
      <c r="K309" s="34" t="str">
        <f t="shared" si="65"/>
        <v>0.00292 - (0.0093 * E3_3_2_2_mRNA)</v>
      </c>
      <c r="L309" s="31" t="str">
        <f t="shared" si="66"/>
        <v>(0.278 * E3_3_2_2_mRNA) - (0.00000278 * E3_3_2_2)</v>
      </c>
      <c r="M309" s="35" t="str">
        <f t="shared" si="67"/>
        <v>mRNA308: -&gt; E3_3_2_2_mRNA | 0.00292 - (0.0093 * E3_3_2_2_mRNA)</v>
      </c>
      <c r="N309" s="29" t="str">
        <f t="shared" si="56"/>
        <v>Peptide308: E3_3_2_2_mRNA -&gt; E3_3_2_2 | (0.278 * E3_3_2_2_mRNA) - (0.000000278 * E3_3_2_2)</v>
      </c>
    </row>
    <row r="310" spans="1:14">
      <c r="A310">
        <v>309</v>
      </c>
      <c r="B310" t="s">
        <v>13019</v>
      </c>
      <c r="C310" t="str">
        <f t="shared" si="57"/>
        <v>E3_4_11_1_mRNA</v>
      </c>
      <c r="D310" t="str">
        <f t="shared" si="58"/>
        <v>E3_4_11_1</v>
      </c>
      <c r="E310" s="29" t="str">
        <f t="shared" si="59"/>
        <v>E3_4_11_1_kcat : 13.7</v>
      </c>
      <c r="F310" s="30" t="str">
        <f t="shared" si="60"/>
        <v>E3_4_11_1_km : 1</v>
      </c>
      <c r="G310" s="31" t="str">
        <f t="shared" si="61"/>
        <v>E3_4_11_1_mRNA : E3_4_11_1_mRNA</v>
      </c>
      <c r="H310" s="32" t="str">
        <f t="shared" si="62"/>
        <v>E3_4_11_1 : E3_4_11_1</v>
      </c>
      <c r="I310" s="33" t="str">
        <f t="shared" si="63"/>
        <v>E3_4_11_1_mRNA : 0</v>
      </c>
      <c r="J310" s="16" t="str">
        <f t="shared" si="64"/>
        <v>E3_4_11_1 : 0</v>
      </c>
      <c r="K310" s="34" t="str">
        <f t="shared" si="65"/>
        <v>0.00292 - (0.0093 * E3_4_11_1_mRNA)</v>
      </c>
      <c r="L310" s="31" t="str">
        <f t="shared" si="66"/>
        <v>(0.278 * E3_4_11_1_mRNA) - (0.00000278 * E3_4_11_1)</v>
      </c>
      <c r="M310" s="35" t="str">
        <f t="shared" si="67"/>
        <v>mRNA309: -&gt; E3_4_11_1_mRNA | 0.00292 - (0.0093 * E3_4_11_1_mRNA)</v>
      </c>
      <c r="N310" s="29" t="str">
        <f t="shared" si="56"/>
        <v>Peptide309: E3_4_11_1_mRNA -&gt; E3_4_11_1 | (0.278 * E3_4_11_1_mRNA) - (0.000000278 * E3_4_11_1)</v>
      </c>
    </row>
    <row r="311" spans="1:14">
      <c r="A311">
        <v>310</v>
      </c>
      <c r="B311" t="s">
        <v>13020</v>
      </c>
      <c r="C311" t="str">
        <f t="shared" si="57"/>
        <v>E3_4_11_18_mRNA</v>
      </c>
      <c r="D311" t="str">
        <f t="shared" si="58"/>
        <v>E3_4_11_18</v>
      </c>
      <c r="E311" s="29" t="str">
        <f t="shared" si="59"/>
        <v>E3_4_11_18_kcat : 13.7</v>
      </c>
      <c r="F311" s="30" t="str">
        <f t="shared" si="60"/>
        <v>E3_4_11_18_km : 1</v>
      </c>
      <c r="G311" s="31" t="str">
        <f t="shared" si="61"/>
        <v>E3_4_11_18_mRNA : E3_4_11_18_mRNA</v>
      </c>
      <c r="H311" s="32" t="str">
        <f t="shared" si="62"/>
        <v>E3_4_11_18 : E3_4_11_18</v>
      </c>
      <c r="I311" s="33" t="str">
        <f t="shared" si="63"/>
        <v>E3_4_11_18_mRNA : 0</v>
      </c>
      <c r="J311" s="16" t="str">
        <f t="shared" si="64"/>
        <v>E3_4_11_18 : 0</v>
      </c>
      <c r="K311" s="34" t="str">
        <f t="shared" si="65"/>
        <v>0.00292 - (0.0093 * E3_4_11_18_mRNA)</v>
      </c>
      <c r="L311" s="31" t="str">
        <f t="shared" si="66"/>
        <v>(0.278 * E3_4_11_18_mRNA) - (0.00000278 * E3_4_11_18)</v>
      </c>
      <c r="M311" s="35" t="str">
        <f t="shared" si="67"/>
        <v>mRNA310: -&gt; E3_4_11_18_mRNA | 0.00292 - (0.0093 * E3_4_11_18_mRNA)</v>
      </c>
      <c r="N311" s="29" t="str">
        <f t="shared" si="56"/>
        <v>Peptide310: E3_4_11_18_mRNA -&gt; E3_4_11_18 | (0.278 * E3_4_11_18_mRNA) - (0.000000278 * E3_4_11_18)</v>
      </c>
    </row>
    <row r="312" spans="1:14">
      <c r="A312">
        <v>311</v>
      </c>
      <c r="B312" t="s">
        <v>13021</v>
      </c>
      <c r="C312" t="str">
        <f t="shared" si="57"/>
        <v>E3_4_11_2_mRNA</v>
      </c>
      <c r="D312" t="str">
        <f t="shared" si="58"/>
        <v>E3_4_11_2</v>
      </c>
      <c r="E312" s="29" t="str">
        <f t="shared" si="59"/>
        <v>E3_4_11_2_kcat : 13.7</v>
      </c>
      <c r="F312" s="30" t="str">
        <f t="shared" si="60"/>
        <v>E3_4_11_2_km : 1</v>
      </c>
      <c r="G312" s="31" t="str">
        <f t="shared" si="61"/>
        <v>E3_4_11_2_mRNA : E3_4_11_2_mRNA</v>
      </c>
      <c r="H312" s="32" t="str">
        <f t="shared" si="62"/>
        <v>E3_4_11_2 : E3_4_11_2</v>
      </c>
      <c r="I312" s="33" t="str">
        <f t="shared" si="63"/>
        <v>E3_4_11_2_mRNA : 0</v>
      </c>
      <c r="J312" s="16" t="str">
        <f t="shared" si="64"/>
        <v>E3_4_11_2 : 0</v>
      </c>
      <c r="K312" s="34" t="str">
        <f t="shared" si="65"/>
        <v>0.00292 - (0.0093 * E3_4_11_2_mRNA)</v>
      </c>
      <c r="L312" s="31" t="str">
        <f t="shared" si="66"/>
        <v>(0.278 * E3_4_11_2_mRNA) - (0.00000278 * E3_4_11_2)</v>
      </c>
      <c r="M312" s="35" t="str">
        <f t="shared" si="67"/>
        <v>mRNA311: -&gt; E3_4_11_2_mRNA | 0.00292 - (0.0093 * E3_4_11_2_mRNA)</v>
      </c>
      <c r="N312" s="29" t="str">
        <f t="shared" si="56"/>
        <v>Peptide311: E3_4_11_2_mRNA -&gt; E3_4_11_2 | (0.278 * E3_4_11_2_mRNA) - (0.000000278 * E3_4_11_2)</v>
      </c>
    </row>
    <row r="313" spans="1:14">
      <c r="A313">
        <v>312</v>
      </c>
      <c r="B313" t="s">
        <v>13022</v>
      </c>
      <c r="C313" t="str">
        <f t="shared" si="57"/>
        <v>E3_4_16_4_mRNA</v>
      </c>
      <c r="D313" t="str">
        <f t="shared" si="58"/>
        <v>E3_4_16_4</v>
      </c>
      <c r="E313" s="29" t="str">
        <f t="shared" si="59"/>
        <v>E3_4_16_4_kcat : 13.7</v>
      </c>
      <c r="F313" s="30" t="str">
        <f t="shared" si="60"/>
        <v>E3_4_16_4_km : 1</v>
      </c>
      <c r="G313" s="31" t="str">
        <f t="shared" si="61"/>
        <v>E3_4_16_4_mRNA : E3_4_16_4_mRNA</v>
      </c>
      <c r="H313" s="32" t="str">
        <f t="shared" si="62"/>
        <v>E3_4_16_4 : E3_4_16_4</v>
      </c>
      <c r="I313" s="33" t="str">
        <f t="shared" si="63"/>
        <v>E3_4_16_4_mRNA : 0</v>
      </c>
      <c r="J313" s="16" t="str">
        <f t="shared" si="64"/>
        <v>E3_4_16_4 : 0</v>
      </c>
      <c r="K313" s="34" t="str">
        <f t="shared" si="65"/>
        <v>0.00292 - (0.0093 * E3_4_16_4_mRNA)</v>
      </c>
      <c r="L313" s="31" t="str">
        <f t="shared" si="66"/>
        <v>(0.278 * E3_4_16_4_mRNA) - (0.00000278 * E3_4_16_4)</v>
      </c>
      <c r="M313" s="35" t="str">
        <f t="shared" si="67"/>
        <v>mRNA312: -&gt; E3_4_16_4_mRNA | 0.00292 - (0.0093 * E3_4_16_4_mRNA)</v>
      </c>
      <c r="N313" s="29" t="str">
        <f t="shared" si="56"/>
        <v>Peptide312: E3_4_16_4_mRNA -&gt; E3_4_16_4 | (0.278 * E3_4_16_4_mRNA) - (0.000000278 * E3_4_16_4)</v>
      </c>
    </row>
    <row r="314" spans="1:14">
      <c r="A314">
        <v>313</v>
      </c>
      <c r="B314" t="s">
        <v>13023</v>
      </c>
      <c r="C314" t="str">
        <f t="shared" si="57"/>
        <v>E3_4_21_105_mRNA</v>
      </c>
      <c r="D314" t="str">
        <f t="shared" si="58"/>
        <v>E3_4_21_105</v>
      </c>
      <c r="E314" s="29" t="str">
        <f t="shared" si="59"/>
        <v>E3_4_21_105_kcat : 13.7</v>
      </c>
      <c r="F314" s="30" t="str">
        <f t="shared" si="60"/>
        <v>E3_4_21_105_km : 1</v>
      </c>
      <c r="G314" s="31" t="str">
        <f t="shared" si="61"/>
        <v>E3_4_21_105_mRNA : E3_4_21_105_mRNA</v>
      </c>
      <c r="H314" s="32" t="str">
        <f t="shared" si="62"/>
        <v>E3_4_21_105 : E3_4_21_105</v>
      </c>
      <c r="I314" s="33" t="str">
        <f t="shared" si="63"/>
        <v>E3_4_21_105_mRNA : 0</v>
      </c>
      <c r="J314" s="16" t="str">
        <f t="shared" si="64"/>
        <v>E3_4_21_105 : 0</v>
      </c>
      <c r="K314" s="34" t="str">
        <f t="shared" si="65"/>
        <v>0.00292 - (0.0093 * E3_4_21_105_mRNA)</v>
      </c>
      <c r="L314" s="31" t="str">
        <f t="shared" si="66"/>
        <v>(0.278 * E3_4_21_105_mRNA) - (0.00000278 * E3_4_21_105)</v>
      </c>
      <c r="M314" s="35" t="str">
        <f t="shared" si="67"/>
        <v>mRNA313: -&gt; E3_4_21_105_mRNA | 0.00292 - (0.0093 * E3_4_21_105_mRNA)</v>
      </c>
      <c r="N314" s="29" t="str">
        <f t="shared" si="56"/>
        <v>Peptide313: E3_4_21_105_mRNA -&gt; E3_4_21_105 | (0.278 * E3_4_21_105_mRNA) - (0.000000278 * E3_4_21_105)</v>
      </c>
    </row>
    <row r="315" spans="1:14">
      <c r="A315">
        <v>314</v>
      </c>
      <c r="B315" t="s">
        <v>13024</v>
      </c>
      <c r="C315" t="str">
        <f t="shared" si="57"/>
        <v>E3_4_23_43_mRNA</v>
      </c>
      <c r="D315" t="str">
        <f t="shared" si="58"/>
        <v>E3_4_23_43</v>
      </c>
      <c r="E315" s="29" t="str">
        <f t="shared" si="59"/>
        <v>E3_4_23_43_kcat : 13.7</v>
      </c>
      <c r="F315" s="30" t="str">
        <f t="shared" si="60"/>
        <v>E3_4_23_43_km : 1</v>
      </c>
      <c r="G315" s="31" t="str">
        <f t="shared" si="61"/>
        <v>E3_4_23_43_mRNA : E3_4_23_43_mRNA</v>
      </c>
      <c r="H315" s="32" t="str">
        <f t="shared" si="62"/>
        <v>E3_4_23_43 : E3_4_23_43</v>
      </c>
      <c r="I315" s="33" t="str">
        <f t="shared" si="63"/>
        <v>E3_4_23_43_mRNA : 0</v>
      </c>
      <c r="J315" s="16" t="str">
        <f t="shared" si="64"/>
        <v>E3_4_23_43 : 0</v>
      </c>
      <c r="K315" s="34" t="str">
        <f t="shared" si="65"/>
        <v>0.00292 - (0.0093 * E3_4_23_43_mRNA)</v>
      </c>
      <c r="L315" s="31" t="str">
        <f t="shared" si="66"/>
        <v>(0.278 * E3_4_23_43_mRNA) - (0.00000278 * E3_4_23_43)</v>
      </c>
      <c r="M315" s="35" t="str">
        <f t="shared" si="67"/>
        <v>mRNA314: -&gt; E3_4_23_43_mRNA | 0.00292 - (0.0093 * E3_4_23_43_mRNA)</v>
      </c>
      <c r="N315" s="29" t="str">
        <f t="shared" si="56"/>
        <v>Peptide314: E3_4_23_43_mRNA -&gt; E3_4_23_43 | (0.278 * E3_4_23_43_mRNA) - (0.000000278 * E3_4_23_43)</v>
      </c>
    </row>
    <row r="316" spans="1:14">
      <c r="A316">
        <v>315</v>
      </c>
      <c r="B316" t="s">
        <v>13025</v>
      </c>
      <c r="C316" t="str">
        <f t="shared" si="57"/>
        <v>E3_5_1_10_mRNA</v>
      </c>
      <c r="D316" t="str">
        <f t="shared" si="58"/>
        <v>E3_5_1_10</v>
      </c>
      <c r="E316" s="29" t="str">
        <f t="shared" si="59"/>
        <v>E3_5_1_10_kcat : 13.7</v>
      </c>
      <c r="F316" s="30" t="str">
        <f t="shared" si="60"/>
        <v>E3_5_1_10_km : 1</v>
      </c>
      <c r="G316" s="31" t="str">
        <f t="shared" si="61"/>
        <v>E3_5_1_10_mRNA : E3_5_1_10_mRNA</v>
      </c>
      <c r="H316" s="32" t="str">
        <f t="shared" si="62"/>
        <v>E3_5_1_10 : E3_5_1_10</v>
      </c>
      <c r="I316" s="33" t="str">
        <f t="shared" si="63"/>
        <v>E3_5_1_10_mRNA : 0</v>
      </c>
      <c r="J316" s="16" t="str">
        <f t="shared" si="64"/>
        <v>E3_5_1_10 : 0</v>
      </c>
      <c r="K316" s="34" t="str">
        <f t="shared" si="65"/>
        <v>0.00292 - (0.0093 * E3_5_1_10_mRNA)</v>
      </c>
      <c r="L316" s="31" t="str">
        <f t="shared" si="66"/>
        <v>(0.278 * E3_5_1_10_mRNA) - (0.00000278 * E3_5_1_10)</v>
      </c>
      <c r="M316" s="35" t="str">
        <f t="shared" si="67"/>
        <v>mRNA315: -&gt; E3_5_1_10_mRNA | 0.00292 - (0.0093 * E3_5_1_10_mRNA)</v>
      </c>
      <c r="N316" s="29" t="str">
        <f t="shared" si="56"/>
        <v>Peptide315: E3_5_1_10_mRNA -&gt; E3_5_1_10 | (0.278 * E3_5_1_10_mRNA) - (0.000000278 * E3_5_1_10)</v>
      </c>
    </row>
    <row r="317" spans="1:14">
      <c r="A317">
        <v>316</v>
      </c>
      <c r="B317" t="s">
        <v>13026</v>
      </c>
      <c r="C317" t="str">
        <f t="shared" si="57"/>
        <v>E3_5_1_103_mRNA</v>
      </c>
      <c r="D317" t="str">
        <f t="shared" si="58"/>
        <v>E3_5_1_103</v>
      </c>
      <c r="E317" s="29" t="str">
        <f t="shared" si="59"/>
        <v>E3_5_1_103_kcat : 13.7</v>
      </c>
      <c r="F317" s="30" t="str">
        <f t="shared" si="60"/>
        <v>E3_5_1_103_km : 1</v>
      </c>
      <c r="G317" s="31" t="str">
        <f t="shared" si="61"/>
        <v>E3_5_1_103_mRNA : E3_5_1_103_mRNA</v>
      </c>
      <c r="H317" s="32" t="str">
        <f t="shared" si="62"/>
        <v>E3_5_1_103 : E3_5_1_103</v>
      </c>
      <c r="I317" s="33" t="str">
        <f t="shared" si="63"/>
        <v>E3_5_1_103_mRNA : 0</v>
      </c>
      <c r="J317" s="16" t="str">
        <f t="shared" si="64"/>
        <v>E3_5_1_103 : 0</v>
      </c>
      <c r="K317" s="34" t="str">
        <f t="shared" si="65"/>
        <v>0.00292 - (0.0093 * E3_5_1_103_mRNA)</v>
      </c>
      <c r="L317" s="31" t="str">
        <f t="shared" si="66"/>
        <v>(0.278 * E3_5_1_103_mRNA) - (0.00000278 * E3_5_1_103)</v>
      </c>
      <c r="M317" s="35" t="str">
        <f t="shared" si="67"/>
        <v>mRNA316: -&gt; E3_5_1_103_mRNA | 0.00292 - (0.0093 * E3_5_1_103_mRNA)</v>
      </c>
      <c r="N317" s="29" t="str">
        <f t="shared" si="56"/>
        <v>Peptide316: E3_5_1_103_mRNA -&gt; E3_5_1_103 | (0.278 * E3_5_1_103_mRNA) - (0.000000278 * E3_5_1_103)</v>
      </c>
    </row>
    <row r="318" spans="1:14">
      <c r="A318">
        <v>317</v>
      </c>
      <c r="B318" t="s">
        <v>13027</v>
      </c>
      <c r="C318" t="str">
        <f t="shared" si="57"/>
        <v>E3_5_1_119_mRNA</v>
      </c>
      <c r="D318" t="str">
        <f t="shared" si="58"/>
        <v>E3_5_1_119</v>
      </c>
      <c r="E318" s="29" t="str">
        <f t="shared" si="59"/>
        <v>E3_5_1_119_kcat : 13.7</v>
      </c>
      <c r="F318" s="30" t="str">
        <f t="shared" si="60"/>
        <v>E3_5_1_119_km : 1</v>
      </c>
      <c r="G318" s="31" t="str">
        <f t="shared" si="61"/>
        <v>E3_5_1_119_mRNA : E3_5_1_119_mRNA</v>
      </c>
      <c r="H318" s="32" t="str">
        <f t="shared" si="62"/>
        <v>E3_5_1_119 : E3_5_1_119</v>
      </c>
      <c r="I318" s="33" t="str">
        <f t="shared" si="63"/>
        <v>E3_5_1_119_mRNA : 0</v>
      </c>
      <c r="J318" s="16" t="str">
        <f t="shared" si="64"/>
        <v>E3_5_1_119 : 0</v>
      </c>
      <c r="K318" s="34" t="str">
        <f t="shared" si="65"/>
        <v>0.00292 - (0.0093 * E3_5_1_119_mRNA)</v>
      </c>
      <c r="L318" s="31" t="str">
        <f t="shared" si="66"/>
        <v>(0.278 * E3_5_1_119_mRNA) - (0.00000278 * E3_5_1_119)</v>
      </c>
      <c r="M318" s="35" t="str">
        <f t="shared" si="67"/>
        <v>mRNA317: -&gt; E3_5_1_119_mRNA | 0.00292 - (0.0093 * E3_5_1_119_mRNA)</v>
      </c>
      <c r="N318" s="29" t="str">
        <f t="shared" si="56"/>
        <v>Peptide317: E3_5_1_119_mRNA -&gt; E3_5_1_119 | (0.278 * E3_5_1_119_mRNA) - (0.000000278 * E3_5_1_119)</v>
      </c>
    </row>
    <row r="319" spans="1:14">
      <c r="A319">
        <v>318</v>
      </c>
      <c r="B319" t="s">
        <v>16040</v>
      </c>
      <c r="C319" t="str">
        <f t="shared" si="57"/>
        <v>E3_5_1_18_mRNA</v>
      </c>
      <c r="D319" t="str">
        <f t="shared" si="58"/>
        <v>E3_5_1_18</v>
      </c>
      <c r="E319" s="29" t="str">
        <f t="shared" si="59"/>
        <v>E3_5_1_18_kcat : 13.7</v>
      </c>
      <c r="F319" s="30" t="str">
        <f t="shared" si="60"/>
        <v>E3_5_1_18_km : 1</v>
      </c>
      <c r="G319" s="31" t="str">
        <f t="shared" si="61"/>
        <v>E3_5_1_18_mRNA : E3_5_1_18_mRNA</v>
      </c>
      <c r="H319" s="32" t="str">
        <f t="shared" si="62"/>
        <v>E3_5_1_18 : E3_5_1_18</v>
      </c>
      <c r="I319" s="33" t="str">
        <f t="shared" si="63"/>
        <v>E3_5_1_18_mRNA : 0</v>
      </c>
      <c r="J319" s="16" t="str">
        <f t="shared" si="64"/>
        <v>E3_5_1_18 : 0</v>
      </c>
      <c r="K319" s="34" t="str">
        <f t="shared" si="65"/>
        <v>0.00292 - (0.0093 * E3_5_1_18_mRNA)</v>
      </c>
      <c r="L319" s="31" t="str">
        <f t="shared" si="66"/>
        <v>(0.278 * E3_5_1_18_mRNA) - (0.00000278 * E3_5_1_18)</v>
      </c>
      <c r="M319" s="35" t="str">
        <f t="shared" si="67"/>
        <v>mRNA318: -&gt; E3_5_1_18_mRNA | 0.00292 - (0.0093 * E3_5_1_18_mRNA)</v>
      </c>
      <c r="N319" s="29" t="str">
        <f t="shared" si="56"/>
        <v>Peptide318: E3_5_1_18_mRNA -&gt; E3_5_1_18 | (0.278 * E3_5_1_18_mRNA) - (0.000000278 * E3_5_1_18)</v>
      </c>
    </row>
    <row r="320" spans="1:14">
      <c r="A320">
        <v>319</v>
      </c>
      <c r="B320" t="s">
        <v>13028</v>
      </c>
      <c r="C320" t="str">
        <f t="shared" si="57"/>
        <v>E3_5_1_2_mRNA</v>
      </c>
      <c r="D320" t="str">
        <f t="shared" si="58"/>
        <v>E3_5_1_2</v>
      </c>
      <c r="E320" s="29" t="str">
        <f t="shared" si="59"/>
        <v>E3_5_1_2_kcat : 13.7</v>
      </c>
      <c r="F320" s="30" t="str">
        <f t="shared" si="60"/>
        <v>E3_5_1_2_km : 1</v>
      </c>
      <c r="G320" s="31" t="str">
        <f t="shared" si="61"/>
        <v>E3_5_1_2_mRNA : E3_5_1_2_mRNA</v>
      </c>
      <c r="H320" s="32" t="str">
        <f t="shared" si="62"/>
        <v>E3_5_1_2 : E3_5_1_2</v>
      </c>
      <c r="I320" s="33" t="str">
        <f t="shared" si="63"/>
        <v>E3_5_1_2_mRNA : 0</v>
      </c>
      <c r="J320" s="16" t="str">
        <f t="shared" si="64"/>
        <v>E3_5_1_2 : 0</v>
      </c>
      <c r="K320" s="34" t="str">
        <f t="shared" si="65"/>
        <v>0.00292 - (0.0093 * E3_5_1_2_mRNA)</v>
      </c>
      <c r="L320" s="31" t="str">
        <f t="shared" si="66"/>
        <v>(0.278 * E3_5_1_2_mRNA) - (0.00000278 * E3_5_1_2)</v>
      </c>
      <c r="M320" s="35" t="str">
        <f t="shared" si="67"/>
        <v>mRNA319: -&gt; E3_5_1_2_mRNA | 0.00292 - (0.0093 * E3_5_1_2_mRNA)</v>
      </c>
      <c r="N320" s="29" t="str">
        <f t="shared" si="56"/>
        <v>Peptide319: E3_5_1_2_mRNA -&gt; E3_5_1_2 | (0.278 * E3_5_1_2_mRNA) - (0.000000278 * E3_5_1_2)</v>
      </c>
    </row>
    <row r="321" spans="1:14">
      <c r="A321">
        <v>320</v>
      </c>
      <c r="B321" t="s">
        <v>13029</v>
      </c>
      <c r="C321" t="str">
        <f t="shared" si="57"/>
        <v>E3_5_1_25_mRNA</v>
      </c>
      <c r="D321" t="str">
        <f t="shared" si="58"/>
        <v>E3_5_1_25</v>
      </c>
      <c r="E321" s="29" t="str">
        <f t="shared" si="59"/>
        <v>E3_5_1_25_kcat : 13.7</v>
      </c>
      <c r="F321" s="30" t="str">
        <f t="shared" si="60"/>
        <v>E3_5_1_25_km : 1</v>
      </c>
      <c r="G321" s="31" t="str">
        <f t="shared" si="61"/>
        <v>E3_5_1_25_mRNA : E3_5_1_25_mRNA</v>
      </c>
      <c r="H321" s="32" t="str">
        <f t="shared" si="62"/>
        <v>E3_5_1_25 : E3_5_1_25</v>
      </c>
      <c r="I321" s="33" t="str">
        <f t="shared" si="63"/>
        <v>E3_5_1_25_mRNA : 0</v>
      </c>
      <c r="J321" s="16" t="str">
        <f t="shared" si="64"/>
        <v>E3_5_1_25 : 0</v>
      </c>
      <c r="K321" s="34" t="str">
        <f t="shared" si="65"/>
        <v>0.00292 - (0.0093 * E3_5_1_25_mRNA)</v>
      </c>
      <c r="L321" s="31" t="str">
        <f t="shared" si="66"/>
        <v>(0.278 * E3_5_1_25_mRNA) - (0.00000278 * E3_5_1_25)</v>
      </c>
      <c r="M321" s="35" t="str">
        <f t="shared" si="67"/>
        <v>mRNA320: -&gt; E3_5_1_25_mRNA | 0.00292 - (0.0093 * E3_5_1_25_mRNA)</v>
      </c>
      <c r="N321" s="29" t="str">
        <f t="shared" si="56"/>
        <v>Peptide320: E3_5_1_25_mRNA -&gt; E3_5_1_25 | (0.278 * E3_5_1_25_mRNA) - (0.000000278 * E3_5_1_25)</v>
      </c>
    </row>
    <row r="322" spans="1:14">
      <c r="A322">
        <v>321</v>
      </c>
      <c r="B322" s="45" t="s">
        <v>17619</v>
      </c>
      <c r="C322" t="str">
        <f t="shared" si="57"/>
        <v>E3_5_1_28_mRNA</v>
      </c>
      <c r="D322" t="str">
        <f t="shared" si="58"/>
        <v>E3_5_1_28</v>
      </c>
      <c r="E322" s="29" t="str">
        <f t="shared" si="59"/>
        <v>E3_5_1_28_kcat : 13.7</v>
      </c>
      <c r="F322" s="30" t="str">
        <f t="shared" si="60"/>
        <v>E3_5_1_28_km : 1</v>
      </c>
      <c r="G322" s="31" t="str">
        <f t="shared" si="61"/>
        <v>E3_5_1_28_mRNA : E3_5_1_28_mRNA</v>
      </c>
      <c r="H322" s="32" t="str">
        <f t="shared" si="62"/>
        <v>E3_5_1_28 : E3_5_1_28</v>
      </c>
      <c r="I322" s="33" t="str">
        <f t="shared" si="63"/>
        <v>E3_5_1_28_mRNA : 0</v>
      </c>
      <c r="J322" s="16" t="str">
        <f t="shared" si="64"/>
        <v>E3_5_1_28 : 0</v>
      </c>
      <c r="K322" s="34" t="str">
        <f t="shared" si="65"/>
        <v>0.00292 - (0.0093 * E3_5_1_28_mRNA)</v>
      </c>
      <c r="L322" s="31" t="str">
        <f t="shared" si="66"/>
        <v>(0.278 * E3_5_1_28_mRNA) - (0.00000278 * E3_5_1_28)</v>
      </c>
      <c r="M322" s="35" t="str">
        <f t="shared" si="67"/>
        <v>mRNA321: -&gt; E3_5_1_28_mRNA | 0.00292 - (0.0093 * E3_5_1_28_mRNA)</v>
      </c>
      <c r="N322" s="29" t="str">
        <f t="shared" ref="N322:N385" si="68">CONCATENATE("Peptide",A322,": ",C322," -&gt; ",D322," | ","(","0.278"," * ",C322,")"," - ","(","0.000000278"," * ",D322,")")</f>
        <v>Peptide321: E3_5_1_28_mRNA -&gt; E3_5_1_28 | (0.278 * E3_5_1_28_mRNA) - (0.000000278 * E3_5_1_28)</v>
      </c>
    </row>
    <row r="323" spans="1:14">
      <c r="A323">
        <v>322</v>
      </c>
      <c r="B323" t="s">
        <v>13030</v>
      </c>
      <c r="C323" t="str">
        <f t="shared" ref="C323:C386" si="69">CONCATENATE(D323,"_mRNA")</f>
        <v>E3_5_1_5_mRNA</v>
      </c>
      <c r="D323" t="str">
        <f t="shared" ref="D323:D386" si="70">CONCATENATE("E",B323)</f>
        <v>E3_5_1_5</v>
      </c>
      <c r="E323" s="29" t="str">
        <f t="shared" ref="E323:E386" si="71">CONCATENATE("E",B323,"_kcat : 13.7")</f>
        <v>E3_5_1_5_kcat : 13.7</v>
      </c>
      <c r="F323" s="30" t="str">
        <f t="shared" ref="F323:F386" si="72">CONCATENATE("E",B323,"_km : 1")</f>
        <v>E3_5_1_5_km : 1</v>
      </c>
      <c r="G323" s="31" t="str">
        <f t="shared" ref="G323:G386" si="73">CONCATENATE(C323," : ",C323)</f>
        <v>E3_5_1_5_mRNA : E3_5_1_5_mRNA</v>
      </c>
      <c r="H323" s="32" t="str">
        <f t="shared" ref="H323:H386" si="74">CONCATENATE(D323," : ",D323)</f>
        <v>E3_5_1_5 : E3_5_1_5</v>
      </c>
      <c r="I323" s="33" t="str">
        <f t="shared" ref="I323:I386" si="75">CONCATENATE(C323," : ","0")</f>
        <v>E3_5_1_5_mRNA : 0</v>
      </c>
      <c r="J323" s="16" t="str">
        <f t="shared" ref="J323:J386" si="76">CONCATENATE(D323," : ","0")</f>
        <v>E3_5_1_5 : 0</v>
      </c>
      <c r="K323" s="34" t="str">
        <f t="shared" ref="K323:K386" si="77">CONCATENATE("0.00292 - (0.0093 * ",C323,")")</f>
        <v>0.00292 - (0.0093 * E3_5_1_5_mRNA)</v>
      </c>
      <c r="L323" s="31" t="str">
        <f t="shared" ref="L323:L386" si="78">CONCATENATE("(0.278 * ",C323,")"," - (0.00000278 * ",D323,")")</f>
        <v>(0.278 * E3_5_1_5_mRNA) - (0.00000278 * E3_5_1_5)</v>
      </c>
      <c r="M323" s="35" t="str">
        <f t="shared" ref="M323:M386" si="79">CONCATENATE("mRNA",A323,": -&gt; ",C323," | ","0.00292"," - ","(","0.0093"," * ",C323,")")</f>
        <v>mRNA322: -&gt; E3_5_1_5_mRNA | 0.00292 - (0.0093 * E3_5_1_5_mRNA)</v>
      </c>
      <c r="N323" s="29" t="str">
        <f t="shared" si="68"/>
        <v>Peptide322: E3_5_1_5_mRNA -&gt; E3_5_1_5 | (0.278 * E3_5_1_5_mRNA) - (0.000000278 * E3_5_1_5)</v>
      </c>
    </row>
    <row r="324" spans="1:14">
      <c r="A324">
        <v>323</v>
      </c>
      <c r="B324" t="s">
        <v>16041</v>
      </c>
      <c r="C324" t="str">
        <f t="shared" si="69"/>
        <v>E3_5_1_88_mRNA</v>
      </c>
      <c r="D324" t="str">
        <f t="shared" si="70"/>
        <v>E3_5_1_88</v>
      </c>
      <c r="E324" s="29" t="str">
        <f t="shared" si="71"/>
        <v>E3_5_1_88_kcat : 13.7</v>
      </c>
      <c r="F324" s="30" t="str">
        <f t="shared" si="72"/>
        <v>E3_5_1_88_km : 1</v>
      </c>
      <c r="G324" s="31" t="str">
        <f t="shared" si="73"/>
        <v>E3_5_1_88_mRNA : E3_5_1_88_mRNA</v>
      </c>
      <c r="H324" s="32" t="str">
        <f t="shared" si="74"/>
        <v>E3_5_1_88 : E3_5_1_88</v>
      </c>
      <c r="I324" s="33" t="str">
        <f t="shared" si="75"/>
        <v>E3_5_1_88_mRNA : 0</v>
      </c>
      <c r="J324" s="16" t="str">
        <f t="shared" si="76"/>
        <v>E3_5_1_88 : 0</v>
      </c>
      <c r="K324" s="34" t="str">
        <f t="shared" si="77"/>
        <v>0.00292 - (0.0093 * E3_5_1_88_mRNA)</v>
      </c>
      <c r="L324" s="31" t="str">
        <f t="shared" si="78"/>
        <v>(0.278 * E3_5_1_88_mRNA) - (0.00000278 * E3_5_1_88)</v>
      </c>
      <c r="M324" s="35" t="str">
        <f t="shared" si="79"/>
        <v>mRNA323: -&gt; E3_5_1_88_mRNA | 0.00292 - (0.0093 * E3_5_1_88_mRNA)</v>
      </c>
      <c r="N324" s="29" t="str">
        <f t="shared" si="68"/>
        <v>Peptide323: E3_5_1_88_mRNA -&gt; E3_5_1_88 | (0.278 * E3_5_1_88_mRNA) - (0.000000278 * E3_5_1_88)</v>
      </c>
    </row>
    <row r="325" spans="1:14">
      <c r="A325">
        <v>324</v>
      </c>
      <c r="B325" s="45" t="s">
        <v>17620</v>
      </c>
      <c r="C325" t="str">
        <f t="shared" si="69"/>
        <v>E3_5_2_10_mRNA</v>
      </c>
      <c r="D325" t="str">
        <f t="shared" si="70"/>
        <v>E3_5_2_10</v>
      </c>
      <c r="E325" s="29" t="str">
        <f t="shared" si="71"/>
        <v>E3_5_2_10_kcat : 13.7</v>
      </c>
      <c r="F325" s="30" t="str">
        <f t="shared" si="72"/>
        <v>E3_5_2_10_km : 1</v>
      </c>
      <c r="G325" s="31" t="str">
        <f t="shared" si="73"/>
        <v>E3_5_2_10_mRNA : E3_5_2_10_mRNA</v>
      </c>
      <c r="H325" s="32" t="str">
        <f t="shared" si="74"/>
        <v>E3_5_2_10 : E3_5_2_10</v>
      </c>
      <c r="I325" s="33" t="str">
        <f t="shared" si="75"/>
        <v>E3_5_2_10_mRNA : 0</v>
      </c>
      <c r="J325" s="16" t="str">
        <f t="shared" si="76"/>
        <v>E3_5_2_10 : 0</v>
      </c>
      <c r="K325" s="34" t="str">
        <f t="shared" si="77"/>
        <v>0.00292 - (0.0093 * E3_5_2_10_mRNA)</v>
      </c>
      <c r="L325" s="31" t="str">
        <f t="shared" si="78"/>
        <v>(0.278 * E3_5_2_10_mRNA) - (0.00000278 * E3_5_2_10)</v>
      </c>
      <c r="M325" s="35" t="str">
        <f t="shared" si="79"/>
        <v>mRNA324: -&gt; E3_5_2_10_mRNA | 0.00292 - (0.0093 * E3_5_2_10_mRNA)</v>
      </c>
      <c r="N325" s="29" t="str">
        <f t="shared" si="68"/>
        <v>Peptide324: E3_5_2_10_mRNA -&gt; E3_5_2_10 | (0.278 * E3_5_2_10_mRNA) - (0.000000278 * E3_5_2_10)</v>
      </c>
    </row>
    <row r="326" spans="1:14">
      <c r="A326">
        <v>325</v>
      </c>
      <c r="B326" s="45" t="s">
        <v>17621</v>
      </c>
      <c r="C326" t="str">
        <f t="shared" si="69"/>
        <v>E3_5_2_2_mRNA</v>
      </c>
      <c r="D326" t="str">
        <f t="shared" si="70"/>
        <v>E3_5_2_2</v>
      </c>
      <c r="E326" s="29" t="str">
        <f t="shared" si="71"/>
        <v>E3_5_2_2_kcat : 13.7</v>
      </c>
      <c r="F326" s="30" t="str">
        <f t="shared" si="72"/>
        <v>E3_5_2_2_km : 1</v>
      </c>
      <c r="G326" s="31" t="str">
        <f t="shared" si="73"/>
        <v>E3_5_2_2_mRNA : E3_5_2_2_mRNA</v>
      </c>
      <c r="H326" s="32" t="str">
        <f t="shared" si="74"/>
        <v>E3_5_2_2 : E3_5_2_2</v>
      </c>
      <c r="I326" s="33" t="str">
        <f t="shared" si="75"/>
        <v>E3_5_2_2_mRNA : 0</v>
      </c>
      <c r="J326" s="16" t="str">
        <f t="shared" si="76"/>
        <v>E3_5_2_2 : 0</v>
      </c>
      <c r="K326" s="34" t="str">
        <f t="shared" si="77"/>
        <v>0.00292 - (0.0093 * E3_5_2_2_mRNA)</v>
      </c>
      <c r="L326" s="31" t="str">
        <f t="shared" si="78"/>
        <v>(0.278 * E3_5_2_2_mRNA) - (0.00000278 * E3_5_2_2)</v>
      </c>
      <c r="M326" s="35" t="str">
        <f t="shared" si="79"/>
        <v>mRNA325: -&gt; E3_5_2_2_mRNA | 0.00292 - (0.0093 * E3_5_2_2_mRNA)</v>
      </c>
      <c r="N326" s="29" t="str">
        <f t="shared" si="68"/>
        <v>Peptide325: E3_5_2_2_mRNA -&gt; E3_5_2_2 | (0.278 * E3_5_2_2_mRNA) - (0.000000278 * E3_5_2_2)</v>
      </c>
    </row>
    <row r="327" spans="1:14">
      <c r="A327">
        <v>326</v>
      </c>
      <c r="B327" t="s">
        <v>16042</v>
      </c>
      <c r="C327" t="str">
        <f t="shared" si="69"/>
        <v>E3_5_2_3_mRNA</v>
      </c>
      <c r="D327" t="str">
        <f t="shared" si="70"/>
        <v>E3_5_2_3</v>
      </c>
      <c r="E327" s="29" t="str">
        <f t="shared" si="71"/>
        <v>E3_5_2_3_kcat : 13.7</v>
      </c>
      <c r="F327" s="30" t="str">
        <f t="shared" si="72"/>
        <v>E3_5_2_3_km : 1</v>
      </c>
      <c r="G327" s="31" t="str">
        <f t="shared" si="73"/>
        <v>E3_5_2_3_mRNA : E3_5_2_3_mRNA</v>
      </c>
      <c r="H327" s="32" t="str">
        <f t="shared" si="74"/>
        <v>E3_5_2_3 : E3_5_2_3</v>
      </c>
      <c r="I327" s="33" t="str">
        <f t="shared" si="75"/>
        <v>E3_5_2_3_mRNA : 0</v>
      </c>
      <c r="J327" s="16" t="str">
        <f t="shared" si="76"/>
        <v>E3_5_2_3 : 0</v>
      </c>
      <c r="K327" s="34" t="str">
        <f t="shared" si="77"/>
        <v>0.00292 - (0.0093 * E3_5_2_3_mRNA)</v>
      </c>
      <c r="L327" s="31" t="str">
        <f t="shared" si="78"/>
        <v>(0.278 * E3_5_2_3_mRNA) - (0.00000278 * E3_5_2_3)</v>
      </c>
      <c r="M327" s="35" t="str">
        <f t="shared" si="79"/>
        <v>mRNA326: -&gt; E3_5_2_3_mRNA | 0.00292 - (0.0093 * E3_5_2_3_mRNA)</v>
      </c>
      <c r="N327" s="29" t="str">
        <f t="shared" si="68"/>
        <v>Peptide326: E3_5_2_3_mRNA -&gt; E3_5_2_3 | (0.278 * E3_5_2_3_mRNA) - (0.000000278 * E3_5_2_3)</v>
      </c>
    </row>
    <row r="328" spans="1:14">
      <c r="A328">
        <v>327</v>
      </c>
      <c r="B328" t="s">
        <v>13031</v>
      </c>
      <c r="C328" t="str">
        <f t="shared" si="69"/>
        <v>E3_5_2_9_mRNA</v>
      </c>
      <c r="D328" t="str">
        <f t="shared" si="70"/>
        <v>E3_5_2_9</v>
      </c>
      <c r="E328" s="29" t="str">
        <f t="shared" si="71"/>
        <v>E3_5_2_9_kcat : 13.7</v>
      </c>
      <c r="F328" s="30" t="str">
        <f t="shared" si="72"/>
        <v>E3_5_2_9_km : 1</v>
      </c>
      <c r="G328" s="31" t="str">
        <f t="shared" si="73"/>
        <v>E3_5_2_9_mRNA : E3_5_2_9_mRNA</v>
      </c>
      <c r="H328" s="32" t="str">
        <f t="shared" si="74"/>
        <v>E3_5_2_9 : E3_5_2_9</v>
      </c>
      <c r="I328" s="33" t="str">
        <f t="shared" si="75"/>
        <v>E3_5_2_9_mRNA : 0</v>
      </c>
      <c r="J328" s="16" t="str">
        <f t="shared" si="76"/>
        <v>E3_5_2_9 : 0</v>
      </c>
      <c r="K328" s="34" t="str">
        <f t="shared" si="77"/>
        <v>0.00292 - (0.0093 * E3_5_2_9_mRNA)</v>
      </c>
      <c r="L328" s="31" t="str">
        <f t="shared" si="78"/>
        <v>(0.278 * E3_5_2_9_mRNA) - (0.00000278 * E3_5_2_9)</v>
      </c>
      <c r="M328" s="35" t="str">
        <f t="shared" si="79"/>
        <v>mRNA327: -&gt; E3_5_2_9_mRNA | 0.00292 - (0.0093 * E3_5_2_9_mRNA)</v>
      </c>
      <c r="N328" s="29" t="str">
        <f t="shared" si="68"/>
        <v>Peptide327: E3_5_2_9_mRNA -&gt; E3_5_2_9 | (0.278 * E3_5_2_9_mRNA) - (0.000000278 * E3_5_2_9)</v>
      </c>
    </row>
    <row r="329" spans="1:14">
      <c r="A329">
        <v>328</v>
      </c>
      <c r="B329" t="s">
        <v>16043</v>
      </c>
      <c r="C329" t="str">
        <f t="shared" si="69"/>
        <v>E3_5_4_10_mRNA</v>
      </c>
      <c r="D329" t="str">
        <f t="shared" si="70"/>
        <v>E3_5_4_10</v>
      </c>
      <c r="E329" s="29" t="str">
        <f t="shared" si="71"/>
        <v>E3_5_4_10_kcat : 13.7</v>
      </c>
      <c r="F329" s="30" t="str">
        <f t="shared" si="72"/>
        <v>E3_5_4_10_km : 1</v>
      </c>
      <c r="G329" s="31" t="str">
        <f t="shared" si="73"/>
        <v>E3_5_4_10_mRNA : E3_5_4_10_mRNA</v>
      </c>
      <c r="H329" s="32" t="str">
        <f t="shared" si="74"/>
        <v>E3_5_4_10 : E3_5_4_10</v>
      </c>
      <c r="I329" s="33" t="str">
        <f t="shared" si="75"/>
        <v>E3_5_4_10_mRNA : 0</v>
      </c>
      <c r="J329" s="16" t="str">
        <f t="shared" si="76"/>
        <v>E3_5_4_10 : 0</v>
      </c>
      <c r="K329" s="34" t="str">
        <f t="shared" si="77"/>
        <v>0.00292 - (0.0093 * E3_5_4_10_mRNA)</v>
      </c>
      <c r="L329" s="31" t="str">
        <f t="shared" si="78"/>
        <v>(0.278 * E3_5_4_10_mRNA) - (0.00000278 * E3_5_4_10)</v>
      </c>
      <c r="M329" s="35" t="str">
        <f t="shared" si="79"/>
        <v>mRNA328: -&gt; E3_5_4_10_mRNA | 0.00292 - (0.0093 * E3_5_4_10_mRNA)</v>
      </c>
      <c r="N329" s="29" t="str">
        <f t="shared" si="68"/>
        <v>Peptide328: E3_5_4_10_mRNA -&gt; E3_5_4_10 | (0.278 * E3_5_4_10_mRNA) - (0.000000278 * E3_5_4_10)</v>
      </c>
    </row>
    <row r="330" spans="1:14">
      <c r="A330">
        <v>329</v>
      </c>
      <c r="B330" t="s">
        <v>13032</v>
      </c>
      <c r="C330" t="str">
        <f t="shared" si="69"/>
        <v>E3_5_4_13_mRNA</v>
      </c>
      <c r="D330" t="str">
        <f t="shared" si="70"/>
        <v>E3_5_4_13</v>
      </c>
      <c r="E330" s="29" t="str">
        <f t="shared" si="71"/>
        <v>E3_5_4_13_kcat : 13.7</v>
      </c>
      <c r="F330" s="30" t="str">
        <f t="shared" si="72"/>
        <v>E3_5_4_13_km : 1</v>
      </c>
      <c r="G330" s="31" t="str">
        <f t="shared" si="73"/>
        <v>E3_5_4_13_mRNA : E3_5_4_13_mRNA</v>
      </c>
      <c r="H330" s="32" t="str">
        <f t="shared" si="74"/>
        <v>E3_5_4_13 : E3_5_4_13</v>
      </c>
      <c r="I330" s="33" t="str">
        <f t="shared" si="75"/>
        <v>E3_5_4_13_mRNA : 0</v>
      </c>
      <c r="J330" s="16" t="str">
        <f t="shared" si="76"/>
        <v>E3_5_4_13 : 0</v>
      </c>
      <c r="K330" s="34" t="str">
        <f t="shared" si="77"/>
        <v>0.00292 - (0.0093 * E3_5_4_13_mRNA)</v>
      </c>
      <c r="L330" s="31" t="str">
        <f t="shared" si="78"/>
        <v>(0.278 * E3_5_4_13_mRNA) - (0.00000278 * E3_5_4_13)</v>
      </c>
      <c r="M330" s="35" t="str">
        <f t="shared" si="79"/>
        <v>mRNA329: -&gt; E3_5_4_13_mRNA | 0.00292 - (0.0093 * E3_5_4_13_mRNA)</v>
      </c>
      <c r="N330" s="29" t="str">
        <f t="shared" si="68"/>
        <v>Peptide329: E3_5_4_13_mRNA -&gt; E3_5_4_13 | (0.278 * E3_5_4_13_mRNA) - (0.000000278 * E3_5_4_13)</v>
      </c>
    </row>
    <row r="331" spans="1:14">
      <c r="A331">
        <v>330</v>
      </c>
      <c r="B331" t="s">
        <v>13033</v>
      </c>
      <c r="C331" t="str">
        <f t="shared" si="69"/>
        <v>E3_5_4_16_mRNA</v>
      </c>
      <c r="D331" t="str">
        <f t="shared" si="70"/>
        <v>E3_5_4_16</v>
      </c>
      <c r="E331" s="29" t="str">
        <f t="shared" si="71"/>
        <v>E3_5_4_16_kcat : 13.7</v>
      </c>
      <c r="F331" s="30" t="str">
        <f t="shared" si="72"/>
        <v>E3_5_4_16_km : 1</v>
      </c>
      <c r="G331" s="31" t="str">
        <f t="shared" si="73"/>
        <v>E3_5_4_16_mRNA : E3_5_4_16_mRNA</v>
      </c>
      <c r="H331" s="32" t="str">
        <f t="shared" si="74"/>
        <v>E3_5_4_16 : E3_5_4_16</v>
      </c>
      <c r="I331" s="33" t="str">
        <f t="shared" si="75"/>
        <v>E3_5_4_16_mRNA : 0</v>
      </c>
      <c r="J331" s="16" t="str">
        <f t="shared" si="76"/>
        <v>E3_5_4_16 : 0</v>
      </c>
      <c r="K331" s="34" t="str">
        <f t="shared" si="77"/>
        <v>0.00292 - (0.0093 * E3_5_4_16_mRNA)</v>
      </c>
      <c r="L331" s="31" t="str">
        <f t="shared" si="78"/>
        <v>(0.278 * E3_5_4_16_mRNA) - (0.00000278 * E3_5_4_16)</v>
      </c>
      <c r="M331" s="35" t="str">
        <f t="shared" si="79"/>
        <v>mRNA330: -&gt; E3_5_4_16_mRNA | 0.00292 - (0.0093 * E3_5_4_16_mRNA)</v>
      </c>
      <c r="N331" s="29" t="str">
        <f t="shared" si="68"/>
        <v>Peptide330: E3_5_4_16_mRNA -&gt; E3_5_4_16 | (0.278 * E3_5_4_16_mRNA) - (0.000000278 * E3_5_4_16)</v>
      </c>
    </row>
    <row r="332" spans="1:14">
      <c r="A332">
        <v>331</v>
      </c>
      <c r="B332" t="s">
        <v>13034</v>
      </c>
      <c r="C332" t="str">
        <f t="shared" si="69"/>
        <v>E3_5_4_19_mRNA</v>
      </c>
      <c r="D332" t="str">
        <f t="shared" si="70"/>
        <v>E3_5_4_19</v>
      </c>
      <c r="E332" s="29" t="str">
        <f t="shared" si="71"/>
        <v>E3_5_4_19_kcat : 13.7</v>
      </c>
      <c r="F332" s="30" t="str">
        <f t="shared" si="72"/>
        <v>E3_5_4_19_km : 1</v>
      </c>
      <c r="G332" s="31" t="str">
        <f t="shared" si="73"/>
        <v>E3_5_4_19_mRNA : E3_5_4_19_mRNA</v>
      </c>
      <c r="H332" s="32" t="str">
        <f t="shared" si="74"/>
        <v>E3_5_4_19 : E3_5_4_19</v>
      </c>
      <c r="I332" s="33" t="str">
        <f t="shared" si="75"/>
        <v>E3_5_4_19_mRNA : 0</v>
      </c>
      <c r="J332" s="16" t="str">
        <f t="shared" si="76"/>
        <v>E3_5_4_19 : 0</v>
      </c>
      <c r="K332" s="34" t="str">
        <f t="shared" si="77"/>
        <v>0.00292 - (0.0093 * E3_5_4_19_mRNA)</v>
      </c>
      <c r="L332" s="31" t="str">
        <f t="shared" si="78"/>
        <v>(0.278 * E3_5_4_19_mRNA) - (0.00000278 * E3_5_4_19)</v>
      </c>
      <c r="M332" s="35" t="str">
        <f t="shared" si="79"/>
        <v>mRNA331: -&gt; E3_5_4_19_mRNA | 0.00292 - (0.0093 * E3_5_4_19_mRNA)</v>
      </c>
      <c r="N332" s="29" t="str">
        <f t="shared" si="68"/>
        <v>Peptide331: E3_5_4_19_mRNA -&gt; E3_5_4_19 | (0.278 * E3_5_4_19_mRNA) - (0.000000278 * E3_5_4_19)</v>
      </c>
    </row>
    <row r="333" spans="1:14">
      <c r="A333">
        <v>332</v>
      </c>
      <c r="B333" t="s">
        <v>16044</v>
      </c>
      <c r="C333" t="str">
        <f t="shared" si="69"/>
        <v>E3_5_4_25_mRNA</v>
      </c>
      <c r="D333" t="str">
        <f t="shared" si="70"/>
        <v>E3_5_4_25</v>
      </c>
      <c r="E333" s="29" t="str">
        <f t="shared" si="71"/>
        <v>E3_5_4_25_kcat : 13.7</v>
      </c>
      <c r="F333" s="30" t="str">
        <f t="shared" si="72"/>
        <v>E3_5_4_25_km : 1</v>
      </c>
      <c r="G333" s="31" t="str">
        <f t="shared" si="73"/>
        <v>E3_5_4_25_mRNA : E3_5_4_25_mRNA</v>
      </c>
      <c r="H333" s="32" t="str">
        <f t="shared" si="74"/>
        <v>E3_5_4_25 : E3_5_4_25</v>
      </c>
      <c r="I333" s="33" t="str">
        <f t="shared" si="75"/>
        <v>E3_5_4_25_mRNA : 0</v>
      </c>
      <c r="J333" s="16" t="str">
        <f t="shared" si="76"/>
        <v>E3_5_4_25 : 0</v>
      </c>
      <c r="K333" s="34" t="str">
        <f t="shared" si="77"/>
        <v>0.00292 - (0.0093 * E3_5_4_25_mRNA)</v>
      </c>
      <c r="L333" s="31" t="str">
        <f t="shared" si="78"/>
        <v>(0.278 * E3_5_4_25_mRNA) - (0.00000278 * E3_5_4_25)</v>
      </c>
      <c r="M333" s="35" t="str">
        <f t="shared" si="79"/>
        <v>mRNA332: -&gt; E3_5_4_25_mRNA | 0.00292 - (0.0093 * E3_5_4_25_mRNA)</v>
      </c>
      <c r="N333" s="29" t="str">
        <f t="shared" si="68"/>
        <v>Peptide332: E3_5_4_25_mRNA -&gt; E3_5_4_25 | (0.278 * E3_5_4_25_mRNA) - (0.000000278 * E3_5_4_25)</v>
      </c>
    </row>
    <row r="334" spans="1:14">
      <c r="A334">
        <v>333</v>
      </c>
      <c r="B334" t="s">
        <v>13035</v>
      </c>
      <c r="C334" t="str">
        <f t="shared" si="69"/>
        <v>E3_5_4_26_mRNA</v>
      </c>
      <c r="D334" t="str">
        <f t="shared" si="70"/>
        <v>E3_5_4_26</v>
      </c>
      <c r="E334" s="29" t="str">
        <f t="shared" si="71"/>
        <v>E3_5_4_26_kcat : 13.7</v>
      </c>
      <c r="F334" s="30" t="str">
        <f t="shared" si="72"/>
        <v>E3_5_4_26_km : 1</v>
      </c>
      <c r="G334" s="31" t="str">
        <f t="shared" si="73"/>
        <v>E3_5_4_26_mRNA : E3_5_4_26_mRNA</v>
      </c>
      <c r="H334" s="32" t="str">
        <f t="shared" si="74"/>
        <v>E3_5_4_26 : E3_5_4_26</v>
      </c>
      <c r="I334" s="33" t="str">
        <f t="shared" si="75"/>
        <v>E3_5_4_26_mRNA : 0</v>
      </c>
      <c r="J334" s="16" t="str">
        <f t="shared" si="76"/>
        <v>E3_5_4_26 : 0</v>
      </c>
      <c r="K334" s="34" t="str">
        <f t="shared" si="77"/>
        <v>0.00292 - (0.0093 * E3_5_4_26_mRNA)</v>
      </c>
      <c r="L334" s="31" t="str">
        <f t="shared" si="78"/>
        <v>(0.278 * E3_5_4_26_mRNA) - (0.00000278 * E3_5_4_26)</v>
      </c>
      <c r="M334" s="35" t="str">
        <f t="shared" si="79"/>
        <v>mRNA333: -&gt; E3_5_4_26_mRNA | 0.00292 - (0.0093 * E3_5_4_26_mRNA)</v>
      </c>
      <c r="N334" s="29" t="str">
        <f t="shared" si="68"/>
        <v>Peptide333: E3_5_4_26_mRNA -&gt; E3_5_4_26 | (0.278 * E3_5_4_26_mRNA) - (0.000000278 * E3_5_4_26)</v>
      </c>
    </row>
    <row r="335" spans="1:14">
      <c r="A335">
        <v>334</v>
      </c>
      <c r="B335" t="s">
        <v>13036</v>
      </c>
      <c r="C335" t="str">
        <f t="shared" si="69"/>
        <v>E3_5_4_33_mRNA</v>
      </c>
      <c r="D335" t="str">
        <f t="shared" si="70"/>
        <v>E3_5_4_33</v>
      </c>
      <c r="E335" s="29" t="str">
        <f t="shared" si="71"/>
        <v>E3_5_4_33_kcat : 13.7</v>
      </c>
      <c r="F335" s="30" t="str">
        <f t="shared" si="72"/>
        <v>E3_5_4_33_km : 1</v>
      </c>
      <c r="G335" s="31" t="str">
        <f t="shared" si="73"/>
        <v>E3_5_4_33_mRNA : E3_5_4_33_mRNA</v>
      </c>
      <c r="H335" s="32" t="str">
        <f t="shared" si="74"/>
        <v>E3_5_4_33 : E3_5_4_33</v>
      </c>
      <c r="I335" s="33" t="str">
        <f t="shared" si="75"/>
        <v>E3_5_4_33_mRNA : 0</v>
      </c>
      <c r="J335" s="16" t="str">
        <f t="shared" si="76"/>
        <v>E3_5_4_33 : 0</v>
      </c>
      <c r="K335" s="34" t="str">
        <f t="shared" si="77"/>
        <v>0.00292 - (0.0093 * E3_5_4_33_mRNA)</v>
      </c>
      <c r="L335" s="31" t="str">
        <f t="shared" si="78"/>
        <v>(0.278 * E3_5_4_33_mRNA) - (0.00000278 * E3_5_4_33)</v>
      </c>
      <c r="M335" s="35" t="str">
        <f t="shared" si="79"/>
        <v>mRNA334: -&gt; E3_5_4_33_mRNA | 0.00292 - (0.0093 * E3_5_4_33_mRNA)</v>
      </c>
      <c r="N335" s="29" t="str">
        <f t="shared" si="68"/>
        <v>Peptide334: E3_5_4_33_mRNA -&gt; E3_5_4_33 | (0.278 * E3_5_4_33_mRNA) - (0.000000278 * E3_5_4_33)</v>
      </c>
    </row>
    <row r="336" spans="1:14">
      <c r="A336">
        <v>335</v>
      </c>
      <c r="B336" s="45" t="s">
        <v>17622</v>
      </c>
      <c r="C336" t="str">
        <f t="shared" si="69"/>
        <v>E3_5_4_5_mRNA</v>
      </c>
      <c r="D336" t="str">
        <f t="shared" si="70"/>
        <v>E3_5_4_5</v>
      </c>
      <c r="E336" s="29" t="str">
        <f t="shared" si="71"/>
        <v>E3_5_4_5_kcat : 13.7</v>
      </c>
      <c r="F336" s="30" t="str">
        <f t="shared" si="72"/>
        <v>E3_5_4_5_km : 1</v>
      </c>
      <c r="G336" s="31" t="str">
        <f t="shared" si="73"/>
        <v>E3_5_4_5_mRNA : E3_5_4_5_mRNA</v>
      </c>
      <c r="H336" s="32" t="str">
        <f t="shared" si="74"/>
        <v>E3_5_4_5 : E3_5_4_5</v>
      </c>
      <c r="I336" s="33" t="str">
        <f t="shared" si="75"/>
        <v>E3_5_4_5_mRNA : 0</v>
      </c>
      <c r="J336" s="16" t="str">
        <f t="shared" si="76"/>
        <v>E3_5_4_5 : 0</v>
      </c>
      <c r="K336" s="34" t="str">
        <f t="shared" si="77"/>
        <v>0.00292 - (0.0093 * E3_5_4_5_mRNA)</v>
      </c>
      <c r="L336" s="31" t="str">
        <f t="shared" si="78"/>
        <v>(0.278 * E3_5_4_5_mRNA) - (0.00000278 * E3_5_4_5)</v>
      </c>
      <c r="M336" s="35" t="str">
        <f t="shared" si="79"/>
        <v>mRNA335: -&gt; E3_5_4_5_mRNA | 0.00292 - (0.0093 * E3_5_4_5_mRNA)</v>
      </c>
      <c r="N336" s="29" t="str">
        <f t="shared" si="68"/>
        <v>Peptide335: E3_5_4_5_mRNA -&gt; E3_5_4_5 | (0.278 * E3_5_4_5_mRNA) - (0.000000278 * E3_5_4_5)</v>
      </c>
    </row>
    <row r="337" spans="1:14">
      <c r="A337">
        <v>336</v>
      </c>
      <c r="B337" t="s">
        <v>13037</v>
      </c>
      <c r="C337" t="str">
        <f t="shared" si="69"/>
        <v>E3_5_99_6_mRNA</v>
      </c>
      <c r="D337" t="str">
        <f t="shared" si="70"/>
        <v>E3_5_99_6</v>
      </c>
      <c r="E337" s="29" t="str">
        <f t="shared" si="71"/>
        <v>E3_5_99_6_kcat : 13.7</v>
      </c>
      <c r="F337" s="30" t="str">
        <f t="shared" si="72"/>
        <v>E3_5_99_6_km : 1</v>
      </c>
      <c r="G337" s="31" t="str">
        <f t="shared" si="73"/>
        <v>E3_5_99_6_mRNA : E3_5_99_6_mRNA</v>
      </c>
      <c r="H337" s="32" t="str">
        <f t="shared" si="74"/>
        <v>E3_5_99_6 : E3_5_99_6</v>
      </c>
      <c r="I337" s="33" t="str">
        <f t="shared" si="75"/>
        <v>E3_5_99_6_mRNA : 0</v>
      </c>
      <c r="J337" s="16" t="str">
        <f t="shared" si="76"/>
        <v>E3_5_99_6 : 0</v>
      </c>
      <c r="K337" s="34" t="str">
        <f t="shared" si="77"/>
        <v>0.00292 - (0.0093 * E3_5_99_6_mRNA)</v>
      </c>
      <c r="L337" s="31" t="str">
        <f t="shared" si="78"/>
        <v>(0.278 * E3_5_99_6_mRNA) - (0.00000278 * E3_5_99_6)</v>
      </c>
      <c r="M337" s="35" t="str">
        <f t="shared" si="79"/>
        <v>mRNA336: -&gt; E3_5_99_6_mRNA | 0.00292 - (0.0093 * E3_5_99_6_mRNA)</v>
      </c>
      <c r="N337" s="29" t="str">
        <f t="shared" si="68"/>
        <v>Peptide336: E3_5_99_6_mRNA -&gt; E3_5_99_6 | (0.278 * E3_5_99_6_mRNA) - (0.000000278 * E3_5_99_6)</v>
      </c>
    </row>
    <row r="338" spans="1:14">
      <c r="A338">
        <v>337</v>
      </c>
      <c r="B338" t="s">
        <v>13038</v>
      </c>
      <c r="C338" t="str">
        <f t="shared" si="69"/>
        <v>E3_6_1_1_mRNA</v>
      </c>
      <c r="D338" t="str">
        <f t="shared" si="70"/>
        <v>E3_6_1_1</v>
      </c>
      <c r="E338" s="29" t="str">
        <f t="shared" si="71"/>
        <v>E3_6_1_1_kcat : 13.7</v>
      </c>
      <c r="F338" s="30" t="str">
        <f t="shared" si="72"/>
        <v>E3_6_1_1_km : 1</v>
      </c>
      <c r="G338" s="31" t="str">
        <f t="shared" si="73"/>
        <v>E3_6_1_1_mRNA : E3_6_1_1_mRNA</v>
      </c>
      <c r="H338" s="32" t="str">
        <f t="shared" si="74"/>
        <v>E3_6_1_1 : E3_6_1_1</v>
      </c>
      <c r="I338" s="33" t="str">
        <f t="shared" si="75"/>
        <v>E3_6_1_1_mRNA : 0</v>
      </c>
      <c r="J338" s="16" t="str">
        <f t="shared" si="76"/>
        <v>E3_6_1_1 : 0</v>
      </c>
      <c r="K338" s="34" t="str">
        <f t="shared" si="77"/>
        <v>0.00292 - (0.0093 * E3_6_1_1_mRNA)</v>
      </c>
      <c r="L338" s="31" t="str">
        <f t="shared" si="78"/>
        <v>(0.278 * E3_6_1_1_mRNA) - (0.00000278 * E3_6_1_1)</v>
      </c>
      <c r="M338" s="35" t="str">
        <f t="shared" si="79"/>
        <v>mRNA337: -&gt; E3_6_1_1_mRNA | 0.00292 - (0.0093 * E3_6_1_1_mRNA)</v>
      </c>
      <c r="N338" s="29" t="str">
        <f t="shared" si="68"/>
        <v>Peptide337: E3_6_1_1_mRNA -&gt; E3_6_1_1 | (0.278 * E3_6_1_1_mRNA) - (0.000000278 * E3_6_1_1)</v>
      </c>
    </row>
    <row r="339" spans="1:14">
      <c r="A339">
        <v>338</v>
      </c>
      <c r="B339" s="45" t="s">
        <v>17623</v>
      </c>
      <c r="C339" t="str">
        <f t="shared" si="69"/>
        <v>E3_6_1_22_mRNA</v>
      </c>
      <c r="D339" t="str">
        <f t="shared" si="70"/>
        <v>E3_6_1_22</v>
      </c>
      <c r="E339" s="29" t="str">
        <f t="shared" si="71"/>
        <v>E3_6_1_22_kcat : 13.7</v>
      </c>
      <c r="F339" s="30" t="str">
        <f t="shared" si="72"/>
        <v>E3_6_1_22_km : 1</v>
      </c>
      <c r="G339" s="31" t="str">
        <f t="shared" si="73"/>
        <v>E3_6_1_22_mRNA : E3_6_1_22_mRNA</v>
      </c>
      <c r="H339" s="32" t="str">
        <f t="shared" si="74"/>
        <v>E3_6_1_22 : E3_6_1_22</v>
      </c>
      <c r="I339" s="33" t="str">
        <f t="shared" si="75"/>
        <v>E3_6_1_22_mRNA : 0</v>
      </c>
      <c r="J339" s="16" t="str">
        <f t="shared" si="76"/>
        <v>E3_6_1_22 : 0</v>
      </c>
      <c r="K339" s="34" t="str">
        <f t="shared" si="77"/>
        <v>0.00292 - (0.0093 * E3_6_1_22_mRNA)</v>
      </c>
      <c r="L339" s="31" t="str">
        <f t="shared" si="78"/>
        <v>(0.278 * E3_6_1_22_mRNA) - (0.00000278 * E3_6_1_22)</v>
      </c>
      <c r="M339" s="35" t="str">
        <f t="shared" si="79"/>
        <v>mRNA338: -&gt; E3_6_1_22_mRNA | 0.00292 - (0.0093 * E3_6_1_22_mRNA)</v>
      </c>
      <c r="N339" s="29" t="str">
        <f t="shared" si="68"/>
        <v>Peptide338: E3_6_1_22_mRNA -&gt; E3_6_1_22 | (0.278 * E3_6_1_22_mRNA) - (0.000000278 * E3_6_1_22)</v>
      </c>
    </row>
    <row r="340" spans="1:14">
      <c r="A340">
        <v>339</v>
      </c>
      <c r="B340" t="s">
        <v>13039</v>
      </c>
      <c r="C340" t="str">
        <f t="shared" si="69"/>
        <v>E3_6_1_23_mRNA</v>
      </c>
      <c r="D340" t="str">
        <f t="shared" si="70"/>
        <v>E3_6_1_23</v>
      </c>
      <c r="E340" s="29" t="str">
        <f t="shared" si="71"/>
        <v>E3_6_1_23_kcat : 13.7</v>
      </c>
      <c r="F340" s="30" t="str">
        <f t="shared" si="72"/>
        <v>E3_6_1_23_km : 1</v>
      </c>
      <c r="G340" s="31" t="str">
        <f t="shared" si="73"/>
        <v>E3_6_1_23_mRNA : E3_6_1_23_mRNA</v>
      </c>
      <c r="H340" s="32" t="str">
        <f t="shared" si="74"/>
        <v>E3_6_1_23 : E3_6_1_23</v>
      </c>
      <c r="I340" s="33" t="str">
        <f t="shared" si="75"/>
        <v>E3_6_1_23_mRNA : 0</v>
      </c>
      <c r="J340" s="16" t="str">
        <f t="shared" si="76"/>
        <v>E3_6_1_23 : 0</v>
      </c>
      <c r="K340" s="34" t="str">
        <f t="shared" si="77"/>
        <v>0.00292 - (0.0093 * E3_6_1_23_mRNA)</v>
      </c>
      <c r="L340" s="31" t="str">
        <f t="shared" si="78"/>
        <v>(0.278 * E3_6_1_23_mRNA) - (0.00000278 * E3_6_1_23)</v>
      </c>
      <c r="M340" s="35" t="str">
        <f t="shared" si="79"/>
        <v>mRNA339: -&gt; E3_6_1_23_mRNA | 0.00292 - (0.0093 * E3_6_1_23_mRNA)</v>
      </c>
      <c r="N340" s="29" t="str">
        <f t="shared" si="68"/>
        <v>Peptide339: E3_6_1_23_mRNA -&gt; E3_6_1_23 | (0.278 * E3_6_1_23_mRNA) - (0.000000278 * E3_6_1_23)</v>
      </c>
    </row>
    <row r="341" spans="1:14">
      <c r="A341">
        <v>340</v>
      </c>
      <c r="B341" t="s">
        <v>13040</v>
      </c>
      <c r="C341" t="str">
        <f t="shared" si="69"/>
        <v>E3_6_1_25_mRNA</v>
      </c>
      <c r="D341" t="str">
        <f t="shared" si="70"/>
        <v>E3_6_1_25</v>
      </c>
      <c r="E341" s="29" t="str">
        <f t="shared" si="71"/>
        <v>E3_6_1_25_kcat : 13.7</v>
      </c>
      <c r="F341" s="30" t="str">
        <f t="shared" si="72"/>
        <v>E3_6_1_25_km : 1</v>
      </c>
      <c r="G341" s="31" t="str">
        <f t="shared" si="73"/>
        <v>E3_6_1_25_mRNA : E3_6_1_25_mRNA</v>
      </c>
      <c r="H341" s="32" t="str">
        <f t="shared" si="74"/>
        <v>E3_6_1_25 : E3_6_1_25</v>
      </c>
      <c r="I341" s="33" t="str">
        <f t="shared" si="75"/>
        <v>E3_6_1_25_mRNA : 0</v>
      </c>
      <c r="J341" s="16" t="str">
        <f t="shared" si="76"/>
        <v>E3_6_1_25 : 0</v>
      </c>
      <c r="K341" s="34" t="str">
        <f t="shared" si="77"/>
        <v>0.00292 - (0.0093 * E3_6_1_25_mRNA)</v>
      </c>
      <c r="L341" s="31" t="str">
        <f t="shared" si="78"/>
        <v>(0.278 * E3_6_1_25_mRNA) - (0.00000278 * E3_6_1_25)</v>
      </c>
      <c r="M341" s="35" t="str">
        <f t="shared" si="79"/>
        <v>mRNA340: -&gt; E3_6_1_25_mRNA | 0.00292 - (0.0093 * E3_6_1_25_mRNA)</v>
      </c>
      <c r="N341" s="29" t="str">
        <f t="shared" si="68"/>
        <v>Peptide340: E3_6_1_25_mRNA -&gt; E3_6_1_25 | (0.278 * E3_6_1_25_mRNA) - (0.000000278 * E3_6_1_25)</v>
      </c>
    </row>
    <row r="342" spans="1:14">
      <c r="A342">
        <v>341</v>
      </c>
      <c r="B342" t="s">
        <v>13041</v>
      </c>
      <c r="C342" t="str">
        <f t="shared" si="69"/>
        <v>E3_6_1_27_mRNA</v>
      </c>
      <c r="D342" t="str">
        <f t="shared" si="70"/>
        <v>E3_6_1_27</v>
      </c>
      <c r="E342" s="29" t="str">
        <f t="shared" si="71"/>
        <v>E3_6_1_27_kcat : 13.7</v>
      </c>
      <c r="F342" s="30" t="str">
        <f t="shared" si="72"/>
        <v>E3_6_1_27_km : 1</v>
      </c>
      <c r="G342" s="31" t="str">
        <f t="shared" si="73"/>
        <v>E3_6_1_27_mRNA : E3_6_1_27_mRNA</v>
      </c>
      <c r="H342" s="32" t="str">
        <f t="shared" si="74"/>
        <v>E3_6_1_27 : E3_6_1_27</v>
      </c>
      <c r="I342" s="33" t="str">
        <f t="shared" si="75"/>
        <v>E3_6_1_27_mRNA : 0</v>
      </c>
      <c r="J342" s="16" t="str">
        <f t="shared" si="76"/>
        <v>E3_6_1_27 : 0</v>
      </c>
      <c r="K342" s="34" t="str">
        <f t="shared" si="77"/>
        <v>0.00292 - (0.0093 * E3_6_1_27_mRNA)</v>
      </c>
      <c r="L342" s="31" t="str">
        <f t="shared" si="78"/>
        <v>(0.278 * E3_6_1_27_mRNA) - (0.00000278 * E3_6_1_27)</v>
      </c>
      <c r="M342" s="35" t="str">
        <f t="shared" si="79"/>
        <v>mRNA341: -&gt; E3_6_1_27_mRNA | 0.00292 - (0.0093 * E3_6_1_27_mRNA)</v>
      </c>
      <c r="N342" s="29" t="str">
        <f t="shared" si="68"/>
        <v>Peptide341: E3_6_1_27_mRNA -&gt; E3_6_1_27 | (0.278 * E3_6_1_27_mRNA) - (0.000000278 * E3_6_1_27)</v>
      </c>
    </row>
    <row r="343" spans="1:14">
      <c r="A343">
        <v>342</v>
      </c>
      <c r="B343" t="s">
        <v>13042</v>
      </c>
      <c r="C343" t="str">
        <f t="shared" si="69"/>
        <v>E3_6_1_31_mRNA</v>
      </c>
      <c r="D343" t="str">
        <f t="shared" si="70"/>
        <v>E3_6_1_31</v>
      </c>
      <c r="E343" s="29" t="str">
        <f t="shared" si="71"/>
        <v>E3_6_1_31_kcat : 13.7</v>
      </c>
      <c r="F343" s="30" t="str">
        <f t="shared" si="72"/>
        <v>E3_6_1_31_km : 1</v>
      </c>
      <c r="G343" s="31" t="str">
        <f t="shared" si="73"/>
        <v>E3_6_1_31_mRNA : E3_6_1_31_mRNA</v>
      </c>
      <c r="H343" s="32" t="str">
        <f t="shared" si="74"/>
        <v>E3_6_1_31 : E3_6_1_31</v>
      </c>
      <c r="I343" s="33" t="str">
        <f t="shared" si="75"/>
        <v>E3_6_1_31_mRNA : 0</v>
      </c>
      <c r="J343" s="16" t="str">
        <f t="shared" si="76"/>
        <v>E3_6_1_31 : 0</v>
      </c>
      <c r="K343" s="34" t="str">
        <f t="shared" si="77"/>
        <v>0.00292 - (0.0093 * E3_6_1_31_mRNA)</v>
      </c>
      <c r="L343" s="31" t="str">
        <f t="shared" si="78"/>
        <v>(0.278 * E3_6_1_31_mRNA) - (0.00000278 * E3_6_1_31)</v>
      </c>
      <c r="M343" s="35" t="str">
        <f t="shared" si="79"/>
        <v>mRNA342: -&gt; E3_6_1_31_mRNA | 0.00292 - (0.0093 * E3_6_1_31_mRNA)</v>
      </c>
      <c r="N343" s="29" t="str">
        <f t="shared" si="68"/>
        <v>Peptide342: E3_6_1_31_mRNA -&gt; E3_6_1_31 | (0.278 * E3_6_1_31_mRNA) - (0.000000278 * E3_6_1_31)</v>
      </c>
    </row>
    <row r="344" spans="1:14">
      <c r="A344">
        <v>343</v>
      </c>
      <c r="B344" t="s">
        <v>13043</v>
      </c>
      <c r="C344" t="str">
        <f t="shared" si="69"/>
        <v>E3_6_1_66_mRNA</v>
      </c>
      <c r="D344" t="str">
        <f t="shared" si="70"/>
        <v>E3_6_1_66</v>
      </c>
      <c r="E344" s="29" t="str">
        <f t="shared" si="71"/>
        <v>E3_6_1_66_kcat : 13.7</v>
      </c>
      <c r="F344" s="30" t="str">
        <f t="shared" si="72"/>
        <v>E3_6_1_66_km : 1</v>
      </c>
      <c r="G344" s="31" t="str">
        <f t="shared" si="73"/>
        <v>E3_6_1_66_mRNA : E3_6_1_66_mRNA</v>
      </c>
      <c r="H344" s="32" t="str">
        <f t="shared" si="74"/>
        <v>E3_6_1_66 : E3_6_1_66</v>
      </c>
      <c r="I344" s="33" t="str">
        <f t="shared" si="75"/>
        <v>E3_6_1_66_mRNA : 0</v>
      </c>
      <c r="J344" s="16" t="str">
        <f t="shared" si="76"/>
        <v>E3_6_1_66 : 0</v>
      </c>
      <c r="K344" s="34" t="str">
        <f t="shared" si="77"/>
        <v>0.00292 - (0.0093 * E3_6_1_66_mRNA)</v>
      </c>
      <c r="L344" s="31" t="str">
        <f t="shared" si="78"/>
        <v>(0.278 * E3_6_1_66_mRNA) - (0.00000278 * E3_6_1_66)</v>
      </c>
      <c r="M344" s="35" t="str">
        <f t="shared" si="79"/>
        <v>mRNA343: -&gt; E3_6_1_66_mRNA | 0.00292 - (0.0093 * E3_6_1_66_mRNA)</v>
      </c>
      <c r="N344" s="29" t="str">
        <f t="shared" si="68"/>
        <v>Peptide343: E3_6_1_66_mRNA -&gt; E3_6_1_66 | (0.278 * E3_6_1_66_mRNA) - (0.000000278 * E3_6_1_66)</v>
      </c>
    </row>
    <row r="345" spans="1:14">
      <c r="A345">
        <v>344</v>
      </c>
      <c r="B345" t="s">
        <v>13044</v>
      </c>
      <c r="C345" t="str">
        <f t="shared" si="69"/>
        <v>E3_6_1_7_mRNA</v>
      </c>
      <c r="D345" t="str">
        <f t="shared" si="70"/>
        <v>E3_6_1_7</v>
      </c>
      <c r="E345" s="29" t="str">
        <f t="shared" si="71"/>
        <v>E3_6_1_7_kcat : 13.7</v>
      </c>
      <c r="F345" s="30" t="str">
        <f t="shared" si="72"/>
        <v>E3_6_1_7_km : 1</v>
      </c>
      <c r="G345" s="31" t="str">
        <f t="shared" si="73"/>
        <v>E3_6_1_7_mRNA : E3_6_1_7_mRNA</v>
      </c>
      <c r="H345" s="32" t="str">
        <f t="shared" si="74"/>
        <v>E3_6_1_7 : E3_6_1_7</v>
      </c>
      <c r="I345" s="33" t="str">
        <f t="shared" si="75"/>
        <v>E3_6_1_7_mRNA : 0</v>
      </c>
      <c r="J345" s="16" t="str">
        <f t="shared" si="76"/>
        <v>E3_6_1_7 : 0</v>
      </c>
      <c r="K345" s="34" t="str">
        <f t="shared" si="77"/>
        <v>0.00292 - (0.0093 * E3_6_1_7_mRNA)</v>
      </c>
      <c r="L345" s="31" t="str">
        <f t="shared" si="78"/>
        <v>(0.278 * E3_6_1_7_mRNA) - (0.00000278 * E3_6_1_7)</v>
      </c>
      <c r="M345" s="35" t="str">
        <f t="shared" si="79"/>
        <v>mRNA344: -&gt; E3_6_1_7_mRNA | 0.00292 - (0.0093 * E3_6_1_7_mRNA)</v>
      </c>
      <c r="N345" s="29" t="str">
        <f t="shared" si="68"/>
        <v>Peptide344: E3_6_1_7_mRNA -&gt; E3_6_1_7 | (0.278 * E3_6_1_7_mRNA) - (0.000000278 * E3_6_1_7)</v>
      </c>
    </row>
    <row r="346" spans="1:14">
      <c r="A346">
        <v>345</v>
      </c>
      <c r="B346" t="s">
        <v>16045</v>
      </c>
      <c r="C346" t="str">
        <f t="shared" si="69"/>
        <v>E3_6_1_9_mRNA</v>
      </c>
      <c r="D346" t="str">
        <f t="shared" si="70"/>
        <v>E3_6_1_9</v>
      </c>
      <c r="E346" s="29" t="str">
        <f t="shared" si="71"/>
        <v>E3_6_1_9_kcat : 13.7</v>
      </c>
      <c r="F346" s="30" t="str">
        <f t="shared" si="72"/>
        <v>E3_6_1_9_km : 1</v>
      </c>
      <c r="G346" s="31" t="str">
        <f t="shared" si="73"/>
        <v>E3_6_1_9_mRNA : E3_6_1_9_mRNA</v>
      </c>
      <c r="H346" s="32" t="str">
        <f t="shared" si="74"/>
        <v>E3_6_1_9 : E3_6_1_9</v>
      </c>
      <c r="I346" s="33" t="str">
        <f t="shared" si="75"/>
        <v>E3_6_1_9_mRNA : 0</v>
      </c>
      <c r="J346" s="16" t="str">
        <f t="shared" si="76"/>
        <v>E3_6_1_9 : 0</v>
      </c>
      <c r="K346" s="34" t="str">
        <f t="shared" si="77"/>
        <v>0.00292 - (0.0093 * E3_6_1_9_mRNA)</v>
      </c>
      <c r="L346" s="31" t="str">
        <f t="shared" si="78"/>
        <v>(0.278 * E3_6_1_9_mRNA) - (0.00000278 * E3_6_1_9)</v>
      </c>
      <c r="M346" s="35" t="str">
        <f t="shared" si="79"/>
        <v>mRNA345: -&gt; E3_6_1_9_mRNA | 0.00292 - (0.0093 * E3_6_1_9_mRNA)</v>
      </c>
      <c r="N346" s="29" t="str">
        <f t="shared" si="68"/>
        <v>Peptide345: E3_6_1_9_mRNA -&gt; E3_6_1_9 | (0.278 * E3_6_1_9_mRNA) - (0.000000278 * E3_6_1_9)</v>
      </c>
    </row>
    <row r="347" spans="1:14">
      <c r="A347">
        <v>346</v>
      </c>
      <c r="B347" t="s">
        <v>13045</v>
      </c>
      <c r="C347" t="str">
        <f t="shared" si="69"/>
        <v>E3_6_5_n1_mRNA</v>
      </c>
      <c r="D347" t="str">
        <f t="shared" si="70"/>
        <v>E3_6_5_n1</v>
      </c>
      <c r="E347" s="29" t="str">
        <f t="shared" si="71"/>
        <v>E3_6_5_n1_kcat : 13.7</v>
      </c>
      <c r="F347" s="30" t="str">
        <f t="shared" si="72"/>
        <v>E3_6_5_n1_km : 1</v>
      </c>
      <c r="G347" s="31" t="str">
        <f t="shared" si="73"/>
        <v>E3_6_5_n1_mRNA : E3_6_5_n1_mRNA</v>
      </c>
      <c r="H347" s="32" t="str">
        <f t="shared" si="74"/>
        <v>E3_6_5_n1 : E3_6_5_n1</v>
      </c>
      <c r="I347" s="33" t="str">
        <f t="shared" si="75"/>
        <v>E3_6_5_n1_mRNA : 0</v>
      </c>
      <c r="J347" s="16" t="str">
        <f t="shared" si="76"/>
        <v>E3_6_5_n1 : 0</v>
      </c>
      <c r="K347" s="34" t="str">
        <f t="shared" si="77"/>
        <v>0.00292 - (0.0093 * E3_6_5_n1_mRNA)</v>
      </c>
      <c r="L347" s="31" t="str">
        <f t="shared" si="78"/>
        <v>(0.278 * E3_6_5_n1_mRNA) - (0.00000278 * E3_6_5_n1)</v>
      </c>
      <c r="M347" s="35" t="str">
        <f t="shared" si="79"/>
        <v>mRNA346: -&gt; E3_6_5_n1_mRNA | 0.00292 - (0.0093 * E3_6_5_n1_mRNA)</v>
      </c>
      <c r="N347" s="29" t="str">
        <f t="shared" si="68"/>
        <v>Peptide346: E3_6_5_n1_mRNA -&gt; E3_6_5_n1 | (0.278 * E3_6_5_n1_mRNA) - (0.000000278 * E3_6_5_n1)</v>
      </c>
    </row>
    <row r="348" spans="1:14">
      <c r="A348">
        <v>347</v>
      </c>
      <c r="B348" t="s">
        <v>13046</v>
      </c>
      <c r="C348" t="str">
        <f t="shared" si="69"/>
        <v>E3_7_1_22_mRNA</v>
      </c>
      <c r="D348" t="str">
        <f t="shared" si="70"/>
        <v>E3_7_1_22</v>
      </c>
      <c r="E348" s="29" t="str">
        <f t="shared" si="71"/>
        <v>E3_7_1_22_kcat : 13.7</v>
      </c>
      <c r="F348" s="30" t="str">
        <f t="shared" si="72"/>
        <v>E3_7_1_22_km : 1</v>
      </c>
      <c r="G348" s="31" t="str">
        <f t="shared" si="73"/>
        <v>E3_7_1_22_mRNA : E3_7_1_22_mRNA</v>
      </c>
      <c r="H348" s="32" t="str">
        <f t="shared" si="74"/>
        <v>E3_7_1_22 : E3_7_1_22</v>
      </c>
      <c r="I348" s="33" t="str">
        <f t="shared" si="75"/>
        <v>E3_7_1_22_mRNA : 0</v>
      </c>
      <c r="J348" s="16" t="str">
        <f t="shared" si="76"/>
        <v>E3_7_1_22 : 0</v>
      </c>
      <c r="K348" s="34" t="str">
        <f t="shared" si="77"/>
        <v>0.00292 - (0.0093 * E3_7_1_22_mRNA)</v>
      </c>
      <c r="L348" s="31" t="str">
        <f t="shared" si="78"/>
        <v>(0.278 * E3_7_1_22_mRNA) - (0.00000278 * E3_7_1_22)</v>
      </c>
      <c r="M348" s="35" t="str">
        <f t="shared" si="79"/>
        <v>mRNA347: -&gt; E3_7_1_22_mRNA | 0.00292 - (0.0093 * E3_7_1_22_mRNA)</v>
      </c>
      <c r="N348" s="29" t="str">
        <f t="shared" si="68"/>
        <v>Peptide347: E3_7_1_22_mRNA -&gt; E3_7_1_22 | (0.278 * E3_7_1_22_mRNA) - (0.000000278 * E3_7_1_22)</v>
      </c>
    </row>
    <row r="349" spans="1:14">
      <c r="A349">
        <v>348</v>
      </c>
      <c r="B349" t="s">
        <v>16046</v>
      </c>
      <c r="C349" t="str">
        <f t="shared" si="69"/>
        <v>E4_1_1_11_mRNA</v>
      </c>
      <c r="D349" t="str">
        <f t="shared" si="70"/>
        <v>E4_1_1_11</v>
      </c>
      <c r="E349" s="29" t="str">
        <f t="shared" si="71"/>
        <v>E4_1_1_11_kcat : 13.7</v>
      </c>
      <c r="F349" s="30" t="str">
        <f t="shared" si="72"/>
        <v>E4_1_1_11_km : 1</v>
      </c>
      <c r="G349" s="31" t="str">
        <f t="shared" si="73"/>
        <v>E4_1_1_11_mRNA : E4_1_1_11_mRNA</v>
      </c>
      <c r="H349" s="32" t="str">
        <f t="shared" si="74"/>
        <v>E4_1_1_11 : E4_1_1_11</v>
      </c>
      <c r="I349" s="33" t="str">
        <f t="shared" si="75"/>
        <v>E4_1_1_11_mRNA : 0</v>
      </c>
      <c r="J349" s="16" t="str">
        <f t="shared" si="76"/>
        <v>E4_1_1_11 : 0</v>
      </c>
      <c r="K349" s="34" t="str">
        <f t="shared" si="77"/>
        <v>0.00292 - (0.0093 * E4_1_1_11_mRNA)</v>
      </c>
      <c r="L349" s="31" t="str">
        <f t="shared" si="78"/>
        <v>(0.278 * E4_1_1_11_mRNA) - (0.00000278 * E4_1_1_11)</v>
      </c>
      <c r="M349" s="35" t="str">
        <f t="shared" si="79"/>
        <v>mRNA348: -&gt; E4_1_1_11_mRNA | 0.00292 - (0.0093 * E4_1_1_11_mRNA)</v>
      </c>
      <c r="N349" s="29" t="str">
        <f t="shared" si="68"/>
        <v>Peptide348: E4_1_1_11_mRNA -&gt; E4_1_1_11 | (0.278 * E4_1_1_11_mRNA) - (0.000000278 * E4_1_1_11)</v>
      </c>
    </row>
    <row r="350" spans="1:14">
      <c r="A350">
        <v>349</v>
      </c>
      <c r="B350" s="45" t="s">
        <v>17624</v>
      </c>
      <c r="C350" t="str">
        <f t="shared" si="69"/>
        <v>E4_1_1_112_mRNA</v>
      </c>
      <c r="D350" t="str">
        <f t="shared" si="70"/>
        <v>E4_1_1_112</v>
      </c>
      <c r="E350" s="29" t="str">
        <f t="shared" si="71"/>
        <v>E4_1_1_112_kcat : 13.7</v>
      </c>
      <c r="F350" s="30" t="str">
        <f t="shared" si="72"/>
        <v>E4_1_1_112_km : 1</v>
      </c>
      <c r="G350" s="31" t="str">
        <f t="shared" si="73"/>
        <v>E4_1_1_112_mRNA : E4_1_1_112_mRNA</v>
      </c>
      <c r="H350" s="32" t="str">
        <f t="shared" si="74"/>
        <v>E4_1_1_112 : E4_1_1_112</v>
      </c>
      <c r="I350" s="33" t="str">
        <f t="shared" si="75"/>
        <v>E4_1_1_112_mRNA : 0</v>
      </c>
      <c r="J350" s="16" t="str">
        <f t="shared" si="76"/>
        <v>E4_1_1_112 : 0</v>
      </c>
      <c r="K350" s="34" t="str">
        <f t="shared" si="77"/>
        <v>0.00292 - (0.0093 * E4_1_1_112_mRNA)</v>
      </c>
      <c r="L350" s="31" t="str">
        <f t="shared" si="78"/>
        <v>(0.278 * E4_1_1_112_mRNA) - (0.00000278 * E4_1_1_112)</v>
      </c>
      <c r="M350" s="35" t="str">
        <f t="shared" si="79"/>
        <v>mRNA349: -&gt; E4_1_1_112_mRNA | 0.00292 - (0.0093 * E4_1_1_112_mRNA)</v>
      </c>
      <c r="N350" s="29" t="str">
        <f t="shared" si="68"/>
        <v>Peptide349: E4_1_1_112_mRNA -&gt; E4_1_1_112 | (0.278 * E4_1_1_112_mRNA) - (0.000000278 * E4_1_1_112)</v>
      </c>
    </row>
    <row r="351" spans="1:14">
      <c r="A351">
        <v>350</v>
      </c>
      <c r="B351" t="s">
        <v>13047</v>
      </c>
      <c r="C351" t="str">
        <f t="shared" si="69"/>
        <v>E4_1_1_20_mRNA</v>
      </c>
      <c r="D351" t="str">
        <f t="shared" si="70"/>
        <v>E4_1_1_20</v>
      </c>
      <c r="E351" s="29" t="str">
        <f t="shared" si="71"/>
        <v>E4_1_1_20_kcat : 13.7</v>
      </c>
      <c r="F351" s="30" t="str">
        <f t="shared" si="72"/>
        <v>E4_1_1_20_km : 1</v>
      </c>
      <c r="G351" s="31" t="str">
        <f t="shared" si="73"/>
        <v>E4_1_1_20_mRNA : E4_1_1_20_mRNA</v>
      </c>
      <c r="H351" s="32" t="str">
        <f t="shared" si="74"/>
        <v>E4_1_1_20 : E4_1_1_20</v>
      </c>
      <c r="I351" s="33" t="str">
        <f t="shared" si="75"/>
        <v>E4_1_1_20_mRNA : 0</v>
      </c>
      <c r="J351" s="16" t="str">
        <f t="shared" si="76"/>
        <v>E4_1_1_20 : 0</v>
      </c>
      <c r="K351" s="34" t="str">
        <f t="shared" si="77"/>
        <v>0.00292 - (0.0093 * E4_1_1_20_mRNA)</v>
      </c>
      <c r="L351" s="31" t="str">
        <f t="shared" si="78"/>
        <v>(0.278 * E4_1_1_20_mRNA) - (0.00000278 * E4_1_1_20)</v>
      </c>
      <c r="M351" s="35" t="str">
        <f t="shared" si="79"/>
        <v>mRNA350: -&gt; E4_1_1_20_mRNA | 0.00292 - (0.0093 * E4_1_1_20_mRNA)</v>
      </c>
      <c r="N351" s="29" t="str">
        <f t="shared" si="68"/>
        <v>Peptide350: E4_1_1_20_mRNA -&gt; E4_1_1_20 | (0.278 * E4_1_1_20_mRNA) - (0.000000278 * E4_1_1_20)</v>
      </c>
    </row>
    <row r="352" spans="1:14">
      <c r="A352">
        <v>351</v>
      </c>
      <c r="B352" t="s">
        <v>13048</v>
      </c>
      <c r="C352" t="str">
        <f t="shared" si="69"/>
        <v>E4_1_1_21_mRNA</v>
      </c>
      <c r="D352" t="str">
        <f t="shared" si="70"/>
        <v>E4_1_1_21</v>
      </c>
      <c r="E352" s="29" t="str">
        <f t="shared" si="71"/>
        <v>E4_1_1_21_kcat : 13.7</v>
      </c>
      <c r="F352" s="30" t="str">
        <f t="shared" si="72"/>
        <v>E4_1_1_21_km : 1</v>
      </c>
      <c r="G352" s="31" t="str">
        <f t="shared" si="73"/>
        <v>E4_1_1_21_mRNA : E4_1_1_21_mRNA</v>
      </c>
      <c r="H352" s="32" t="str">
        <f t="shared" si="74"/>
        <v>E4_1_1_21 : E4_1_1_21</v>
      </c>
      <c r="I352" s="33" t="str">
        <f t="shared" si="75"/>
        <v>E4_1_1_21_mRNA : 0</v>
      </c>
      <c r="J352" s="16" t="str">
        <f t="shared" si="76"/>
        <v>E4_1_1_21 : 0</v>
      </c>
      <c r="K352" s="34" t="str">
        <f t="shared" si="77"/>
        <v>0.00292 - (0.0093 * E4_1_1_21_mRNA)</v>
      </c>
      <c r="L352" s="31" t="str">
        <f t="shared" si="78"/>
        <v>(0.278 * E4_1_1_21_mRNA) - (0.00000278 * E4_1_1_21)</v>
      </c>
      <c r="M352" s="35" t="str">
        <f t="shared" si="79"/>
        <v>mRNA351: -&gt; E4_1_1_21_mRNA | 0.00292 - (0.0093 * E4_1_1_21_mRNA)</v>
      </c>
      <c r="N352" s="29" t="str">
        <f t="shared" si="68"/>
        <v>Peptide351: E4_1_1_21_mRNA -&gt; E4_1_1_21 | (0.278 * E4_1_1_21_mRNA) - (0.000000278 * E4_1_1_21)</v>
      </c>
    </row>
    <row r="353" spans="1:14">
      <c r="A353">
        <v>352</v>
      </c>
      <c r="B353" t="s">
        <v>13049</v>
      </c>
      <c r="C353" t="str">
        <f t="shared" si="69"/>
        <v>E4_1_1_23_mRNA</v>
      </c>
      <c r="D353" t="str">
        <f t="shared" si="70"/>
        <v>E4_1_1_23</v>
      </c>
      <c r="E353" s="29" t="str">
        <f t="shared" si="71"/>
        <v>E4_1_1_23_kcat : 13.7</v>
      </c>
      <c r="F353" s="30" t="str">
        <f t="shared" si="72"/>
        <v>E4_1_1_23_km : 1</v>
      </c>
      <c r="G353" s="31" t="str">
        <f t="shared" si="73"/>
        <v>E4_1_1_23_mRNA : E4_1_1_23_mRNA</v>
      </c>
      <c r="H353" s="32" t="str">
        <f t="shared" si="74"/>
        <v>E4_1_1_23 : E4_1_1_23</v>
      </c>
      <c r="I353" s="33" t="str">
        <f t="shared" si="75"/>
        <v>E4_1_1_23_mRNA : 0</v>
      </c>
      <c r="J353" s="16" t="str">
        <f t="shared" si="76"/>
        <v>E4_1_1_23 : 0</v>
      </c>
      <c r="K353" s="34" t="str">
        <f t="shared" si="77"/>
        <v>0.00292 - (0.0093 * E4_1_1_23_mRNA)</v>
      </c>
      <c r="L353" s="31" t="str">
        <f t="shared" si="78"/>
        <v>(0.278 * E4_1_1_23_mRNA) - (0.00000278 * E4_1_1_23)</v>
      </c>
      <c r="M353" s="35" t="str">
        <f t="shared" si="79"/>
        <v>mRNA352: -&gt; E4_1_1_23_mRNA | 0.00292 - (0.0093 * E4_1_1_23_mRNA)</v>
      </c>
      <c r="N353" s="29" t="str">
        <f t="shared" si="68"/>
        <v>Peptide352: E4_1_1_23_mRNA -&gt; E4_1_1_23 | (0.278 * E4_1_1_23_mRNA) - (0.000000278 * E4_1_1_23)</v>
      </c>
    </row>
    <row r="354" spans="1:14">
      <c r="A354">
        <v>353</v>
      </c>
      <c r="B354" t="s">
        <v>13050</v>
      </c>
      <c r="C354" t="str">
        <f t="shared" si="69"/>
        <v>E4_1_1_31_mRNA</v>
      </c>
      <c r="D354" t="str">
        <f t="shared" si="70"/>
        <v>E4_1_1_31</v>
      </c>
      <c r="E354" s="29" t="str">
        <f t="shared" si="71"/>
        <v>E4_1_1_31_kcat : 13.7</v>
      </c>
      <c r="F354" s="30" t="str">
        <f t="shared" si="72"/>
        <v>E4_1_1_31_km : 1</v>
      </c>
      <c r="G354" s="31" t="str">
        <f t="shared" si="73"/>
        <v>E4_1_1_31_mRNA : E4_1_1_31_mRNA</v>
      </c>
      <c r="H354" s="32" t="str">
        <f t="shared" si="74"/>
        <v>E4_1_1_31 : E4_1_1_31</v>
      </c>
      <c r="I354" s="33" t="str">
        <f t="shared" si="75"/>
        <v>E4_1_1_31_mRNA : 0</v>
      </c>
      <c r="J354" s="16" t="str">
        <f t="shared" si="76"/>
        <v>E4_1_1_31 : 0</v>
      </c>
      <c r="K354" s="34" t="str">
        <f t="shared" si="77"/>
        <v>0.00292 - (0.0093 * E4_1_1_31_mRNA)</v>
      </c>
      <c r="L354" s="31" t="str">
        <f t="shared" si="78"/>
        <v>(0.278 * E4_1_1_31_mRNA) - (0.00000278 * E4_1_1_31)</v>
      </c>
      <c r="M354" s="35" t="str">
        <f t="shared" si="79"/>
        <v>mRNA353: -&gt; E4_1_1_31_mRNA | 0.00292 - (0.0093 * E4_1_1_31_mRNA)</v>
      </c>
      <c r="N354" s="29" t="str">
        <f t="shared" si="68"/>
        <v>Peptide353: E4_1_1_31_mRNA -&gt; E4_1_1_31 | (0.278 * E4_1_1_31_mRNA) - (0.000000278 * E4_1_1_31)</v>
      </c>
    </row>
    <row r="355" spans="1:14">
      <c r="A355">
        <v>354</v>
      </c>
      <c r="B355" t="s">
        <v>13051</v>
      </c>
      <c r="C355" t="str">
        <f t="shared" si="69"/>
        <v>E4_1_1_32_mRNA</v>
      </c>
      <c r="D355" t="str">
        <f t="shared" si="70"/>
        <v>E4_1_1_32</v>
      </c>
      <c r="E355" s="29" t="str">
        <f t="shared" si="71"/>
        <v>E4_1_1_32_kcat : 13.7</v>
      </c>
      <c r="F355" s="30" t="str">
        <f t="shared" si="72"/>
        <v>E4_1_1_32_km : 1</v>
      </c>
      <c r="G355" s="31" t="str">
        <f t="shared" si="73"/>
        <v>E4_1_1_32_mRNA : E4_1_1_32_mRNA</v>
      </c>
      <c r="H355" s="32" t="str">
        <f t="shared" si="74"/>
        <v>E4_1_1_32 : E4_1_1_32</v>
      </c>
      <c r="I355" s="33" t="str">
        <f t="shared" si="75"/>
        <v>E4_1_1_32_mRNA : 0</v>
      </c>
      <c r="J355" s="16" t="str">
        <f t="shared" si="76"/>
        <v>E4_1_1_32 : 0</v>
      </c>
      <c r="K355" s="34" t="str">
        <f t="shared" si="77"/>
        <v>0.00292 - (0.0093 * E4_1_1_32_mRNA)</v>
      </c>
      <c r="L355" s="31" t="str">
        <f t="shared" si="78"/>
        <v>(0.278 * E4_1_1_32_mRNA) - (0.00000278 * E4_1_1_32)</v>
      </c>
      <c r="M355" s="35" t="str">
        <f t="shared" si="79"/>
        <v>mRNA354: -&gt; E4_1_1_32_mRNA | 0.00292 - (0.0093 * E4_1_1_32_mRNA)</v>
      </c>
      <c r="N355" s="29" t="str">
        <f t="shared" si="68"/>
        <v>Peptide354: E4_1_1_32_mRNA -&gt; E4_1_1_32 | (0.278 * E4_1_1_32_mRNA) - (0.000000278 * E4_1_1_32)</v>
      </c>
    </row>
    <row r="356" spans="1:14">
      <c r="A356">
        <v>355</v>
      </c>
      <c r="B356" t="s">
        <v>16047</v>
      </c>
      <c r="C356" t="str">
        <f t="shared" si="69"/>
        <v>E4_1_1_36_mRNA</v>
      </c>
      <c r="D356" t="str">
        <f t="shared" si="70"/>
        <v>E4_1_1_36</v>
      </c>
      <c r="E356" s="29" t="str">
        <f t="shared" si="71"/>
        <v>E4_1_1_36_kcat : 13.7</v>
      </c>
      <c r="F356" s="30" t="str">
        <f t="shared" si="72"/>
        <v>E4_1_1_36_km : 1</v>
      </c>
      <c r="G356" s="31" t="str">
        <f t="shared" si="73"/>
        <v>E4_1_1_36_mRNA : E4_1_1_36_mRNA</v>
      </c>
      <c r="H356" s="32" t="str">
        <f t="shared" si="74"/>
        <v>E4_1_1_36 : E4_1_1_36</v>
      </c>
      <c r="I356" s="33" t="str">
        <f t="shared" si="75"/>
        <v>E4_1_1_36_mRNA : 0</v>
      </c>
      <c r="J356" s="16" t="str">
        <f t="shared" si="76"/>
        <v>E4_1_1_36 : 0</v>
      </c>
      <c r="K356" s="34" t="str">
        <f t="shared" si="77"/>
        <v>0.00292 - (0.0093 * E4_1_1_36_mRNA)</v>
      </c>
      <c r="L356" s="31" t="str">
        <f t="shared" si="78"/>
        <v>(0.278 * E4_1_1_36_mRNA) - (0.00000278 * E4_1_1_36)</v>
      </c>
      <c r="M356" s="35" t="str">
        <f t="shared" si="79"/>
        <v>mRNA355: -&gt; E4_1_1_36_mRNA | 0.00292 - (0.0093 * E4_1_1_36_mRNA)</v>
      </c>
      <c r="N356" s="29" t="str">
        <f t="shared" si="68"/>
        <v>Peptide355: E4_1_1_36_mRNA -&gt; E4_1_1_36 | (0.278 * E4_1_1_36_mRNA) - (0.000000278 * E4_1_1_36)</v>
      </c>
    </row>
    <row r="357" spans="1:14">
      <c r="A357">
        <v>356</v>
      </c>
      <c r="B357" t="s">
        <v>16048</v>
      </c>
      <c r="C357" t="str">
        <f t="shared" si="69"/>
        <v>E4_1_1_37_mRNA</v>
      </c>
      <c r="D357" t="str">
        <f t="shared" si="70"/>
        <v>E4_1_1_37</v>
      </c>
      <c r="E357" s="29" t="str">
        <f t="shared" si="71"/>
        <v>E4_1_1_37_kcat : 13.7</v>
      </c>
      <c r="F357" s="30" t="str">
        <f t="shared" si="72"/>
        <v>E4_1_1_37_km : 1</v>
      </c>
      <c r="G357" s="31" t="str">
        <f t="shared" si="73"/>
        <v>E4_1_1_37_mRNA : E4_1_1_37_mRNA</v>
      </c>
      <c r="H357" s="32" t="str">
        <f t="shared" si="74"/>
        <v>E4_1_1_37 : E4_1_1_37</v>
      </c>
      <c r="I357" s="33" t="str">
        <f t="shared" si="75"/>
        <v>E4_1_1_37_mRNA : 0</v>
      </c>
      <c r="J357" s="16" t="str">
        <f t="shared" si="76"/>
        <v>E4_1_1_37 : 0</v>
      </c>
      <c r="K357" s="34" t="str">
        <f t="shared" si="77"/>
        <v>0.00292 - (0.0093 * E4_1_1_37_mRNA)</v>
      </c>
      <c r="L357" s="31" t="str">
        <f t="shared" si="78"/>
        <v>(0.278 * E4_1_1_37_mRNA) - (0.00000278 * E4_1_1_37)</v>
      </c>
      <c r="M357" s="35" t="str">
        <f t="shared" si="79"/>
        <v>mRNA356: -&gt; E4_1_1_37_mRNA | 0.00292 - (0.0093 * E4_1_1_37_mRNA)</v>
      </c>
      <c r="N357" s="29" t="str">
        <f t="shared" si="68"/>
        <v>Peptide356: E4_1_1_37_mRNA -&gt; E4_1_1_37 | (0.278 * E4_1_1_37_mRNA) - (0.000000278 * E4_1_1_37)</v>
      </c>
    </row>
    <row r="358" spans="1:14">
      <c r="A358">
        <v>357</v>
      </c>
      <c r="B358" t="s">
        <v>13052</v>
      </c>
      <c r="C358" t="str">
        <f t="shared" si="69"/>
        <v>E4_1_1_44_mRNA</v>
      </c>
      <c r="D358" t="str">
        <f t="shared" si="70"/>
        <v>E4_1_1_44</v>
      </c>
      <c r="E358" s="29" t="str">
        <f t="shared" si="71"/>
        <v>E4_1_1_44_kcat : 13.7</v>
      </c>
      <c r="F358" s="30" t="str">
        <f t="shared" si="72"/>
        <v>E4_1_1_44_km : 1</v>
      </c>
      <c r="G358" s="31" t="str">
        <f t="shared" si="73"/>
        <v>E4_1_1_44_mRNA : E4_1_1_44_mRNA</v>
      </c>
      <c r="H358" s="32" t="str">
        <f t="shared" si="74"/>
        <v>E4_1_1_44 : E4_1_1_44</v>
      </c>
      <c r="I358" s="33" t="str">
        <f t="shared" si="75"/>
        <v>E4_1_1_44_mRNA : 0</v>
      </c>
      <c r="J358" s="16" t="str">
        <f t="shared" si="76"/>
        <v>E4_1_1_44 : 0</v>
      </c>
      <c r="K358" s="34" t="str">
        <f t="shared" si="77"/>
        <v>0.00292 - (0.0093 * E4_1_1_44_mRNA)</v>
      </c>
      <c r="L358" s="31" t="str">
        <f t="shared" si="78"/>
        <v>(0.278 * E4_1_1_44_mRNA) - (0.00000278 * E4_1_1_44)</v>
      </c>
      <c r="M358" s="35" t="str">
        <f t="shared" si="79"/>
        <v>mRNA357: -&gt; E4_1_1_44_mRNA | 0.00292 - (0.0093 * E4_1_1_44_mRNA)</v>
      </c>
      <c r="N358" s="29" t="str">
        <f t="shared" si="68"/>
        <v>Peptide357: E4_1_1_44_mRNA -&gt; E4_1_1_44 | (0.278 * E4_1_1_44_mRNA) - (0.000000278 * E4_1_1_44)</v>
      </c>
    </row>
    <row r="359" spans="1:14">
      <c r="A359">
        <v>358</v>
      </c>
      <c r="B359" t="s">
        <v>13053</v>
      </c>
      <c r="C359" t="str">
        <f t="shared" si="69"/>
        <v>E4_1_1_48_mRNA</v>
      </c>
      <c r="D359" t="str">
        <f t="shared" si="70"/>
        <v>E4_1_1_48</v>
      </c>
      <c r="E359" s="29" t="str">
        <f t="shared" si="71"/>
        <v>E4_1_1_48_kcat : 13.7</v>
      </c>
      <c r="F359" s="30" t="str">
        <f t="shared" si="72"/>
        <v>E4_1_1_48_km : 1</v>
      </c>
      <c r="G359" s="31" t="str">
        <f t="shared" si="73"/>
        <v>E4_1_1_48_mRNA : E4_1_1_48_mRNA</v>
      </c>
      <c r="H359" s="32" t="str">
        <f t="shared" si="74"/>
        <v>E4_1_1_48 : E4_1_1_48</v>
      </c>
      <c r="I359" s="33" t="str">
        <f t="shared" si="75"/>
        <v>E4_1_1_48_mRNA : 0</v>
      </c>
      <c r="J359" s="16" t="str">
        <f t="shared" si="76"/>
        <v>E4_1_1_48 : 0</v>
      </c>
      <c r="K359" s="34" t="str">
        <f t="shared" si="77"/>
        <v>0.00292 - (0.0093 * E4_1_1_48_mRNA)</v>
      </c>
      <c r="L359" s="31" t="str">
        <f t="shared" si="78"/>
        <v>(0.278 * E4_1_1_48_mRNA) - (0.00000278 * E4_1_1_48)</v>
      </c>
      <c r="M359" s="35" t="str">
        <f t="shared" si="79"/>
        <v>mRNA358: -&gt; E4_1_1_48_mRNA | 0.00292 - (0.0093 * E4_1_1_48_mRNA)</v>
      </c>
      <c r="N359" s="29" t="str">
        <f t="shared" si="68"/>
        <v>Peptide358: E4_1_1_48_mRNA -&gt; E4_1_1_48 | (0.278 * E4_1_1_48_mRNA) - (0.000000278 * E4_1_1_48)</v>
      </c>
    </row>
    <row r="360" spans="1:14">
      <c r="A360">
        <v>359</v>
      </c>
      <c r="B360" t="s">
        <v>13054</v>
      </c>
      <c r="C360" t="str">
        <f t="shared" si="69"/>
        <v>E4_1_1_71_mRNA</v>
      </c>
      <c r="D360" t="str">
        <f t="shared" si="70"/>
        <v>E4_1_1_71</v>
      </c>
      <c r="E360" s="29" t="str">
        <f t="shared" si="71"/>
        <v>E4_1_1_71_kcat : 13.7</v>
      </c>
      <c r="F360" s="30" t="str">
        <f t="shared" si="72"/>
        <v>E4_1_1_71_km : 1</v>
      </c>
      <c r="G360" s="31" t="str">
        <f t="shared" si="73"/>
        <v>E4_1_1_71_mRNA : E4_1_1_71_mRNA</v>
      </c>
      <c r="H360" s="32" t="str">
        <f t="shared" si="74"/>
        <v>E4_1_1_71 : E4_1_1_71</v>
      </c>
      <c r="I360" s="33" t="str">
        <f t="shared" si="75"/>
        <v>E4_1_1_71_mRNA : 0</v>
      </c>
      <c r="J360" s="16" t="str">
        <f t="shared" si="76"/>
        <v>E4_1_1_71 : 0</v>
      </c>
      <c r="K360" s="34" t="str">
        <f t="shared" si="77"/>
        <v>0.00292 - (0.0093 * E4_1_1_71_mRNA)</v>
      </c>
      <c r="L360" s="31" t="str">
        <f t="shared" si="78"/>
        <v>(0.278 * E4_1_1_71_mRNA) - (0.00000278 * E4_1_1_71)</v>
      </c>
      <c r="M360" s="35" t="str">
        <f t="shared" si="79"/>
        <v>mRNA359: -&gt; E4_1_1_71_mRNA | 0.00292 - (0.0093 * E4_1_1_71_mRNA)</v>
      </c>
      <c r="N360" s="29" t="str">
        <f t="shared" si="68"/>
        <v>Peptide359: E4_1_1_71_mRNA -&gt; E4_1_1_71 | (0.278 * E4_1_1_71_mRNA) - (0.000000278 * E4_1_1_71)</v>
      </c>
    </row>
    <row r="361" spans="1:14">
      <c r="A361">
        <v>360</v>
      </c>
      <c r="B361" s="45" t="s">
        <v>17625</v>
      </c>
      <c r="C361" t="str">
        <f t="shared" si="69"/>
        <v>E4_1_1_88_mRNA</v>
      </c>
      <c r="D361" t="str">
        <f t="shared" si="70"/>
        <v>E4_1_1_88</v>
      </c>
      <c r="E361" s="29" t="str">
        <f t="shared" si="71"/>
        <v>E4_1_1_88_kcat : 13.7</v>
      </c>
      <c r="F361" s="30" t="str">
        <f t="shared" si="72"/>
        <v>E4_1_1_88_km : 1</v>
      </c>
      <c r="G361" s="31" t="str">
        <f t="shared" si="73"/>
        <v>E4_1_1_88_mRNA : E4_1_1_88_mRNA</v>
      </c>
      <c r="H361" s="32" t="str">
        <f t="shared" si="74"/>
        <v>E4_1_1_88 : E4_1_1_88</v>
      </c>
      <c r="I361" s="33" t="str">
        <f t="shared" si="75"/>
        <v>E4_1_1_88_mRNA : 0</v>
      </c>
      <c r="J361" s="16" t="str">
        <f t="shared" si="76"/>
        <v>E4_1_1_88 : 0</v>
      </c>
      <c r="K361" s="34" t="str">
        <f t="shared" si="77"/>
        <v>0.00292 - (0.0093 * E4_1_1_88_mRNA)</v>
      </c>
      <c r="L361" s="31" t="str">
        <f t="shared" si="78"/>
        <v>(0.278 * E4_1_1_88_mRNA) - (0.00000278 * E4_1_1_88)</v>
      </c>
      <c r="M361" s="35" t="str">
        <f t="shared" si="79"/>
        <v>mRNA360: -&gt; E4_1_1_88_mRNA | 0.00292 - (0.0093 * E4_1_1_88_mRNA)</v>
      </c>
      <c r="N361" s="29" t="str">
        <f t="shared" si="68"/>
        <v>Peptide360: E4_1_1_88_mRNA -&gt; E4_1_1_88 | (0.278 * E4_1_1_88_mRNA) - (0.000000278 * E4_1_1_88)</v>
      </c>
    </row>
    <row r="362" spans="1:14">
      <c r="A362">
        <v>361</v>
      </c>
      <c r="B362" t="s">
        <v>13055</v>
      </c>
      <c r="C362" t="str">
        <f t="shared" si="69"/>
        <v>E4_1_2_13_mRNA</v>
      </c>
      <c r="D362" t="str">
        <f t="shared" si="70"/>
        <v>E4_1_2_13</v>
      </c>
      <c r="E362" s="29" t="str">
        <f t="shared" si="71"/>
        <v>E4_1_2_13_kcat : 13.7</v>
      </c>
      <c r="F362" s="30" t="str">
        <f t="shared" si="72"/>
        <v>E4_1_2_13_km : 1</v>
      </c>
      <c r="G362" s="31" t="str">
        <f t="shared" si="73"/>
        <v>E4_1_2_13_mRNA : E4_1_2_13_mRNA</v>
      </c>
      <c r="H362" s="32" t="str">
        <f t="shared" si="74"/>
        <v>E4_1_2_13 : E4_1_2_13</v>
      </c>
      <c r="I362" s="33" t="str">
        <f t="shared" si="75"/>
        <v>E4_1_2_13_mRNA : 0</v>
      </c>
      <c r="J362" s="16" t="str">
        <f t="shared" si="76"/>
        <v>E4_1_2_13 : 0</v>
      </c>
      <c r="K362" s="34" t="str">
        <f t="shared" si="77"/>
        <v>0.00292 - (0.0093 * E4_1_2_13_mRNA)</v>
      </c>
      <c r="L362" s="31" t="str">
        <f t="shared" si="78"/>
        <v>(0.278 * E4_1_2_13_mRNA) - (0.00000278 * E4_1_2_13)</v>
      </c>
      <c r="M362" s="35" t="str">
        <f t="shared" si="79"/>
        <v>mRNA361: -&gt; E4_1_2_13_mRNA | 0.00292 - (0.0093 * E4_1_2_13_mRNA)</v>
      </c>
      <c r="N362" s="29" t="str">
        <f t="shared" si="68"/>
        <v>Peptide361: E4_1_2_13_mRNA -&gt; E4_1_2_13 | (0.278 * E4_1_2_13_mRNA) - (0.000000278 * E4_1_2_13)</v>
      </c>
    </row>
    <row r="363" spans="1:14">
      <c r="A363">
        <v>362</v>
      </c>
      <c r="B363" s="45" t="s">
        <v>17626</v>
      </c>
      <c r="C363" t="str">
        <f t="shared" si="69"/>
        <v>E4_1_2_14_mRNA</v>
      </c>
      <c r="D363" t="str">
        <f t="shared" si="70"/>
        <v>E4_1_2_14</v>
      </c>
      <c r="E363" s="29" t="str">
        <f t="shared" si="71"/>
        <v>E4_1_2_14_kcat : 13.7</v>
      </c>
      <c r="F363" s="30" t="str">
        <f t="shared" si="72"/>
        <v>E4_1_2_14_km : 1</v>
      </c>
      <c r="G363" s="31" t="str">
        <f t="shared" si="73"/>
        <v>E4_1_2_14_mRNA : E4_1_2_14_mRNA</v>
      </c>
      <c r="H363" s="32" t="str">
        <f t="shared" si="74"/>
        <v>E4_1_2_14 : E4_1_2_14</v>
      </c>
      <c r="I363" s="33" t="str">
        <f t="shared" si="75"/>
        <v>E4_1_2_14_mRNA : 0</v>
      </c>
      <c r="J363" s="16" t="str">
        <f t="shared" si="76"/>
        <v>E4_1_2_14 : 0</v>
      </c>
      <c r="K363" s="34" t="str">
        <f t="shared" si="77"/>
        <v>0.00292 - (0.0093 * E4_1_2_14_mRNA)</v>
      </c>
      <c r="L363" s="31" t="str">
        <f t="shared" si="78"/>
        <v>(0.278 * E4_1_2_14_mRNA) - (0.00000278 * E4_1_2_14)</v>
      </c>
      <c r="M363" s="35" t="str">
        <f t="shared" si="79"/>
        <v>mRNA362: -&gt; E4_1_2_14_mRNA | 0.00292 - (0.0093 * E4_1_2_14_mRNA)</v>
      </c>
      <c r="N363" s="29" t="str">
        <f t="shared" si="68"/>
        <v>Peptide362: E4_1_2_14_mRNA -&gt; E4_1_2_14 | (0.278 * E4_1_2_14_mRNA) - (0.000000278 * E4_1_2_14)</v>
      </c>
    </row>
    <row r="364" spans="1:14">
      <c r="A364">
        <v>363</v>
      </c>
      <c r="B364" t="s">
        <v>13056</v>
      </c>
      <c r="C364" t="str">
        <f t="shared" si="69"/>
        <v>E4_1_2_25_mRNA</v>
      </c>
      <c r="D364" t="str">
        <f t="shared" si="70"/>
        <v>E4_1_2_25</v>
      </c>
      <c r="E364" s="29" t="str">
        <f t="shared" si="71"/>
        <v>E4_1_2_25_kcat : 13.7</v>
      </c>
      <c r="F364" s="30" t="str">
        <f t="shared" si="72"/>
        <v>E4_1_2_25_km : 1</v>
      </c>
      <c r="G364" s="31" t="str">
        <f t="shared" si="73"/>
        <v>E4_1_2_25_mRNA : E4_1_2_25_mRNA</v>
      </c>
      <c r="H364" s="32" t="str">
        <f t="shared" si="74"/>
        <v>E4_1_2_25 : E4_1_2_25</v>
      </c>
      <c r="I364" s="33" t="str">
        <f t="shared" si="75"/>
        <v>E4_1_2_25_mRNA : 0</v>
      </c>
      <c r="J364" s="16" t="str">
        <f t="shared" si="76"/>
        <v>E4_1_2_25 : 0</v>
      </c>
      <c r="K364" s="34" t="str">
        <f t="shared" si="77"/>
        <v>0.00292 - (0.0093 * E4_1_2_25_mRNA)</v>
      </c>
      <c r="L364" s="31" t="str">
        <f t="shared" si="78"/>
        <v>(0.278 * E4_1_2_25_mRNA) - (0.00000278 * E4_1_2_25)</v>
      </c>
      <c r="M364" s="35" t="str">
        <f t="shared" si="79"/>
        <v>mRNA363: -&gt; E4_1_2_25_mRNA | 0.00292 - (0.0093 * E4_1_2_25_mRNA)</v>
      </c>
      <c r="N364" s="29" t="str">
        <f t="shared" si="68"/>
        <v>Peptide363: E4_1_2_25_mRNA -&gt; E4_1_2_25 | (0.278 * E4_1_2_25_mRNA) - (0.000000278 * E4_1_2_25)</v>
      </c>
    </row>
    <row r="365" spans="1:14">
      <c r="A365">
        <v>364</v>
      </c>
      <c r="B365" t="s">
        <v>16049</v>
      </c>
      <c r="C365" t="str">
        <f t="shared" si="69"/>
        <v>E4_1_2_4_mRNA</v>
      </c>
      <c r="D365" t="str">
        <f t="shared" si="70"/>
        <v>E4_1_2_4</v>
      </c>
      <c r="E365" s="29" t="str">
        <f t="shared" si="71"/>
        <v>E4_1_2_4_kcat : 13.7</v>
      </c>
      <c r="F365" s="30" t="str">
        <f t="shared" si="72"/>
        <v>E4_1_2_4_km : 1</v>
      </c>
      <c r="G365" s="31" t="str">
        <f t="shared" si="73"/>
        <v>E4_1_2_4_mRNA : E4_1_2_4_mRNA</v>
      </c>
      <c r="H365" s="32" t="str">
        <f t="shared" si="74"/>
        <v>E4_1_2_4 : E4_1_2_4</v>
      </c>
      <c r="I365" s="33" t="str">
        <f t="shared" si="75"/>
        <v>E4_1_2_4_mRNA : 0</v>
      </c>
      <c r="J365" s="16" t="str">
        <f t="shared" si="76"/>
        <v>E4_1_2_4 : 0</v>
      </c>
      <c r="K365" s="34" t="str">
        <f t="shared" si="77"/>
        <v>0.00292 - (0.0093 * E4_1_2_4_mRNA)</v>
      </c>
      <c r="L365" s="31" t="str">
        <f t="shared" si="78"/>
        <v>(0.278 * E4_1_2_4_mRNA) - (0.00000278 * E4_1_2_4)</v>
      </c>
      <c r="M365" s="35" t="str">
        <f t="shared" si="79"/>
        <v>mRNA364: -&gt; E4_1_2_4_mRNA | 0.00292 - (0.0093 * E4_1_2_4_mRNA)</v>
      </c>
      <c r="N365" s="29" t="str">
        <f t="shared" si="68"/>
        <v>Peptide364: E4_1_2_4_mRNA -&gt; E4_1_2_4 | (0.278 * E4_1_2_4_mRNA) - (0.000000278 * E4_1_2_4)</v>
      </c>
    </row>
    <row r="366" spans="1:14">
      <c r="A366">
        <v>365</v>
      </c>
      <c r="B366" t="s">
        <v>13057</v>
      </c>
      <c r="C366" t="str">
        <f t="shared" si="69"/>
        <v>E4_1_3_1_mRNA</v>
      </c>
      <c r="D366" t="str">
        <f t="shared" si="70"/>
        <v>E4_1_3_1</v>
      </c>
      <c r="E366" s="29" t="str">
        <f t="shared" si="71"/>
        <v>E4_1_3_1_kcat : 13.7</v>
      </c>
      <c r="F366" s="30" t="str">
        <f t="shared" si="72"/>
        <v>E4_1_3_1_km : 1</v>
      </c>
      <c r="G366" s="31" t="str">
        <f t="shared" si="73"/>
        <v>E4_1_3_1_mRNA : E4_1_3_1_mRNA</v>
      </c>
      <c r="H366" s="32" t="str">
        <f t="shared" si="74"/>
        <v>E4_1_3_1 : E4_1_3_1</v>
      </c>
      <c r="I366" s="33" t="str">
        <f t="shared" si="75"/>
        <v>E4_1_3_1_mRNA : 0</v>
      </c>
      <c r="J366" s="16" t="str">
        <f t="shared" si="76"/>
        <v>E4_1_3_1 : 0</v>
      </c>
      <c r="K366" s="34" t="str">
        <f t="shared" si="77"/>
        <v>0.00292 - (0.0093 * E4_1_3_1_mRNA)</v>
      </c>
      <c r="L366" s="31" t="str">
        <f t="shared" si="78"/>
        <v>(0.278 * E4_1_3_1_mRNA) - (0.00000278 * E4_1_3_1)</v>
      </c>
      <c r="M366" s="35" t="str">
        <f t="shared" si="79"/>
        <v>mRNA365: -&gt; E4_1_3_1_mRNA | 0.00292 - (0.0093 * E4_1_3_1_mRNA)</v>
      </c>
      <c r="N366" s="29" t="str">
        <f t="shared" si="68"/>
        <v>Peptide365: E4_1_3_1_mRNA -&gt; E4_1_3_1 | (0.278 * E4_1_3_1_mRNA) - (0.000000278 * E4_1_3_1)</v>
      </c>
    </row>
    <row r="367" spans="1:14">
      <c r="A367">
        <v>366</v>
      </c>
      <c r="B367" s="45" t="s">
        <v>17627</v>
      </c>
      <c r="C367" t="str">
        <f t="shared" si="69"/>
        <v>E4_1_3_16_mRNA</v>
      </c>
      <c r="D367" t="str">
        <f t="shared" si="70"/>
        <v>E4_1_3_16</v>
      </c>
      <c r="E367" s="29" t="str">
        <f t="shared" si="71"/>
        <v>E4_1_3_16_kcat : 13.7</v>
      </c>
      <c r="F367" s="30" t="str">
        <f t="shared" si="72"/>
        <v>E4_1_3_16_km : 1</v>
      </c>
      <c r="G367" s="31" t="str">
        <f t="shared" si="73"/>
        <v>E4_1_3_16_mRNA : E4_1_3_16_mRNA</v>
      </c>
      <c r="H367" s="32" t="str">
        <f t="shared" si="74"/>
        <v>E4_1_3_16 : E4_1_3_16</v>
      </c>
      <c r="I367" s="33" t="str">
        <f t="shared" si="75"/>
        <v>E4_1_3_16_mRNA : 0</v>
      </c>
      <c r="J367" s="16" t="str">
        <f t="shared" si="76"/>
        <v>E4_1_3_16 : 0</v>
      </c>
      <c r="K367" s="34" t="str">
        <f t="shared" si="77"/>
        <v>0.00292 - (0.0093 * E4_1_3_16_mRNA)</v>
      </c>
      <c r="L367" s="31" t="str">
        <f t="shared" si="78"/>
        <v>(0.278 * E4_1_3_16_mRNA) - (0.00000278 * E4_1_3_16)</v>
      </c>
      <c r="M367" s="35" t="str">
        <f t="shared" si="79"/>
        <v>mRNA366: -&gt; E4_1_3_16_mRNA | 0.00292 - (0.0093 * E4_1_3_16_mRNA)</v>
      </c>
      <c r="N367" s="29" t="str">
        <f t="shared" si="68"/>
        <v>Peptide366: E4_1_3_16_mRNA -&gt; E4_1_3_16 | (0.278 * E4_1_3_16_mRNA) - (0.000000278 * E4_1_3_16)</v>
      </c>
    </row>
    <row r="368" spans="1:14">
      <c r="A368">
        <v>367</v>
      </c>
      <c r="B368" s="45" t="s">
        <v>17628</v>
      </c>
      <c r="C368" t="str">
        <f t="shared" si="69"/>
        <v>E4_1_3_17_mRNA</v>
      </c>
      <c r="D368" t="str">
        <f t="shared" si="70"/>
        <v>E4_1_3_17</v>
      </c>
      <c r="E368" s="29" t="str">
        <f t="shared" si="71"/>
        <v>E4_1_3_17_kcat : 13.7</v>
      </c>
      <c r="F368" s="30" t="str">
        <f t="shared" si="72"/>
        <v>E4_1_3_17_km : 1</v>
      </c>
      <c r="G368" s="31" t="str">
        <f t="shared" si="73"/>
        <v>E4_1_3_17_mRNA : E4_1_3_17_mRNA</v>
      </c>
      <c r="H368" s="32" t="str">
        <f t="shared" si="74"/>
        <v>E4_1_3_17 : E4_1_3_17</v>
      </c>
      <c r="I368" s="33" t="str">
        <f t="shared" si="75"/>
        <v>E4_1_3_17_mRNA : 0</v>
      </c>
      <c r="J368" s="16" t="str">
        <f t="shared" si="76"/>
        <v>E4_1_3_17 : 0</v>
      </c>
      <c r="K368" s="34" t="str">
        <f t="shared" si="77"/>
        <v>0.00292 - (0.0093 * E4_1_3_17_mRNA)</v>
      </c>
      <c r="L368" s="31" t="str">
        <f t="shared" si="78"/>
        <v>(0.278 * E4_1_3_17_mRNA) - (0.00000278 * E4_1_3_17)</v>
      </c>
      <c r="M368" s="35" t="str">
        <f t="shared" si="79"/>
        <v>mRNA367: -&gt; E4_1_3_17_mRNA | 0.00292 - (0.0093 * E4_1_3_17_mRNA)</v>
      </c>
      <c r="N368" s="29" t="str">
        <f t="shared" si="68"/>
        <v>Peptide367: E4_1_3_17_mRNA -&gt; E4_1_3_17 | (0.278 * E4_1_3_17_mRNA) - (0.000000278 * E4_1_3_17)</v>
      </c>
    </row>
    <row r="369" spans="1:14">
      <c r="A369">
        <v>368</v>
      </c>
      <c r="B369" t="s">
        <v>13058</v>
      </c>
      <c r="C369" t="str">
        <f t="shared" si="69"/>
        <v>E4_1_3_27_mRNA</v>
      </c>
      <c r="D369" t="str">
        <f t="shared" si="70"/>
        <v>E4_1_3_27</v>
      </c>
      <c r="E369" s="29" t="str">
        <f t="shared" si="71"/>
        <v>E4_1_3_27_kcat : 13.7</v>
      </c>
      <c r="F369" s="30" t="str">
        <f t="shared" si="72"/>
        <v>E4_1_3_27_km : 1</v>
      </c>
      <c r="G369" s="31" t="str">
        <f t="shared" si="73"/>
        <v>E4_1_3_27_mRNA : E4_1_3_27_mRNA</v>
      </c>
      <c r="H369" s="32" t="str">
        <f t="shared" si="74"/>
        <v>E4_1_3_27 : E4_1_3_27</v>
      </c>
      <c r="I369" s="33" t="str">
        <f t="shared" si="75"/>
        <v>E4_1_3_27_mRNA : 0</v>
      </c>
      <c r="J369" s="16" t="str">
        <f t="shared" si="76"/>
        <v>E4_1_3_27 : 0</v>
      </c>
      <c r="K369" s="34" t="str">
        <f t="shared" si="77"/>
        <v>0.00292 - (0.0093 * E4_1_3_27_mRNA)</v>
      </c>
      <c r="L369" s="31" t="str">
        <f t="shared" si="78"/>
        <v>(0.278 * E4_1_3_27_mRNA) - (0.00000278 * E4_1_3_27)</v>
      </c>
      <c r="M369" s="35" t="str">
        <f t="shared" si="79"/>
        <v>mRNA368: -&gt; E4_1_3_27_mRNA | 0.00292 - (0.0093 * E4_1_3_27_mRNA)</v>
      </c>
      <c r="N369" s="29" t="str">
        <f t="shared" si="68"/>
        <v>Peptide368: E4_1_3_27_mRNA -&gt; E4_1_3_27 | (0.278 * E4_1_3_27_mRNA) - (0.000000278 * E4_1_3_27)</v>
      </c>
    </row>
    <row r="370" spans="1:14">
      <c r="A370">
        <v>369</v>
      </c>
      <c r="B370" t="s">
        <v>13059</v>
      </c>
      <c r="C370" t="str">
        <f t="shared" si="69"/>
        <v>E4_1_3_30_mRNA</v>
      </c>
      <c r="D370" t="str">
        <f t="shared" si="70"/>
        <v>E4_1_3_30</v>
      </c>
      <c r="E370" s="29" t="str">
        <f t="shared" si="71"/>
        <v>E4_1_3_30_kcat : 13.7</v>
      </c>
      <c r="F370" s="30" t="str">
        <f t="shared" si="72"/>
        <v>E4_1_3_30_km : 1</v>
      </c>
      <c r="G370" s="31" t="str">
        <f t="shared" si="73"/>
        <v>E4_1_3_30_mRNA : E4_1_3_30_mRNA</v>
      </c>
      <c r="H370" s="32" t="str">
        <f t="shared" si="74"/>
        <v>E4_1_3_30 : E4_1_3_30</v>
      </c>
      <c r="I370" s="33" t="str">
        <f t="shared" si="75"/>
        <v>E4_1_3_30_mRNA : 0</v>
      </c>
      <c r="J370" s="16" t="str">
        <f t="shared" si="76"/>
        <v>E4_1_3_30 : 0</v>
      </c>
      <c r="K370" s="34" t="str">
        <f t="shared" si="77"/>
        <v>0.00292 - (0.0093 * E4_1_3_30_mRNA)</v>
      </c>
      <c r="L370" s="31" t="str">
        <f t="shared" si="78"/>
        <v>(0.278 * E4_1_3_30_mRNA) - (0.00000278 * E4_1_3_30)</v>
      </c>
      <c r="M370" s="35" t="str">
        <f t="shared" si="79"/>
        <v>mRNA369: -&gt; E4_1_3_30_mRNA | 0.00292 - (0.0093 * E4_1_3_30_mRNA)</v>
      </c>
      <c r="N370" s="29" t="str">
        <f t="shared" si="68"/>
        <v>Peptide369: E4_1_3_30_mRNA -&gt; E4_1_3_30 | (0.278 * E4_1_3_30_mRNA) - (0.000000278 * E4_1_3_30)</v>
      </c>
    </row>
    <row r="371" spans="1:14">
      <c r="A371">
        <v>370</v>
      </c>
      <c r="B371" t="s">
        <v>13060</v>
      </c>
      <c r="C371" t="str">
        <f t="shared" si="69"/>
        <v>E4_1_3_36_mRNA</v>
      </c>
      <c r="D371" t="str">
        <f t="shared" si="70"/>
        <v>E4_1_3_36</v>
      </c>
      <c r="E371" s="29" t="str">
        <f t="shared" si="71"/>
        <v>E4_1_3_36_kcat : 13.7</v>
      </c>
      <c r="F371" s="30" t="str">
        <f t="shared" si="72"/>
        <v>E4_1_3_36_km : 1</v>
      </c>
      <c r="G371" s="31" t="str">
        <f t="shared" si="73"/>
        <v>E4_1_3_36_mRNA : E4_1_3_36_mRNA</v>
      </c>
      <c r="H371" s="32" t="str">
        <f t="shared" si="74"/>
        <v>E4_1_3_36 : E4_1_3_36</v>
      </c>
      <c r="I371" s="33" t="str">
        <f t="shared" si="75"/>
        <v>E4_1_3_36_mRNA : 0</v>
      </c>
      <c r="J371" s="16" t="str">
        <f t="shared" si="76"/>
        <v>E4_1_3_36 : 0</v>
      </c>
      <c r="K371" s="34" t="str">
        <f t="shared" si="77"/>
        <v>0.00292 - (0.0093 * E4_1_3_36_mRNA)</v>
      </c>
      <c r="L371" s="31" t="str">
        <f t="shared" si="78"/>
        <v>(0.278 * E4_1_3_36_mRNA) - (0.00000278 * E4_1_3_36)</v>
      </c>
      <c r="M371" s="35" t="str">
        <f t="shared" si="79"/>
        <v>mRNA370: -&gt; E4_1_3_36_mRNA | 0.00292 - (0.0093 * E4_1_3_36_mRNA)</v>
      </c>
      <c r="N371" s="29" t="str">
        <f t="shared" si="68"/>
        <v>Peptide370: E4_1_3_36_mRNA -&gt; E4_1_3_36 | (0.278 * E4_1_3_36_mRNA) - (0.000000278 * E4_1_3_36)</v>
      </c>
    </row>
    <row r="372" spans="1:14">
      <c r="A372">
        <v>371</v>
      </c>
      <c r="B372" t="s">
        <v>13061</v>
      </c>
      <c r="C372" t="str">
        <f t="shared" si="69"/>
        <v>E4_1_3_38_mRNA</v>
      </c>
      <c r="D372" t="str">
        <f t="shared" si="70"/>
        <v>E4_1_3_38</v>
      </c>
      <c r="E372" s="29" t="str">
        <f t="shared" si="71"/>
        <v>E4_1_3_38_kcat : 13.7</v>
      </c>
      <c r="F372" s="30" t="str">
        <f t="shared" si="72"/>
        <v>E4_1_3_38_km : 1</v>
      </c>
      <c r="G372" s="31" t="str">
        <f t="shared" si="73"/>
        <v>E4_1_3_38_mRNA : E4_1_3_38_mRNA</v>
      </c>
      <c r="H372" s="32" t="str">
        <f t="shared" si="74"/>
        <v>E4_1_3_38 : E4_1_3_38</v>
      </c>
      <c r="I372" s="33" t="str">
        <f t="shared" si="75"/>
        <v>E4_1_3_38_mRNA : 0</v>
      </c>
      <c r="J372" s="16" t="str">
        <f t="shared" si="76"/>
        <v>E4_1_3_38 : 0</v>
      </c>
      <c r="K372" s="34" t="str">
        <f t="shared" si="77"/>
        <v>0.00292 - (0.0093 * E4_1_3_38_mRNA)</v>
      </c>
      <c r="L372" s="31" t="str">
        <f t="shared" si="78"/>
        <v>(0.278 * E4_1_3_38_mRNA) - (0.00000278 * E4_1_3_38)</v>
      </c>
      <c r="M372" s="35" t="str">
        <f t="shared" si="79"/>
        <v>mRNA371: -&gt; E4_1_3_38_mRNA | 0.00292 - (0.0093 * E4_1_3_38_mRNA)</v>
      </c>
      <c r="N372" s="29" t="str">
        <f t="shared" si="68"/>
        <v>Peptide371: E4_1_3_38_mRNA -&gt; E4_1_3_38 | (0.278 * E4_1_3_38_mRNA) - (0.000000278 * E4_1_3_38)</v>
      </c>
    </row>
    <row r="373" spans="1:14">
      <c r="A373">
        <v>372</v>
      </c>
      <c r="B373" s="45" t="s">
        <v>17629</v>
      </c>
      <c r="C373" t="str">
        <f t="shared" si="69"/>
        <v>E4_1_3_39_mRNA</v>
      </c>
      <c r="D373" t="str">
        <f t="shared" si="70"/>
        <v>E4_1_3_39</v>
      </c>
      <c r="E373" s="29" t="str">
        <f t="shared" si="71"/>
        <v>E4_1_3_39_kcat : 13.7</v>
      </c>
      <c r="F373" s="30" t="str">
        <f t="shared" si="72"/>
        <v>E4_1_3_39_km : 1</v>
      </c>
      <c r="G373" s="31" t="str">
        <f t="shared" si="73"/>
        <v>E4_1_3_39_mRNA : E4_1_3_39_mRNA</v>
      </c>
      <c r="H373" s="32" t="str">
        <f t="shared" si="74"/>
        <v>E4_1_3_39 : E4_1_3_39</v>
      </c>
      <c r="I373" s="33" t="str">
        <f t="shared" si="75"/>
        <v>E4_1_3_39_mRNA : 0</v>
      </c>
      <c r="J373" s="16" t="str">
        <f t="shared" si="76"/>
        <v>E4_1_3_39 : 0</v>
      </c>
      <c r="K373" s="34" t="str">
        <f t="shared" si="77"/>
        <v>0.00292 - (0.0093 * E4_1_3_39_mRNA)</v>
      </c>
      <c r="L373" s="31" t="str">
        <f t="shared" si="78"/>
        <v>(0.278 * E4_1_3_39_mRNA) - (0.00000278 * E4_1_3_39)</v>
      </c>
      <c r="M373" s="35" t="str">
        <f t="shared" si="79"/>
        <v>mRNA372: -&gt; E4_1_3_39_mRNA | 0.00292 - (0.0093 * E4_1_3_39_mRNA)</v>
      </c>
      <c r="N373" s="29" t="str">
        <f t="shared" si="68"/>
        <v>Peptide372: E4_1_3_39_mRNA -&gt; E4_1_3_39 | (0.278 * E4_1_3_39_mRNA) - (0.000000278 * E4_1_3_39)</v>
      </c>
    </row>
    <row r="374" spans="1:14">
      <c r="A374">
        <v>373</v>
      </c>
      <c r="B374" t="s">
        <v>16050</v>
      </c>
      <c r="C374" t="str">
        <f t="shared" si="69"/>
        <v>E4_1_99_12_mRNA</v>
      </c>
      <c r="D374" t="str">
        <f t="shared" si="70"/>
        <v>E4_1_99_12</v>
      </c>
      <c r="E374" s="29" t="str">
        <f t="shared" si="71"/>
        <v>E4_1_99_12_kcat : 13.7</v>
      </c>
      <c r="F374" s="30" t="str">
        <f t="shared" si="72"/>
        <v>E4_1_99_12_km : 1</v>
      </c>
      <c r="G374" s="31" t="str">
        <f t="shared" si="73"/>
        <v>E4_1_99_12_mRNA : E4_1_99_12_mRNA</v>
      </c>
      <c r="H374" s="32" t="str">
        <f t="shared" si="74"/>
        <v>E4_1_99_12 : E4_1_99_12</v>
      </c>
      <c r="I374" s="33" t="str">
        <f t="shared" si="75"/>
        <v>E4_1_99_12_mRNA : 0</v>
      </c>
      <c r="J374" s="16" t="str">
        <f t="shared" si="76"/>
        <v>E4_1_99_12 : 0</v>
      </c>
      <c r="K374" s="34" t="str">
        <f t="shared" si="77"/>
        <v>0.00292 - (0.0093 * E4_1_99_12_mRNA)</v>
      </c>
      <c r="L374" s="31" t="str">
        <f t="shared" si="78"/>
        <v>(0.278 * E4_1_99_12_mRNA) - (0.00000278 * E4_1_99_12)</v>
      </c>
      <c r="M374" s="35" t="str">
        <f t="shared" si="79"/>
        <v>mRNA373: -&gt; E4_1_99_12_mRNA | 0.00292 - (0.0093 * E4_1_99_12_mRNA)</v>
      </c>
      <c r="N374" s="29" t="str">
        <f t="shared" si="68"/>
        <v>Peptide373: E4_1_99_12_mRNA -&gt; E4_1_99_12 | (0.278 * E4_1_99_12_mRNA) - (0.000000278 * E4_1_99_12)</v>
      </c>
    </row>
    <row r="375" spans="1:14">
      <c r="A375">
        <v>374</v>
      </c>
      <c r="B375" t="s">
        <v>16051</v>
      </c>
      <c r="C375" t="str">
        <f t="shared" si="69"/>
        <v>E4_1_99_17_mRNA</v>
      </c>
      <c r="D375" t="str">
        <f t="shared" si="70"/>
        <v>E4_1_99_17</v>
      </c>
      <c r="E375" s="29" t="str">
        <f t="shared" si="71"/>
        <v>E4_1_99_17_kcat : 13.7</v>
      </c>
      <c r="F375" s="30" t="str">
        <f t="shared" si="72"/>
        <v>E4_1_99_17_km : 1</v>
      </c>
      <c r="G375" s="31" t="str">
        <f t="shared" si="73"/>
        <v>E4_1_99_17_mRNA : E4_1_99_17_mRNA</v>
      </c>
      <c r="H375" s="32" t="str">
        <f t="shared" si="74"/>
        <v>E4_1_99_17 : E4_1_99_17</v>
      </c>
      <c r="I375" s="33" t="str">
        <f t="shared" si="75"/>
        <v>E4_1_99_17_mRNA : 0</v>
      </c>
      <c r="J375" s="16" t="str">
        <f t="shared" si="76"/>
        <v>E4_1_99_17 : 0</v>
      </c>
      <c r="K375" s="34" t="str">
        <f t="shared" si="77"/>
        <v>0.00292 - (0.0093 * E4_1_99_17_mRNA)</v>
      </c>
      <c r="L375" s="31" t="str">
        <f t="shared" si="78"/>
        <v>(0.278 * E4_1_99_17_mRNA) - (0.00000278 * E4_1_99_17)</v>
      </c>
      <c r="M375" s="35" t="str">
        <f t="shared" si="79"/>
        <v>mRNA374: -&gt; E4_1_99_17_mRNA | 0.00292 - (0.0093 * E4_1_99_17_mRNA)</v>
      </c>
      <c r="N375" s="29" t="str">
        <f t="shared" si="68"/>
        <v>Peptide374: E4_1_99_17_mRNA -&gt; E4_1_99_17 | (0.278 * E4_1_99_17_mRNA) - (0.000000278 * E4_1_99_17)</v>
      </c>
    </row>
    <row r="376" spans="1:14">
      <c r="A376">
        <v>375</v>
      </c>
      <c r="B376" t="s">
        <v>16052</v>
      </c>
      <c r="C376" t="str">
        <f t="shared" si="69"/>
        <v>E4_1_99_22_mRNA</v>
      </c>
      <c r="D376" t="str">
        <f t="shared" si="70"/>
        <v>E4_1_99_22</v>
      </c>
      <c r="E376" s="29" t="str">
        <f t="shared" si="71"/>
        <v>E4_1_99_22_kcat : 13.7</v>
      </c>
      <c r="F376" s="30" t="str">
        <f t="shared" si="72"/>
        <v>E4_1_99_22_km : 1</v>
      </c>
      <c r="G376" s="31" t="str">
        <f t="shared" si="73"/>
        <v>E4_1_99_22_mRNA : E4_1_99_22_mRNA</v>
      </c>
      <c r="H376" s="32" t="str">
        <f t="shared" si="74"/>
        <v>E4_1_99_22 : E4_1_99_22</v>
      </c>
      <c r="I376" s="33" t="str">
        <f t="shared" si="75"/>
        <v>E4_1_99_22_mRNA : 0</v>
      </c>
      <c r="J376" s="16" t="str">
        <f t="shared" si="76"/>
        <v>E4_1_99_22 : 0</v>
      </c>
      <c r="K376" s="34" t="str">
        <f t="shared" si="77"/>
        <v>0.00292 - (0.0093 * E4_1_99_22_mRNA)</v>
      </c>
      <c r="L376" s="31" t="str">
        <f t="shared" si="78"/>
        <v>(0.278 * E4_1_99_22_mRNA) - (0.00000278 * E4_1_99_22)</v>
      </c>
      <c r="M376" s="35" t="str">
        <f t="shared" si="79"/>
        <v>mRNA375: -&gt; E4_1_99_22_mRNA | 0.00292 - (0.0093 * E4_1_99_22_mRNA)</v>
      </c>
      <c r="N376" s="29" t="str">
        <f t="shared" si="68"/>
        <v>Peptide375: E4_1_99_22_mRNA -&gt; E4_1_99_22 | (0.278 * E4_1_99_22_mRNA) - (0.000000278 * E4_1_99_22)</v>
      </c>
    </row>
    <row r="377" spans="1:14">
      <c r="A377">
        <v>376</v>
      </c>
      <c r="B377" t="s">
        <v>13062</v>
      </c>
      <c r="C377" t="str">
        <f t="shared" si="69"/>
        <v>E4_2_1_10_mRNA</v>
      </c>
      <c r="D377" t="str">
        <f t="shared" si="70"/>
        <v>E4_2_1_10</v>
      </c>
      <c r="E377" s="29" t="str">
        <f t="shared" si="71"/>
        <v>E4_2_1_10_kcat : 13.7</v>
      </c>
      <c r="F377" s="30" t="str">
        <f t="shared" si="72"/>
        <v>E4_2_1_10_km : 1</v>
      </c>
      <c r="G377" s="31" t="str">
        <f t="shared" si="73"/>
        <v>E4_2_1_10_mRNA : E4_2_1_10_mRNA</v>
      </c>
      <c r="H377" s="32" t="str">
        <f t="shared" si="74"/>
        <v>E4_2_1_10 : E4_2_1_10</v>
      </c>
      <c r="I377" s="33" t="str">
        <f t="shared" si="75"/>
        <v>E4_2_1_10_mRNA : 0</v>
      </c>
      <c r="J377" s="16" t="str">
        <f t="shared" si="76"/>
        <v>E4_2_1_10 : 0</v>
      </c>
      <c r="K377" s="34" t="str">
        <f t="shared" si="77"/>
        <v>0.00292 - (0.0093 * E4_2_1_10_mRNA)</v>
      </c>
      <c r="L377" s="31" t="str">
        <f t="shared" si="78"/>
        <v>(0.278 * E4_2_1_10_mRNA) - (0.00000278 * E4_2_1_10)</v>
      </c>
      <c r="M377" s="35" t="str">
        <f t="shared" si="79"/>
        <v>mRNA376: -&gt; E4_2_1_10_mRNA | 0.00292 - (0.0093 * E4_2_1_10_mRNA)</v>
      </c>
      <c r="N377" s="29" t="str">
        <f t="shared" si="68"/>
        <v>Peptide376: E4_2_1_10_mRNA -&gt; E4_2_1_10 | (0.278 * E4_2_1_10_mRNA) - (0.000000278 * E4_2_1_10)</v>
      </c>
    </row>
    <row r="378" spans="1:14">
      <c r="A378">
        <v>377</v>
      </c>
      <c r="B378" t="s">
        <v>13063</v>
      </c>
      <c r="C378" t="str">
        <f t="shared" si="69"/>
        <v>E4_2_1_11_mRNA</v>
      </c>
      <c r="D378" t="str">
        <f t="shared" si="70"/>
        <v>E4_2_1_11</v>
      </c>
      <c r="E378" s="29" t="str">
        <f t="shared" si="71"/>
        <v>E4_2_1_11_kcat : 13.7</v>
      </c>
      <c r="F378" s="30" t="str">
        <f t="shared" si="72"/>
        <v>E4_2_1_11_km : 1</v>
      </c>
      <c r="G378" s="31" t="str">
        <f t="shared" si="73"/>
        <v>E4_2_1_11_mRNA : E4_2_1_11_mRNA</v>
      </c>
      <c r="H378" s="32" t="str">
        <f t="shared" si="74"/>
        <v>E4_2_1_11 : E4_2_1_11</v>
      </c>
      <c r="I378" s="33" t="str">
        <f t="shared" si="75"/>
        <v>E4_2_1_11_mRNA : 0</v>
      </c>
      <c r="J378" s="16" t="str">
        <f t="shared" si="76"/>
        <v>E4_2_1_11 : 0</v>
      </c>
      <c r="K378" s="34" t="str">
        <f t="shared" si="77"/>
        <v>0.00292 - (0.0093 * E4_2_1_11_mRNA)</v>
      </c>
      <c r="L378" s="31" t="str">
        <f t="shared" si="78"/>
        <v>(0.278 * E4_2_1_11_mRNA) - (0.00000278 * E4_2_1_11)</v>
      </c>
      <c r="M378" s="35" t="str">
        <f t="shared" si="79"/>
        <v>mRNA377: -&gt; E4_2_1_11_mRNA | 0.00292 - (0.0093 * E4_2_1_11_mRNA)</v>
      </c>
      <c r="N378" s="29" t="str">
        <f t="shared" si="68"/>
        <v>Peptide377: E4_2_1_11_mRNA -&gt; E4_2_1_11 | (0.278 * E4_2_1_11_mRNA) - (0.000000278 * E4_2_1_11)</v>
      </c>
    </row>
    <row r="379" spans="1:14">
      <c r="A379">
        <v>378</v>
      </c>
      <c r="B379" t="s">
        <v>13064</v>
      </c>
      <c r="C379" t="str">
        <f t="shared" si="69"/>
        <v>E4_2_1_113_mRNA</v>
      </c>
      <c r="D379" t="str">
        <f t="shared" si="70"/>
        <v>E4_2_1_113</v>
      </c>
      <c r="E379" s="29" t="str">
        <f t="shared" si="71"/>
        <v>E4_2_1_113_kcat : 13.7</v>
      </c>
      <c r="F379" s="30" t="str">
        <f t="shared" si="72"/>
        <v>E4_2_1_113_km : 1</v>
      </c>
      <c r="G379" s="31" t="str">
        <f t="shared" si="73"/>
        <v>E4_2_1_113_mRNA : E4_2_1_113_mRNA</v>
      </c>
      <c r="H379" s="32" t="str">
        <f t="shared" si="74"/>
        <v>E4_2_1_113 : E4_2_1_113</v>
      </c>
      <c r="I379" s="33" t="str">
        <f t="shared" si="75"/>
        <v>E4_2_1_113_mRNA : 0</v>
      </c>
      <c r="J379" s="16" t="str">
        <f t="shared" si="76"/>
        <v>E4_2_1_113 : 0</v>
      </c>
      <c r="K379" s="34" t="str">
        <f t="shared" si="77"/>
        <v>0.00292 - (0.0093 * E4_2_1_113_mRNA)</v>
      </c>
      <c r="L379" s="31" t="str">
        <f t="shared" si="78"/>
        <v>(0.278 * E4_2_1_113_mRNA) - (0.00000278 * E4_2_1_113)</v>
      </c>
      <c r="M379" s="35" t="str">
        <f t="shared" si="79"/>
        <v>mRNA378: -&gt; E4_2_1_113_mRNA | 0.00292 - (0.0093 * E4_2_1_113_mRNA)</v>
      </c>
      <c r="N379" s="29" t="str">
        <f t="shared" si="68"/>
        <v>Peptide378: E4_2_1_113_mRNA -&gt; E4_2_1_113 | (0.278 * E4_2_1_113_mRNA) - (0.000000278 * E4_2_1_113)</v>
      </c>
    </row>
    <row r="380" spans="1:14">
      <c r="A380">
        <v>379</v>
      </c>
      <c r="B380" t="s">
        <v>13065</v>
      </c>
      <c r="C380" t="str">
        <f t="shared" si="69"/>
        <v>E4_2_1_118_mRNA</v>
      </c>
      <c r="D380" t="str">
        <f t="shared" si="70"/>
        <v>E4_2_1_118</v>
      </c>
      <c r="E380" s="29" t="str">
        <f t="shared" si="71"/>
        <v>E4_2_1_118_kcat : 13.7</v>
      </c>
      <c r="F380" s="30" t="str">
        <f t="shared" si="72"/>
        <v>E4_2_1_118_km : 1</v>
      </c>
      <c r="G380" s="31" t="str">
        <f t="shared" si="73"/>
        <v>E4_2_1_118_mRNA : E4_2_1_118_mRNA</v>
      </c>
      <c r="H380" s="32" t="str">
        <f t="shared" si="74"/>
        <v>E4_2_1_118 : E4_2_1_118</v>
      </c>
      <c r="I380" s="33" t="str">
        <f t="shared" si="75"/>
        <v>E4_2_1_118_mRNA : 0</v>
      </c>
      <c r="J380" s="16" t="str">
        <f t="shared" si="76"/>
        <v>E4_2_1_118 : 0</v>
      </c>
      <c r="K380" s="34" t="str">
        <f t="shared" si="77"/>
        <v>0.00292 - (0.0093 * E4_2_1_118_mRNA)</v>
      </c>
      <c r="L380" s="31" t="str">
        <f t="shared" si="78"/>
        <v>(0.278 * E4_2_1_118_mRNA) - (0.00000278 * E4_2_1_118)</v>
      </c>
      <c r="M380" s="35" t="str">
        <f t="shared" si="79"/>
        <v>mRNA379: -&gt; E4_2_1_118_mRNA | 0.00292 - (0.0093 * E4_2_1_118_mRNA)</v>
      </c>
      <c r="N380" s="29" t="str">
        <f t="shared" si="68"/>
        <v>Peptide379: E4_2_1_118_mRNA -&gt; E4_2_1_118 | (0.278 * E4_2_1_118_mRNA) - (0.000000278 * E4_2_1_118)</v>
      </c>
    </row>
    <row r="381" spans="1:14">
      <c r="A381">
        <v>380</v>
      </c>
      <c r="B381" s="45" t="s">
        <v>17630</v>
      </c>
      <c r="C381" t="str">
        <f t="shared" si="69"/>
        <v>E4_2_1_163_mRNA</v>
      </c>
      <c r="D381" t="str">
        <f t="shared" si="70"/>
        <v>E4_2_1_163</v>
      </c>
      <c r="E381" s="29" t="str">
        <f t="shared" si="71"/>
        <v>E4_2_1_163_kcat : 13.7</v>
      </c>
      <c r="F381" s="30" t="str">
        <f t="shared" si="72"/>
        <v>E4_2_1_163_km : 1</v>
      </c>
      <c r="G381" s="31" t="str">
        <f t="shared" si="73"/>
        <v>E4_2_1_163_mRNA : E4_2_1_163_mRNA</v>
      </c>
      <c r="H381" s="32" t="str">
        <f t="shared" si="74"/>
        <v>E4_2_1_163 : E4_2_1_163</v>
      </c>
      <c r="I381" s="33" t="str">
        <f t="shared" si="75"/>
        <v>E4_2_1_163_mRNA : 0</v>
      </c>
      <c r="J381" s="16" t="str">
        <f t="shared" si="76"/>
        <v>E4_2_1_163 : 0</v>
      </c>
      <c r="K381" s="34" t="str">
        <f t="shared" si="77"/>
        <v>0.00292 - (0.0093 * E4_2_1_163_mRNA)</v>
      </c>
      <c r="L381" s="31" t="str">
        <f t="shared" si="78"/>
        <v>(0.278 * E4_2_1_163_mRNA) - (0.00000278 * E4_2_1_163)</v>
      </c>
      <c r="M381" s="35" t="str">
        <f t="shared" si="79"/>
        <v>mRNA380: -&gt; E4_2_1_163_mRNA | 0.00292 - (0.0093 * E4_2_1_163_mRNA)</v>
      </c>
      <c r="N381" s="29" t="str">
        <f t="shared" si="68"/>
        <v>Peptide380: E4_2_1_163_mRNA -&gt; E4_2_1_163 | (0.278 * E4_2_1_163_mRNA) - (0.000000278 * E4_2_1_163)</v>
      </c>
    </row>
    <row r="382" spans="1:14">
      <c r="A382">
        <v>381</v>
      </c>
      <c r="B382" t="s">
        <v>13066</v>
      </c>
      <c r="C382" t="str">
        <f t="shared" si="69"/>
        <v>E4_2_1_19_mRNA</v>
      </c>
      <c r="D382" t="str">
        <f t="shared" si="70"/>
        <v>E4_2_1_19</v>
      </c>
      <c r="E382" s="29" t="str">
        <f t="shared" si="71"/>
        <v>E4_2_1_19_kcat : 13.7</v>
      </c>
      <c r="F382" s="30" t="str">
        <f t="shared" si="72"/>
        <v>E4_2_1_19_km : 1</v>
      </c>
      <c r="G382" s="31" t="str">
        <f t="shared" si="73"/>
        <v>E4_2_1_19_mRNA : E4_2_1_19_mRNA</v>
      </c>
      <c r="H382" s="32" t="str">
        <f t="shared" si="74"/>
        <v>E4_2_1_19 : E4_2_1_19</v>
      </c>
      <c r="I382" s="33" t="str">
        <f t="shared" si="75"/>
        <v>E4_2_1_19_mRNA : 0</v>
      </c>
      <c r="J382" s="16" t="str">
        <f t="shared" si="76"/>
        <v>E4_2_1_19 : 0</v>
      </c>
      <c r="K382" s="34" t="str">
        <f t="shared" si="77"/>
        <v>0.00292 - (0.0093 * E4_2_1_19_mRNA)</v>
      </c>
      <c r="L382" s="31" t="str">
        <f t="shared" si="78"/>
        <v>(0.278 * E4_2_1_19_mRNA) - (0.00000278 * E4_2_1_19)</v>
      </c>
      <c r="M382" s="35" t="str">
        <f t="shared" si="79"/>
        <v>mRNA381: -&gt; E4_2_1_19_mRNA | 0.00292 - (0.0093 * E4_2_1_19_mRNA)</v>
      </c>
      <c r="N382" s="29" t="str">
        <f t="shared" si="68"/>
        <v>Peptide381: E4_2_1_19_mRNA -&gt; E4_2_1_19 | (0.278 * E4_2_1_19_mRNA) - (0.000000278 * E4_2_1_19)</v>
      </c>
    </row>
    <row r="383" spans="1:14">
      <c r="A383">
        <v>382</v>
      </c>
      <c r="B383" t="s">
        <v>13067</v>
      </c>
      <c r="C383" t="str">
        <f t="shared" si="69"/>
        <v>E4_2_1_2_mRNA</v>
      </c>
      <c r="D383" t="str">
        <f t="shared" si="70"/>
        <v>E4_2_1_2</v>
      </c>
      <c r="E383" s="29" t="str">
        <f t="shared" si="71"/>
        <v>E4_2_1_2_kcat : 13.7</v>
      </c>
      <c r="F383" s="30" t="str">
        <f t="shared" si="72"/>
        <v>E4_2_1_2_km : 1</v>
      </c>
      <c r="G383" s="31" t="str">
        <f t="shared" si="73"/>
        <v>E4_2_1_2_mRNA : E4_2_1_2_mRNA</v>
      </c>
      <c r="H383" s="32" t="str">
        <f t="shared" si="74"/>
        <v>E4_2_1_2 : E4_2_1_2</v>
      </c>
      <c r="I383" s="33" t="str">
        <f t="shared" si="75"/>
        <v>E4_2_1_2_mRNA : 0</v>
      </c>
      <c r="J383" s="16" t="str">
        <f t="shared" si="76"/>
        <v>E4_2_1_2 : 0</v>
      </c>
      <c r="K383" s="34" t="str">
        <f t="shared" si="77"/>
        <v>0.00292 - (0.0093 * E4_2_1_2_mRNA)</v>
      </c>
      <c r="L383" s="31" t="str">
        <f t="shared" si="78"/>
        <v>(0.278 * E4_2_1_2_mRNA) - (0.00000278 * E4_2_1_2)</v>
      </c>
      <c r="M383" s="35" t="str">
        <f t="shared" si="79"/>
        <v>mRNA382: -&gt; E4_2_1_2_mRNA | 0.00292 - (0.0093 * E4_2_1_2_mRNA)</v>
      </c>
      <c r="N383" s="29" t="str">
        <f t="shared" si="68"/>
        <v>Peptide382: E4_2_1_2_mRNA -&gt; E4_2_1_2 | (0.278 * E4_2_1_2_mRNA) - (0.000000278 * E4_2_1_2)</v>
      </c>
    </row>
    <row r="384" spans="1:14">
      <c r="A384">
        <v>383</v>
      </c>
      <c r="B384" t="s">
        <v>13068</v>
      </c>
      <c r="C384" t="str">
        <f t="shared" si="69"/>
        <v>E4_2_1_20_mRNA</v>
      </c>
      <c r="D384" t="str">
        <f t="shared" si="70"/>
        <v>E4_2_1_20</v>
      </c>
      <c r="E384" s="29" t="str">
        <f t="shared" si="71"/>
        <v>E4_2_1_20_kcat : 13.7</v>
      </c>
      <c r="F384" s="30" t="str">
        <f t="shared" si="72"/>
        <v>E4_2_1_20_km : 1</v>
      </c>
      <c r="G384" s="31" t="str">
        <f t="shared" si="73"/>
        <v>E4_2_1_20_mRNA : E4_2_1_20_mRNA</v>
      </c>
      <c r="H384" s="32" t="str">
        <f t="shared" si="74"/>
        <v>E4_2_1_20 : E4_2_1_20</v>
      </c>
      <c r="I384" s="33" t="str">
        <f t="shared" si="75"/>
        <v>E4_2_1_20_mRNA : 0</v>
      </c>
      <c r="J384" s="16" t="str">
        <f t="shared" si="76"/>
        <v>E4_2_1_20 : 0</v>
      </c>
      <c r="K384" s="34" t="str">
        <f t="shared" si="77"/>
        <v>0.00292 - (0.0093 * E4_2_1_20_mRNA)</v>
      </c>
      <c r="L384" s="31" t="str">
        <f t="shared" si="78"/>
        <v>(0.278 * E4_2_1_20_mRNA) - (0.00000278 * E4_2_1_20)</v>
      </c>
      <c r="M384" s="35" t="str">
        <f t="shared" si="79"/>
        <v>mRNA383: -&gt; E4_2_1_20_mRNA | 0.00292 - (0.0093 * E4_2_1_20_mRNA)</v>
      </c>
      <c r="N384" s="29" t="str">
        <f t="shared" si="68"/>
        <v>Peptide383: E4_2_1_20_mRNA -&gt; E4_2_1_20 | (0.278 * E4_2_1_20_mRNA) - (0.000000278 * E4_2_1_20)</v>
      </c>
    </row>
    <row r="385" spans="1:14">
      <c r="A385">
        <v>384</v>
      </c>
      <c r="B385" t="s">
        <v>13069</v>
      </c>
      <c r="C385" t="str">
        <f t="shared" si="69"/>
        <v>E4_2_1_24_mRNA</v>
      </c>
      <c r="D385" t="str">
        <f t="shared" si="70"/>
        <v>E4_2_1_24</v>
      </c>
      <c r="E385" s="29" t="str">
        <f t="shared" si="71"/>
        <v>E4_2_1_24_kcat : 13.7</v>
      </c>
      <c r="F385" s="30" t="str">
        <f t="shared" si="72"/>
        <v>E4_2_1_24_km : 1</v>
      </c>
      <c r="G385" s="31" t="str">
        <f t="shared" si="73"/>
        <v>E4_2_1_24_mRNA : E4_2_1_24_mRNA</v>
      </c>
      <c r="H385" s="32" t="str">
        <f t="shared" si="74"/>
        <v>E4_2_1_24 : E4_2_1_24</v>
      </c>
      <c r="I385" s="33" t="str">
        <f t="shared" si="75"/>
        <v>E4_2_1_24_mRNA : 0</v>
      </c>
      <c r="J385" s="16" t="str">
        <f t="shared" si="76"/>
        <v>E4_2_1_24 : 0</v>
      </c>
      <c r="K385" s="34" t="str">
        <f t="shared" si="77"/>
        <v>0.00292 - (0.0093 * E4_2_1_24_mRNA)</v>
      </c>
      <c r="L385" s="31" t="str">
        <f t="shared" si="78"/>
        <v>(0.278 * E4_2_1_24_mRNA) - (0.00000278 * E4_2_1_24)</v>
      </c>
      <c r="M385" s="35" t="str">
        <f t="shared" si="79"/>
        <v>mRNA384: -&gt; E4_2_1_24_mRNA | 0.00292 - (0.0093 * E4_2_1_24_mRNA)</v>
      </c>
      <c r="N385" s="29" t="str">
        <f t="shared" si="68"/>
        <v>Peptide384: E4_2_1_24_mRNA -&gt; E4_2_1_24 | (0.278 * E4_2_1_24_mRNA) - (0.000000278 * E4_2_1_24)</v>
      </c>
    </row>
    <row r="386" spans="1:14">
      <c r="A386">
        <v>385</v>
      </c>
      <c r="B386" t="s">
        <v>13070</v>
      </c>
      <c r="C386" t="str">
        <f t="shared" si="69"/>
        <v>E4_2_1_3_mRNA</v>
      </c>
      <c r="D386" t="str">
        <f t="shared" si="70"/>
        <v>E4_2_1_3</v>
      </c>
      <c r="E386" s="29" t="str">
        <f t="shared" si="71"/>
        <v>E4_2_1_3_kcat : 13.7</v>
      </c>
      <c r="F386" s="30" t="str">
        <f t="shared" si="72"/>
        <v>E4_2_1_3_km : 1</v>
      </c>
      <c r="G386" s="31" t="str">
        <f t="shared" si="73"/>
        <v>E4_2_1_3_mRNA : E4_2_1_3_mRNA</v>
      </c>
      <c r="H386" s="32" t="str">
        <f t="shared" si="74"/>
        <v>E4_2_1_3 : E4_2_1_3</v>
      </c>
      <c r="I386" s="33" t="str">
        <f t="shared" si="75"/>
        <v>E4_2_1_3_mRNA : 0</v>
      </c>
      <c r="J386" s="16" t="str">
        <f t="shared" si="76"/>
        <v>E4_2_1_3 : 0</v>
      </c>
      <c r="K386" s="34" t="str">
        <f t="shared" si="77"/>
        <v>0.00292 - (0.0093 * E4_2_1_3_mRNA)</v>
      </c>
      <c r="L386" s="31" t="str">
        <f t="shared" si="78"/>
        <v>(0.278 * E4_2_1_3_mRNA) - (0.00000278 * E4_2_1_3)</v>
      </c>
      <c r="M386" s="35" t="str">
        <f t="shared" si="79"/>
        <v>mRNA385: -&gt; E4_2_1_3_mRNA | 0.00292 - (0.0093 * E4_2_1_3_mRNA)</v>
      </c>
      <c r="N386" s="29" t="str">
        <f t="shared" ref="N386:N449" si="80">CONCATENATE("Peptide",A386,": ",C386," -&gt; ",D386," | ","(","0.278"," * ",C386,")"," - ","(","0.000000278"," * ",D386,")")</f>
        <v>Peptide385: E4_2_1_3_mRNA -&gt; E4_2_1_3 | (0.278 * E4_2_1_3_mRNA) - (0.000000278 * E4_2_1_3)</v>
      </c>
    </row>
    <row r="387" spans="1:14">
      <c r="A387">
        <v>386</v>
      </c>
      <c r="B387" t="s">
        <v>13071</v>
      </c>
      <c r="C387" t="str">
        <f t="shared" ref="C387:C450" si="81">CONCATENATE(D387,"_mRNA")</f>
        <v>E4_2_1_33_mRNA</v>
      </c>
      <c r="D387" t="str">
        <f t="shared" ref="D387:D450" si="82">CONCATENATE("E",B387)</f>
        <v>E4_2_1_33</v>
      </c>
      <c r="E387" s="29" t="str">
        <f t="shared" ref="E387:E450" si="83">CONCATENATE("E",B387,"_kcat : 13.7")</f>
        <v>E4_2_1_33_kcat : 13.7</v>
      </c>
      <c r="F387" s="30" t="str">
        <f t="shared" ref="F387:F450" si="84">CONCATENATE("E",B387,"_km : 1")</f>
        <v>E4_2_1_33_km : 1</v>
      </c>
      <c r="G387" s="31" t="str">
        <f t="shared" ref="G387:G450" si="85">CONCATENATE(C387," : ",C387)</f>
        <v>E4_2_1_33_mRNA : E4_2_1_33_mRNA</v>
      </c>
      <c r="H387" s="32" t="str">
        <f t="shared" ref="H387:H450" si="86">CONCATENATE(D387," : ",D387)</f>
        <v>E4_2_1_33 : E4_2_1_33</v>
      </c>
      <c r="I387" s="33" t="str">
        <f t="shared" ref="I387:I450" si="87">CONCATENATE(C387," : ","0")</f>
        <v>E4_2_1_33_mRNA : 0</v>
      </c>
      <c r="J387" s="16" t="str">
        <f t="shared" ref="J387:J450" si="88">CONCATENATE(D387," : ","0")</f>
        <v>E4_2_1_33 : 0</v>
      </c>
      <c r="K387" s="34" t="str">
        <f t="shared" ref="K387:K450" si="89">CONCATENATE("0.00292 - (0.0093 * ",C387,")")</f>
        <v>0.00292 - (0.0093 * E4_2_1_33_mRNA)</v>
      </c>
      <c r="L387" s="31" t="str">
        <f t="shared" ref="L387:L450" si="90">CONCATENATE("(0.278 * ",C387,")"," - (0.00000278 * ",D387,")")</f>
        <v>(0.278 * E4_2_1_33_mRNA) - (0.00000278 * E4_2_1_33)</v>
      </c>
      <c r="M387" s="35" t="str">
        <f t="shared" ref="M387:M450" si="91">CONCATENATE("mRNA",A387,": -&gt; ",C387," | ","0.00292"," - ","(","0.0093"," * ",C387,")")</f>
        <v>mRNA386: -&gt; E4_2_1_33_mRNA | 0.00292 - (0.0093 * E4_2_1_33_mRNA)</v>
      </c>
      <c r="N387" s="29" t="str">
        <f t="shared" si="80"/>
        <v>Peptide386: E4_2_1_33_mRNA -&gt; E4_2_1_33 | (0.278 * E4_2_1_33_mRNA) - (0.000000278 * E4_2_1_33)</v>
      </c>
    </row>
    <row r="388" spans="1:14">
      <c r="A388">
        <v>387</v>
      </c>
      <c r="B388" t="s">
        <v>16053</v>
      </c>
      <c r="C388" t="str">
        <f t="shared" si="81"/>
        <v>E4_2_1_46_mRNA</v>
      </c>
      <c r="D388" t="str">
        <f t="shared" si="82"/>
        <v>E4_2_1_46</v>
      </c>
      <c r="E388" s="29" t="str">
        <f t="shared" si="83"/>
        <v>E4_2_1_46_kcat : 13.7</v>
      </c>
      <c r="F388" s="30" t="str">
        <f t="shared" si="84"/>
        <v>E4_2_1_46_km : 1</v>
      </c>
      <c r="G388" s="31" t="str">
        <f t="shared" si="85"/>
        <v>E4_2_1_46_mRNA : E4_2_1_46_mRNA</v>
      </c>
      <c r="H388" s="32" t="str">
        <f t="shared" si="86"/>
        <v>E4_2_1_46 : E4_2_1_46</v>
      </c>
      <c r="I388" s="33" t="str">
        <f t="shared" si="87"/>
        <v>E4_2_1_46_mRNA : 0</v>
      </c>
      <c r="J388" s="16" t="str">
        <f t="shared" si="88"/>
        <v>E4_2_1_46 : 0</v>
      </c>
      <c r="K388" s="34" t="str">
        <f t="shared" si="89"/>
        <v>0.00292 - (0.0093 * E4_2_1_46_mRNA)</v>
      </c>
      <c r="L388" s="31" t="str">
        <f t="shared" si="90"/>
        <v>(0.278 * E4_2_1_46_mRNA) - (0.00000278 * E4_2_1_46)</v>
      </c>
      <c r="M388" s="35" t="str">
        <f t="shared" si="91"/>
        <v>mRNA387: -&gt; E4_2_1_46_mRNA | 0.00292 - (0.0093 * E4_2_1_46_mRNA)</v>
      </c>
      <c r="N388" s="29" t="str">
        <f t="shared" si="80"/>
        <v>Peptide387: E4_2_1_46_mRNA -&gt; E4_2_1_46 | (0.278 * E4_2_1_46_mRNA) - (0.000000278 * E4_2_1_46)</v>
      </c>
    </row>
    <row r="389" spans="1:14">
      <c r="A389">
        <v>388</v>
      </c>
      <c r="B389" t="s">
        <v>13072</v>
      </c>
      <c r="C389" t="str">
        <f t="shared" si="81"/>
        <v>E4_2_1_47_mRNA</v>
      </c>
      <c r="D389" t="str">
        <f t="shared" si="82"/>
        <v>E4_2_1_47</v>
      </c>
      <c r="E389" s="29" t="str">
        <f t="shared" si="83"/>
        <v>E4_2_1_47_kcat : 13.7</v>
      </c>
      <c r="F389" s="30" t="str">
        <f t="shared" si="84"/>
        <v>E4_2_1_47_km : 1</v>
      </c>
      <c r="G389" s="31" t="str">
        <f t="shared" si="85"/>
        <v>E4_2_1_47_mRNA : E4_2_1_47_mRNA</v>
      </c>
      <c r="H389" s="32" t="str">
        <f t="shared" si="86"/>
        <v>E4_2_1_47 : E4_2_1_47</v>
      </c>
      <c r="I389" s="33" t="str">
        <f t="shared" si="87"/>
        <v>E4_2_1_47_mRNA : 0</v>
      </c>
      <c r="J389" s="16" t="str">
        <f t="shared" si="88"/>
        <v>E4_2_1_47 : 0</v>
      </c>
      <c r="K389" s="34" t="str">
        <f t="shared" si="89"/>
        <v>0.00292 - (0.0093 * E4_2_1_47_mRNA)</v>
      </c>
      <c r="L389" s="31" t="str">
        <f t="shared" si="90"/>
        <v>(0.278 * E4_2_1_47_mRNA) - (0.00000278 * E4_2_1_47)</v>
      </c>
      <c r="M389" s="35" t="str">
        <f t="shared" si="91"/>
        <v>mRNA388: -&gt; E4_2_1_47_mRNA | 0.00292 - (0.0093 * E4_2_1_47_mRNA)</v>
      </c>
      <c r="N389" s="29" t="str">
        <f t="shared" si="80"/>
        <v>Peptide388: E4_2_1_47_mRNA -&gt; E4_2_1_47 | (0.278 * E4_2_1_47_mRNA) - (0.000000278 * E4_2_1_47)</v>
      </c>
    </row>
    <row r="390" spans="1:14">
      <c r="A390">
        <v>389</v>
      </c>
      <c r="B390" t="s">
        <v>13073</v>
      </c>
      <c r="C390" t="str">
        <f t="shared" si="81"/>
        <v>E4_2_1_51_mRNA</v>
      </c>
      <c r="D390" t="str">
        <f t="shared" si="82"/>
        <v>E4_2_1_51</v>
      </c>
      <c r="E390" s="29" t="str">
        <f t="shared" si="83"/>
        <v>E4_2_1_51_kcat : 13.7</v>
      </c>
      <c r="F390" s="30" t="str">
        <f t="shared" si="84"/>
        <v>E4_2_1_51_km : 1</v>
      </c>
      <c r="G390" s="31" t="str">
        <f t="shared" si="85"/>
        <v>E4_2_1_51_mRNA : E4_2_1_51_mRNA</v>
      </c>
      <c r="H390" s="32" t="str">
        <f t="shared" si="86"/>
        <v>E4_2_1_51 : E4_2_1_51</v>
      </c>
      <c r="I390" s="33" t="str">
        <f t="shared" si="87"/>
        <v>E4_2_1_51_mRNA : 0</v>
      </c>
      <c r="J390" s="16" t="str">
        <f t="shared" si="88"/>
        <v>E4_2_1_51 : 0</v>
      </c>
      <c r="K390" s="34" t="str">
        <f t="shared" si="89"/>
        <v>0.00292 - (0.0093 * E4_2_1_51_mRNA)</v>
      </c>
      <c r="L390" s="31" t="str">
        <f t="shared" si="90"/>
        <v>(0.278 * E4_2_1_51_mRNA) - (0.00000278 * E4_2_1_51)</v>
      </c>
      <c r="M390" s="35" t="str">
        <f t="shared" si="91"/>
        <v>mRNA389: -&gt; E4_2_1_51_mRNA | 0.00292 - (0.0093 * E4_2_1_51_mRNA)</v>
      </c>
      <c r="N390" s="29" t="str">
        <f t="shared" si="80"/>
        <v>Peptide389: E4_2_1_51_mRNA -&gt; E4_2_1_51 | (0.278 * E4_2_1_51_mRNA) - (0.000000278 * E4_2_1_51)</v>
      </c>
    </row>
    <row r="391" spans="1:14">
      <c r="A391">
        <v>390</v>
      </c>
      <c r="B391" t="s">
        <v>13074</v>
      </c>
      <c r="C391" t="str">
        <f t="shared" si="81"/>
        <v>E4_2_1_75_mRNA</v>
      </c>
      <c r="D391" t="str">
        <f t="shared" si="82"/>
        <v>E4_2_1_75</v>
      </c>
      <c r="E391" s="29" t="str">
        <f t="shared" si="83"/>
        <v>E4_2_1_75_kcat : 13.7</v>
      </c>
      <c r="F391" s="30" t="str">
        <f t="shared" si="84"/>
        <v>E4_2_1_75_km : 1</v>
      </c>
      <c r="G391" s="31" t="str">
        <f t="shared" si="85"/>
        <v>E4_2_1_75_mRNA : E4_2_1_75_mRNA</v>
      </c>
      <c r="H391" s="32" t="str">
        <f t="shared" si="86"/>
        <v>E4_2_1_75 : E4_2_1_75</v>
      </c>
      <c r="I391" s="33" t="str">
        <f t="shared" si="87"/>
        <v>E4_2_1_75_mRNA : 0</v>
      </c>
      <c r="J391" s="16" t="str">
        <f t="shared" si="88"/>
        <v>E4_2_1_75 : 0</v>
      </c>
      <c r="K391" s="34" t="str">
        <f t="shared" si="89"/>
        <v>0.00292 - (0.0093 * E4_2_1_75_mRNA)</v>
      </c>
      <c r="L391" s="31" t="str">
        <f t="shared" si="90"/>
        <v>(0.278 * E4_2_1_75_mRNA) - (0.00000278 * E4_2_1_75)</v>
      </c>
      <c r="M391" s="35" t="str">
        <f t="shared" si="91"/>
        <v>mRNA390: -&gt; E4_2_1_75_mRNA | 0.00292 - (0.0093 * E4_2_1_75_mRNA)</v>
      </c>
      <c r="N391" s="29" t="str">
        <f t="shared" si="80"/>
        <v>Peptide390: E4_2_1_75_mRNA -&gt; E4_2_1_75 | (0.278 * E4_2_1_75_mRNA) - (0.000000278 * E4_2_1_75)</v>
      </c>
    </row>
    <row r="392" spans="1:14">
      <c r="A392">
        <v>391</v>
      </c>
      <c r="B392" t="s">
        <v>13075</v>
      </c>
      <c r="C392" t="str">
        <f t="shared" si="81"/>
        <v>E4_2_1_79_mRNA</v>
      </c>
      <c r="D392" t="str">
        <f t="shared" si="82"/>
        <v>E4_2_1_79</v>
      </c>
      <c r="E392" s="29" t="str">
        <f t="shared" si="83"/>
        <v>E4_2_1_79_kcat : 13.7</v>
      </c>
      <c r="F392" s="30" t="str">
        <f t="shared" si="84"/>
        <v>E4_2_1_79_km : 1</v>
      </c>
      <c r="G392" s="31" t="str">
        <f t="shared" si="85"/>
        <v>E4_2_1_79_mRNA : E4_2_1_79_mRNA</v>
      </c>
      <c r="H392" s="32" t="str">
        <f t="shared" si="86"/>
        <v>E4_2_1_79 : E4_2_1_79</v>
      </c>
      <c r="I392" s="33" t="str">
        <f t="shared" si="87"/>
        <v>E4_2_1_79_mRNA : 0</v>
      </c>
      <c r="J392" s="16" t="str">
        <f t="shared" si="88"/>
        <v>E4_2_1_79 : 0</v>
      </c>
      <c r="K392" s="34" t="str">
        <f t="shared" si="89"/>
        <v>0.00292 - (0.0093 * E4_2_1_79_mRNA)</v>
      </c>
      <c r="L392" s="31" t="str">
        <f t="shared" si="90"/>
        <v>(0.278 * E4_2_1_79_mRNA) - (0.00000278 * E4_2_1_79)</v>
      </c>
      <c r="M392" s="35" t="str">
        <f t="shared" si="91"/>
        <v>mRNA391: -&gt; E4_2_1_79_mRNA | 0.00292 - (0.0093 * E4_2_1_79_mRNA)</v>
      </c>
      <c r="N392" s="29" t="str">
        <f t="shared" si="80"/>
        <v>Peptide391: E4_2_1_79_mRNA -&gt; E4_2_1_79 | (0.278 * E4_2_1_79_mRNA) - (0.000000278 * E4_2_1_79)</v>
      </c>
    </row>
    <row r="393" spans="1:14">
      <c r="A393">
        <v>392</v>
      </c>
      <c r="B393" s="45" t="s">
        <v>17631</v>
      </c>
      <c r="C393" t="str">
        <f t="shared" si="81"/>
        <v>E4_2_1_80_mRNA</v>
      </c>
      <c r="D393" t="str">
        <f t="shared" si="82"/>
        <v>E4_2_1_80</v>
      </c>
      <c r="E393" s="29" t="str">
        <f t="shared" si="83"/>
        <v>E4_2_1_80_kcat : 13.7</v>
      </c>
      <c r="F393" s="30" t="str">
        <f t="shared" si="84"/>
        <v>E4_2_1_80_km : 1</v>
      </c>
      <c r="G393" s="31" t="str">
        <f t="shared" si="85"/>
        <v>E4_2_1_80_mRNA : E4_2_1_80_mRNA</v>
      </c>
      <c r="H393" s="32" t="str">
        <f t="shared" si="86"/>
        <v>E4_2_1_80 : E4_2_1_80</v>
      </c>
      <c r="I393" s="33" t="str">
        <f t="shared" si="87"/>
        <v>E4_2_1_80_mRNA : 0</v>
      </c>
      <c r="J393" s="16" t="str">
        <f t="shared" si="88"/>
        <v>E4_2_1_80 : 0</v>
      </c>
      <c r="K393" s="34" t="str">
        <f t="shared" si="89"/>
        <v>0.00292 - (0.0093 * E4_2_1_80_mRNA)</v>
      </c>
      <c r="L393" s="31" t="str">
        <f t="shared" si="90"/>
        <v>(0.278 * E4_2_1_80_mRNA) - (0.00000278 * E4_2_1_80)</v>
      </c>
      <c r="M393" s="35" t="str">
        <f t="shared" si="91"/>
        <v>mRNA392: -&gt; E4_2_1_80_mRNA | 0.00292 - (0.0093 * E4_2_1_80_mRNA)</v>
      </c>
      <c r="N393" s="29" t="str">
        <f t="shared" si="80"/>
        <v>Peptide392: E4_2_1_80_mRNA -&gt; E4_2_1_80 | (0.278 * E4_2_1_80_mRNA) - (0.000000278 * E4_2_1_80)</v>
      </c>
    </row>
    <row r="394" spans="1:14">
      <c r="A394">
        <v>393</v>
      </c>
      <c r="B394" t="s">
        <v>13076</v>
      </c>
      <c r="C394" t="str">
        <f t="shared" si="81"/>
        <v>E4_2_1_9_mRNA</v>
      </c>
      <c r="D394" t="str">
        <f t="shared" si="82"/>
        <v>E4_2_1_9</v>
      </c>
      <c r="E394" s="29" t="str">
        <f t="shared" si="83"/>
        <v>E4_2_1_9_kcat : 13.7</v>
      </c>
      <c r="F394" s="30" t="str">
        <f t="shared" si="84"/>
        <v>E4_2_1_9_km : 1</v>
      </c>
      <c r="G394" s="31" t="str">
        <f t="shared" si="85"/>
        <v>E4_2_1_9_mRNA : E4_2_1_9_mRNA</v>
      </c>
      <c r="H394" s="32" t="str">
        <f t="shared" si="86"/>
        <v>E4_2_1_9 : E4_2_1_9</v>
      </c>
      <c r="I394" s="33" t="str">
        <f t="shared" si="87"/>
        <v>E4_2_1_9_mRNA : 0</v>
      </c>
      <c r="J394" s="16" t="str">
        <f t="shared" si="88"/>
        <v>E4_2_1_9 : 0</v>
      </c>
      <c r="K394" s="34" t="str">
        <f t="shared" si="89"/>
        <v>0.00292 - (0.0093 * E4_2_1_9_mRNA)</v>
      </c>
      <c r="L394" s="31" t="str">
        <f t="shared" si="90"/>
        <v>(0.278 * E4_2_1_9_mRNA) - (0.00000278 * E4_2_1_9)</v>
      </c>
      <c r="M394" s="35" t="str">
        <f t="shared" si="91"/>
        <v>mRNA393: -&gt; E4_2_1_9_mRNA | 0.00292 - (0.0093 * E4_2_1_9_mRNA)</v>
      </c>
      <c r="N394" s="29" t="str">
        <f t="shared" si="80"/>
        <v>Peptide393: E4_2_1_9_mRNA -&gt; E4_2_1_9 | (0.278 * E4_2_1_9_mRNA) - (0.000000278 * E4_2_1_9)</v>
      </c>
    </row>
    <row r="395" spans="1:14">
      <c r="A395">
        <v>394</v>
      </c>
      <c r="B395" t="s">
        <v>13077</v>
      </c>
      <c r="C395" t="str">
        <f t="shared" si="81"/>
        <v>E4_2_1_96_mRNA</v>
      </c>
      <c r="D395" t="str">
        <f t="shared" si="82"/>
        <v>E4_2_1_96</v>
      </c>
      <c r="E395" s="29" t="str">
        <f t="shared" si="83"/>
        <v>E4_2_1_96_kcat : 13.7</v>
      </c>
      <c r="F395" s="30" t="str">
        <f t="shared" si="84"/>
        <v>E4_2_1_96_km : 1</v>
      </c>
      <c r="G395" s="31" t="str">
        <f t="shared" si="85"/>
        <v>E4_2_1_96_mRNA : E4_2_1_96_mRNA</v>
      </c>
      <c r="H395" s="32" t="str">
        <f t="shared" si="86"/>
        <v>E4_2_1_96 : E4_2_1_96</v>
      </c>
      <c r="I395" s="33" t="str">
        <f t="shared" si="87"/>
        <v>E4_2_1_96_mRNA : 0</v>
      </c>
      <c r="J395" s="16" t="str">
        <f t="shared" si="88"/>
        <v>E4_2_1_96 : 0</v>
      </c>
      <c r="K395" s="34" t="str">
        <f t="shared" si="89"/>
        <v>0.00292 - (0.0093 * E4_2_1_96_mRNA)</v>
      </c>
      <c r="L395" s="31" t="str">
        <f t="shared" si="90"/>
        <v>(0.278 * E4_2_1_96_mRNA) - (0.00000278 * E4_2_1_96)</v>
      </c>
      <c r="M395" s="35" t="str">
        <f t="shared" si="91"/>
        <v>mRNA394: -&gt; E4_2_1_96_mRNA | 0.00292 - (0.0093 * E4_2_1_96_mRNA)</v>
      </c>
      <c r="N395" s="29" t="str">
        <f t="shared" si="80"/>
        <v>Peptide394: E4_2_1_96_mRNA -&gt; E4_2_1_96 | (0.278 * E4_2_1_96_mRNA) - (0.000000278 * E4_2_1_96)</v>
      </c>
    </row>
    <row r="396" spans="1:14">
      <c r="A396">
        <v>395</v>
      </c>
      <c r="B396" t="s">
        <v>13078</v>
      </c>
      <c r="C396" t="str">
        <f t="shared" si="81"/>
        <v>E4_2_3_1_mRNA</v>
      </c>
      <c r="D396" t="str">
        <f t="shared" si="82"/>
        <v>E4_2_3_1</v>
      </c>
      <c r="E396" s="29" t="str">
        <f t="shared" si="83"/>
        <v>E4_2_3_1_kcat : 13.7</v>
      </c>
      <c r="F396" s="30" t="str">
        <f t="shared" si="84"/>
        <v>E4_2_3_1_km : 1</v>
      </c>
      <c r="G396" s="31" t="str">
        <f t="shared" si="85"/>
        <v>E4_2_3_1_mRNA : E4_2_3_1_mRNA</v>
      </c>
      <c r="H396" s="32" t="str">
        <f t="shared" si="86"/>
        <v>E4_2_3_1 : E4_2_3_1</v>
      </c>
      <c r="I396" s="33" t="str">
        <f t="shared" si="87"/>
        <v>E4_2_3_1_mRNA : 0</v>
      </c>
      <c r="J396" s="16" t="str">
        <f t="shared" si="88"/>
        <v>E4_2_3_1 : 0</v>
      </c>
      <c r="K396" s="34" t="str">
        <f t="shared" si="89"/>
        <v>0.00292 - (0.0093 * E4_2_3_1_mRNA)</v>
      </c>
      <c r="L396" s="31" t="str">
        <f t="shared" si="90"/>
        <v>(0.278 * E4_2_3_1_mRNA) - (0.00000278 * E4_2_3_1)</v>
      </c>
      <c r="M396" s="35" t="str">
        <f t="shared" si="91"/>
        <v>mRNA395: -&gt; E4_2_3_1_mRNA | 0.00292 - (0.0093 * E4_2_3_1_mRNA)</v>
      </c>
      <c r="N396" s="29" t="str">
        <f t="shared" si="80"/>
        <v>Peptide395: E4_2_3_1_mRNA -&gt; E4_2_3_1 | (0.278 * E4_2_3_1_mRNA) - (0.000000278 * E4_2_3_1)</v>
      </c>
    </row>
    <row r="397" spans="1:14">
      <c r="A397">
        <v>396</v>
      </c>
      <c r="B397" t="s">
        <v>13079</v>
      </c>
      <c r="C397" t="str">
        <f t="shared" si="81"/>
        <v>E4_2_3_4_mRNA</v>
      </c>
      <c r="D397" t="str">
        <f t="shared" si="82"/>
        <v>E4_2_3_4</v>
      </c>
      <c r="E397" s="29" t="str">
        <f t="shared" si="83"/>
        <v>E4_2_3_4_kcat : 13.7</v>
      </c>
      <c r="F397" s="30" t="str">
        <f t="shared" si="84"/>
        <v>E4_2_3_4_km : 1</v>
      </c>
      <c r="G397" s="31" t="str">
        <f t="shared" si="85"/>
        <v>E4_2_3_4_mRNA : E4_2_3_4_mRNA</v>
      </c>
      <c r="H397" s="32" t="str">
        <f t="shared" si="86"/>
        <v>E4_2_3_4 : E4_2_3_4</v>
      </c>
      <c r="I397" s="33" t="str">
        <f t="shared" si="87"/>
        <v>E4_2_3_4_mRNA : 0</v>
      </c>
      <c r="J397" s="16" t="str">
        <f t="shared" si="88"/>
        <v>E4_2_3_4 : 0</v>
      </c>
      <c r="K397" s="34" t="str">
        <f t="shared" si="89"/>
        <v>0.00292 - (0.0093 * E4_2_3_4_mRNA)</v>
      </c>
      <c r="L397" s="31" t="str">
        <f t="shared" si="90"/>
        <v>(0.278 * E4_2_3_4_mRNA) - (0.00000278 * E4_2_3_4)</v>
      </c>
      <c r="M397" s="35" t="str">
        <f t="shared" si="91"/>
        <v>mRNA396: -&gt; E4_2_3_4_mRNA | 0.00292 - (0.0093 * E4_2_3_4_mRNA)</v>
      </c>
      <c r="N397" s="29" t="str">
        <f t="shared" si="80"/>
        <v>Peptide396: E4_2_3_4_mRNA -&gt; E4_2_3_4 | (0.278 * E4_2_3_4_mRNA) - (0.000000278 * E4_2_3_4)</v>
      </c>
    </row>
    <row r="398" spans="1:14">
      <c r="A398">
        <v>397</v>
      </c>
      <c r="B398" t="s">
        <v>16054</v>
      </c>
      <c r="C398" t="str">
        <f t="shared" si="81"/>
        <v>E4_2_3_5_mRNA</v>
      </c>
      <c r="D398" t="str">
        <f t="shared" si="82"/>
        <v>E4_2_3_5</v>
      </c>
      <c r="E398" s="29" t="str">
        <f t="shared" si="83"/>
        <v>E4_2_3_5_kcat : 13.7</v>
      </c>
      <c r="F398" s="30" t="str">
        <f t="shared" si="84"/>
        <v>E4_2_3_5_km : 1</v>
      </c>
      <c r="G398" s="31" t="str">
        <f t="shared" si="85"/>
        <v>E4_2_3_5_mRNA : E4_2_3_5_mRNA</v>
      </c>
      <c r="H398" s="32" t="str">
        <f t="shared" si="86"/>
        <v>E4_2_3_5 : E4_2_3_5</v>
      </c>
      <c r="I398" s="33" t="str">
        <f t="shared" si="87"/>
        <v>E4_2_3_5_mRNA : 0</v>
      </c>
      <c r="J398" s="16" t="str">
        <f t="shared" si="88"/>
        <v>E4_2_3_5 : 0</v>
      </c>
      <c r="K398" s="34" t="str">
        <f t="shared" si="89"/>
        <v>0.00292 - (0.0093 * E4_2_3_5_mRNA)</v>
      </c>
      <c r="L398" s="31" t="str">
        <f t="shared" si="90"/>
        <v>(0.278 * E4_2_3_5_mRNA) - (0.00000278 * E4_2_3_5)</v>
      </c>
      <c r="M398" s="35" t="str">
        <f t="shared" si="91"/>
        <v>mRNA397: -&gt; E4_2_3_5_mRNA | 0.00292 - (0.0093 * E4_2_3_5_mRNA)</v>
      </c>
      <c r="N398" s="29" t="str">
        <f t="shared" si="80"/>
        <v>Peptide397: E4_2_3_5_mRNA -&gt; E4_2_3_5 | (0.278 * E4_2_3_5_mRNA) - (0.000000278 * E4_2_3_5)</v>
      </c>
    </row>
    <row r="399" spans="1:14">
      <c r="A399">
        <v>398</v>
      </c>
      <c r="B399" t="s">
        <v>13080</v>
      </c>
      <c r="C399" t="str">
        <f t="shared" si="81"/>
        <v>E4_3_1_1_mRNA</v>
      </c>
      <c r="D399" t="str">
        <f t="shared" si="82"/>
        <v>E4_3_1_1</v>
      </c>
      <c r="E399" s="29" t="str">
        <f t="shared" si="83"/>
        <v>E4_3_1_1_kcat : 13.7</v>
      </c>
      <c r="F399" s="30" t="str">
        <f t="shared" si="84"/>
        <v>E4_3_1_1_km : 1</v>
      </c>
      <c r="G399" s="31" t="str">
        <f t="shared" si="85"/>
        <v>E4_3_1_1_mRNA : E4_3_1_1_mRNA</v>
      </c>
      <c r="H399" s="32" t="str">
        <f t="shared" si="86"/>
        <v>E4_3_1_1 : E4_3_1_1</v>
      </c>
      <c r="I399" s="33" t="str">
        <f t="shared" si="87"/>
        <v>E4_3_1_1_mRNA : 0</v>
      </c>
      <c r="J399" s="16" t="str">
        <f t="shared" si="88"/>
        <v>E4_3_1_1 : 0</v>
      </c>
      <c r="K399" s="34" t="str">
        <f t="shared" si="89"/>
        <v>0.00292 - (0.0093 * E4_3_1_1_mRNA)</v>
      </c>
      <c r="L399" s="31" t="str">
        <f t="shared" si="90"/>
        <v>(0.278 * E4_3_1_1_mRNA) - (0.00000278 * E4_3_1_1)</v>
      </c>
      <c r="M399" s="35" t="str">
        <f t="shared" si="91"/>
        <v>mRNA398: -&gt; E4_3_1_1_mRNA | 0.00292 - (0.0093 * E4_3_1_1_mRNA)</v>
      </c>
      <c r="N399" s="29" t="str">
        <f t="shared" si="80"/>
        <v>Peptide398: E4_3_1_1_mRNA -&gt; E4_3_1_1 | (0.278 * E4_3_1_1_mRNA) - (0.000000278 * E4_3_1_1)</v>
      </c>
    </row>
    <row r="400" spans="1:14">
      <c r="A400">
        <v>399</v>
      </c>
      <c r="B400" t="s">
        <v>13081</v>
      </c>
      <c r="C400" t="str">
        <f t="shared" si="81"/>
        <v>E4_3_1_17_mRNA</v>
      </c>
      <c r="D400" t="str">
        <f t="shared" si="82"/>
        <v>E4_3_1_17</v>
      </c>
      <c r="E400" s="29" t="str">
        <f t="shared" si="83"/>
        <v>E4_3_1_17_kcat : 13.7</v>
      </c>
      <c r="F400" s="30" t="str">
        <f t="shared" si="84"/>
        <v>E4_3_1_17_km : 1</v>
      </c>
      <c r="G400" s="31" t="str">
        <f t="shared" si="85"/>
        <v>E4_3_1_17_mRNA : E4_3_1_17_mRNA</v>
      </c>
      <c r="H400" s="32" t="str">
        <f t="shared" si="86"/>
        <v>E4_3_1_17 : E4_3_1_17</v>
      </c>
      <c r="I400" s="33" t="str">
        <f t="shared" si="87"/>
        <v>E4_3_1_17_mRNA : 0</v>
      </c>
      <c r="J400" s="16" t="str">
        <f t="shared" si="88"/>
        <v>E4_3_1_17 : 0</v>
      </c>
      <c r="K400" s="34" t="str">
        <f t="shared" si="89"/>
        <v>0.00292 - (0.0093 * E4_3_1_17_mRNA)</v>
      </c>
      <c r="L400" s="31" t="str">
        <f t="shared" si="90"/>
        <v>(0.278 * E4_3_1_17_mRNA) - (0.00000278 * E4_3_1_17)</v>
      </c>
      <c r="M400" s="35" t="str">
        <f t="shared" si="91"/>
        <v>mRNA399: -&gt; E4_3_1_17_mRNA | 0.00292 - (0.0093 * E4_3_1_17_mRNA)</v>
      </c>
      <c r="N400" s="29" t="str">
        <f t="shared" si="80"/>
        <v>Peptide399: E4_3_1_17_mRNA -&gt; E4_3_1_17 | (0.278 * E4_3_1_17_mRNA) - (0.000000278 * E4_3_1_17)</v>
      </c>
    </row>
    <row r="401" spans="1:14">
      <c r="A401">
        <v>400</v>
      </c>
      <c r="B401" t="s">
        <v>13082</v>
      </c>
      <c r="C401" t="str">
        <f t="shared" si="81"/>
        <v>E4_3_1_19_mRNA</v>
      </c>
      <c r="D401" t="str">
        <f t="shared" si="82"/>
        <v>E4_3_1_19</v>
      </c>
      <c r="E401" s="29" t="str">
        <f t="shared" si="83"/>
        <v>E4_3_1_19_kcat : 13.7</v>
      </c>
      <c r="F401" s="30" t="str">
        <f t="shared" si="84"/>
        <v>E4_3_1_19_km : 1</v>
      </c>
      <c r="G401" s="31" t="str">
        <f t="shared" si="85"/>
        <v>E4_3_1_19_mRNA : E4_3_1_19_mRNA</v>
      </c>
      <c r="H401" s="32" t="str">
        <f t="shared" si="86"/>
        <v>E4_3_1_19 : E4_3_1_19</v>
      </c>
      <c r="I401" s="33" t="str">
        <f t="shared" si="87"/>
        <v>E4_3_1_19_mRNA : 0</v>
      </c>
      <c r="J401" s="16" t="str">
        <f t="shared" si="88"/>
        <v>E4_3_1_19 : 0</v>
      </c>
      <c r="K401" s="34" t="str">
        <f t="shared" si="89"/>
        <v>0.00292 - (0.0093 * E4_3_1_19_mRNA)</v>
      </c>
      <c r="L401" s="31" t="str">
        <f t="shared" si="90"/>
        <v>(0.278 * E4_3_1_19_mRNA) - (0.00000278 * E4_3_1_19)</v>
      </c>
      <c r="M401" s="35" t="str">
        <f t="shared" si="91"/>
        <v>mRNA400: -&gt; E4_3_1_19_mRNA | 0.00292 - (0.0093 * E4_3_1_19_mRNA)</v>
      </c>
      <c r="N401" s="29" t="str">
        <f t="shared" si="80"/>
        <v>Peptide400: E4_3_1_19_mRNA -&gt; E4_3_1_19 | (0.278 * E4_3_1_19_mRNA) - (0.000000278 * E4_3_1_19)</v>
      </c>
    </row>
    <row r="402" spans="1:14">
      <c r="A402">
        <v>401</v>
      </c>
      <c r="B402" t="s">
        <v>13083</v>
      </c>
      <c r="C402" t="str">
        <f t="shared" si="81"/>
        <v>E4_3_2_1_mRNA</v>
      </c>
      <c r="D402" t="str">
        <f t="shared" si="82"/>
        <v>E4_3_2_1</v>
      </c>
      <c r="E402" s="29" t="str">
        <f t="shared" si="83"/>
        <v>E4_3_2_1_kcat : 13.7</v>
      </c>
      <c r="F402" s="30" t="str">
        <f t="shared" si="84"/>
        <v>E4_3_2_1_km : 1</v>
      </c>
      <c r="G402" s="31" t="str">
        <f t="shared" si="85"/>
        <v>E4_3_2_1_mRNA : E4_3_2_1_mRNA</v>
      </c>
      <c r="H402" s="32" t="str">
        <f t="shared" si="86"/>
        <v>E4_3_2_1 : E4_3_2_1</v>
      </c>
      <c r="I402" s="33" t="str">
        <f t="shared" si="87"/>
        <v>E4_3_2_1_mRNA : 0</v>
      </c>
      <c r="J402" s="16" t="str">
        <f t="shared" si="88"/>
        <v>E4_3_2_1 : 0</v>
      </c>
      <c r="K402" s="34" t="str">
        <f t="shared" si="89"/>
        <v>0.00292 - (0.0093 * E4_3_2_1_mRNA)</v>
      </c>
      <c r="L402" s="31" t="str">
        <f t="shared" si="90"/>
        <v>(0.278 * E4_3_2_1_mRNA) - (0.00000278 * E4_3_2_1)</v>
      </c>
      <c r="M402" s="35" t="str">
        <f t="shared" si="91"/>
        <v>mRNA401: -&gt; E4_3_2_1_mRNA | 0.00292 - (0.0093 * E4_3_2_1_mRNA)</v>
      </c>
      <c r="N402" s="29" t="str">
        <f t="shared" si="80"/>
        <v>Peptide401: E4_3_2_1_mRNA -&gt; E4_3_2_1 | (0.278 * E4_3_2_1_mRNA) - (0.000000278 * E4_3_2_1)</v>
      </c>
    </row>
    <row r="403" spans="1:14">
      <c r="A403">
        <v>402</v>
      </c>
      <c r="B403" t="s">
        <v>13084</v>
      </c>
      <c r="C403" t="str">
        <f t="shared" si="81"/>
        <v>E4_3_2_10_mRNA</v>
      </c>
      <c r="D403" t="str">
        <f t="shared" si="82"/>
        <v>E4_3_2_10</v>
      </c>
      <c r="E403" s="29" t="str">
        <f t="shared" si="83"/>
        <v>E4_3_2_10_kcat : 13.7</v>
      </c>
      <c r="F403" s="30" t="str">
        <f t="shared" si="84"/>
        <v>E4_3_2_10_km : 1</v>
      </c>
      <c r="G403" s="31" t="str">
        <f t="shared" si="85"/>
        <v>E4_3_2_10_mRNA : E4_3_2_10_mRNA</v>
      </c>
      <c r="H403" s="32" t="str">
        <f t="shared" si="86"/>
        <v>E4_3_2_10 : E4_3_2_10</v>
      </c>
      <c r="I403" s="33" t="str">
        <f t="shared" si="87"/>
        <v>E4_3_2_10_mRNA : 0</v>
      </c>
      <c r="J403" s="16" t="str">
        <f t="shared" si="88"/>
        <v>E4_3_2_10 : 0</v>
      </c>
      <c r="K403" s="34" t="str">
        <f t="shared" si="89"/>
        <v>0.00292 - (0.0093 * E4_3_2_10_mRNA)</v>
      </c>
      <c r="L403" s="31" t="str">
        <f t="shared" si="90"/>
        <v>(0.278 * E4_3_2_10_mRNA) - (0.00000278 * E4_3_2_10)</v>
      </c>
      <c r="M403" s="35" t="str">
        <f t="shared" si="91"/>
        <v>mRNA402: -&gt; E4_3_2_10_mRNA | 0.00292 - (0.0093 * E4_3_2_10_mRNA)</v>
      </c>
      <c r="N403" s="29" t="str">
        <f t="shared" si="80"/>
        <v>Peptide402: E4_3_2_10_mRNA -&gt; E4_3_2_10 | (0.278 * E4_3_2_10_mRNA) - (0.000000278 * E4_3_2_10)</v>
      </c>
    </row>
    <row r="404" spans="1:14">
      <c r="A404">
        <v>403</v>
      </c>
      <c r="B404" t="s">
        <v>13085</v>
      </c>
      <c r="C404" t="str">
        <f t="shared" si="81"/>
        <v>E4_3_2_2_mRNA</v>
      </c>
      <c r="D404" t="str">
        <f t="shared" si="82"/>
        <v>E4_3_2_2</v>
      </c>
      <c r="E404" s="29" t="str">
        <f t="shared" si="83"/>
        <v>E4_3_2_2_kcat : 13.7</v>
      </c>
      <c r="F404" s="30" t="str">
        <f t="shared" si="84"/>
        <v>E4_3_2_2_km : 1</v>
      </c>
      <c r="G404" s="31" t="str">
        <f t="shared" si="85"/>
        <v>E4_3_2_2_mRNA : E4_3_2_2_mRNA</v>
      </c>
      <c r="H404" s="32" t="str">
        <f t="shared" si="86"/>
        <v>E4_3_2_2 : E4_3_2_2</v>
      </c>
      <c r="I404" s="33" t="str">
        <f t="shared" si="87"/>
        <v>E4_3_2_2_mRNA : 0</v>
      </c>
      <c r="J404" s="16" t="str">
        <f t="shared" si="88"/>
        <v>E4_3_2_2 : 0</v>
      </c>
      <c r="K404" s="34" t="str">
        <f t="shared" si="89"/>
        <v>0.00292 - (0.0093 * E4_3_2_2_mRNA)</v>
      </c>
      <c r="L404" s="31" t="str">
        <f t="shared" si="90"/>
        <v>(0.278 * E4_3_2_2_mRNA) - (0.00000278 * E4_3_2_2)</v>
      </c>
      <c r="M404" s="35" t="str">
        <f t="shared" si="91"/>
        <v>mRNA403: -&gt; E4_3_2_2_mRNA | 0.00292 - (0.0093 * E4_3_2_2_mRNA)</v>
      </c>
      <c r="N404" s="29" t="str">
        <f t="shared" si="80"/>
        <v>Peptide403: E4_3_2_2_mRNA -&gt; E4_3_2_2 | (0.278 * E4_3_2_2_mRNA) - (0.000000278 * E4_3_2_2)</v>
      </c>
    </row>
    <row r="405" spans="1:14">
      <c r="A405">
        <v>404</v>
      </c>
      <c r="B405" t="s">
        <v>13086</v>
      </c>
      <c r="C405" t="str">
        <f t="shared" si="81"/>
        <v>E4_3_3_6_mRNA</v>
      </c>
      <c r="D405" t="str">
        <f t="shared" si="82"/>
        <v>E4_3_3_6</v>
      </c>
      <c r="E405" s="29" t="str">
        <f t="shared" si="83"/>
        <v>E4_3_3_6_kcat : 13.7</v>
      </c>
      <c r="F405" s="30" t="str">
        <f t="shared" si="84"/>
        <v>E4_3_3_6_km : 1</v>
      </c>
      <c r="G405" s="31" t="str">
        <f t="shared" si="85"/>
        <v>E4_3_3_6_mRNA : E4_3_3_6_mRNA</v>
      </c>
      <c r="H405" s="32" t="str">
        <f t="shared" si="86"/>
        <v>E4_3_3_6 : E4_3_3_6</v>
      </c>
      <c r="I405" s="33" t="str">
        <f t="shared" si="87"/>
        <v>E4_3_3_6_mRNA : 0</v>
      </c>
      <c r="J405" s="16" t="str">
        <f t="shared" si="88"/>
        <v>E4_3_3_6 : 0</v>
      </c>
      <c r="K405" s="34" t="str">
        <f t="shared" si="89"/>
        <v>0.00292 - (0.0093 * E4_3_3_6_mRNA)</v>
      </c>
      <c r="L405" s="31" t="str">
        <f t="shared" si="90"/>
        <v>(0.278 * E4_3_3_6_mRNA) - (0.00000278 * E4_3_3_6)</v>
      </c>
      <c r="M405" s="35" t="str">
        <f t="shared" si="91"/>
        <v>mRNA404: -&gt; E4_3_3_6_mRNA | 0.00292 - (0.0093 * E4_3_3_6_mRNA)</v>
      </c>
      <c r="N405" s="29" t="str">
        <f t="shared" si="80"/>
        <v>Peptide404: E4_3_3_6_mRNA -&gt; E4_3_3_6 | (0.278 * E4_3_3_6_mRNA) - (0.000000278 * E4_3_3_6)</v>
      </c>
    </row>
    <row r="406" spans="1:14">
      <c r="A406">
        <v>405</v>
      </c>
      <c r="B406" t="s">
        <v>13087</v>
      </c>
      <c r="C406" t="str">
        <f t="shared" si="81"/>
        <v>E4_3_3_7_mRNA</v>
      </c>
      <c r="D406" t="str">
        <f t="shared" si="82"/>
        <v>E4_3_3_7</v>
      </c>
      <c r="E406" s="29" t="str">
        <f t="shared" si="83"/>
        <v>E4_3_3_7_kcat : 13.7</v>
      </c>
      <c r="F406" s="30" t="str">
        <f t="shared" si="84"/>
        <v>E4_3_3_7_km : 1</v>
      </c>
      <c r="G406" s="31" t="str">
        <f t="shared" si="85"/>
        <v>E4_3_3_7_mRNA : E4_3_3_7_mRNA</v>
      </c>
      <c r="H406" s="32" t="str">
        <f t="shared" si="86"/>
        <v>E4_3_3_7 : E4_3_3_7</v>
      </c>
      <c r="I406" s="33" t="str">
        <f t="shared" si="87"/>
        <v>E4_3_3_7_mRNA : 0</v>
      </c>
      <c r="J406" s="16" t="str">
        <f t="shared" si="88"/>
        <v>E4_3_3_7 : 0</v>
      </c>
      <c r="K406" s="34" t="str">
        <f t="shared" si="89"/>
        <v>0.00292 - (0.0093 * E4_3_3_7_mRNA)</v>
      </c>
      <c r="L406" s="31" t="str">
        <f t="shared" si="90"/>
        <v>(0.278 * E4_3_3_7_mRNA) - (0.00000278 * E4_3_3_7)</v>
      </c>
      <c r="M406" s="35" t="str">
        <f t="shared" si="91"/>
        <v>mRNA405: -&gt; E4_3_3_7_mRNA | 0.00292 - (0.0093 * E4_3_3_7_mRNA)</v>
      </c>
      <c r="N406" s="29" t="str">
        <f t="shared" si="80"/>
        <v>Peptide405: E4_3_3_7_mRNA -&gt; E4_3_3_7 | (0.278 * E4_3_3_7_mRNA) - (0.000000278 * E4_3_3_7)</v>
      </c>
    </row>
    <row r="407" spans="1:14">
      <c r="A407">
        <v>406</v>
      </c>
      <c r="B407" t="s">
        <v>16055</v>
      </c>
      <c r="C407" t="str">
        <f t="shared" si="81"/>
        <v>E4_4_1_13_mRNA</v>
      </c>
      <c r="D407" t="str">
        <f t="shared" si="82"/>
        <v>E4_4_1_13</v>
      </c>
      <c r="E407" s="29" t="str">
        <f t="shared" si="83"/>
        <v>E4_4_1_13_kcat : 13.7</v>
      </c>
      <c r="F407" s="30" t="str">
        <f t="shared" si="84"/>
        <v>E4_4_1_13_km : 1</v>
      </c>
      <c r="G407" s="31" t="str">
        <f t="shared" si="85"/>
        <v>E4_4_1_13_mRNA : E4_4_1_13_mRNA</v>
      </c>
      <c r="H407" s="32" t="str">
        <f t="shared" si="86"/>
        <v>E4_4_1_13 : E4_4_1_13</v>
      </c>
      <c r="I407" s="33" t="str">
        <f t="shared" si="87"/>
        <v>E4_4_1_13_mRNA : 0</v>
      </c>
      <c r="J407" s="16" t="str">
        <f t="shared" si="88"/>
        <v>E4_4_1_13 : 0</v>
      </c>
      <c r="K407" s="34" t="str">
        <f t="shared" si="89"/>
        <v>0.00292 - (0.0093 * E4_4_1_13_mRNA)</v>
      </c>
      <c r="L407" s="31" t="str">
        <f t="shared" si="90"/>
        <v>(0.278 * E4_4_1_13_mRNA) - (0.00000278 * E4_4_1_13)</v>
      </c>
      <c r="M407" s="35" t="str">
        <f t="shared" si="91"/>
        <v>mRNA406: -&gt; E4_4_1_13_mRNA | 0.00292 - (0.0093 * E4_4_1_13_mRNA)</v>
      </c>
      <c r="N407" s="29" t="str">
        <f t="shared" si="80"/>
        <v>Peptide406: E4_4_1_13_mRNA -&gt; E4_4_1_13 | (0.278 * E4_4_1_13_mRNA) - (0.000000278 * E4_4_1_13)</v>
      </c>
    </row>
    <row r="408" spans="1:14">
      <c r="A408">
        <v>407</v>
      </c>
      <c r="B408" t="s">
        <v>16056</v>
      </c>
      <c r="C408" t="str">
        <f t="shared" si="81"/>
        <v>E4_6_1_12_mRNA</v>
      </c>
      <c r="D408" t="str">
        <f t="shared" si="82"/>
        <v>E4_6_1_12</v>
      </c>
      <c r="E408" s="29" t="str">
        <f t="shared" si="83"/>
        <v>E4_6_1_12_kcat : 13.7</v>
      </c>
      <c r="F408" s="30" t="str">
        <f t="shared" si="84"/>
        <v>E4_6_1_12_km : 1</v>
      </c>
      <c r="G408" s="31" t="str">
        <f t="shared" si="85"/>
        <v>E4_6_1_12_mRNA : E4_6_1_12_mRNA</v>
      </c>
      <c r="H408" s="32" t="str">
        <f t="shared" si="86"/>
        <v>E4_6_1_12 : E4_6_1_12</v>
      </c>
      <c r="I408" s="33" t="str">
        <f t="shared" si="87"/>
        <v>E4_6_1_12_mRNA : 0</v>
      </c>
      <c r="J408" s="16" t="str">
        <f t="shared" si="88"/>
        <v>E4_6_1_12 : 0</v>
      </c>
      <c r="K408" s="34" t="str">
        <f t="shared" si="89"/>
        <v>0.00292 - (0.0093 * E4_6_1_12_mRNA)</v>
      </c>
      <c r="L408" s="31" t="str">
        <f t="shared" si="90"/>
        <v>(0.278 * E4_6_1_12_mRNA) - (0.00000278 * E4_6_1_12)</v>
      </c>
      <c r="M408" s="35" t="str">
        <f t="shared" si="91"/>
        <v>mRNA407: -&gt; E4_6_1_12_mRNA | 0.00292 - (0.0093 * E4_6_1_12_mRNA)</v>
      </c>
      <c r="N408" s="29" t="str">
        <f t="shared" si="80"/>
        <v>Peptide407: E4_6_1_12_mRNA -&gt; E4_6_1_12 | (0.278 * E4_6_1_12_mRNA) - (0.000000278 * E4_6_1_12)</v>
      </c>
    </row>
    <row r="409" spans="1:14">
      <c r="A409">
        <v>408</v>
      </c>
      <c r="B409" t="s">
        <v>13088</v>
      </c>
      <c r="C409" t="str">
        <f t="shared" si="81"/>
        <v>E4_6_1_17_mRNA</v>
      </c>
      <c r="D409" t="str">
        <f t="shared" si="82"/>
        <v>E4_6_1_17</v>
      </c>
      <c r="E409" s="29" t="str">
        <f t="shared" si="83"/>
        <v>E4_6_1_17_kcat : 13.7</v>
      </c>
      <c r="F409" s="30" t="str">
        <f t="shared" si="84"/>
        <v>E4_6_1_17_km : 1</v>
      </c>
      <c r="G409" s="31" t="str">
        <f t="shared" si="85"/>
        <v>E4_6_1_17_mRNA : E4_6_1_17_mRNA</v>
      </c>
      <c r="H409" s="32" t="str">
        <f t="shared" si="86"/>
        <v>E4_6_1_17 : E4_6_1_17</v>
      </c>
      <c r="I409" s="33" t="str">
        <f t="shared" si="87"/>
        <v>E4_6_1_17_mRNA : 0</v>
      </c>
      <c r="J409" s="16" t="str">
        <f t="shared" si="88"/>
        <v>E4_6_1_17 : 0</v>
      </c>
      <c r="K409" s="34" t="str">
        <f t="shared" si="89"/>
        <v>0.00292 - (0.0093 * E4_6_1_17_mRNA)</v>
      </c>
      <c r="L409" s="31" t="str">
        <f t="shared" si="90"/>
        <v>(0.278 * E4_6_1_17_mRNA) - (0.00000278 * E4_6_1_17)</v>
      </c>
      <c r="M409" s="35" t="str">
        <f t="shared" si="91"/>
        <v>mRNA408: -&gt; E4_6_1_17_mRNA | 0.00292 - (0.0093 * E4_6_1_17_mRNA)</v>
      </c>
      <c r="N409" s="29" t="str">
        <f t="shared" si="80"/>
        <v>Peptide408: E4_6_1_17_mRNA -&gt; E4_6_1_17 | (0.278 * E4_6_1_17_mRNA) - (0.000000278 * E4_6_1_17)</v>
      </c>
    </row>
    <row r="410" spans="1:14">
      <c r="A410">
        <v>409</v>
      </c>
      <c r="B410" t="s">
        <v>13089</v>
      </c>
      <c r="C410" t="str">
        <f t="shared" si="81"/>
        <v>E4_98_1_1_mRNA</v>
      </c>
      <c r="D410" t="str">
        <f t="shared" si="82"/>
        <v>E4_98_1_1</v>
      </c>
      <c r="E410" s="29" t="str">
        <f t="shared" si="83"/>
        <v>E4_98_1_1_kcat : 13.7</v>
      </c>
      <c r="F410" s="30" t="str">
        <f t="shared" si="84"/>
        <v>E4_98_1_1_km : 1</v>
      </c>
      <c r="G410" s="31" t="str">
        <f t="shared" si="85"/>
        <v>E4_98_1_1_mRNA : E4_98_1_1_mRNA</v>
      </c>
      <c r="H410" s="32" t="str">
        <f t="shared" si="86"/>
        <v>E4_98_1_1 : E4_98_1_1</v>
      </c>
      <c r="I410" s="33" t="str">
        <f t="shared" si="87"/>
        <v>E4_98_1_1_mRNA : 0</v>
      </c>
      <c r="J410" s="16" t="str">
        <f t="shared" si="88"/>
        <v>E4_98_1_1 : 0</v>
      </c>
      <c r="K410" s="34" t="str">
        <f t="shared" si="89"/>
        <v>0.00292 - (0.0093 * E4_98_1_1_mRNA)</v>
      </c>
      <c r="L410" s="31" t="str">
        <f t="shared" si="90"/>
        <v>(0.278 * E4_98_1_1_mRNA) - (0.00000278 * E4_98_1_1)</v>
      </c>
      <c r="M410" s="35" t="str">
        <f t="shared" si="91"/>
        <v>mRNA409: -&gt; E4_98_1_1_mRNA | 0.00292 - (0.0093 * E4_98_1_1_mRNA)</v>
      </c>
      <c r="N410" s="29" t="str">
        <f t="shared" si="80"/>
        <v>Peptide409: E4_98_1_1_mRNA -&gt; E4_98_1_1 | (0.278 * E4_98_1_1_mRNA) - (0.000000278 * E4_98_1_1)</v>
      </c>
    </row>
    <row r="411" spans="1:14">
      <c r="A411">
        <v>410</v>
      </c>
      <c r="B411" t="s">
        <v>16057</v>
      </c>
      <c r="C411" t="str">
        <f t="shared" si="81"/>
        <v>E4_99_1_12_mRNA</v>
      </c>
      <c r="D411" t="str">
        <f t="shared" si="82"/>
        <v>E4_99_1_12</v>
      </c>
      <c r="E411" s="29" t="str">
        <f t="shared" si="83"/>
        <v>E4_99_1_12_kcat : 13.7</v>
      </c>
      <c r="F411" s="30" t="str">
        <f t="shared" si="84"/>
        <v>E4_99_1_12_km : 1</v>
      </c>
      <c r="G411" s="31" t="str">
        <f t="shared" si="85"/>
        <v>E4_99_1_12_mRNA : E4_99_1_12_mRNA</v>
      </c>
      <c r="H411" s="32" t="str">
        <f t="shared" si="86"/>
        <v>E4_99_1_12 : E4_99_1_12</v>
      </c>
      <c r="I411" s="33" t="str">
        <f t="shared" si="87"/>
        <v>E4_99_1_12_mRNA : 0</v>
      </c>
      <c r="J411" s="16" t="str">
        <f t="shared" si="88"/>
        <v>E4_99_1_12 : 0</v>
      </c>
      <c r="K411" s="34" t="str">
        <f t="shared" si="89"/>
        <v>0.00292 - (0.0093 * E4_99_1_12_mRNA)</v>
      </c>
      <c r="L411" s="31" t="str">
        <f t="shared" si="90"/>
        <v>(0.278 * E4_99_1_12_mRNA) - (0.00000278 * E4_99_1_12)</v>
      </c>
      <c r="M411" s="35" t="str">
        <f t="shared" si="91"/>
        <v>mRNA410: -&gt; E4_99_1_12_mRNA | 0.00292 - (0.0093 * E4_99_1_12_mRNA)</v>
      </c>
      <c r="N411" s="29" t="str">
        <f t="shared" si="80"/>
        <v>Peptide410: E4_99_1_12_mRNA -&gt; E4_99_1_12 | (0.278 * E4_99_1_12_mRNA) - (0.000000278 * E4_99_1_12)</v>
      </c>
    </row>
    <row r="412" spans="1:14">
      <c r="A412">
        <v>411</v>
      </c>
      <c r="B412" s="12" t="s">
        <v>13090</v>
      </c>
      <c r="C412" t="str">
        <f t="shared" si="81"/>
        <v>E5_1_1_1_mRNA</v>
      </c>
      <c r="D412" t="str">
        <f t="shared" si="82"/>
        <v>E5_1_1_1</v>
      </c>
      <c r="E412" s="29" t="str">
        <f t="shared" si="83"/>
        <v>E5_1_1_1_kcat : 13.7</v>
      </c>
      <c r="F412" s="30" t="str">
        <f t="shared" si="84"/>
        <v>E5_1_1_1_km : 1</v>
      </c>
      <c r="G412" s="31" t="str">
        <f t="shared" si="85"/>
        <v>E5_1_1_1_mRNA : E5_1_1_1_mRNA</v>
      </c>
      <c r="H412" s="32" t="str">
        <f t="shared" si="86"/>
        <v>E5_1_1_1 : E5_1_1_1</v>
      </c>
      <c r="I412" s="33" t="str">
        <f t="shared" si="87"/>
        <v>E5_1_1_1_mRNA : 0</v>
      </c>
      <c r="J412" s="16" t="str">
        <f t="shared" si="88"/>
        <v>E5_1_1_1 : 0</v>
      </c>
      <c r="K412" s="34" t="str">
        <f t="shared" si="89"/>
        <v>0.00292 - (0.0093 * E5_1_1_1_mRNA)</v>
      </c>
      <c r="L412" s="31" t="str">
        <f t="shared" si="90"/>
        <v>(0.278 * E5_1_1_1_mRNA) - (0.00000278 * E5_1_1_1)</v>
      </c>
      <c r="M412" s="35" t="str">
        <f t="shared" si="91"/>
        <v>mRNA411: -&gt; E5_1_1_1_mRNA | 0.00292 - (0.0093 * E5_1_1_1_mRNA)</v>
      </c>
      <c r="N412" s="29" t="str">
        <f t="shared" si="80"/>
        <v>Peptide411: E5_1_1_1_mRNA -&gt; E5_1_1_1 | (0.278 * E5_1_1_1_mRNA) - (0.000000278 * E5_1_1_1)</v>
      </c>
    </row>
    <row r="413" spans="1:14">
      <c r="A413">
        <v>412</v>
      </c>
      <c r="B413" t="s">
        <v>16058</v>
      </c>
      <c r="C413" t="str">
        <f t="shared" si="81"/>
        <v>E5_1_1_3_mRNA</v>
      </c>
      <c r="D413" t="str">
        <f t="shared" si="82"/>
        <v>E5_1_1_3</v>
      </c>
      <c r="E413" s="29" t="str">
        <f t="shared" si="83"/>
        <v>E5_1_1_3_kcat : 13.7</v>
      </c>
      <c r="F413" s="30" t="str">
        <f t="shared" si="84"/>
        <v>E5_1_1_3_km : 1</v>
      </c>
      <c r="G413" s="31" t="str">
        <f t="shared" si="85"/>
        <v>E5_1_1_3_mRNA : E5_1_1_3_mRNA</v>
      </c>
      <c r="H413" s="32" t="str">
        <f t="shared" si="86"/>
        <v>E5_1_1_3 : E5_1_1_3</v>
      </c>
      <c r="I413" s="33" t="str">
        <f t="shared" si="87"/>
        <v>E5_1_1_3_mRNA : 0</v>
      </c>
      <c r="J413" s="16" t="str">
        <f t="shared" si="88"/>
        <v>E5_1_1_3 : 0</v>
      </c>
      <c r="K413" s="34" t="str">
        <f t="shared" si="89"/>
        <v>0.00292 - (0.0093 * E5_1_1_3_mRNA)</v>
      </c>
      <c r="L413" s="31" t="str">
        <f t="shared" si="90"/>
        <v>(0.278 * E5_1_1_3_mRNA) - (0.00000278 * E5_1_1_3)</v>
      </c>
      <c r="M413" s="35" t="str">
        <f t="shared" si="91"/>
        <v>mRNA412: -&gt; E5_1_1_3_mRNA | 0.00292 - (0.0093 * E5_1_1_3_mRNA)</v>
      </c>
      <c r="N413" s="29" t="str">
        <f t="shared" si="80"/>
        <v>Peptide412: E5_1_1_3_mRNA -&gt; E5_1_1_3 | (0.278 * E5_1_1_3_mRNA) - (0.000000278 * E5_1_1_3)</v>
      </c>
    </row>
    <row r="414" spans="1:14">
      <c r="A414">
        <v>413</v>
      </c>
      <c r="B414" t="s">
        <v>13091</v>
      </c>
      <c r="C414" t="str">
        <f t="shared" si="81"/>
        <v>E5_1_1_7_mRNA</v>
      </c>
      <c r="D414" t="str">
        <f t="shared" si="82"/>
        <v>E5_1_1_7</v>
      </c>
      <c r="E414" s="29" t="str">
        <f t="shared" si="83"/>
        <v>E5_1_1_7_kcat : 13.7</v>
      </c>
      <c r="F414" s="30" t="str">
        <f t="shared" si="84"/>
        <v>E5_1_1_7_km : 1</v>
      </c>
      <c r="G414" s="31" t="str">
        <f t="shared" si="85"/>
        <v>E5_1_1_7_mRNA : E5_1_1_7_mRNA</v>
      </c>
      <c r="H414" s="32" t="str">
        <f t="shared" si="86"/>
        <v>E5_1_1_7 : E5_1_1_7</v>
      </c>
      <c r="I414" s="33" t="str">
        <f t="shared" si="87"/>
        <v>E5_1_1_7_mRNA : 0</v>
      </c>
      <c r="J414" s="16" t="str">
        <f t="shared" si="88"/>
        <v>E5_1_1_7 : 0</v>
      </c>
      <c r="K414" s="34" t="str">
        <f t="shared" si="89"/>
        <v>0.00292 - (0.0093 * E5_1_1_7_mRNA)</v>
      </c>
      <c r="L414" s="31" t="str">
        <f t="shared" si="90"/>
        <v>(0.278 * E5_1_1_7_mRNA) - (0.00000278 * E5_1_1_7)</v>
      </c>
      <c r="M414" s="35" t="str">
        <f t="shared" si="91"/>
        <v>mRNA413: -&gt; E5_1_1_7_mRNA | 0.00292 - (0.0093 * E5_1_1_7_mRNA)</v>
      </c>
      <c r="N414" s="29" t="str">
        <f t="shared" si="80"/>
        <v>Peptide413: E5_1_1_7_mRNA -&gt; E5_1_1_7 | (0.278 * E5_1_1_7_mRNA) - (0.000000278 * E5_1_1_7)</v>
      </c>
    </row>
    <row r="415" spans="1:14">
      <c r="A415">
        <v>414</v>
      </c>
      <c r="B415" t="s">
        <v>16059</v>
      </c>
      <c r="C415" t="str">
        <f t="shared" si="81"/>
        <v>E5_1_3_1_mRNA</v>
      </c>
      <c r="D415" t="str">
        <f t="shared" si="82"/>
        <v>E5_1_3_1</v>
      </c>
      <c r="E415" s="29" t="str">
        <f t="shared" si="83"/>
        <v>E5_1_3_1_kcat : 13.7</v>
      </c>
      <c r="F415" s="30" t="str">
        <f t="shared" si="84"/>
        <v>E5_1_3_1_km : 1</v>
      </c>
      <c r="G415" s="31" t="str">
        <f t="shared" si="85"/>
        <v>E5_1_3_1_mRNA : E5_1_3_1_mRNA</v>
      </c>
      <c r="H415" s="32" t="str">
        <f t="shared" si="86"/>
        <v>E5_1_3_1 : E5_1_3_1</v>
      </c>
      <c r="I415" s="33" t="str">
        <f t="shared" si="87"/>
        <v>E5_1_3_1_mRNA : 0</v>
      </c>
      <c r="J415" s="16" t="str">
        <f t="shared" si="88"/>
        <v>E5_1_3_1 : 0</v>
      </c>
      <c r="K415" s="34" t="str">
        <f t="shared" si="89"/>
        <v>0.00292 - (0.0093 * E5_1_3_1_mRNA)</v>
      </c>
      <c r="L415" s="31" t="str">
        <f t="shared" si="90"/>
        <v>(0.278 * E5_1_3_1_mRNA) - (0.00000278 * E5_1_3_1)</v>
      </c>
      <c r="M415" s="35" t="str">
        <f t="shared" si="91"/>
        <v>mRNA414: -&gt; E5_1_3_1_mRNA | 0.00292 - (0.0093 * E5_1_3_1_mRNA)</v>
      </c>
      <c r="N415" s="29" t="str">
        <f t="shared" si="80"/>
        <v>Peptide414: E5_1_3_1_mRNA -&gt; E5_1_3_1 | (0.278 * E5_1_3_1_mRNA) - (0.000000278 * E5_1_3_1)</v>
      </c>
    </row>
    <row r="416" spans="1:14">
      <c r="A416">
        <v>415</v>
      </c>
      <c r="B416" s="45" t="s">
        <v>17632</v>
      </c>
      <c r="C416" t="str">
        <f t="shared" si="81"/>
        <v>E5_1_3_14_mRNA</v>
      </c>
      <c r="D416" t="str">
        <f t="shared" si="82"/>
        <v>E5_1_3_14</v>
      </c>
      <c r="E416" s="29" t="str">
        <f t="shared" si="83"/>
        <v>E5_1_3_14_kcat : 13.7</v>
      </c>
      <c r="F416" s="30" t="str">
        <f t="shared" si="84"/>
        <v>E5_1_3_14_km : 1</v>
      </c>
      <c r="G416" s="31" t="str">
        <f t="shared" si="85"/>
        <v>E5_1_3_14_mRNA : E5_1_3_14_mRNA</v>
      </c>
      <c r="H416" s="32" t="str">
        <f t="shared" si="86"/>
        <v>E5_1_3_14 : E5_1_3_14</v>
      </c>
      <c r="I416" s="33" t="str">
        <f t="shared" si="87"/>
        <v>E5_1_3_14_mRNA : 0</v>
      </c>
      <c r="J416" s="16" t="str">
        <f t="shared" si="88"/>
        <v>E5_1_3_14 : 0</v>
      </c>
      <c r="K416" s="34" t="str">
        <f t="shared" si="89"/>
        <v>0.00292 - (0.0093 * E5_1_3_14_mRNA)</v>
      </c>
      <c r="L416" s="31" t="str">
        <f t="shared" si="90"/>
        <v>(0.278 * E5_1_3_14_mRNA) - (0.00000278 * E5_1_3_14)</v>
      </c>
      <c r="M416" s="35" t="str">
        <f t="shared" si="91"/>
        <v>mRNA415: -&gt; E5_1_3_14_mRNA | 0.00292 - (0.0093 * E5_1_3_14_mRNA)</v>
      </c>
      <c r="N416" s="29" t="str">
        <f t="shared" si="80"/>
        <v>Peptide415: E5_1_3_14_mRNA -&gt; E5_1_3_14 | (0.278 * E5_1_3_14_mRNA) - (0.000000278 * E5_1_3_14)</v>
      </c>
    </row>
    <row r="417" spans="1:14">
      <c r="A417">
        <v>416</v>
      </c>
      <c r="B417" t="s">
        <v>13092</v>
      </c>
      <c r="C417" t="str">
        <f t="shared" si="81"/>
        <v>E5_1_3_15_mRNA</v>
      </c>
      <c r="D417" t="str">
        <f t="shared" si="82"/>
        <v>E5_1_3_15</v>
      </c>
      <c r="E417" s="29" t="str">
        <f t="shared" si="83"/>
        <v>E5_1_3_15_kcat : 13.7</v>
      </c>
      <c r="F417" s="30" t="str">
        <f t="shared" si="84"/>
        <v>E5_1_3_15_km : 1</v>
      </c>
      <c r="G417" s="31" t="str">
        <f t="shared" si="85"/>
        <v>E5_1_3_15_mRNA : E5_1_3_15_mRNA</v>
      </c>
      <c r="H417" s="32" t="str">
        <f t="shared" si="86"/>
        <v>E5_1_3_15 : E5_1_3_15</v>
      </c>
      <c r="I417" s="33" t="str">
        <f t="shared" si="87"/>
        <v>E5_1_3_15_mRNA : 0</v>
      </c>
      <c r="J417" s="16" t="str">
        <f t="shared" si="88"/>
        <v>E5_1_3_15 : 0</v>
      </c>
      <c r="K417" s="34" t="str">
        <f t="shared" si="89"/>
        <v>0.00292 - (0.0093 * E5_1_3_15_mRNA)</v>
      </c>
      <c r="L417" s="31" t="str">
        <f t="shared" si="90"/>
        <v>(0.278 * E5_1_3_15_mRNA) - (0.00000278 * E5_1_3_15)</v>
      </c>
      <c r="M417" s="35" t="str">
        <f t="shared" si="91"/>
        <v>mRNA416: -&gt; E5_1_3_15_mRNA | 0.00292 - (0.0093 * E5_1_3_15_mRNA)</v>
      </c>
      <c r="N417" s="29" t="str">
        <f t="shared" si="80"/>
        <v>Peptide416: E5_1_3_15_mRNA -&gt; E5_1_3_15 | (0.278 * E5_1_3_15_mRNA) - (0.000000278 * E5_1_3_15)</v>
      </c>
    </row>
    <row r="418" spans="1:14">
      <c r="A418">
        <v>417</v>
      </c>
      <c r="B418" t="s">
        <v>13093</v>
      </c>
      <c r="C418" t="str">
        <f t="shared" si="81"/>
        <v>E5_1_3_2_mRNA</v>
      </c>
      <c r="D418" t="str">
        <f t="shared" si="82"/>
        <v>E5_1_3_2</v>
      </c>
      <c r="E418" s="29" t="str">
        <f t="shared" si="83"/>
        <v>E5_1_3_2_kcat : 13.7</v>
      </c>
      <c r="F418" s="30" t="str">
        <f t="shared" si="84"/>
        <v>E5_1_3_2_km : 1</v>
      </c>
      <c r="G418" s="31" t="str">
        <f t="shared" si="85"/>
        <v>E5_1_3_2_mRNA : E5_1_3_2_mRNA</v>
      </c>
      <c r="H418" s="32" t="str">
        <f t="shared" si="86"/>
        <v>E5_1_3_2 : E5_1_3_2</v>
      </c>
      <c r="I418" s="33" t="str">
        <f t="shared" si="87"/>
        <v>E5_1_3_2_mRNA : 0</v>
      </c>
      <c r="J418" s="16" t="str">
        <f t="shared" si="88"/>
        <v>E5_1_3_2 : 0</v>
      </c>
      <c r="K418" s="34" t="str">
        <f t="shared" si="89"/>
        <v>0.00292 - (0.0093 * E5_1_3_2_mRNA)</v>
      </c>
      <c r="L418" s="31" t="str">
        <f t="shared" si="90"/>
        <v>(0.278 * E5_1_3_2_mRNA) - (0.00000278 * E5_1_3_2)</v>
      </c>
      <c r="M418" s="35" t="str">
        <f t="shared" si="91"/>
        <v>mRNA417: -&gt; E5_1_3_2_mRNA | 0.00292 - (0.0093 * E5_1_3_2_mRNA)</v>
      </c>
      <c r="N418" s="29" t="str">
        <f t="shared" si="80"/>
        <v>Peptide417: E5_1_3_2_mRNA -&gt; E5_1_3_2 | (0.278 * E5_1_3_2_mRNA) - (0.000000278 * E5_1_3_2)</v>
      </c>
    </row>
    <row r="419" spans="1:14">
      <c r="A419">
        <v>418</v>
      </c>
      <c r="B419" t="s">
        <v>13094</v>
      </c>
      <c r="C419" t="str">
        <f t="shared" si="81"/>
        <v>E5_1_3_9_mRNA</v>
      </c>
      <c r="D419" t="str">
        <f t="shared" si="82"/>
        <v>E5_1_3_9</v>
      </c>
      <c r="E419" s="29" t="str">
        <f t="shared" si="83"/>
        <v>E5_1_3_9_kcat : 13.7</v>
      </c>
      <c r="F419" s="30" t="str">
        <f t="shared" si="84"/>
        <v>E5_1_3_9_km : 1</v>
      </c>
      <c r="G419" s="31" t="str">
        <f t="shared" si="85"/>
        <v>E5_1_3_9_mRNA : E5_1_3_9_mRNA</v>
      </c>
      <c r="H419" s="32" t="str">
        <f t="shared" si="86"/>
        <v>E5_1_3_9 : E5_1_3_9</v>
      </c>
      <c r="I419" s="33" t="str">
        <f t="shared" si="87"/>
        <v>E5_1_3_9_mRNA : 0</v>
      </c>
      <c r="J419" s="16" t="str">
        <f t="shared" si="88"/>
        <v>E5_1_3_9 : 0</v>
      </c>
      <c r="K419" s="34" t="str">
        <f t="shared" si="89"/>
        <v>0.00292 - (0.0093 * E5_1_3_9_mRNA)</v>
      </c>
      <c r="L419" s="31" t="str">
        <f t="shared" si="90"/>
        <v>(0.278 * E5_1_3_9_mRNA) - (0.00000278 * E5_1_3_9)</v>
      </c>
      <c r="M419" s="35" t="str">
        <f t="shared" si="91"/>
        <v>mRNA418: -&gt; E5_1_3_9_mRNA | 0.00292 - (0.0093 * E5_1_3_9_mRNA)</v>
      </c>
      <c r="N419" s="29" t="str">
        <f t="shared" si="80"/>
        <v>Peptide418: E5_1_3_9_mRNA -&gt; E5_1_3_9 | (0.278 * E5_1_3_9_mRNA) - (0.000000278 * E5_1_3_9)</v>
      </c>
    </row>
    <row r="420" spans="1:14">
      <c r="A420">
        <v>419</v>
      </c>
      <c r="B420" t="s">
        <v>13095</v>
      </c>
      <c r="C420" t="str">
        <f t="shared" si="81"/>
        <v>E5_1_99_1_mRNA</v>
      </c>
      <c r="D420" t="str">
        <f t="shared" si="82"/>
        <v>E5_1_99_1</v>
      </c>
      <c r="E420" s="29" t="str">
        <f t="shared" si="83"/>
        <v>E5_1_99_1_kcat : 13.7</v>
      </c>
      <c r="F420" s="30" t="str">
        <f t="shared" si="84"/>
        <v>E5_1_99_1_km : 1</v>
      </c>
      <c r="G420" s="31" t="str">
        <f t="shared" si="85"/>
        <v>E5_1_99_1_mRNA : E5_1_99_1_mRNA</v>
      </c>
      <c r="H420" s="32" t="str">
        <f t="shared" si="86"/>
        <v>E5_1_99_1 : E5_1_99_1</v>
      </c>
      <c r="I420" s="33" t="str">
        <f t="shared" si="87"/>
        <v>E5_1_99_1_mRNA : 0</v>
      </c>
      <c r="J420" s="16" t="str">
        <f t="shared" si="88"/>
        <v>E5_1_99_1 : 0</v>
      </c>
      <c r="K420" s="34" t="str">
        <f t="shared" si="89"/>
        <v>0.00292 - (0.0093 * E5_1_99_1_mRNA)</v>
      </c>
      <c r="L420" s="31" t="str">
        <f t="shared" si="90"/>
        <v>(0.278 * E5_1_99_1_mRNA) - (0.00000278 * E5_1_99_1)</v>
      </c>
      <c r="M420" s="35" t="str">
        <f t="shared" si="91"/>
        <v>mRNA419: -&gt; E5_1_99_1_mRNA | 0.00292 - (0.0093 * E5_1_99_1_mRNA)</v>
      </c>
      <c r="N420" s="29" t="str">
        <f t="shared" si="80"/>
        <v>Peptide419: E5_1_99_1_mRNA -&gt; E5_1_99_1 | (0.278 * E5_1_99_1_mRNA) - (0.000000278 * E5_1_99_1)</v>
      </c>
    </row>
    <row r="421" spans="1:14">
      <c r="A421">
        <v>420</v>
      </c>
      <c r="B421" t="s">
        <v>13096</v>
      </c>
      <c r="C421" t="str">
        <f t="shared" si="81"/>
        <v>E5_2_1_4_mRNA</v>
      </c>
      <c r="D421" t="str">
        <f t="shared" si="82"/>
        <v>E5_2_1_4</v>
      </c>
      <c r="E421" s="29" t="str">
        <f t="shared" si="83"/>
        <v>E5_2_1_4_kcat : 13.7</v>
      </c>
      <c r="F421" s="30" t="str">
        <f t="shared" si="84"/>
        <v>E5_2_1_4_km : 1</v>
      </c>
      <c r="G421" s="31" t="str">
        <f t="shared" si="85"/>
        <v>E5_2_1_4_mRNA : E5_2_1_4_mRNA</v>
      </c>
      <c r="H421" s="32" t="str">
        <f t="shared" si="86"/>
        <v>E5_2_1_4 : E5_2_1_4</v>
      </c>
      <c r="I421" s="33" t="str">
        <f t="shared" si="87"/>
        <v>E5_2_1_4_mRNA : 0</v>
      </c>
      <c r="J421" s="16" t="str">
        <f t="shared" si="88"/>
        <v>E5_2_1_4 : 0</v>
      </c>
      <c r="K421" s="34" t="str">
        <f t="shared" si="89"/>
        <v>0.00292 - (0.0093 * E5_2_1_4_mRNA)</v>
      </c>
      <c r="L421" s="31" t="str">
        <f t="shared" si="90"/>
        <v>(0.278 * E5_2_1_4_mRNA) - (0.00000278 * E5_2_1_4)</v>
      </c>
      <c r="M421" s="35" t="str">
        <f t="shared" si="91"/>
        <v>mRNA420: -&gt; E5_2_1_4_mRNA | 0.00292 - (0.0093 * E5_2_1_4_mRNA)</v>
      </c>
      <c r="N421" s="29" t="str">
        <f t="shared" si="80"/>
        <v>Peptide420: E5_2_1_4_mRNA -&gt; E5_2_1_4 | (0.278 * E5_2_1_4_mRNA) - (0.000000278 * E5_2_1_4)</v>
      </c>
    </row>
    <row r="422" spans="1:14">
      <c r="A422">
        <v>421</v>
      </c>
      <c r="B422" t="s">
        <v>13097</v>
      </c>
      <c r="C422" t="str">
        <f t="shared" si="81"/>
        <v>E5_2_1_8_mRNA</v>
      </c>
      <c r="D422" t="str">
        <f t="shared" si="82"/>
        <v>E5_2_1_8</v>
      </c>
      <c r="E422" s="29" t="str">
        <f t="shared" si="83"/>
        <v>E5_2_1_8_kcat : 13.7</v>
      </c>
      <c r="F422" s="30" t="str">
        <f t="shared" si="84"/>
        <v>E5_2_1_8_km : 1</v>
      </c>
      <c r="G422" s="31" t="str">
        <f t="shared" si="85"/>
        <v>E5_2_1_8_mRNA : E5_2_1_8_mRNA</v>
      </c>
      <c r="H422" s="32" t="str">
        <f t="shared" si="86"/>
        <v>E5_2_1_8 : E5_2_1_8</v>
      </c>
      <c r="I422" s="33" t="str">
        <f t="shared" si="87"/>
        <v>E5_2_1_8_mRNA : 0</v>
      </c>
      <c r="J422" s="16" t="str">
        <f t="shared" si="88"/>
        <v>E5_2_1_8 : 0</v>
      </c>
      <c r="K422" s="34" t="str">
        <f t="shared" si="89"/>
        <v>0.00292 - (0.0093 * E5_2_1_8_mRNA)</v>
      </c>
      <c r="L422" s="31" t="str">
        <f t="shared" si="90"/>
        <v>(0.278 * E5_2_1_8_mRNA) - (0.00000278 * E5_2_1_8)</v>
      </c>
      <c r="M422" s="35" t="str">
        <f t="shared" si="91"/>
        <v>mRNA421: -&gt; E5_2_1_8_mRNA | 0.00292 - (0.0093 * E5_2_1_8_mRNA)</v>
      </c>
      <c r="N422" s="29" t="str">
        <f t="shared" si="80"/>
        <v>Peptide421: E5_2_1_8_mRNA -&gt; E5_2_1_8 | (0.278 * E5_2_1_8_mRNA) - (0.000000278 * E5_2_1_8)</v>
      </c>
    </row>
    <row r="423" spans="1:14">
      <c r="A423">
        <v>422</v>
      </c>
      <c r="B423" t="s">
        <v>13098</v>
      </c>
      <c r="C423" t="str">
        <f t="shared" si="81"/>
        <v>E5_3_1_1_mRNA</v>
      </c>
      <c r="D423" t="str">
        <f t="shared" si="82"/>
        <v>E5_3_1_1</v>
      </c>
      <c r="E423" s="29" t="str">
        <f t="shared" si="83"/>
        <v>E5_3_1_1_kcat : 13.7</v>
      </c>
      <c r="F423" s="30" t="str">
        <f t="shared" si="84"/>
        <v>E5_3_1_1_km : 1</v>
      </c>
      <c r="G423" s="31" t="str">
        <f t="shared" si="85"/>
        <v>E5_3_1_1_mRNA : E5_3_1_1_mRNA</v>
      </c>
      <c r="H423" s="32" t="str">
        <f t="shared" si="86"/>
        <v>E5_3_1_1 : E5_3_1_1</v>
      </c>
      <c r="I423" s="33" t="str">
        <f t="shared" si="87"/>
        <v>E5_3_1_1_mRNA : 0</v>
      </c>
      <c r="J423" s="16" t="str">
        <f t="shared" si="88"/>
        <v>E5_3_1_1 : 0</v>
      </c>
      <c r="K423" s="34" t="str">
        <f t="shared" si="89"/>
        <v>0.00292 - (0.0093 * E5_3_1_1_mRNA)</v>
      </c>
      <c r="L423" s="31" t="str">
        <f t="shared" si="90"/>
        <v>(0.278 * E5_3_1_1_mRNA) - (0.00000278 * E5_3_1_1)</v>
      </c>
      <c r="M423" s="35" t="str">
        <f t="shared" si="91"/>
        <v>mRNA422: -&gt; E5_3_1_1_mRNA | 0.00292 - (0.0093 * E5_3_1_1_mRNA)</v>
      </c>
      <c r="N423" s="29" t="str">
        <f t="shared" si="80"/>
        <v>Peptide422: E5_3_1_1_mRNA -&gt; E5_3_1_1 | (0.278 * E5_3_1_1_mRNA) - (0.000000278 * E5_3_1_1)</v>
      </c>
    </row>
    <row r="424" spans="1:14">
      <c r="A424">
        <v>423</v>
      </c>
      <c r="B424" t="s">
        <v>13099</v>
      </c>
      <c r="C424" t="str">
        <f t="shared" si="81"/>
        <v>E5_3_1_12_mRNA</v>
      </c>
      <c r="D424" t="str">
        <f t="shared" si="82"/>
        <v>E5_3_1_12</v>
      </c>
      <c r="E424" s="29" t="str">
        <f t="shared" si="83"/>
        <v>E5_3_1_12_kcat : 13.7</v>
      </c>
      <c r="F424" s="30" t="str">
        <f t="shared" si="84"/>
        <v>E5_3_1_12_km : 1</v>
      </c>
      <c r="G424" s="31" t="str">
        <f t="shared" si="85"/>
        <v>E5_3_1_12_mRNA : E5_3_1_12_mRNA</v>
      </c>
      <c r="H424" s="32" t="str">
        <f t="shared" si="86"/>
        <v>E5_3_1_12 : E5_3_1_12</v>
      </c>
      <c r="I424" s="33" t="str">
        <f t="shared" si="87"/>
        <v>E5_3_1_12_mRNA : 0</v>
      </c>
      <c r="J424" s="16" t="str">
        <f t="shared" si="88"/>
        <v>E5_3_1_12 : 0</v>
      </c>
      <c r="K424" s="34" t="str">
        <f t="shared" si="89"/>
        <v>0.00292 - (0.0093 * E5_3_1_12_mRNA)</v>
      </c>
      <c r="L424" s="31" t="str">
        <f t="shared" si="90"/>
        <v>(0.278 * E5_3_1_12_mRNA) - (0.00000278 * E5_3_1_12)</v>
      </c>
      <c r="M424" s="35" t="str">
        <f t="shared" si="91"/>
        <v>mRNA423: -&gt; E5_3_1_12_mRNA | 0.00292 - (0.0093 * E5_3_1_12_mRNA)</v>
      </c>
      <c r="N424" s="29" t="str">
        <f t="shared" si="80"/>
        <v>Peptide423: E5_3_1_12_mRNA -&gt; E5_3_1_12 | (0.278 * E5_3_1_12_mRNA) - (0.000000278 * E5_3_1_12)</v>
      </c>
    </row>
    <row r="425" spans="1:14">
      <c r="A425">
        <v>424</v>
      </c>
      <c r="B425" t="s">
        <v>13100</v>
      </c>
      <c r="C425" t="str">
        <f t="shared" si="81"/>
        <v>E5_3_1_16_mRNA</v>
      </c>
      <c r="D425" t="str">
        <f t="shared" si="82"/>
        <v>E5_3_1_16</v>
      </c>
      <c r="E425" s="29" t="str">
        <f t="shared" si="83"/>
        <v>E5_3_1_16_kcat : 13.7</v>
      </c>
      <c r="F425" s="30" t="str">
        <f t="shared" si="84"/>
        <v>E5_3_1_16_km : 1</v>
      </c>
      <c r="G425" s="31" t="str">
        <f t="shared" si="85"/>
        <v>E5_3_1_16_mRNA : E5_3_1_16_mRNA</v>
      </c>
      <c r="H425" s="32" t="str">
        <f t="shared" si="86"/>
        <v>E5_3_1_16 : E5_3_1_16</v>
      </c>
      <c r="I425" s="33" t="str">
        <f t="shared" si="87"/>
        <v>E5_3_1_16_mRNA : 0</v>
      </c>
      <c r="J425" s="16" t="str">
        <f t="shared" si="88"/>
        <v>E5_3_1_16 : 0</v>
      </c>
      <c r="K425" s="34" t="str">
        <f t="shared" si="89"/>
        <v>0.00292 - (0.0093 * E5_3_1_16_mRNA)</v>
      </c>
      <c r="L425" s="31" t="str">
        <f t="shared" si="90"/>
        <v>(0.278 * E5_3_1_16_mRNA) - (0.00000278 * E5_3_1_16)</v>
      </c>
      <c r="M425" s="35" t="str">
        <f t="shared" si="91"/>
        <v>mRNA424: -&gt; E5_3_1_16_mRNA | 0.00292 - (0.0093 * E5_3_1_16_mRNA)</v>
      </c>
      <c r="N425" s="29" t="str">
        <f t="shared" si="80"/>
        <v>Peptide424: E5_3_1_16_mRNA -&gt; E5_3_1_16 | (0.278 * E5_3_1_16_mRNA) - (0.000000278 * E5_3_1_16)</v>
      </c>
    </row>
    <row r="426" spans="1:14">
      <c r="A426">
        <v>425</v>
      </c>
      <c r="B426" t="s">
        <v>13101</v>
      </c>
      <c r="C426" t="str">
        <f t="shared" si="81"/>
        <v>E5_3_1_24_mRNA</v>
      </c>
      <c r="D426" t="str">
        <f t="shared" si="82"/>
        <v>E5_3_1_24</v>
      </c>
      <c r="E426" s="29" t="str">
        <f t="shared" si="83"/>
        <v>E5_3_1_24_kcat : 13.7</v>
      </c>
      <c r="F426" s="30" t="str">
        <f t="shared" si="84"/>
        <v>E5_3_1_24_km : 1</v>
      </c>
      <c r="G426" s="31" t="str">
        <f t="shared" si="85"/>
        <v>E5_3_1_24_mRNA : E5_3_1_24_mRNA</v>
      </c>
      <c r="H426" s="32" t="str">
        <f t="shared" si="86"/>
        <v>E5_3_1_24 : E5_3_1_24</v>
      </c>
      <c r="I426" s="33" t="str">
        <f t="shared" si="87"/>
        <v>E5_3_1_24_mRNA : 0</v>
      </c>
      <c r="J426" s="16" t="str">
        <f t="shared" si="88"/>
        <v>E5_3_1_24 : 0</v>
      </c>
      <c r="K426" s="34" t="str">
        <f t="shared" si="89"/>
        <v>0.00292 - (0.0093 * E5_3_1_24_mRNA)</v>
      </c>
      <c r="L426" s="31" t="str">
        <f t="shared" si="90"/>
        <v>(0.278 * E5_3_1_24_mRNA) - (0.00000278 * E5_3_1_24)</v>
      </c>
      <c r="M426" s="35" t="str">
        <f t="shared" si="91"/>
        <v>mRNA425: -&gt; E5_3_1_24_mRNA | 0.00292 - (0.0093 * E5_3_1_24_mRNA)</v>
      </c>
      <c r="N426" s="29" t="str">
        <f t="shared" si="80"/>
        <v>Peptide425: E5_3_1_24_mRNA -&gt; E5_3_1_24 | (0.278 * E5_3_1_24_mRNA) - (0.000000278 * E5_3_1_24)</v>
      </c>
    </row>
    <row r="427" spans="1:14">
      <c r="A427">
        <v>426</v>
      </c>
      <c r="B427" t="s">
        <v>13102</v>
      </c>
      <c r="C427" t="str">
        <f t="shared" si="81"/>
        <v>E5_3_1_30_mRNA</v>
      </c>
      <c r="D427" t="str">
        <f t="shared" si="82"/>
        <v>E5_3_1_30</v>
      </c>
      <c r="E427" s="29" t="str">
        <f t="shared" si="83"/>
        <v>E5_3_1_30_kcat : 13.7</v>
      </c>
      <c r="F427" s="30" t="str">
        <f t="shared" si="84"/>
        <v>E5_3_1_30_km : 1</v>
      </c>
      <c r="G427" s="31" t="str">
        <f t="shared" si="85"/>
        <v>E5_3_1_30_mRNA : E5_3_1_30_mRNA</v>
      </c>
      <c r="H427" s="32" t="str">
        <f t="shared" si="86"/>
        <v>E5_3_1_30 : E5_3_1_30</v>
      </c>
      <c r="I427" s="33" t="str">
        <f t="shared" si="87"/>
        <v>E5_3_1_30_mRNA : 0</v>
      </c>
      <c r="J427" s="16" t="str">
        <f t="shared" si="88"/>
        <v>E5_3_1_30 : 0</v>
      </c>
      <c r="K427" s="34" t="str">
        <f t="shared" si="89"/>
        <v>0.00292 - (0.0093 * E5_3_1_30_mRNA)</v>
      </c>
      <c r="L427" s="31" t="str">
        <f t="shared" si="90"/>
        <v>(0.278 * E5_3_1_30_mRNA) - (0.00000278 * E5_3_1_30)</v>
      </c>
      <c r="M427" s="35" t="str">
        <f t="shared" si="91"/>
        <v>mRNA426: -&gt; E5_3_1_30_mRNA | 0.00292 - (0.0093 * E5_3_1_30_mRNA)</v>
      </c>
      <c r="N427" s="29" t="str">
        <f t="shared" si="80"/>
        <v>Peptide426: E5_3_1_30_mRNA -&gt; E5_3_1_30 | (0.278 * E5_3_1_30_mRNA) - (0.000000278 * E5_3_1_30)</v>
      </c>
    </row>
    <row r="428" spans="1:14">
      <c r="A428">
        <v>427</v>
      </c>
      <c r="B428" t="s">
        <v>13103</v>
      </c>
      <c r="C428" t="str">
        <f t="shared" si="81"/>
        <v>E5_3_1_6_mRNA</v>
      </c>
      <c r="D428" t="str">
        <f t="shared" si="82"/>
        <v>E5_3_1_6</v>
      </c>
      <c r="E428" s="29" t="str">
        <f t="shared" si="83"/>
        <v>E5_3_1_6_kcat : 13.7</v>
      </c>
      <c r="F428" s="30" t="str">
        <f t="shared" si="84"/>
        <v>E5_3_1_6_km : 1</v>
      </c>
      <c r="G428" s="31" t="str">
        <f t="shared" si="85"/>
        <v>E5_3_1_6_mRNA : E5_3_1_6_mRNA</v>
      </c>
      <c r="H428" s="32" t="str">
        <f t="shared" si="86"/>
        <v>E5_3_1_6 : E5_3_1_6</v>
      </c>
      <c r="I428" s="33" t="str">
        <f t="shared" si="87"/>
        <v>E5_3_1_6_mRNA : 0</v>
      </c>
      <c r="J428" s="16" t="str">
        <f t="shared" si="88"/>
        <v>E5_3_1_6 : 0</v>
      </c>
      <c r="K428" s="34" t="str">
        <f t="shared" si="89"/>
        <v>0.00292 - (0.0093 * E5_3_1_6_mRNA)</v>
      </c>
      <c r="L428" s="31" t="str">
        <f t="shared" si="90"/>
        <v>(0.278 * E5_3_1_6_mRNA) - (0.00000278 * E5_3_1_6)</v>
      </c>
      <c r="M428" s="35" t="str">
        <f t="shared" si="91"/>
        <v>mRNA427: -&gt; E5_3_1_6_mRNA | 0.00292 - (0.0093 * E5_3_1_6_mRNA)</v>
      </c>
      <c r="N428" s="29" t="str">
        <f t="shared" si="80"/>
        <v>Peptide427: E5_3_1_6_mRNA -&gt; E5_3_1_6 | (0.278 * E5_3_1_6_mRNA) - (0.000000278 * E5_3_1_6)</v>
      </c>
    </row>
    <row r="429" spans="1:14">
      <c r="A429">
        <v>428</v>
      </c>
      <c r="B429" t="s">
        <v>13104</v>
      </c>
      <c r="C429" t="str">
        <f t="shared" si="81"/>
        <v>E5_3_1_8_mRNA</v>
      </c>
      <c r="D429" t="str">
        <f t="shared" si="82"/>
        <v>E5_3_1_8</v>
      </c>
      <c r="E429" s="29" t="str">
        <f t="shared" si="83"/>
        <v>E5_3_1_8_kcat : 13.7</v>
      </c>
      <c r="F429" s="30" t="str">
        <f t="shared" si="84"/>
        <v>E5_3_1_8_km : 1</v>
      </c>
      <c r="G429" s="31" t="str">
        <f t="shared" si="85"/>
        <v>E5_3_1_8_mRNA : E5_3_1_8_mRNA</v>
      </c>
      <c r="H429" s="32" t="str">
        <f t="shared" si="86"/>
        <v>E5_3_1_8 : E5_3_1_8</v>
      </c>
      <c r="I429" s="33" t="str">
        <f t="shared" si="87"/>
        <v>E5_3_1_8_mRNA : 0</v>
      </c>
      <c r="J429" s="16" t="str">
        <f t="shared" si="88"/>
        <v>E5_3_1_8 : 0</v>
      </c>
      <c r="K429" s="34" t="str">
        <f t="shared" si="89"/>
        <v>0.00292 - (0.0093 * E5_3_1_8_mRNA)</v>
      </c>
      <c r="L429" s="31" t="str">
        <f t="shared" si="90"/>
        <v>(0.278 * E5_3_1_8_mRNA) - (0.00000278 * E5_3_1_8)</v>
      </c>
      <c r="M429" s="35" t="str">
        <f t="shared" si="91"/>
        <v>mRNA428: -&gt; E5_3_1_8_mRNA | 0.00292 - (0.0093 * E5_3_1_8_mRNA)</v>
      </c>
      <c r="N429" s="29" t="str">
        <f t="shared" si="80"/>
        <v>Peptide428: E5_3_1_8_mRNA -&gt; E5_3_1_8 | (0.278 * E5_3_1_8_mRNA) - (0.000000278 * E5_3_1_8)</v>
      </c>
    </row>
    <row r="430" spans="1:14">
      <c r="A430">
        <v>429</v>
      </c>
      <c r="B430" t="s">
        <v>13105</v>
      </c>
      <c r="C430" t="str">
        <f t="shared" si="81"/>
        <v>E5_3_1_9_mRNA</v>
      </c>
      <c r="D430" t="str">
        <f t="shared" si="82"/>
        <v>E5_3_1_9</v>
      </c>
      <c r="E430" s="29" t="str">
        <f t="shared" si="83"/>
        <v>E5_3_1_9_kcat : 13.7</v>
      </c>
      <c r="F430" s="30" t="str">
        <f t="shared" si="84"/>
        <v>E5_3_1_9_km : 1</v>
      </c>
      <c r="G430" s="31" t="str">
        <f t="shared" si="85"/>
        <v>E5_3_1_9_mRNA : E5_3_1_9_mRNA</v>
      </c>
      <c r="H430" s="32" t="str">
        <f t="shared" si="86"/>
        <v>E5_3_1_9 : E5_3_1_9</v>
      </c>
      <c r="I430" s="33" t="str">
        <f t="shared" si="87"/>
        <v>E5_3_1_9_mRNA : 0</v>
      </c>
      <c r="J430" s="16" t="str">
        <f t="shared" si="88"/>
        <v>E5_3_1_9 : 0</v>
      </c>
      <c r="K430" s="34" t="str">
        <f t="shared" si="89"/>
        <v>0.00292 - (0.0093 * E5_3_1_9_mRNA)</v>
      </c>
      <c r="L430" s="31" t="str">
        <f t="shared" si="90"/>
        <v>(0.278 * E5_3_1_9_mRNA) - (0.00000278 * E5_3_1_9)</v>
      </c>
      <c r="M430" s="35" t="str">
        <f t="shared" si="91"/>
        <v>mRNA429: -&gt; E5_3_1_9_mRNA | 0.00292 - (0.0093 * E5_3_1_9_mRNA)</v>
      </c>
      <c r="N430" s="29" t="str">
        <f t="shared" si="80"/>
        <v>Peptide429: E5_3_1_9_mRNA -&gt; E5_3_1_9 | (0.278 * E5_3_1_9_mRNA) - (0.000000278 * E5_3_1_9)</v>
      </c>
    </row>
    <row r="431" spans="1:14">
      <c r="A431">
        <v>430</v>
      </c>
      <c r="B431" s="45" t="s">
        <v>17633</v>
      </c>
      <c r="C431" t="str">
        <f t="shared" si="81"/>
        <v>E5_3_2_8_mRNA</v>
      </c>
      <c r="D431" t="str">
        <f t="shared" si="82"/>
        <v>E5_3_2_8</v>
      </c>
      <c r="E431" s="29" t="str">
        <f t="shared" si="83"/>
        <v>E5_3_2_8_kcat : 13.7</v>
      </c>
      <c r="F431" s="30" t="str">
        <f t="shared" si="84"/>
        <v>E5_3_2_8_km : 1</v>
      </c>
      <c r="G431" s="31" t="str">
        <f t="shared" si="85"/>
        <v>E5_3_2_8_mRNA : E5_3_2_8_mRNA</v>
      </c>
      <c r="H431" s="32" t="str">
        <f t="shared" si="86"/>
        <v>E5_3_2_8 : E5_3_2_8</v>
      </c>
      <c r="I431" s="33" t="str">
        <f t="shared" si="87"/>
        <v>E5_3_2_8_mRNA : 0</v>
      </c>
      <c r="J431" s="16" t="str">
        <f t="shared" si="88"/>
        <v>E5_3_2_8 : 0</v>
      </c>
      <c r="K431" s="34" t="str">
        <f t="shared" si="89"/>
        <v>0.00292 - (0.0093 * E5_3_2_8_mRNA)</v>
      </c>
      <c r="L431" s="31" t="str">
        <f t="shared" si="90"/>
        <v>(0.278 * E5_3_2_8_mRNA) - (0.00000278 * E5_3_2_8)</v>
      </c>
      <c r="M431" s="35" t="str">
        <f t="shared" si="91"/>
        <v>mRNA430: -&gt; E5_3_2_8_mRNA | 0.00292 - (0.0093 * E5_3_2_8_mRNA)</v>
      </c>
      <c r="N431" s="29" t="str">
        <f t="shared" si="80"/>
        <v>Peptide430: E5_3_2_8_mRNA -&gt; E5_3_2_8 | (0.278 * E5_3_2_8_mRNA) - (0.000000278 * E5_3_2_8)</v>
      </c>
    </row>
    <row r="432" spans="1:14">
      <c r="A432">
        <v>431</v>
      </c>
      <c r="B432" t="s">
        <v>13106</v>
      </c>
      <c r="C432" t="str">
        <f t="shared" si="81"/>
        <v>E5_3_3_2_mRNA</v>
      </c>
      <c r="D432" t="str">
        <f t="shared" si="82"/>
        <v>E5_3_3_2</v>
      </c>
      <c r="E432" s="29" t="str">
        <f t="shared" si="83"/>
        <v>E5_3_3_2_kcat : 13.7</v>
      </c>
      <c r="F432" s="30" t="str">
        <f t="shared" si="84"/>
        <v>E5_3_3_2_km : 1</v>
      </c>
      <c r="G432" s="31" t="str">
        <f t="shared" si="85"/>
        <v>E5_3_3_2_mRNA : E5_3_3_2_mRNA</v>
      </c>
      <c r="H432" s="32" t="str">
        <f t="shared" si="86"/>
        <v>E5_3_3_2 : E5_3_3_2</v>
      </c>
      <c r="I432" s="33" t="str">
        <f t="shared" si="87"/>
        <v>E5_3_3_2_mRNA : 0</v>
      </c>
      <c r="J432" s="16" t="str">
        <f t="shared" si="88"/>
        <v>E5_3_3_2 : 0</v>
      </c>
      <c r="K432" s="34" t="str">
        <f t="shared" si="89"/>
        <v>0.00292 - (0.0093 * E5_3_3_2_mRNA)</v>
      </c>
      <c r="L432" s="31" t="str">
        <f t="shared" si="90"/>
        <v>(0.278 * E5_3_3_2_mRNA) - (0.00000278 * E5_3_3_2)</v>
      </c>
      <c r="M432" s="35" t="str">
        <f t="shared" si="91"/>
        <v>mRNA431: -&gt; E5_3_3_2_mRNA | 0.00292 - (0.0093 * E5_3_3_2_mRNA)</v>
      </c>
      <c r="N432" s="29" t="str">
        <f t="shared" si="80"/>
        <v>Peptide431: E5_3_3_2_mRNA -&gt; E5_3_3_2 | (0.278 * E5_3_3_2_mRNA) - (0.000000278 * E5_3_3_2)</v>
      </c>
    </row>
    <row r="433" spans="1:14">
      <c r="A433">
        <v>432</v>
      </c>
      <c r="B433" t="s">
        <v>13107</v>
      </c>
      <c r="C433" t="str">
        <f t="shared" si="81"/>
        <v>E5_3_3_4_mRNA</v>
      </c>
      <c r="D433" t="str">
        <f t="shared" si="82"/>
        <v>E5_3_3_4</v>
      </c>
      <c r="E433" s="29" t="str">
        <f t="shared" si="83"/>
        <v>E5_3_3_4_kcat : 13.7</v>
      </c>
      <c r="F433" s="30" t="str">
        <f t="shared" si="84"/>
        <v>E5_3_3_4_km : 1</v>
      </c>
      <c r="G433" s="31" t="str">
        <f t="shared" si="85"/>
        <v>E5_3_3_4_mRNA : E5_3_3_4_mRNA</v>
      </c>
      <c r="H433" s="32" t="str">
        <f t="shared" si="86"/>
        <v>E5_3_3_4 : E5_3_3_4</v>
      </c>
      <c r="I433" s="33" t="str">
        <f t="shared" si="87"/>
        <v>E5_3_3_4_mRNA : 0</v>
      </c>
      <c r="J433" s="16" t="str">
        <f t="shared" si="88"/>
        <v>E5_3_3_4 : 0</v>
      </c>
      <c r="K433" s="34" t="str">
        <f t="shared" si="89"/>
        <v>0.00292 - (0.0093 * E5_3_3_4_mRNA)</v>
      </c>
      <c r="L433" s="31" t="str">
        <f t="shared" si="90"/>
        <v>(0.278 * E5_3_3_4_mRNA) - (0.00000278 * E5_3_3_4)</v>
      </c>
      <c r="M433" s="35" t="str">
        <f t="shared" si="91"/>
        <v>mRNA432: -&gt; E5_3_3_4_mRNA | 0.00292 - (0.0093 * E5_3_3_4_mRNA)</v>
      </c>
      <c r="N433" s="29" t="str">
        <f t="shared" si="80"/>
        <v>Peptide432: E5_3_3_4_mRNA -&gt; E5_3_3_4 | (0.278 * E5_3_3_4_mRNA) - (0.000000278 * E5_3_3_4)</v>
      </c>
    </row>
    <row r="434" spans="1:14">
      <c r="A434">
        <v>433</v>
      </c>
      <c r="B434" s="12" t="s">
        <v>13108</v>
      </c>
      <c r="C434" t="str">
        <f t="shared" si="81"/>
        <v>E5_4_2_10_mRNA</v>
      </c>
      <c r="D434" t="str">
        <f t="shared" si="82"/>
        <v>E5_4_2_10</v>
      </c>
      <c r="E434" s="29" t="str">
        <f t="shared" si="83"/>
        <v>E5_4_2_10_kcat : 13.7</v>
      </c>
      <c r="F434" s="30" t="str">
        <f t="shared" si="84"/>
        <v>E5_4_2_10_km : 1</v>
      </c>
      <c r="G434" s="31" t="str">
        <f t="shared" si="85"/>
        <v>E5_4_2_10_mRNA : E5_4_2_10_mRNA</v>
      </c>
      <c r="H434" s="32" t="str">
        <f t="shared" si="86"/>
        <v>E5_4_2_10 : E5_4_2_10</v>
      </c>
      <c r="I434" s="33" t="str">
        <f t="shared" si="87"/>
        <v>E5_4_2_10_mRNA : 0</v>
      </c>
      <c r="J434" s="16" t="str">
        <f t="shared" si="88"/>
        <v>E5_4_2_10 : 0</v>
      </c>
      <c r="K434" s="34" t="str">
        <f t="shared" si="89"/>
        <v>0.00292 - (0.0093 * E5_4_2_10_mRNA)</v>
      </c>
      <c r="L434" s="31" t="str">
        <f t="shared" si="90"/>
        <v>(0.278 * E5_4_2_10_mRNA) - (0.00000278 * E5_4_2_10)</v>
      </c>
      <c r="M434" s="35" t="str">
        <f t="shared" si="91"/>
        <v>mRNA433: -&gt; E5_4_2_10_mRNA | 0.00292 - (0.0093 * E5_4_2_10_mRNA)</v>
      </c>
      <c r="N434" s="29" t="str">
        <f t="shared" si="80"/>
        <v>Peptide433: E5_4_2_10_mRNA -&gt; E5_4_2_10 | (0.278 * E5_4_2_10_mRNA) - (0.000000278 * E5_4_2_10)</v>
      </c>
    </row>
    <row r="435" spans="1:14">
      <c r="A435">
        <v>434</v>
      </c>
      <c r="B435" t="s">
        <v>13109</v>
      </c>
      <c r="C435" t="str">
        <f t="shared" si="81"/>
        <v>E5_4_2_11_mRNA</v>
      </c>
      <c r="D435" t="str">
        <f t="shared" si="82"/>
        <v>E5_4_2_11</v>
      </c>
      <c r="E435" s="29" t="str">
        <f t="shared" si="83"/>
        <v>E5_4_2_11_kcat : 13.7</v>
      </c>
      <c r="F435" s="30" t="str">
        <f t="shared" si="84"/>
        <v>E5_4_2_11_km : 1</v>
      </c>
      <c r="G435" s="31" t="str">
        <f t="shared" si="85"/>
        <v>E5_4_2_11_mRNA : E5_4_2_11_mRNA</v>
      </c>
      <c r="H435" s="32" t="str">
        <f t="shared" si="86"/>
        <v>E5_4_2_11 : E5_4_2_11</v>
      </c>
      <c r="I435" s="33" t="str">
        <f t="shared" si="87"/>
        <v>E5_4_2_11_mRNA : 0</v>
      </c>
      <c r="J435" s="16" t="str">
        <f t="shared" si="88"/>
        <v>E5_4_2_11 : 0</v>
      </c>
      <c r="K435" s="34" t="str">
        <f t="shared" si="89"/>
        <v>0.00292 - (0.0093 * E5_4_2_11_mRNA)</v>
      </c>
      <c r="L435" s="31" t="str">
        <f t="shared" si="90"/>
        <v>(0.278 * E5_4_2_11_mRNA) - (0.00000278 * E5_4_2_11)</v>
      </c>
      <c r="M435" s="35" t="str">
        <f t="shared" si="91"/>
        <v>mRNA434: -&gt; E5_4_2_11_mRNA | 0.00292 - (0.0093 * E5_4_2_11_mRNA)</v>
      </c>
      <c r="N435" s="29" t="str">
        <f t="shared" si="80"/>
        <v>Peptide434: E5_4_2_11_mRNA -&gt; E5_4_2_11 | (0.278 * E5_4_2_11_mRNA) - (0.000000278 * E5_4_2_11)</v>
      </c>
    </row>
    <row r="436" spans="1:14">
      <c r="A436">
        <v>435</v>
      </c>
      <c r="B436" t="s">
        <v>13110</v>
      </c>
      <c r="C436" t="str">
        <f t="shared" si="81"/>
        <v>E5_4_2_2_mRNA</v>
      </c>
      <c r="D436" t="str">
        <f t="shared" si="82"/>
        <v>E5_4_2_2</v>
      </c>
      <c r="E436" s="29" t="str">
        <f t="shared" si="83"/>
        <v>E5_4_2_2_kcat : 13.7</v>
      </c>
      <c r="F436" s="30" t="str">
        <f t="shared" si="84"/>
        <v>E5_4_2_2_km : 1</v>
      </c>
      <c r="G436" s="31" t="str">
        <f t="shared" si="85"/>
        <v>E5_4_2_2_mRNA : E5_4_2_2_mRNA</v>
      </c>
      <c r="H436" s="32" t="str">
        <f t="shared" si="86"/>
        <v>E5_4_2_2 : E5_4_2_2</v>
      </c>
      <c r="I436" s="33" t="str">
        <f t="shared" si="87"/>
        <v>E5_4_2_2_mRNA : 0</v>
      </c>
      <c r="J436" s="16" t="str">
        <f t="shared" si="88"/>
        <v>E5_4_2_2 : 0</v>
      </c>
      <c r="K436" s="34" t="str">
        <f t="shared" si="89"/>
        <v>0.00292 - (0.0093 * E5_4_2_2_mRNA)</v>
      </c>
      <c r="L436" s="31" t="str">
        <f t="shared" si="90"/>
        <v>(0.278 * E5_4_2_2_mRNA) - (0.00000278 * E5_4_2_2)</v>
      </c>
      <c r="M436" s="35" t="str">
        <f t="shared" si="91"/>
        <v>mRNA435: -&gt; E5_4_2_2_mRNA | 0.00292 - (0.0093 * E5_4_2_2_mRNA)</v>
      </c>
      <c r="N436" s="29" t="str">
        <f t="shared" si="80"/>
        <v>Peptide435: E5_4_2_2_mRNA -&gt; E5_4_2_2 | (0.278 * E5_4_2_2_mRNA) - (0.000000278 * E5_4_2_2)</v>
      </c>
    </row>
    <row r="437" spans="1:14">
      <c r="A437">
        <v>436</v>
      </c>
      <c r="B437" t="s">
        <v>13111</v>
      </c>
      <c r="C437" t="str">
        <f t="shared" si="81"/>
        <v>E5_4_3_8_mRNA</v>
      </c>
      <c r="D437" t="str">
        <f t="shared" si="82"/>
        <v>E5_4_3_8</v>
      </c>
      <c r="E437" s="29" t="str">
        <f t="shared" si="83"/>
        <v>E5_4_3_8_kcat : 13.7</v>
      </c>
      <c r="F437" s="30" t="str">
        <f t="shared" si="84"/>
        <v>E5_4_3_8_km : 1</v>
      </c>
      <c r="G437" s="31" t="str">
        <f t="shared" si="85"/>
        <v>E5_4_3_8_mRNA : E5_4_3_8_mRNA</v>
      </c>
      <c r="H437" s="32" t="str">
        <f t="shared" si="86"/>
        <v>E5_4_3_8 : E5_4_3_8</v>
      </c>
      <c r="I437" s="33" t="str">
        <f t="shared" si="87"/>
        <v>E5_4_3_8_mRNA : 0</v>
      </c>
      <c r="J437" s="16" t="str">
        <f t="shared" si="88"/>
        <v>E5_4_3_8 : 0</v>
      </c>
      <c r="K437" s="34" t="str">
        <f t="shared" si="89"/>
        <v>0.00292 - (0.0093 * E5_4_3_8_mRNA)</v>
      </c>
      <c r="L437" s="31" t="str">
        <f t="shared" si="90"/>
        <v>(0.278 * E5_4_3_8_mRNA) - (0.00000278 * E5_4_3_8)</v>
      </c>
      <c r="M437" s="35" t="str">
        <f t="shared" si="91"/>
        <v>mRNA436: -&gt; E5_4_3_8_mRNA | 0.00292 - (0.0093 * E5_4_3_8_mRNA)</v>
      </c>
      <c r="N437" s="29" t="str">
        <f t="shared" si="80"/>
        <v>Peptide436: E5_4_3_8_mRNA -&gt; E5_4_3_8 | (0.278 * E5_4_3_8_mRNA) - (0.000000278 * E5_4_3_8)</v>
      </c>
    </row>
    <row r="438" spans="1:14">
      <c r="A438">
        <v>437</v>
      </c>
      <c r="B438" t="s">
        <v>13112</v>
      </c>
      <c r="C438" t="str">
        <f t="shared" si="81"/>
        <v>E5_4_4_2_mRNA</v>
      </c>
      <c r="D438" t="str">
        <f t="shared" si="82"/>
        <v>E5_4_4_2</v>
      </c>
      <c r="E438" s="29" t="str">
        <f t="shared" si="83"/>
        <v>E5_4_4_2_kcat : 13.7</v>
      </c>
      <c r="F438" s="30" t="str">
        <f t="shared" si="84"/>
        <v>E5_4_4_2_km : 1</v>
      </c>
      <c r="G438" s="31" t="str">
        <f t="shared" si="85"/>
        <v>E5_4_4_2_mRNA : E5_4_4_2_mRNA</v>
      </c>
      <c r="H438" s="32" t="str">
        <f t="shared" si="86"/>
        <v>E5_4_4_2 : E5_4_4_2</v>
      </c>
      <c r="I438" s="33" t="str">
        <f t="shared" si="87"/>
        <v>E5_4_4_2_mRNA : 0</v>
      </c>
      <c r="J438" s="16" t="str">
        <f t="shared" si="88"/>
        <v>E5_4_4_2 : 0</v>
      </c>
      <c r="K438" s="34" t="str">
        <f t="shared" si="89"/>
        <v>0.00292 - (0.0093 * E5_4_4_2_mRNA)</v>
      </c>
      <c r="L438" s="31" t="str">
        <f t="shared" si="90"/>
        <v>(0.278 * E5_4_4_2_mRNA) - (0.00000278 * E5_4_4_2)</v>
      </c>
      <c r="M438" s="35" t="str">
        <f t="shared" si="91"/>
        <v>mRNA437: -&gt; E5_4_4_2_mRNA | 0.00292 - (0.0093 * E5_4_4_2_mRNA)</v>
      </c>
      <c r="N438" s="29" t="str">
        <f t="shared" si="80"/>
        <v>Peptide437: E5_4_4_2_mRNA -&gt; E5_4_4_2 | (0.278 * E5_4_4_2_mRNA) - (0.000000278 * E5_4_4_2)</v>
      </c>
    </row>
    <row r="439" spans="1:14">
      <c r="A439">
        <v>438</v>
      </c>
      <c r="B439" t="s">
        <v>13113</v>
      </c>
      <c r="C439" t="str">
        <f t="shared" si="81"/>
        <v>E5_4_99_12_mRNA</v>
      </c>
      <c r="D439" t="str">
        <f t="shared" si="82"/>
        <v>E5_4_99_12</v>
      </c>
      <c r="E439" s="29" t="str">
        <f t="shared" si="83"/>
        <v>E5_4_99_12_kcat : 13.7</v>
      </c>
      <c r="F439" s="30" t="str">
        <f t="shared" si="84"/>
        <v>E5_4_99_12_km : 1</v>
      </c>
      <c r="G439" s="31" t="str">
        <f t="shared" si="85"/>
        <v>E5_4_99_12_mRNA : E5_4_99_12_mRNA</v>
      </c>
      <c r="H439" s="32" t="str">
        <f t="shared" si="86"/>
        <v>E5_4_99_12 : E5_4_99_12</v>
      </c>
      <c r="I439" s="33" t="str">
        <f t="shared" si="87"/>
        <v>E5_4_99_12_mRNA : 0</v>
      </c>
      <c r="J439" s="16" t="str">
        <f t="shared" si="88"/>
        <v>E5_4_99_12 : 0</v>
      </c>
      <c r="K439" s="34" t="str">
        <f t="shared" si="89"/>
        <v>0.00292 - (0.0093 * E5_4_99_12_mRNA)</v>
      </c>
      <c r="L439" s="31" t="str">
        <f t="shared" si="90"/>
        <v>(0.278 * E5_4_99_12_mRNA) - (0.00000278 * E5_4_99_12)</v>
      </c>
      <c r="M439" s="35" t="str">
        <f t="shared" si="91"/>
        <v>mRNA438: -&gt; E5_4_99_12_mRNA | 0.00292 - (0.0093 * E5_4_99_12_mRNA)</v>
      </c>
      <c r="N439" s="29" t="str">
        <f t="shared" si="80"/>
        <v>Peptide438: E5_4_99_12_mRNA -&gt; E5_4_99_12 | (0.278 * E5_4_99_12_mRNA) - (0.000000278 * E5_4_99_12)</v>
      </c>
    </row>
    <row r="440" spans="1:14">
      <c r="A440">
        <v>439</v>
      </c>
      <c r="B440" t="s">
        <v>16060</v>
      </c>
      <c r="C440" t="str">
        <f t="shared" si="81"/>
        <v>E5_4_99_15_mRNA</v>
      </c>
      <c r="D440" t="str">
        <f t="shared" si="82"/>
        <v>E5_4_99_15</v>
      </c>
      <c r="E440" s="29" t="str">
        <f t="shared" si="83"/>
        <v>E5_4_99_15_kcat : 13.7</v>
      </c>
      <c r="F440" s="30" t="str">
        <f t="shared" si="84"/>
        <v>E5_4_99_15_km : 1</v>
      </c>
      <c r="G440" s="31" t="str">
        <f t="shared" si="85"/>
        <v>E5_4_99_15_mRNA : E5_4_99_15_mRNA</v>
      </c>
      <c r="H440" s="32" t="str">
        <f t="shared" si="86"/>
        <v>E5_4_99_15 : E5_4_99_15</v>
      </c>
      <c r="I440" s="33" t="str">
        <f t="shared" si="87"/>
        <v>E5_4_99_15_mRNA : 0</v>
      </c>
      <c r="J440" s="16" t="str">
        <f t="shared" si="88"/>
        <v>E5_4_99_15 : 0</v>
      </c>
      <c r="K440" s="34" t="str">
        <f t="shared" si="89"/>
        <v>0.00292 - (0.0093 * E5_4_99_15_mRNA)</v>
      </c>
      <c r="L440" s="31" t="str">
        <f t="shared" si="90"/>
        <v>(0.278 * E5_4_99_15_mRNA) - (0.00000278 * E5_4_99_15)</v>
      </c>
      <c r="M440" s="35" t="str">
        <f t="shared" si="91"/>
        <v>mRNA439: -&gt; E5_4_99_15_mRNA | 0.00292 - (0.0093 * E5_4_99_15_mRNA)</v>
      </c>
      <c r="N440" s="29" t="str">
        <f t="shared" si="80"/>
        <v>Peptide439: E5_4_99_15_mRNA -&gt; E5_4_99_15 | (0.278 * E5_4_99_15_mRNA) - (0.000000278 * E5_4_99_15)</v>
      </c>
    </row>
    <row r="441" spans="1:14">
      <c r="A441">
        <v>440</v>
      </c>
      <c r="B441" t="s">
        <v>13114</v>
      </c>
      <c r="C441" t="str">
        <f t="shared" si="81"/>
        <v>E5_4_99_16_mRNA</v>
      </c>
      <c r="D441" t="str">
        <f t="shared" si="82"/>
        <v>E5_4_99_16</v>
      </c>
      <c r="E441" s="29" t="str">
        <f t="shared" si="83"/>
        <v>E5_4_99_16_kcat : 13.7</v>
      </c>
      <c r="F441" s="30" t="str">
        <f t="shared" si="84"/>
        <v>E5_4_99_16_km : 1</v>
      </c>
      <c r="G441" s="31" t="str">
        <f t="shared" si="85"/>
        <v>E5_4_99_16_mRNA : E5_4_99_16_mRNA</v>
      </c>
      <c r="H441" s="32" t="str">
        <f t="shared" si="86"/>
        <v>E5_4_99_16 : E5_4_99_16</v>
      </c>
      <c r="I441" s="33" t="str">
        <f t="shared" si="87"/>
        <v>E5_4_99_16_mRNA : 0</v>
      </c>
      <c r="J441" s="16" t="str">
        <f t="shared" si="88"/>
        <v>E5_4_99_16 : 0</v>
      </c>
      <c r="K441" s="34" t="str">
        <f t="shared" si="89"/>
        <v>0.00292 - (0.0093 * E5_4_99_16_mRNA)</v>
      </c>
      <c r="L441" s="31" t="str">
        <f t="shared" si="90"/>
        <v>(0.278 * E5_4_99_16_mRNA) - (0.00000278 * E5_4_99_16)</v>
      </c>
      <c r="M441" s="35" t="str">
        <f t="shared" si="91"/>
        <v>mRNA440: -&gt; E5_4_99_16_mRNA | 0.00292 - (0.0093 * E5_4_99_16_mRNA)</v>
      </c>
      <c r="N441" s="29" t="str">
        <f t="shared" si="80"/>
        <v>Peptide440: E5_4_99_16_mRNA -&gt; E5_4_99_16 | (0.278 * E5_4_99_16_mRNA) - (0.000000278 * E5_4_99_16)</v>
      </c>
    </row>
    <row r="442" spans="1:14">
      <c r="A442">
        <v>441</v>
      </c>
      <c r="B442" t="s">
        <v>13115</v>
      </c>
      <c r="C442" t="str">
        <f t="shared" si="81"/>
        <v>E5_4_99_18_mRNA</v>
      </c>
      <c r="D442" t="str">
        <f t="shared" si="82"/>
        <v>E5_4_99_18</v>
      </c>
      <c r="E442" s="29" t="str">
        <f t="shared" si="83"/>
        <v>E5_4_99_18_kcat : 13.7</v>
      </c>
      <c r="F442" s="30" t="str">
        <f t="shared" si="84"/>
        <v>E5_4_99_18_km : 1</v>
      </c>
      <c r="G442" s="31" t="str">
        <f t="shared" si="85"/>
        <v>E5_4_99_18_mRNA : E5_4_99_18_mRNA</v>
      </c>
      <c r="H442" s="32" t="str">
        <f t="shared" si="86"/>
        <v>E5_4_99_18 : E5_4_99_18</v>
      </c>
      <c r="I442" s="33" t="str">
        <f t="shared" si="87"/>
        <v>E5_4_99_18_mRNA : 0</v>
      </c>
      <c r="J442" s="16" t="str">
        <f t="shared" si="88"/>
        <v>E5_4_99_18 : 0</v>
      </c>
      <c r="K442" s="34" t="str">
        <f t="shared" si="89"/>
        <v>0.00292 - (0.0093 * E5_4_99_18_mRNA)</v>
      </c>
      <c r="L442" s="31" t="str">
        <f t="shared" si="90"/>
        <v>(0.278 * E5_4_99_18_mRNA) - (0.00000278 * E5_4_99_18)</v>
      </c>
      <c r="M442" s="35" t="str">
        <f t="shared" si="91"/>
        <v>mRNA441: -&gt; E5_4_99_18_mRNA | 0.00292 - (0.0093 * E5_4_99_18_mRNA)</v>
      </c>
      <c r="N442" s="29" t="str">
        <f t="shared" si="80"/>
        <v>Peptide441: E5_4_99_18_mRNA -&gt; E5_4_99_18 | (0.278 * E5_4_99_18_mRNA) - (0.000000278 * E5_4_99_18)</v>
      </c>
    </row>
    <row r="443" spans="1:14">
      <c r="A443">
        <v>442</v>
      </c>
      <c r="B443" t="s">
        <v>13116</v>
      </c>
      <c r="C443" t="str">
        <f t="shared" si="81"/>
        <v>E5_4_99_2_mRNA</v>
      </c>
      <c r="D443" t="str">
        <f t="shared" si="82"/>
        <v>E5_4_99_2</v>
      </c>
      <c r="E443" s="29" t="str">
        <f t="shared" si="83"/>
        <v>E5_4_99_2_kcat : 13.7</v>
      </c>
      <c r="F443" s="30" t="str">
        <f t="shared" si="84"/>
        <v>E5_4_99_2_km : 1</v>
      </c>
      <c r="G443" s="31" t="str">
        <f t="shared" si="85"/>
        <v>E5_4_99_2_mRNA : E5_4_99_2_mRNA</v>
      </c>
      <c r="H443" s="32" t="str">
        <f t="shared" si="86"/>
        <v>E5_4_99_2 : E5_4_99_2</v>
      </c>
      <c r="I443" s="33" t="str">
        <f t="shared" si="87"/>
        <v>E5_4_99_2_mRNA : 0</v>
      </c>
      <c r="J443" s="16" t="str">
        <f t="shared" si="88"/>
        <v>E5_4_99_2 : 0</v>
      </c>
      <c r="K443" s="34" t="str">
        <f t="shared" si="89"/>
        <v>0.00292 - (0.0093 * E5_4_99_2_mRNA)</v>
      </c>
      <c r="L443" s="31" t="str">
        <f t="shared" si="90"/>
        <v>(0.278 * E5_4_99_2_mRNA) - (0.00000278 * E5_4_99_2)</v>
      </c>
      <c r="M443" s="35" t="str">
        <f t="shared" si="91"/>
        <v>mRNA442: -&gt; E5_4_99_2_mRNA | 0.00292 - (0.0093 * E5_4_99_2_mRNA)</v>
      </c>
      <c r="N443" s="29" t="str">
        <f t="shared" si="80"/>
        <v>Peptide442: E5_4_99_2_mRNA -&gt; E5_4_99_2 | (0.278 * E5_4_99_2_mRNA) - (0.000000278 * E5_4_99_2)</v>
      </c>
    </row>
    <row r="444" spans="1:14">
      <c r="A444">
        <v>443</v>
      </c>
      <c r="B444" t="s">
        <v>13117</v>
      </c>
      <c r="C444" t="str">
        <f t="shared" si="81"/>
        <v>E5_4_99_25_mRNA</v>
      </c>
      <c r="D444" t="str">
        <f t="shared" si="82"/>
        <v>E5_4_99_25</v>
      </c>
      <c r="E444" s="29" t="str">
        <f t="shared" si="83"/>
        <v>E5_4_99_25_kcat : 13.7</v>
      </c>
      <c r="F444" s="30" t="str">
        <f t="shared" si="84"/>
        <v>E5_4_99_25_km : 1</v>
      </c>
      <c r="G444" s="31" t="str">
        <f t="shared" si="85"/>
        <v>E5_4_99_25_mRNA : E5_4_99_25_mRNA</v>
      </c>
      <c r="H444" s="32" t="str">
        <f t="shared" si="86"/>
        <v>E5_4_99_25 : E5_4_99_25</v>
      </c>
      <c r="I444" s="33" t="str">
        <f t="shared" si="87"/>
        <v>E5_4_99_25_mRNA : 0</v>
      </c>
      <c r="J444" s="16" t="str">
        <f t="shared" si="88"/>
        <v>E5_4_99_25 : 0</v>
      </c>
      <c r="K444" s="34" t="str">
        <f t="shared" si="89"/>
        <v>0.00292 - (0.0093 * E5_4_99_25_mRNA)</v>
      </c>
      <c r="L444" s="31" t="str">
        <f t="shared" si="90"/>
        <v>(0.278 * E5_4_99_25_mRNA) - (0.00000278 * E5_4_99_25)</v>
      </c>
      <c r="M444" s="35" t="str">
        <f t="shared" si="91"/>
        <v>mRNA443: -&gt; E5_4_99_25_mRNA | 0.00292 - (0.0093 * E5_4_99_25_mRNA)</v>
      </c>
      <c r="N444" s="29" t="str">
        <f t="shared" si="80"/>
        <v>Peptide443: E5_4_99_25_mRNA -&gt; E5_4_99_25 | (0.278 * E5_4_99_25_mRNA) - (0.000000278 * E5_4_99_25)</v>
      </c>
    </row>
    <row r="445" spans="1:14">
      <c r="A445">
        <v>444</v>
      </c>
      <c r="B445" t="s">
        <v>13118</v>
      </c>
      <c r="C445" t="str">
        <f t="shared" si="81"/>
        <v>E5_4_99_5_mRNA</v>
      </c>
      <c r="D445" t="str">
        <f t="shared" si="82"/>
        <v>E5_4_99_5</v>
      </c>
      <c r="E445" s="29" t="str">
        <f t="shared" si="83"/>
        <v>E5_4_99_5_kcat : 13.7</v>
      </c>
      <c r="F445" s="30" t="str">
        <f t="shared" si="84"/>
        <v>E5_4_99_5_km : 1</v>
      </c>
      <c r="G445" s="31" t="str">
        <f t="shared" si="85"/>
        <v>E5_4_99_5_mRNA : E5_4_99_5_mRNA</v>
      </c>
      <c r="H445" s="32" t="str">
        <f t="shared" si="86"/>
        <v>E5_4_99_5 : E5_4_99_5</v>
      </c>
      <c r="I445" s="33" t="str">
        <f t="shared" si="87"/>
        <v>E5_4_99_5_mRNA : 0</v>
      </c>
      <c r="J445" s="16" t="str">
        <f t="shared" si="88"/>
        <v>E5_4_99_5 : 0</v>
      </c>
      <c r="K445" s="34" t="str">
        <f t="shared" si="89"/>
        <v>0.00292 - (0.0093 * E5_4_99_5_mRNA)</v>
      </c>
      <c r="L445" s="31" t="str">
        <f t="shared" si="90"/>
        <v>(0.278 * E5_4_99_5_mRNA) - (0.00000278 * E5_4_99_5)</v>
      </c>
      <c r="M445" s="35" t="str">
        <f t="shared" si="91"/>
        <v>mRNA444: -&gt; E5_4_99_5_mRNA | 0.00292 - (0.0093 * E5_4_99_5_mRNA)</v>
      </c>
      <c r="N445" s="29" t="str">
        <f t="shared" si="80"/>
        <v>Peptide444: E5_4_99_5_mRNA -&gt; E5_4_99_5 | (0.278 * E5_4_99_5_mRNA) - (0.000000278 * E5_4_99_5)</v>
      </c>
    </row>
    <row r="446" spans="1:14">
      <c r="A446">
        <v>445</v>
      </c>
      <c r="B446" t="s">
        <v>13119</v>
      </c>
      <c r="C446" t="str">
        <f t="shared" si="81"/>
        <v>E5_4_99_62_mRNA</v>
      </c>
      <c r="D446" t="str">
        <f t="shared" si="82"/>
        <v>E5_4_99_62</v>
      </c>
      <c r="E446" s="29" t="str">
        <f t="shared" si="83"/>
        <v>E5_4_99_62_kcat : 13.7</v>
      </c>
      <c r="F446" s="30" t="str">
        <f t="shared" si="84"/>
        <v>E5_4_99_62_km : 1</v>
      </c>
      <c r="G446" s="31" t="str">
        <f t="shared" si="85"/>
        <v>E5_4_99_62_mRNA : E5_4_99_62_mRNA</v>
      </c>
      <c r="H446" s="32" t="str">
        <f t="shared" si="86"/>
        <v>E5_4_99_62 : E5_4_99_62</v>
      </c>
      <c r="I446" s="33" t="str">
        <f t="shared" si="87"/>
        <v>E5_4_99_62_mRNA : 0</v>
      </c>
      <c r="J446" s="16" t="str">
        <f t="shared" si="88"/>
        <v>E5_4_99_62 : 0</v>
      </c>
      <c r="K446" s="34" t="str">
        <f t="shared" si="89"/>
        <v>0.00292 - (0.0093 * E5_4_99_62_mRNA)</v>
      </c>
      <c r="L446" s="31" t="str">
        <f t="shared" si="90"/>
        <v>(0.278 * E5_4_99_62_mRNA) - (0.00000278 * E5_4_99_62)</v>
      </c>
      <c r="M446" s="35" t="str">
        <f t="shared" si="91"/>
        <v>mRNA445: -&gt; E5_4_99_62_mRNA | 0.00292 - (0.0093 * E5_4_99_62_mRNA)</v>
      </c>
      <c r="N446" s="29" t="str">
        <f t="shared" si="80"/>
        <v>Peptide445: E5_4_99_62_mRNA -&gt; E5_4_99_62 | (0.278 * E5_4_99_62_mRNA) - (0.000000278 * E5_4_99_62)</v>
      </c>
    </row>
    <row r="447" spans="1:14">
      <c r="A447">
        <v>446</v>
      </c>
      <c r="B447" t="s">
        <v>13120</v>
      </c>
      <c r="C447" t="str">
        <f t="shared" si="81"/>
        <v>E5_4_99_9_mRNA</v>
      </c>
      <c r="D447" t="str">
        <f t="shared" si="82"/>
        <v>E5_4_99_9</v>
      </c>
      <c r="E447" s="29" t="str">
        <f t="shared" si="83"/>
        <v>E5_4_99_9_kcat : 13.7</v>
      </c>
      <c r="F447" s="30" t="str">
        <f t="shared" si="84"/>
        <v>E5_4_99_9_km : 1</v>
      </c>
      <c r="G447" s="31" t="str">
        <f t="shared" si="85"/>
        <v>E5_4_99_9_mRNA : E5_4_99_9_mRNA</v>
      </c>
      <c r="H447" s="32" t="str">
        <f t="shared" si="86"/>
        <v>E5_4_99_9 : E5_4_99_9</v>
      </c>
      <c r="I447" s="33" t="str">
        <f t="shared" si="87"/>
        <v>E5_4_99_9_mRNA : 0</v>
      </c>
      <c r="J447" s="16" t="str">
        <f t="shared" si="88"/>
        <v>E5_4_99_9 : 0</v>
      </c>
      <c r="K447" s="34" t="str">
        <f t="shared" si="89"/>
        <v>0.00292 - (0.0093 * E5_4_99_9_mRNA)</v>
      </c>
      <c r="L447" s="31" t="str">
        <f t="shared" si="90"/>
        <v>(0.278 * E5_4_99_9_mRNA) - (0.00000278 * E5_4_99_9)</v>
      </c>
      <c r="M447" s="35" t="str">
        <f t="shared" si="91"/>
        <v>mRNA446: -&gt; E5_4_99_9_mRNA | 0.00292 - (0.0093 * E5_4_99_9_mRNA)</v>
      </c>
      <c r="N447" s="29" t="str">
        <f t="shared" si="80"/>
        <v>Peptide446: E5_4_99_9_mRNA -&gt; E5_4_99_9 | (0.278 * E5_4_99_9_mRNA) - (0.000000278 * E5_4_99_9)</v>
      </c>
    </row>
    <row r="448" spans="1:14">
      <c r="A448">
        <v>447</v>
      </c>
      <c r="B448" t="s">
        <v>13121</v>
      </c>
      <c r="C448" t="str">
        <f t="shared" si="81"/>
        <v>E5_5_1_2_mRNA</v>
      </c>
      <c r="D448" t="str">
        <f t="shared" si="82"/>
        <v>E5_5_1_2</v>
      </c>
      <c r="E448" s="29" t="str">
        <f t="shared" si="83"/>
        <v>E5_5_1_2_kcat : 13.7</v>
      </c>
      <c r="F448" s="30" t="str">
        <f t="shared" si="84"/>
        <v>E5_5_1_2_km : 1</v>
      </c>
      <c r="G448" s="31" t="str">
        <f t="shared" si="85"/>
        <v>E5_5_1_2_mRNA : E5_5_1_2_mRNA</v>
      </c>
      <c r="H448" s="32" t="str">
        <f t="shared" si="86"/>
        <v>E5_5_1_2 : E5_5_1_2</v>
      </c>
      <c r="I448" s="33" t="str">
        <f t="shared" si="87"/>
        <v>E5_5_1_2_mRNA : 0</v>
      </c>
      <c r="J448" s="16" t="str">
        <f t="shared" si="88"/>
        <v>E5_5_1_2 : 0</v>
      </c>
      <c r="K448" s="34" t="str">
        <f t="shared" si="89"/>
        <v>0.00292 - (0.0093 * E5_5_1_2_mRNA)</v>
      </c>
      <c r="L448" s="31" t="str">
        <f t="shared" si="90"/>
        <v>(0.278 * E5_5_1_2_mRNA) - (0.00000278 * E5_5_1_2)</v>
      </c>
      <c r="M448" s="35" t="str">
        <f t="shared" si="91"/>
        <v>mRNA447: -&gt; E5_5_1_2_mRNA | 0.00292 - (0.0093 * E5_5_1_2_mRNA)</v>
      </c>
      <c r="N448" s="29" t="str">
        <f t="shared" si="80"/>
        <v>Peptide447: E5_5_1_2_mRNA -&gt; E5_5_1_2 | (0.278 * E5_5_1_2_mRNA) - (0.000000278 * E5_5_1_2)</v>
      </c>
    </row>
    <row r="449" spans="1:14">
      <c r="A449">
        <v>448</v>
      </c>
      <c r="B449" t="s">
        <v>13122</v>
      </c>
      <c r="C449" t="str">
        <f t="shared" si="81"/>
        <v>E5_5_1_4_mRNA</v>
      </c>
      <c r="D449" t="str">
        <f t="shared" si="82"/>
        <v>E5_5_1_4</v>
      </c>
      <c r="E449" s="29" t="str">
        <f t="shared" si="83"/>
        <v>E5_5_1_4_kcat : 13.7</v>
      </c>
      <c r="F449" s="30" t="str">
        <f t="shared" si="84"/>
        <v>E5_5_1_4_km : 1</v>
      </c>
      <c r="G449" s="31" t="str">
        <f t="shared" si="85"/>
        <v>E5_5_1_4_mRNA : E5_5_1_4_mRNA</v>
      </c>
      <c r="H449" s="32" t="str">
        <f t="shared" si="86"/>
        <v>E5_5_1_4 : E5_5_1_4</v>
      </c>
      <c r="I449" s="33" t="str">
        <f t="shared" si="87"/>
        <v>E5_5_1_4_mRNA : 0</v>
      </c>
      <c r="J449" s="16" t="str">
        <f t="shared" si="88"/>
        <v>E5_5_1_4 : 0</v>
      </c>
      <c r="K449" s="34" t="str">
        <f t="shared" si="89"/>
        <v>0.00292 - (0.0093 * E5_5_1_4_mRNA)</v>
      </c>
      <c r="L449" s="31" t="str">
        <f t="shared" si="90"/>
        <v>(0.278 * E5_5_1_4_mRNA) - (0.00000278 * E5_5_1_4)</v>
      </c>
      <c r="M449" s="35" t="str">
        <f t="shared" si="91"/>
        <v>mRNA448: -&gt; E5_5_1_4_mRNA | 0.00292 - (0.0093 * E5_5_1_4_mRNA)</v>
      </c>
      <c r="N449" s="29" t="str">
        <f t="shared" si="80"/>
        <v>Peptide448: E5_5_1_4_mRNA -&gt; E5_5_1_4 | (0.278 * E5_5_1_4_mRNA) - (0.000000278 * E5_5_1_4)</v>
      </c>
    </row>
    <row r="450" spans="1:14">
      <c r="A450">
        <v>449</v>
      </c>
      <c r="B450" t="s">
        <v>13123</v>
      </c>
      <c r="C450" t="str">
        <f t="shared" si="81"/>
        <v>E5_6_1_5_mRNA</v>
      </c>
      <c r="D450" t="str">
        <f t="shared" si="82"/>
        <v>E5_6_1_5</v>
      </c>
      <c r="E450" s="29" t="str">
        <f t="shared" si="83"/>
        <v>E5_6_1_5_kcat : 13.7</v>
      </c>
      <c r="F450" s="30" t="str">
        <f t="shared" si="84"/>
        <v>E5_6_1_5_km : 1</v>
      </c>
      <c r="G450" s="31" t="str">
        <f t="shared" si="85"/>
        <v>E5_6_1_5_mRNA : E5_6_1_5_mRNA</v>
      </c>
      <c r="H450" s="32" t="str">
        <f t="shared" si="86"/>
        <v>E5_6_1_5 : E5_6_1_5</v>
      </c>
      <c r="I450" s="33" t="str">
        <f t="shared" si="87"/>
        <v>E5_6_1_5_mRNA : 0</v>
      </c>
      <c r="J450" s="16" t="str">
        <f t="shared" si="88"/>
        <v>E5_6_1_5 : 0</v>
      </c>
      <c r="K450" s="34" t="str">
        <f t="shared" si="89"/>
        <v>0.00292 - (0.0093 * E5_6_1_5_mRNA)</v>
      </c>
      <c r="L450" s="31" t="str">
        <f t="shared" si="90"/>
        <v>(0.278 * E5_6_1_5_mRNA) - (0.00000278 * E5_6_1_5)</v>
      </c>
      <c r="M450" s="35" t="str">
        <f t="shared" si="91"/>
        <v>mRNA449: -&gt; E5_6_1_5_mRNA | 0.00292 - (0.0093 * E5_6_1_5_mRNA)</v>
      </c>
      <c r="N450" s="29" t="str">
        <f t="shared" ref="N450:N510" si="92">CONCATENATE("Peptide",A450,": ",C450," -&gt; ",D450," | ","(","0.278"," * ",C450,")"," - ","(","0.000000278"," * ",D450,")")</f>
        <v>Peptide449: E5_6_1_5_mRNA -&gt; E5_6_1_5 | (0.278 * E5_6_1_5_mRNA) - (0.000000278 * E5_6_1_5)</v>
      </c>
    </row>
    <row r="451" spans="1:14">
      <c r="A451">
        <v>450</v>
      </c>
      <c r="B451" t="s">
        <v>13124</v>
      </c>
      <c r="C451" t="str">
        <f t="shared" ref="C451:C512" si="93">CONCATENATE(D451,"_mRNA")</f>
        <v>E5_6_2_1_mRNA</v>
      </c>
      <c r="D451" t="str">
        <f t="shared" ref="D451:D512" si="94">CONCATENATE("E",B451)</f>
        <v>E5_6_2_1</v>
      </c>
      <c r="E451" s="29" t="str">
        <f t="shared" ref="E451:E512" si="95">CONCATENATE("E",B451,"_kcat : 13.7")</f>
        <v>E5_6_2_1_kcat : 13.7</v>
      </c>
      <c r="F451" s="30" t="str">
        <f t="shared" ref="F451:F512" si="96">CONCATENATE("E",B451,"_km : 1")</f>
        <v>E5_6_2_1_km : 1</v>
      </c>
      <c r="G451" s="31" t="str">
        <f t="shared" ref="G451:G512" si="97">CONCATENATE(C451," : ",C451)</f>
        <v>E5_6_2_1_mRNA : E5_6_2_1_mRNA</v>
      </c>
      <c r="H451" s="32" t="str">
        <f t="shared" ref="H451:H512" si="98">CONCATENATE(D451," : ",D451)</f>
        <v>E5_6_2_1 : E5_6_2_1</v>
      </c>
      <c r="I451" s="33" t="str">
        <f t="shared" ref="I451:I512" si="99">CONCATENATE(C451," : ","0")</f>
        <v>E5_6_2_1_mRNA : 0</v>
      </c>
      <c r="J451" s="16" t="str">
        <f t="shared" ref="J451:J512" si="100">CONCATENATE(D451," : ","0")</f>
        <v>E5_6_2_1 : 0</v>
      </c>
      <c r="K451" s="34" t="str">
        <f t="shared" ref="K451:K512" si="101">CONCATENATE("0.00292 - (0.0093 * ",C451,")")</f>
        <v>0.00292 - (0.0093 * E5_6_2_1_mRNA)</v>
      </c>
      <c r="L451" s="31" t="str">
        <f t="shared" ref="L451:L512" si="102">CONCATENATE("(0.278 * ",C451,")"," - (0.00000278 * ",D451,")")</f>
        <v>(0.278 * E5_6_2_1_mRNA) - (0.00000278 * E5_6_2_1)</v>
      </c>
      <c r="M451" s="35" t="str">
        <f t="shared" ref="M451:M512" si="103">CONCATENATE("mRNA",A451,": -&gt; ",C451," | ","0.00292"," - ","(","0.0093"," * ",C451,")")</f>
        <v>mRNA450: -&gt; E5_6_2_1_mRNA | 0.00292 - (0.0093 * E5_6_2_1_mRNA)</v>
      </c>
      <c r="N451" s="29" t="str">
        <f t="shared" si="92"/>
        <v>Peptide450: E5_6_2_1_mRNA -&gt; E5_6_2_1 | (0.278 * E5_6_2_1_mRNA) - (0.000000278 * E5_6_2_1)</v>
      </c>
    </row>
    <row r="452" spans="1:14">
      <c r="A452">
        <v>451</v>
      </c>
      <c r="B452" t="s">
        <v>13125</v>
      </c>
      <c r="C452" t="str">
        <f t="shared" si="93"/>
        <v>E5_6_2_2_mRNA</v>
      </c>
      <c r="D452" t="str">
        <f t="shared" si="94"/>
        <v>E5_6_2_2</v>
      </c>
      <c r="E452" s="29" t="str">
        <f t="shared" si="95"/>
        <v>E5_6_2_2_kcat : 13.7</v>
      </c>
      <c r="F452" s="30" t="str">
        <f t="shared" si="96"/>
        <v>E5_6_2_2_km : 1</v>
      </c>
      <c r="G452" s="31" t="str">
        <f t="shared" si="97"/>
        <v>E5_6_2_2_mRNA : E5_6_2_2_mRNA</v>
      </c>
      <c r="H452" s="32" t="str">
        <f t="shared" si="98"/>
        <v>E5_6_2_2 : E5_6_2_2</v>
      </c>
      <c r="I452" s="33" t="str">
        <f t="shared" si="99"/>
        <v>E5_6_2_2_mRNA : 0</v>
      </c>
      <c r="J452" s="16" t="str">
        <f t="shared" si="100"/>
        <v>E5_6_2_2 : 0</v>
      </c>
      <c r="K452" s="34" t="str">
        <f t="shared" si="101"/>
        <v>0.00292 - (0.0093 * E5_6_2_2_mRNA)</v>
      </c>
      <c r="L452" s="31" t="str">
        <f t="shared" si="102"/>
        <v>(0.278 * E5_6_2_2_mRNA) - (0.00000278 * E5_6_2_2)</v>
      </c>
      <c r="M452" s="35" t="str">
        <f t="shared" si="103"/>
        <v>mRNA451: -&gt; E5_6_2_2_mRNA | 0.00292 - (0.0093 * E5_6_2_2_mRNA)</v>
      </c>
      <c r="N452" s="29" t="str">
        <f t="shared" si="92"/>
        <v>Peptide451: E5_6_2_2_mRNA -&gt; E5_6_2_2 | (0.278 * E5_6_2_2_mRNA) - (0.000000278 * E5_6_2_2)</v>
      </c>
    </row>
    <row r="453" spans="1:14">
      <c r="A453">
        <v>452</v>
      </c>
      <c r="B453" t="s">
        <v>13126</v>
      </c>
      <c r="C453" t="str">
        <f t="shared" si="93"/>
        <v>E5_6_2_3_mRNA</v>
      </c>
      <c r="D453" t="str">
        <f t="shared" si="94"/>
        <v>E5_6_2_3</v>
      </c>
      <c r="E453" s="29" t="str">
        <f t="shared" si="95"/>
        <v>E5_6_2_3_kcat : 13.7</v>
      </c>
      <c r="F453" s="30" t="str">
        <f t="shared" si="96"/>
        <v>E5_6_2_3_km : 1</v>
      </c>
      <c r="G453" s="31" t="str">
        <f t="shared" si="97"/>
        <v>E5_6_2_3_mRNA : E5_6_2_3_mRNA</v>
      </c>
      <c r="H453" s="32" t="str">
        <f t="shared" si="98"/>
        <v>E5_6_2_3 : E5_6_2_3</v>
      </c>
      <c r="I453" s="33" t="str">
        <f t="shared" si="99"/>
        <v>E5_6_2_3_mRNA : 0</v>
      </c>
      <c r="J453" s="16" t="str">
        <f t="shared" si="100"/>
        <v>E5_6_2_3 : 0</v>
      </c>
      <c r="K453" s="34" t="str">
        <f t="shared" si="101"/>
        <v>0.00292 - (0.0093 * E5_6_2_3_mRNA)</v>
      </c>
      <c r="L453" s="31" t="str">
        <f t="shared" si="102"/>
        <v>(0.278 * E5_6_2_3_mRNA) - (0.00000278 * E5_6_2_3)</v>
      </c>
      <c r="M453" s="35" t="str">
        <f t="shared" si="103"/>
        <v>mRNA452: -&gt; E5_6_2_3_mRNA | 0.00292 - (0.0093 * E5_6_2_3_mRNA)</v>
      </c>
      <c r="N453" s="29" t="str">
        <f t="shared" si="92"/>
        <v>Peptide452: E5_6_2_3_mRNA -&gt; E5_6_2_3 | (0.278 * E5_6_2_3_mRNA) - (0.000000278 * E5_6_2_3)</v>
      </c>
    </row>
    <row r="454" spans="1:14">
      <c r="A454">
        <v>453</v>
      </c>
      <c r="B454" t="s">
        <v>13127</v>
      </c>
      <c r="C454" t="str">
        <f t="shared" si="93"/>
        <v>E5_6_2_4_mRNA</v>
      </c>
      <c r="D454" t="str">
        <f t="shared" si="94"/>
        <v>E5_6_2_4</v>
      </c>
      <c r="E454" s="29" t="str">
        <f t="shared" si="95"/>
        <v>E5_6_2_4_kcat : 13.7</v>
      </c>
      <c r="F454" s="30" t="str">
        <f t="shared" si="96"/>
        <v>E5_6_2_4_km : 1</v>
      </c>
      <c r="G454" s="31" t="str">
        <f t="shared" si="97"/>
        <v>E5_6_2_4_mRNA : E5_6_2_4_mRNA</v>
      </c>
      <c r="H454" s="32" t="str">
        <f t="shared" si="98"/>
        <v>E5_6_2_4 : E5_6_2_4</v>
      </c>
      <c r="I454" s="33" t="str">
        <f t="shared" si="99"/>
        <v>E5_6_2_4_mRNA : 0</v>
      </c>
      <c r="J454" s="16" t="str">
        <f t="shared" si="100"/>
        <v>E5_6_2_4 : 0</v>
      </c>
      <c r="K454" s="34" t="str">
        <f t="shared" si="101"/>
        <v>0.00292 - (0.0093 * E5_6_2_4_mRNA)</v>
      </c>
      <c r="L454" s="31" t="str">
        <f t="shared" si="102"/>
        <v>(0.278 * E5_6_2_4_mRNA) - (0.00000278 * E5_6_2_4)</v>
      </c>
      <c r="M454" s="35" t="str">
        <f t="shared" si="103"/>
        <v>mRNA453: -&gt; E5_6_2_4_mRNA | 0.00292 - (0.0093 * E5_6_2_4_mRNA)</v>
      </c>
      <c r="N454" s="29" t="str">
        <f t="shared" si="92"/>
        <v>Peptide453: E5_6_2_4_mRNA -&gt; E5_6_2_4 | (0.278 * E5_6_2_4_mRNA) - (0.000000278 * E5_6_2_4)</v>
      </c>
    </row>
    <row r="455" spans="1:14">
      <c r="A455">
        <v>454</v>
      </c>
      <c r="B455" t="s">
        <v>13128</v>
      </c>
      <c r="C455" t="str">
        <f t="shared" si="93"/>
        <v>E6_1_1_1_mRNA</v>
      </c>
      <c r="D455" t="str">
        <f t="shared" si="94"/>
        <v>E6_1_1_1</v>
      </c>
      <c r="E455" s="29" t="str">
        <f t="shared" si="95"/>
        <v>E6_1_1_1_kcat : 13.7</v>
      </c>
      <c r="F455" s="30" t="str">
        <f t="shared" si="96"/>
        <v>E6_1_1_1_km : 1</v>
      </c>
      <c r="G455" s="31" t="str">
        <f t="shared" si="97"/>
        <v>E6_1_1_1_mRNA : E6_1_1_1_mRNA</v>
      </c>
      <c r="H455" s="32" t="str">
        <f t="shared" si="98"/>
        <v>E6_1_1_1 : E6_1_1_1</v>
      </c>
      <c r="I455" s="33" t="str">
        <f t="shared" si="99"/>
        <v>E6_1_1_1_mRNA : 0</v>
      </c>
      <c r="J455" s="16" t="str">
        <f t="shared" si="100"/>
        <v>E6_1_1_1 : 0</v>
      </c>
      <c r="K455" s="34" t="str">
        <f t="shared" si="101"/>
        <v>0.00292 - (0.0093 * E6_1_1_1_mRNA)</v>
      </c>
      <c r="L455" s="31" t="str">
        <f t="shared" si="102"/>
        <v>(0.278 * E6_1_1_1_mRNA) - (0.00000278 * E6_1_1_1)</v>
      </c>
      <c r="M455" s="35" t="str">
        <f t="shared" si="103"/>
        <v>mRNA454: -&gt; E6_1_1_1_mRNA | 0.00292 - (0.0093 * E6_1_1_1_mRNA)</v>
      </c>
      <c r="N455" s="29" t="str">
        <f t="shared" si="92"/>
        <v>Peptide454: E6_1_1_1_mRNA -&gt; E6_1_1_1 | (0.278 * E6_1_1_1_mRNA) - (0.000000278 * E6_1_1_1)</v>
      </c>
    </row>
    <row r="456" spans="1:14">
      <c r="A456">
        <v>455</v>
      </c>
      <c r="B456" t="s">
        <v>13129</v>
      </c>
      <c r="C456" t="str">
        <f t="shared" si="93"/>
        <v>E6_1_1_10_mRNA</v>
      </c>
      <c r="D456" t="str">
        <f t="shared" si="94"/>
        <v>E6_1_1_10</v>
      </c>
      <c r="E456" s="29" t="str">
        <f t="shared" si="95"/>
        <v>E6_1_1_10_kcat : 13.7</v>
      </c>
      <c r="F456" s="30" t="str">
        <f t="shared" si="96"/>
        <v>E6_1_1_10_km : 1</v>
      </c>
      <c r="G456" s="31" t="str">
        <f t="shared" si="97"/>
        <v>E6_1_1_10_mRNA : E6_1_1_10_mRNA</v>
      </c>
      <c r="H456" s="32" t="str">
        <f t="shared" si="98"/>
        <v>E6_1_1_10 : E6_1_1_10</v>
      </c>
      <c r="I456" s="33" t="str">
        <f t="shared" si="99"/>
        <v>E6_1_1_10_mRNA : 0</v>
      </c>
      <c r="J456" s="16" t="str">
        <f t="shared" si="100"/>
        <v>E6_1_1_10 : 0</v>
      </c>
      <c r="K456" s="34" t="str">
        <f t="shared" si="101"/>
        <v>0.00292 - (0.0093 * E6_1_1_10_mRNA)</v>
      </c>
      <c r="L456" s="31" t="str">
        <f t="shared" si="102"/>
        <v>(0.278 * E6_1_1_10_mRNA) - (0.00000278 * E6_1_1_10)</v>
      </c>
      <c r="M456" s="35" t="str">
        <f t="shared" si="103"/>
        <v>mRNA455: -&gt; E6_1_1_10_mRNA | 0.00292 - (0.0093 * E6_1_1_10_mRNA)</v>
      </c>
      <c r="N456" s="29" t="str">
        <f t="shared" si="92"/>
        <v>Peptide455: E6_1_1_10_mRNA -&gt; E6_1_1_10 | (0.278 * E6_1_1_10_mRNA) - (0.000000278 * E6_1_1_10)</v>
      </c>
    </row>
    <row r="457" spans="1:14">
      <c r="A457">
        <v>456</v>
      </c>
      <c r="B457" t="s">
        <v>13130</v>
      </c>
      <c r="C457" t="str">
        <f t="shared" si="93"/>
        <v>E6_1_1_11_mRNA</v>
      </c>
      <c r="D457" t="str">
        <f t="shared" si="94"/>
        <v>E6_1_1_11</v>
      </c>
      <c r="E457" s="29" t="str">
        <f t="shared" si="95"/>
        <v>E6_1_1_11_kcat : 13.7</v>
      </c>
      <c r="F457" s="30" t="str">
        <f t="shared" si="96"/>
        <v>E6_1_1_11_km : 1</v>
      </c>
      <c r="G457" s="31" t="str">
        <f t="shared" si="97"/>
        <v>E6_1_1_11_mRNA : E6_1_1_11_mRNA</v>
      </c>
      <c r="H457" s="32" t="str">
        <f t="shared" si="98"/>
        <v>E6_1_1_11 : E6_1_1_11</v>
      </c>
      <c r="I457" s="33" t="str">
        <f t="shared" si="99"/>
        <v>E6_1_1_11_mRNA : 0</v>
      </c>
      <c r="J457" s="16" t="str">
        <f t="shared" si="100"/>
        <v>E6_1_1_11 : 0</v>
      </c>
      <c r="K457" s="34" t="str">
        <f t="shared" si="101"/>
        <v>0.00292 - (0.0093 * E6_1_1_11_mRNA)</v>
      </c>
      <c r="L457" s="31" t="str">
        <f t="shared" si="102"/>
        <v>(0.278 * E6_1_1_11_mRNA) - (0.00000278 * E6_1_1_11)</v>
      </c>
      <c r="M457" s="35" t="str">
        <f t="shared" si="103"/>
        <v>mRNA456: -&gt; E6_1_1_11_mRNA | 0.00292 - (0.0093 * E6_1_1_11_mRNA)</v>
      </c>
      <c r="N457" s="29" t="str">
        <f t="shared" si="92"/>
        <v>Peptide456: E6_1_1_11_mRNA -&gt; E6_1_1_11 | (0.278 * E6_1_1_11_mRNA) - (0.000000278 * E6_1_1_11)</v>
      </c>
    </row>
    <row r="458" spans="1:14">
      <c r="A458">
        <v>457</v>
      </c>
      <c r="B458" t="s">
        <v>13131</v>
      </c>
      <c r="C458" t="str">
        <f t="shared" si="93"/>
        <v>E6_1_1_12_mRNA</v>
      </c>
      <c r="D458" t="str">
        <f t="shared" si="94"/>
        <v>E6_1_1_12</v>
      </c>
      <c r="E458" s="29" t="str">
        <f t="shared" si="95"/>
        <v>E6_1_1_12_kcat : 13.7</v>
      </c>
      <c r="F458" s="30" t="str">
        <f t="shared" si="96"/>
        <v>E6_1_1_12_km : 1</v>
      </c>
      <c r="G458" s="31" t="str">
        <f t="shared" si="97"/>
        <v>E6_1_1_12_mRNA : E6_1_1_12_mRNA</v>
      </c>
      <c r="H458" s="32" t="str">
        <f t="shared" si="98"/>
        <v>E6_1_1_12 : E6_1_1_12</v>
      </c>
      <c r="I458" s="33" t="str">
        <f t="shared" si="99"/>
        <v>E6_1_1_12_mRNA : 0</v>
      </c>
      <c r="J458" s="16" t="str">
        <f t="shared" si="100"/>
        <v>E6_1_1_12 : 0</v>
      </c>
      <c r="K458" s="34" t="str">
        <f t="shared" si="101"/>
        <v>0.00292 - (0.0093 * E6_1_1_12_mRNA)</v>
      </c>
      <c r="L458" s="31" t="str">
        <f t="shared" si="102"/>
        <v>(0.278 * E6_1_1_12_mRNA) - (0.00000278 * E6_1_1_12)</v>
      </c>
      <c r="M458" s="35" t="str">
        <f t="shared" si="103"/>
        <v>mRNA457: -&gt; E6_1_1_12_mRNA | 0.00292 - (0.0093 * E6_1_1_12_mRNA)</v>
      </c>
      <c r="N458" s="29" t="str">
        <f t="shared" si="92"/>
        <v>Peptide457: E6_1_1_12_mRNA -&gt; E6_1_1_12 | (0.278 * E6_1_1_12_mRNA) - (0.000000278 * E6_1_1_12)</v>
      </c>
    </row>
    <row r="459" spans="1:14">
      <c r="A459">
        <v>458</v>
      </c>
      <c r="B459" t="s">
        <v>13132</v>
      </c>
      <c r="C459" t="str">
        <f t="shared" si="93"/>
        <v>E6_1_1_14_mRNA</v>
      </c>
      <c r="D459" t="str">
        <f t="shared" si="94"/>
        <v>E6_1_1_14</v>
      </c>
      <c r="E459" s="29" t="str">
        <f t="shared" si="95"/>
        <v>E6_1_1_14_kcat : 13.7</v>
      </c>
      <c r="F459" s="30" t="str">
        <f t="shared" si="96"/>
        <v>E6_1_1_14_km : 1</v>
      </c>
      <c r="G459" s="31" t="str">
        <f t="shared" si="97"/>
        <v>E6_1_1_14_mRNA : E6_1_1_14_mRNA</v>
      </c>
      <c r="H459" s="32" t="str">
        <f t="shared" si="98"/>
        <v>E6_1_1_14 : E6_1_1_14</v>
      </c>
      <c r="I459" s="33" t="str">
        <f t="shared" si="99"/>
        <v>E6_1_1_14_mRNA : 0</v>
      </c>
      <c r="J459" s="16" t="str">
        <f t="shared" si="100"/>
        <v>E6_1_1_14 : 0</v>
      </c>
      <c r="K459" s="34" t="str">
        <f t="shared" si="101"/>
        <v>0.00292 - (0.0093 * E6_1_1_14_mRNA)</v>
      </c>
      <c r="L459" s="31" t="str">
        <f t="shared" si="102"/>
        <v>(0.278 * E6_1_1_14_mRNA) - (0.00000278 * E6_1_1_14)</v>
      </c>
      <c r="M459" s="35" t="str">
        <f t="shared" si="103"/>
        <v>mRNA458: -&gt; E6_1_1_14_mRNA | 0.00292 - (0.0093 * E6_1_1_14_mRNA)</v>
      </c>
      <c r="N459" s="29" t="str">
        <f t="shared" si="92"/>
        <v>Peptide458: E6_1_1_14_mRNA -&gt; E6_1_1_14 | (0.278 * E6_1_1_14_mRNA) - (0.000000278 * E6_1_1_14)</v>
      </c>
    </row>
    <row r="460" spans="1:14">
      <c r="A460">
        <v>459</v>
      </c>
      <c r="B460" t="s">
        <v>13133</v>
      </c>
      <c r="C460" t="str">
        <f t="shared" si="93"/>
        <v>E6_1_1_15_mRNA</v>
      </c>
      <c r="D460" t="str">
        <f t="shared" si="94"/>
        <v>E6_1_1_15</v>
      </c>
      <c r="E460" s="29" t="str">
        <f t="shared" si="95"/>
        <v>E6_1_1_15_kcat : 13.7</v>
      </c>
      <c r="F460" s="30" t="str">
        <f t="shared" si="96"/>
        <v>E6_1_1_15_km : 1</v>
      </c>
      <c r="G460" s="31" t="str">
        <f t="shared" si="97"/>
        <v>E6_1_1_15_mRNA : E6_1_1_15_mRNA</v>
      </c>
      <c r="H460" s="32" t="str">
        <f t="shared" si="98"/>
        <v>E6_1_1_15 : E6_1_1_15</v>
      </c>
      <c r="I460" s="33" t="str">
        <f t="shared" si="99"/>
        <v>E6_1_1_15_mRNA : 0</v>
      </c>
      <c r="J460" s="16" t="str">
        <f t="shared" si="100"/>
        <v>E6_1_1_15 : 0</v>
      </c>
      <c r="K460" s="34" t="str">
        <f t="shared" si="101"/>
        <v>0.00292 - (0.0093 * E6_1_1_15_mRNA)</v>
      </c>
      <c r="L460" s="31" t="str">
        <f t="shared" si="102"/>
        <v>(0.278 * E6_1_1_15_mRNA) - (0.00000278 * E6_1_1_15)</v>
      </c>
      <c r="M460" s="35" t="str">
        <f t="shared" si="103"/>
        <v>mRNA459: -&gt; E6_1_1_15_mRNA | 0.00292 - (0.0093 * E6_1_1_15_mRNA)</v>
      </c>
      <c r="N460" s="29" t="str">
        <f t="shared" si="92"/>
        <v>Peptide459: E6_1_1_15_mRNA -&gt; E6_1_1_15 | (0.278 * E6_1_1_15_mRNA) - (0.000000278 * E6_1_1_15)</v>
      </c>
    </row>
    <row r="461" spans="1:14">
      <c r="A461">
        <v>460</v>
      </c>
      <c r="B461" t="s">
        <v>16061</v>
      </c>
      <c r="C461" t="str">
        <f t="shared" si="93"/>
        <v>E6_1_1_16_mRNA</v>
      </c>
      <c r="D461" t="str">
        <f t="shared" si="94"/>
        <v>E6_1_1_16</v>
      </c>
      <c r="E461" s="29" t="str">
        <f t="shared" si="95"/>
        <v>E6_1_1_16_kcat : 13.7</v>
      </c>
      <c r="F461" s="30" t="str">
        <f t="shared" si="96"/>
        <v>E6_1_1_16_km : 1</v>
      </c>
      <c r="G461" s="31" t="str">
        <f t="shared" si="97"/>
        <v>E6_1_1_16_mRNA : E6_1_1_16_mRNA</v>
      </c>
      <c r="H461" s="32" t="str">
        <f t="shared" si="98"/>
        <v>E6_1_1_16 : E6_1_1_16</v>
      </c>
      <c r="I461" s="33" t="str">
        <f t="shared" si="99"/>
        <v>E6_1_1_16_mRNA : 0</v>
      </c>
      <c r="J461" s="16" t="str">
        <f t="shared" si="100"/>
        <v>E6_1_1_16 : 0</v>
      </c>
      <c r="K461" s="34" t="str">
        <f t="shared" si="101"/>
        <v>0.00292 - (0.0093 * E6_1_1_16_mRNA)</v>
      </c>
      <c r="L461" s="31" t="str">
        <f t="shared" si="102"/>
        <v>(0.278 * E6_1_1_16_mRNA) - (0.00000278 * E6_1_1_16)</v>
      </c>
      <c r="M461" s="35" t="str">
        <f t="shared" si="103"/>
        <v>mRNA460: -&gt; E6_1_1_16_mRNA | 0.00292 - (0.0093 * E6_1_1_16_mRNA)</v>
      </c>
      <c r="N461" s="29" t="str">
        <f t="shared" si="92"/>
        <v>Peptide460: E6_1_1_16_mRNA -&gt; E6_1_1_16 | (0.278 * E6_1_1_16_mRNA) - (0.000000278 * E6_1_1_16)</v>
      </c>
    </row>
    <row r="462" spans="1:14">
      <c r="A462">
        <v>461</v>
      </c>
      <c r="B462" t="s">
        <v>13134</v>
      </c>
      <c r="C462" t="str">
        <f t="shared" si="93"/>
        <v>E6_1_1_17_mRNA</v>
      </c>
      <c r="D462" t="str">
        <f t="shared" si="94"/>
        <v>E6_1_1_17</v>
      </c>
      <c r="E462" s="29" t="str">
        <f t="shared" si="95"/>
        <v>E6_1_1_17_kcat : 13.7</v>
      </c>
      <c r="F462" s="30" t="str">
        <f t="shared" si="96"/>
        <v>E6_1_1_17_km : 1</v>
      </c>
      <c r="G462" s="31" t="str">
        <f t="shared" si="97"/>
        <v>E6_1_1_17_mRNA : E6_1_1_17_mRNA</v>
      </c>
      <c r="H462" s="32" t="str">
        <f t="shared" si="98"/>
        <v>E6_1_1_17 : E6_1_1_17</v>
      </c>
      <c r="I462" s="33" t="str">
        <f t="shared" si="99"/>
        <v>E6_1_1_17_mRNA : 0</v>
      </c>
      <c r="J462" s="16" t="str">
        <f t="shared" si="100"/>
        <v>E6_1_1_17 : 0</v>
      </c>
      <c r="K462" s="34" t="str">
        <f t="shared" si="101"/>
        <v>0.00292 - (0.0093 * E6_1_1_17_mRNA)</v>
      </c>
      <c r="L462" s="31" t="str">
        <f t="shared" si="102"/>
        <v>(0.278 * E6_1_1_17_mRNA) - (0.00000278 * E6_1_1_17)</v>
      </c>
      <c r="M462" s="35" t="str">
        <f t="shared" si="103"/>
        <v>mRNA461: -&gt; E6_1_1_17_mRNA | 0.00292 - (0.0093 * E6_1_1_17_mRNA)</v>
      </c>
      <c r="N462" s="29" t="str">
        <f t="shared" si="92"/>
        <v>Peptide461: E6_1_1_17_mRNA -&gt; E6_1_1_17 | (0.278 * E6_1_1_17_mRNA) - (0.000000278 * E6_1_1_17)</v>
      </c>
    </row>
    <row r="463" spans="1:14">
      <c r="A463">
        <v>462</v>
      </c>
      <c r="B463" t="s">
        <v>13135</v>
      </c>
      <c r="C463" t="str">
        <f t="shared" si="93"/>
        <v>E6_1_1_19_mRNA</v>
      </c>
      <c r="D463" t="str">
        <f t="shared" si="94"/>
        <v>E6_1_1_19</v>
      </c>
      <c r="E463" s="29" t="str">
        <f t="shared" si="95"/>
        <v>E6_1_1_19_kcat : 13.7</v>
      </c>
      <c r="F463" s="30" t="str">
        <f t="shared" si="96"/>
        <v>E6_1_1_19_km : 1</v>
      </c>
      <c r="G463" s="31" t="str">
        <f t="shared" si="97"/>
        <v>E6_1_1_19_mRNA : E6_1_1_19_mRNA</v>
      </c>
      <c r="H463" s="32" t="str">
        <f t="shared" si="98"/>
        <v>E6_1_1_19 : E6_1_1_19</v>
      </c>
      <c r="I463" s="33" t="str">
        <f t="shared" si="99"/>
        <v>E6_1_1_19_mRNA : 0</v>
      </c>
      <c r="J463" s="16" t="str">
        <f t="shared" si="100"/>
        <v>E6_1_1_19 : 0</v>
      </c>
      <c r="K463" s="34" t="str">
        <f t="shared" si="101"/>
        <v>0.00292 - (0.0093 * E6_1_1_19_mRNA)</v>
      </c>
      <c r="L463" s="31" t="str">
        <f t="shared" si="102"/>
        <v>(0.278 * E6_1_1_19_mRNA) - (0.00000278 * E6_1_1_19)</v>
      </c>
      <c r="M463" s="35" t="str">
        <f t="shared" si="103"/>
        <v>mRNA462: -&gt; E6_1_1_19_mRNA | 0.00292 - (0.0093 * E6_1_1_19_mRNA)</v>
      </c>
      <c r="N463" s="29" t="str">
        <f t="shared" si="92"/>
        <v>Peptide462: E6_1_1_19_mRNA -&gt; E6_1_1_19 | (0.278 * E6_1_1_19_mRNA) - (0.000000278 * E6_1_1_19)</v>
      </c>
    </row>
    <row r="464" spans="1:14">
      <c r="A464">
        <v>463</v>
      </c>
      <c r="B464" t="s">
        <v>13136</v>
      </c>
      <c r="C464" t="str">
        <f t="shared" si="93"/>
        <v>E6_1_1_2_mRNA</v>
      </c>
      <c r="D464" t="str">
        <f t="shared" si="94"/>
        <v>E6_1_1_2</v>
      </c>
      <c r="E464" s="29" t="str">
        <f t="shared" si="95"/>
        <v>E6_1_1_2_kcat : 13.7</v>
      </c>
      <c r="F464" s="30" t="str">
        <f t="shared" si="96"/>
        <v>E6_1_1_2_km : 1</v>
      </c>
      <c r="G464" s="31" t="str">
        <f t="shared" si="97"/>
        <v>E6_1_1_2_mRNA : E6_1_1_2_mRNA</v>
      </c>
      <c r="H464" s="32" t="str">
        <f t="shared" si="98"/>
        <v>E6_1_1_2 : E6_1_1_2</v>
      </c>
      <c r="I464" s="33" t="str">
        <f t="shared" si="99"/>
        <v>E6_1_1_2_mRNA : 0</v>
      </c>
      <c r="J464" s="16" t="str">
        <f t="shared" si="100"/>
        <v>E6_1_1_2 : 0</v>
      </c>
      <c r="K464" s="34" t="str">
        <f t="shared" si="101"/>
        <v>0.00292 - (0.0093 * E6_1_1_2_mRNA)</v>
      </c>
      <c r="L464" s="31" t="str">
        <f t="shared" si="102"/>
        <v>(0.278 * E6_1_1_2_mRNA) - (0.00000278 * E6_1_1_2)</v>
      </c>
      <c r="M464" s="35" t="str">
        <f t="shared" si="103"/>
        <v>mRNA463: -&gt; E6_1_1_2_mRNA | 0.00292 - (0.0093 * E6_1_1_2_mRNA)</v>
      </c>
      <c r="N464" s="29" t="str">
        <f t="shared" si="92"/>
        <v>Peptide463: E6_1_1_2_mRNA -&gt; E6_1_1_2 | (0.278 * E6_1_1_2_mRNA) - (0.000000278 * E6_1_1_2)</v>
      </c>
    </row>
    <row r="465" spans="1:14">
      <c r="A465">
        <v>464</v>
      </c>
      <c r="B465" t="s">
        <v>13137</v>
      </c>
      <c r="C465" t="str">
        <f t="shared" si="93"/>
        <v>E6_1_1_20_mRNA</v>
      </c>
      <c r="D465" t="str">
        <f t="shared" si="94"/>
        <v>E6_1_1_20</v>
      </c>
      <c r="E465" s="29" t="str">
        <f t="shared" si="95"/>
        <v>E6_1_1_20_kcat : 13.7</v>
      </c>
      <c r="F465" s="30" t="str">
        <f t="shared" si="96"/>
        <v>E6_1_1_20_km : 1</v>
      </c>
      <c r="G465" s="31" t="str">
        <f t="shared" si="97"/>
        <v>E6_1_1_20_mRNA : E6_1_1_20_mRNA</v>
      </c>
      <c r="H465" s="32" t="str">
        <f t="shared" si="98"/>
        <v>E6_1_1_20 : E6_1_1_20</v>
      </c>
      <c r="I465" s="33" t="str">
        <f t="shared" si="99"/>
        <v>E6_1_1_20_mRNA : 0</v>
      </c>
      <c r="J465" s="16" t="str">
        <f t="shared" si="100"/>
        <v>E6_1_1_20 : 0</v>
      </c>
      <c r="K465" s="34" t="str">
        <f t="shared" si="101"/>
        <v>0.00292 - (0.0093 * E6_1_1_20_mRNA)</v>
      </c>
      <c r="L465" s="31" t="str">
        <f t="shared" si="102"/>
        <v>(0.278 * E6_1_1_20_mRNA) - (0.00000278 * E6_1_1_20)</v>
      </c>
      <c r="M465" s="35" t="str">
        <f t="shared" si="103"/>
        <v>mRNA464: -&gt; E6_1_1_20_mRNA | 0.00292 - (0.0093 * E6_1_1_20_mRNA)</v>
      </c>
      <c r="N465" s="29" t="str">
        <f t="shared" si="92"/>
        <v>Peptide464: E6_1_1_20_mRNA -&gt; E6_1_1_20 | (0.278 * E6_1_1_20_mRNA) - (0.000000278 * E6_1_1_20)</v>
      </c>
    </row>
    <row r="466" spans="1:14">
      <c r="A466">
        <v>465</v>
      </c>
      <c r="B466" t="s">
        <v>13138</v>
      </c>
      <c r="C466" t="str">
        <f t="shared" si="93"/>
        <v>E6_1_1_21_mRNA</v>
      </c>
      <c r="D466" t="str">
        <f t="shared" si="94"/>
        <v>E6_1_1_21</v>
      </c>
      <c r="E466" s="29" t="str">
        <f t="shared" si="95"/>
        <v>E6_1_1_21_kcat : 13.7</v>
      </c>
      <c r="F466" s="30" t="str">
        <f t="shared" si="96"/>
        <v>E6_1_1_21_km : 1</v>
      </c>
      <c r="G466" s="31" t="str">
        <f t="shared" si="97"/>
        <v>E6_1_1_21_mRNA : E6_1_1_21_mRNA</v>
      </c>
      <c r="H466" s="32" t="str">
        <f t="shared" si="98"/>
        <v>E6_1_1_21 : E6_1_1_21</v>
      </c>
      <c r="I466" s="33" t="str">
        <f t="shared" si="99"/>
        <v>E6_1_1_21_mRNA : 0</v>
      </c>
      <c r="J466" s="16" t="str">
        <f t="shared" si="100"/>
        <v>E6_1_1_21 : 0</v>
      </c>
      <c r="K466" s="34" t="str">
        <f t="shared" si="101"/>
        <v>0.00292 - (0.0093 * E6_1_1_21_mRNA)</v>
      </c>
      <c r="L466" s="31" t="str">
        <f t="shared" si="102"/>
        <v>(0.278 * E6_1_1_21_mRNA) - (0.00000278 * E6_1_1_21)</v>
      </c>
      <c r="M466" s="35" t="str">
        <f t="shared" si="103"/>
        <v>mRNA465: -&gt; E6_1_1_21_mRNA | 0.00292 - (0.0093 * E6_1_1_21_mRNA)</v>
      </c>
      <c r="N466" s="29" t="str">
        <f t="shared" si="92"/>
        <v>Peptide465: E6_1_1_21_mRNA -&gt; E6_1_1_21 | (0.278 * E6_1_1_21_mRNA) - (0.000000278 * E6_1_1_21)</v>
      </c>
    </row>
    <row r="467" spans="1:14">
      <c r="A467">
        <v>466</v>
      </c>
      <c r="B467" t="s">
        <v>13139</v>
      </c>
      <c r="C467" t="str">
        <f t="shared" si="93"/>
        <v>E6_1_1_3_mRNA</v>
      </c>
      <c r="D467" t="str">
        <f t="shared" si="94"/>
        <v>E6_1_1_3</v>
      </c>
      <c r="E467" s="29" t="str">
        <f t="shared" si="95"/>
        <v>E6_1_1_3_kcat : 13.7</v>
      </c>
      <c r="F467" s="30" t="str">
        <f t="shared" si="96"/>
        <v>E6_1_1_3_km : 1</v>
      </c>
      <c r="G467" s="31" t="str">
        <f t="shared" si="97"/>
        <v>E6_1_1_3_mRNA : E6_1_1_3_mRNA</v>
      </c>
      <c r="H467" s="32" t="str">
        <f t="shared" si="98"/>
        <v>E6_1_1_3 : E6_1_1_3</v>
      </c>
      <c r="I467" s="33" t="str">
        <f t="shared" si="99"/>
        <v>E6_1_1_3_mRNA : 0</v>
      </c>
      <c r="J467" s="16" t="str">
        <f t="shared" si="100"/>
        <v>E6_1_1_3 : 0</v>
      </c>
      <c r="K467" s="34" t="str">
        <f t="shared" si="101"/>
        <v>0.00292 - (0.0093 * E6_1_1_3_mRNA)</v>
      </c>
      <c r="L467" s="31" t="str">
        <f t="shared" si="102"/>
        <v>(0.278 * E6_1_1_3_mRNA) - (0.00000278 * E6_1_1_3)</v>
      </c>
      <c r="M467" s="35" t="str">
        <f t="shared" si="103"/>
        <v>mRNA466: -&gt; E6_1_1_3_mRNA | 0.00292 - (0.0093 * E6_1_1_3_mRNA)</v>
      </c>
      <c r="N467" s="29" t="str">
        <f t="shared" si="92"/>
        <v>Peptide466: E6_1_1_3_mRNA -&gt; E6_1_1_3 | (0.278 * E6_1_1_3_mRNA) - (0.000000278 * E6_1_1_3)</v>
      </c>
    </row>
    <row r="468" spans="1:14">
      <c r="A468">
        <v>467</v>
      </c>
      <c r="B468" t="s">
        <v>13140</v>
      </c>
      <c r="C468" t="str">
        <f t="shared" si="93"/>
        <v>E6_1_1_4_mRNA</v>
      </c>
      <c r="D468" t="str">
        <f t="shared" si="94"/>
        <v>E6_1_1_4</v>
      </c>
      <c r="E468" s="29" t="str">
        <f t="shared" si="95"/>
        <v>E6_1_1_4_kcat : 13.7</v>
      </c>
      <c r="F468" s="30" t="str">
        <f t="shared" si="96"/>
        <v>E6_1_1_4_km : 1</v>
      </c>
      <c r="G468" s="31" t="str">
        <f t="shared" si="97"/>
        <v>E6_1_1_4_mRNA : E6_1_1_4_mRNA</v>
      </c>
      <c r="H468" s="32" t="str">
        <f t="shared" si="98"/>
        <v>E6_1_1_4 : E6_1_1_4</v>
      </c>
      <c r="I468" s="33" t="str">
        <f t="shared" si="99"/>
        <v>E6_1_1_4_mRNA : 0</v>
      </c>
      <c r="J468" s="16" t="str">
        <f t="shared" si="100"/>
        <v>E6_1_1_4 : 0</v>
      </c>
      <c r="K468" s="34" t="str">
        <f t="shared" si="101"/>
        <v>0.00292 - (0.0093 * E6_1_1_4_mRNA)</v>
      </c>
      <c r="L468" s="31" t="str">
        <f t="shared" si="102"/>
        <v>(0.278 * E6_1_1_4_mRNA) - (0.00000278 * E6_1_1_4)</v>
      </c>
      <c r="M468" s="35" t="str">
        <f t="shared" si="103"/>
        <v>mRNA467: -&gt; E6_1_1_4_mRNA | 0.00292 - (0.0093 * E6_1_1_4_mRNA)</v>
      </c>
      <c r="N468" s="29" t="str">
        <f t="shared" si="92"/>
        <v>Peptide467: E6_1_1_4_mRNA -&gt; E6_1_1_4 | (0.278 * E6_1_1_4_mRNA) - (0.000000278 * E6_1_1_4)</v>
      </c>
    </row>
    <row r="469" spans="1:14">
      <c r="A469">
        <v>468</v>
      </c>
      <c r="B469" t="s">
        <v>13141</v>
      </c>
      <c r="C469" t="str">
        <f t="shared" si="93"/>
        <v>E6_1_1_5_mRNA</v>
      </c>
      <c r="D469" t="str">
        <f t="shared" si="94"/>
        <v>E6_1_1_5</v>
      </c>
      <c r="E469" s="29" t="str">
        <f t="shared" si="95"/>
        <v>E6_1_1_5_kcat : 13.7</v>
      </c>
      <c r="F469" s="30" t="str">
        <f t="shared" si="96"/>
        <v>E6_1_1_5_km : 1</v>
      </c>
      <c r="G469" s="31" t="str">
        <f t="shared" si="97"/>
        <v>E6_1_1_5_mRNA : E6_1_1_5_mRNA</v>
      </c>
      <c r="H469" s="32" t="str">
        <f t="shared" si="98"/>
        <v>E6_1_1_5 : E6_1_1_5</v>
      </c>
      <c r="I469" s="33" t="str">
        <f t="shared" si="99"/>
        <v>E6_1_1_5_mRNA : 0</v>
      </c>
      <c r="J469" s="16" t="str">
        <f t="shared" si="100"/>
        <v>E6_1_1_5 : 0</v>
      </c>
      <c r="K469" s="34" t="str">
        <f t="shared" si="101"/>
        <v>0.00292 - (0.0093 * E6_1_1_5_mRNA)</v>
      </c>
      <c r="L469" s="31" t="str">
        <f t="shared" si="102"/>
        <v>(0.278 * E6_1_1_5_mRNA) - (0.00000278 * E6_1_1_5)</v>
      </c>
      <c r="M469" s="35" t="str">
        <f t="shared" si="103"/>
        <v>mRNA468: -&gt; E6_1_1_5_mRNA | 0.00292 - (0.0093 * E6_1_1_5_mRNA)</v>
      </c>
      <c r="N469" s="29" t="str">
        <f t="shared" si="92"/>
        <v>Peptide468: E6_1_1_5_mRNA -&gt; E6_1_1_5 | (0.278 * E6_1_1_5_mRNA) - (0.000000278 * E6_1_1_5)</v>
      </c>
    </row>
    <row r="470" spans="1:14">
      <c r="A470">
        <v>469</v>
      </c>
      <c r="B470" t="s">
        <v>13142</v>
      </c>
      <c r="C470" t="str">
        <f t="shared" si="93"/>
        <v>E6_1_1_6_mRNA</v>
      </c>
      <c r="D470" t="str">
        <f t="shared" si="94"/>
        <v>E6_1_1_6</v>
      </c>
      <c r="E470" s="29" t="str">
        <f t="shared" si="95"/>
        <v>E6_1_1_6_kcat : 13.7</v>
      </c>
      <c r="F470" s="30" t="str">
        <f t="shared" si="96"/>
        <v>E6_1_1_6_km : 1</v>
      </c>
      <c r="G470" s="31" t="str">
        <f t="shared" si="97"/>
        <v>E6_1_1_6_mRNA : E6_1_1_6_mRNA</v>
      </c>
      <c r="H470" s="32" t="str">
        <f t="shared" si="98"/>
        <v>E6_1_1_6 : E6_1_1_6</v>
      </c>
      <c r="I470" s="33" t="str">
        <f t="shared" si="99"/>
        <v>E6_1_1_6_mRNA : 0</v>
      </c>
      <c r="J470" s="16" t="str">
        <f t="shared" si="100"/>
        <v>E6_1_1_6 : 0</v>
      </c>
      <c r="K470" s="34" t="str">
        <f t="shared" si="101"/>
        <v>0.00292 - (0.0093 * E6_1_1_6_mRNA)</v>
      </c>
      <c r="L470" s="31" t="str">
        <f t="shared" si="102"/>
        <v>(0.278 * E6_1_1_6_mRNA) - (0.00000278 * E6_1_1_6)</v>
      </c>
      <c r="M470" s="35" t="str">
        <f t="shared" si="103"/>
        <v>mRNA469: -&gt; E6_1_1_6_mRNA | 0.00292 - (0.0093 * E6_1_1_6_mRNA)</v>
      </c>
      <c r="N470" s="29" t="str">
        <f t="shared" si="92"/>
        <v>Peptide469: E6_1_1_6_mRNA -&gt; E6_1_1_6 | (0.278 * E6_1_1_6_mRNA) - (0.000000278 * E6_1_1_6)</v>
      </c>
    </row>
    <row r="471" spans="1:14">
      <c r="A471">
        <v>470</v>
      </c>
      <c r="B471" t="s">
        <v>13143</v>
      </c>
      <c r="C471" t="str">
        <f t="shared" si="93"/>
        <v>E6_1_1_7_mRNA</v>
      </c>
      <c r="D471" t="str">
        <f t="shared" si="94"/>
        <v>E6_1_1_7</v>
      </c>
      <c r="E471" s="29" t="str">
        <f t="shared" si="95"/>
        <v>E6_1_1_7_kcat : 13.7</v>
      </c>
      <c r="F471" s="30" t="str">
        <f t="shared" si="96"/>
        <v>E6_1_1_7_km : 1</v>
      </c>
      <c r="G471" s="31" t="str">
        <f t="shared" si="97"/>
        <v>E6_1_1_7_mRNA : E6_1_1_7_mRNA</v>
      </c>
      <c r="H471" s="32" t="str">
        <f t="shared" si="98"/>
        <v>E6_1_1_7 : E6_1_1_7</v>
      </c>
      <c r="I471" s="33" t="str">
        <f t="shared" si="99"/>
        <v>E6_1_1_7_mRNA : 0</v>
      </c>
      <c r="J471" s="16" t="str">
        <f t="shared" si="100"/>
        <v>E6_1_1_7 : 0</v>
      </c>
      <c r="K471" s="34" t="str">
        <f t="shared" si="101"/>
        <v>0.00292 - (0.0093 * E6_1_1_7_mRNA)</v>
      </c>
      <c r="L471" s="31" t="str">
        <f t="shared" si="102"/>
        <v>(0.278 * E6_1_1_7_mRNA) - (0.00000278 * E6_1_1_7)</v>
      </c>
      <c r="M471" s="35" t="str">
        <f t="shared" si="103"/>
        <v>mRNA470: -&gt; E6_1_1_7_mRNA | 0.00292 - (0.0093 * E6_1_1_7_mRNA)</v>
      </c>
      <c r="N471" s="29" t="str">
        <f t="shared" si="92"/>
        <v>Peptide470: E6_1_1_7_mRNA -&gt; E6_1_1_7 | (0.278 * E6_1_1_7_mRNA) - (0.000000278 * E6_1_1_7)</v>
      </c>
    </row>
    <row r="472" spans="1:14">
      <c r="A472">
        <v>471</v>
      </c>
      <c r="B472" t="s">
        <v>13144</v>
      </c>
      <c r="C472" t="str">
        <f t="shared" si="93"/>
        <v>E6_1_1_9_mRNA</v>
      </c>
      <c r="D472" t="str">
        <f t="shared" si="94"/>
        <v>E6_1_1_9</v>
      </c>
      <c r="E472" s="29" t="str">
        <f t="shared" si="95"/>
        <v>E6_1_1_9_kcat : 13.7</v>
      </c>
      <c r="F472" s="30" t="str">
        <f t="shared" si="96"/>
        <v>E6_1_1_9_km : 1</v>
      </c>
      <c r="G472" s="31" t="str">
        <f t="shared" si="97"/>
        <v>E6_1_1_9_mRNA : E6_1_1_9_mRNA</v>
      </c>
      <c r="H472" s="32" t="str">
        <f t="shared" si="98"/>
        <v>E6_1_1_9 : E6_1_1_9</v>
      </c>
      <c r="I472" s="33" t="str">
        <f t="shared" si="99"/>
        <v>E6_1_1_9_mRNA : 0</v>
      </c>
      <c r="J472" s="16" t="str">
        <f t="shared" si="100"/>
        <v>E6_1_1_9 : 0</v>
      </c>
      <c r="K472" s="34" t="str">
        <f t="shared" si="101"/>
        <v>0.00292 - (0.0093 * E6_1_1_9_mRNA)</v>
      </c>
      <c r="L472" s="31" t="str">
        <f t="shared" si="102"/>
        <v>(0.278 * E6_1_1_9_mRNA) - (0.00000278 * E6_1_1_9)</v>
      </c>
      <c r="M472" s="35" t="str">
        <f t="shared" si="103"/>
        <v>mRNA471: -&gt; E6_1_1_9_mRNA | 0.00292 - (0.0093 * E6_1_1_9_mRNA)</v>
      </c>
      <c r="N472" s="29" t="str">
        <f t="shared" si="92"/>
        <v>Peptide471: E6_1_1_9_mRNA -&gt; E6_1_1_9 | (0.278 * E6_1_1_9_mRNA) - (0.000000278 * E6_1_1_9)</v>
      </c>
    </row>
    <row r="473" spans="1:14">
      <c r="A473">
        <v>472</v>
      </c>
      <c r="B473" s="45" t="s">
        <v>17634</v>
      </c>
      <c r="C473" t="str">
        <f t="shared" si="93"/>
        <v>E6_2_1_16_mRNA</v>
      </c>
      <c r="D473" t="str">
        <f t="shared" si="94"/>
        <v>E6_2_1_16</v>
      </c>
      <c r="E473" s="29" t="str">
        <f t="shared" si="95"/>
        <v>E6_2_1_16_kcat : 13.7</v>
      </c>
      <c r="F473" s="30" t="str">
        <f t="shared" si="96"/>
        <v>E6_2_1_16_km : 1</v>
      </c>
      <c r="G473" s="31" t="str">
        <f t="shared" si="97"/>
        <v>E6_2_1_16_mRNA : E6_2_1_16_mRNA</v>
      </c>
      <c r="H473" s="32" t="str">
        <f t="shared" si="98"/>
        <v>E6_2_1_16 : E6_2_1_16</v>
      </c>
      <c r="I473" s="33" t="str">
        <f t="shared" si="99"/>
        <v>E6_2_1_16_mRNA : 0</v>
      </c>
      <c r="J473" s="16" t="str">
        <f t="shared" si="100"/>
        <v>E6_2_1_16 : 0</v>
      </c>
      <c r="K473" s="34" t="str">
        <f t="shared" si="101"/>
        <v>0.00292 - (0.0093 * E6_2_1_16_mRNA)</v>
      </c>
      <c r="L473" s="31" t="str">
        <f t="shared" si="102"/>
        <v>(0.278 * E6_2_1_16_mRNA) - (0.00000278 * E6_2_1_16)</v>
      </c>
      <c r="M473" s="35" t="str">
        <f t="shared" si="103"/>
        <v>mRNA472: -&gt; E6_2_1_16_mRNA | 0.00292 - (0.0093 * E6_2_1_16_mRNA)</v>
      </c>
      <c r="N473" s="29" t="str">
        <f t="shared" si="92"/>
        <v>Peptide472: E6_2_1_16_mRNA -&gt; E6_2_1_16 | (0.278 * E6_2_1_16_mRNA) - (0.000000278 * E6_2_1_16)</v>
      </c>
    </row>
    <row r="474" spans="1:14">
      <c r="A474">
        <v>473</v>
      </c>
      <c r="B474" t="s">
        <v>13145</v>
      </c>
      <c r="C474" t="str">
        <f t="shared" si="93"/>
        <v>E6_2_1_26_mRNA</v>
      </c>
      <c r="D474" t="str">
        <f t="shared" si="94"/>
        <v>E6_2_1_26</v>
      </c>
      <c r="E474" s="29" t="str">
        <f t="shared" si="95"/>
        <v>E6_2_1_26_kcat : 13.7</v>
      </c>
      <c r="F474" s="30" t="str">
        <f t="shared" si="96"/>
        <v>E6_2_1_26_km : 1</v>
      </c>
      <c r="G474" s="31" t="str">
        <f t="shared" si="97"/>
        <v>E6_2_1_26_mRNA : E6_2_1_26_mRNA</v>
      </c>
      <c r="H474" s="32" t="str">
        <f t="shared" si="98"/>
        <v>E6_2_1_26 : E6_2_1_26</v>
      </c>
      <c r="I474" s="33" t="str">
        <f t="shared" si="99"/>
        <v>E6_2_1_26_mRNA : 0</v>
      </c>
      <c r="J474" s="16" t="str">
        <f t="shared" si="100"/>
        <v>E6_2_1_26 : 0</v>
      </c>
      <c r="K474" s="34" t="str">
        <f t="shared" si="101"/>
        <v>0.00292 - (0.0093 * E6_2_1_26_mRNA)</v>
      </c>
      <c r="L474" s="31" t="str">
        <f t="shared" si="102"/>
        <v>(0.278 * E6_2_1_26_mRNA) - (0.00000278 * E6_2_1_26)</v>
      </c>
      <c r="M474" s="35" t="str">
        <f t="shared" si="103"/>
        <v>mRNA473: -&gt; E6_2_1_26_mRNA | 0.00292 - (0.0093 * E6_2_1_26_mRNA)</v>
      </c>
      <c r="N474" s="29" t="str">
        <f t="shared" si="92"/>
        <v>Peptide473: E6_2_1_26_mRNA -&gt; E6_2_1_26 | (0.278 * E6_2_1_26_mRNA) - (0.000000278 * E6_2_1_26)</v>
      </c>
    </row>
    <row r="475" spans="1:14">
      <c r="A475">
        <v>474</v>
      </c>
      <c r="B475" t="s">
        <v>13146</v>
      </c>
      <c r="C475" t="str">
        <f t="shared" si="93"/>
        <v>E6_2_1_5_mRNA</v>
      </c>
      <c r="D475" t="str">
        <f t="shared" si="94"/>
        <v>E6_2_1_5</v>
      </c>
      <c r="E475" s="29" t="str">
        <f t="shared" si="95"/>
        <v>E6_2_1_5_kcat : 13.7</v>
      </c>
      <c r="F475" s="30" t="str">
        <f t="shared" si="96"/>
        <v>E6_2_1_5_km : 1</v>
      </c>
      <c r="G475" s="31" t="str">
        <f t="shared" si="97"/>
        <v>E6_2_1_5_mRNA : E6_2_1_5_mRNA</v>
      </c>
      <c r="H475" s="32" t="str">
        <f t="shared" si="98"/>
        <v>E6_2_1_5 : E6_2_1_5</v>
      </c>
      <c r="I475" s="33" t="str">
        <f t="shared" si="99"/>
        <v>E6_2_1_5_mRNA : 0</v>
      </c>
      <c r="J475" s="16" t="str">
        <f t="shared" si="100"/>
        <v>E6_2_1_5 : 0</v>
      </c>
      <c r="K475" s="34" t="str">
        <f t="shared" si="101"/>
        <v>0.00292 - (0.0093 * E6_2_1_5_mRNA)</v>
      </c>
      <c r="L475" s="31" t="str">
        <f t="shared" si="102"/>
        <v>(0.278 * E6_2_1_5_mRNA) - (0.00000278 * E6_2_1_5)</v>
      </c>
      <c r="M475" s="35" t="str">
        <f t="shared" si="103"/>
        <v>mRNA474: -&gt; E6_2_1_5_mRNA | 0.00292 - (0.0093 * E6_2_1_5_mRNA)</v>
      </c>
      <c r="N475" s="29" t="str">
        <f t="shared" si="92"/>
        <v>Peptide474: E6_2_1_5_mRNA -&gt; E6_2_1_5 | (0.278 * E6_2_1_5_mRNA) - (0.000000278 * E6_2_1_5)</v>
      </c>
    </row>
    <row r="476" spans="1:14">
      <c r="A476">
        <v>475</v>
      </c>
      <c r="B476" t="s">
        <v>16062</v>
      </c>
      <c r="C476" t="str">
        <f t="shared" si="93"/>
        <v>E6_3_1_13_mRNA</v>
      </c>
      <c r="D476" t="str">
        <f t="shared" si="94"/>
        <v>E6_3_1_13</v>
      </c>
      <c r="E476" s="29" t="str">
        <f t="shared" si="95"/>
        <v>E6_3_1_13_kcat : 13.7</v>
      </c>
      <c r="F476" s="30" t="str">
        <f t="shared" si="96"/>
        <v>E6_3_1_13_km : 1</v>
      </c>
      <c r="G476" s="31" t="str">
        <f t="shared" si="97"/>
        <v>E6_3_1_13_mRNA : E6_3_1_13_mRNA</v>
      </c>
      <c r="H476" s="32" t="str">
        <f t="shared" si="98"/>
        <v>E6_3_1_13 : E6_3_1_13</v>
      </c>
      <c r="I476" s="33" t="str">
        <f t="shared" si="99"/>
        <v>E6_3_1_13_mRNA : 0</v>
      </c>
      <c r="J476" s="16" t="str">
        <f t="shared" si="100"/>
        <v>E6_3_1_13 : 0</v>
      </c>
      <c r="K476" s="34" t="str">
        <f t="shared" si="101"/>
        <v>0.00292 - (0.0093 * E6_3_1_13_mRNA)</v>
      </c>
      <c r="L476" s="31" t="str">
        <f t="shared" si="102"/>
        <v>(0.278 * E6_3_1_13_mRNA) - (0.00000278 * E6_3_1_13)</v>
      </c>
      <c r="M476" s="35" t="str">
        <f t="shared" si="103"/>
        <v>mRNA475: -&gt; E6_3_1_13_mRNA | 0.00292 - (0.0093 * E6_3_1_13_mRNA)</v>
      </c>
      <c r="N476" s="29" t="str">
        <f>CONCATENATE("Peptide",A476,": ",C476," -&gt; ",D476," | ","(","0.278"," * ",C476,")"," - ","(","0.Enzymes!8"," * ",D476,")")</f>
        <v>Peptide475: E6_3_1_13_mRNA -&gt; E6_3_1_13 | (0.278 * E6_3_1_13_mRNA) - (0.Enzymes!8 * E6_3_1_13)</v>
      </c>
    </row>
    <row r="477" spans="1:14">
      <c r="A477">
        <v>476</v>
      </c>
      <c r="B477" t="s">
        <v>13147</v>
      </c>
      <c r="C477" t="str">
        <f t="shared" si="93"/>
        <v>E6_3_1_19_mRNA</v>
      </c>
      <c r="D477" t="str">
        <f t="shared" si="94"/>
        <v>E6_3_1_19</v>
      </c>
      <c r="E477" s="29" t="str">
        <f t="shared" si="95"/>
        <v>E6_3_1_19_kcat : 13.7</v>
      </c>
      <c r="F477" s="30" t="str">
        <f t="shared" si="96"/>
        <v>E6_3_1_19_km : 1</v>
      </c>
      <c r="G477" s="31" t="str">
        <f t="shared" si="97"/>
        <v>E6_3_1_19_mRNA : E6_3_1_19_mRNA</v>
      </c>
      <c r="H477" s="32" t="str">
        <f t="shared" si="98"/>
        <v>E6_3_1_19 : E6_3_1_19</v>
      </c>
      <c r="I477" s="33" t="str">
        <f t="shared" si="99"/>
        <v>E6_3_1_19_mRNA : 0</v>
      </c>
      <c r="J477" s="16" t="str">
        <f t="shared" si="100"/>
        <v>E6_3_1_19 : 0</v>
      </c>
      <c r="K477" s="34" t="str">
        <f t="shared" si="101"/>
        <v>0.00292 - (0.0093 * E6_3_1_19_mRNA)</v>
      </c>
      <c r="L477" s="31" t="str">
        <f t="shared" si="102"/>
        <v>(0.278 * E6_3_1_19_mRNA) - (0.00000278 * E6_3_1_19)</v>
      </c>
      <c r="M477" s="35" t="str">
        <f t="shared" si="103"/>
        <v>mRNA476: -&gt; E6_3_1_19_mRNA | 0.00292 - (0.0093 * E6_3_1_19_mRNA)</v>
      </c>
      <c r="N477" s="29" t="str">
        <f t="shared" si="92"/>
        <v>Peptide476: E6_3_1_19_mRNA -&gt; E6_3_1_19 | (0.278 * E6_3_1_19_mRNA) - (0.000000278 * E6_3_1_19)</v>
      </c>
    </row>
    <row r="478" spans="1:14">
      <c r="A478">
        <v>477</v>
      </c>
      <c r="B478" t="s">
        <v>13148</v>
      </c>
      <c r="C478" t="str">
        <f t="shared" si="93"/>
        <v>E6_3_1_2_mRNA</v>
      </c>
      <c r="D478" t="str">
        <f t="shared" si="94"/>
        <v>E6_3_1_2</v>
      </c>
      <c r="E478" s="29" t="str">
        <f t="shared" si="95"/>
        <v>E6_3_1_2_kcat : 13.7</v>
      </c>
      <c r="F478" s="30" t="str">
        <f t="shared" si="96"/>
        <v>E6_3_1_2_km : 1</v>
      </c>
      <c r="G478" s="31" t="str">
        <f t="shared" si="97"/>
        <v>E6_3_1_2_mRNA : E6_3_1_2_mRNA</v>
      </c>
      <c r="H478" s="32" t="str">
        <f t="shared" si="98"/>
        <v>E6_3_1_2 : E6_3_1_2</v>
      </c>
      <c r="I478" s="33" t="str">
        <f t="shared" si="99"/>
        <v>E6_3_1_2_mRNA : 0</v>
      </c>
      <c r="J478" s="16" t="str">
        <f t="shared" si="100"/>
        <v>E6_3_1_2 : 0</v>
      </c>
      <c r="K478" s="34" t="str">
        <f t="shared" si="101"/>
        <v>0.00292 - (0.0093 * E6_3_1_2_mRNA)</v>
      </c>
      <c r="L478" s="31" t="str">
        <f t="shared" si="102"/>
        <v>(0.278 * E6_3_1_2_mRNA) - (0.00000278 * E6_3_1_2)</v>
      </c>
      <c r="M478" s="35" t="str">
        <f t="shared" si="103"/>
        <v>mRNA477: -&gt; E6_3_1_2_mRNA | 0.00292 - (0.0093 * E6_3_1_2_mRNA)</v>
      </c>
      <c r="N478" s="29" t="str">
        <f t="shared" si="92"/>
        <v>Peptide477: E6_3_1_2_mRNA -&gt; E6_3_1_2 | (0.278 * E6_3_1_2_mRNA) - (0.000000278 * E6_3_1_2)</v>
      </c>
    </row>
    <row r="479" spans="1:14">
      <c r="A479">
        <v>478</v>
      </c>
      <c r="B479" t="s">
        <v>13149</v>
      </c>
      <c r="C479" t="str">
        <f t="shared" si="93"/>
        <v>E6_3_1_5_mRNA</v>
      </c>
      <c r="D479" t="str">
        <f t="shared" si="94"/>
        <v>E6_3_1_5</v>
      </c>
      <c r="E479" s="29" t="str">
        <f t="shared" si="95"/>
        <v>E6_3_1_5_kcat : 13.7</v>
      </c>
      <c r="F479" s="30" t="str">
        <f t="shared" si="96"/>
        <v>E6_3_1_5_km : 1</v>
      </c>
      <c r="G479" s="31" t="str">
        <f t="shared" si="97"/>
        <v>E6_3_1_5_mRNA : E6_3_1_5_mRNA</v>
      </c>
      <c r="H479" s="32" t="str">
        <f t="shared" si="98"/>
        <v>E6_3_1_5 : E6_3_1_5</v>
      </c>
      <c r="I479" s="33" t="str">
        <f t="shared" si="99"/>
        <v>E6_3_1_5_mRNA : 0</v>
      </c>
      <c r="J479" s="16" t="str">
        <f t="shared" si="100"/>
        <v>E6_3_1_5 : 0</v>
      </c>
      <c r="K479" s="34" t="str">
        <f t="shared" si="101"/>
        <v>0.00292 - (0.0093 * E6_3_1_5_mRNA)</v>
      </c>
      <c r="L479" s="31" t="str">
        <f t="shared" si="102"/>
        <v>(0.278 * E6_3_1_5_mRNA) - (0.00000278 * E6_3_1_5)</v>
      </c>
      <c r="M479" s="35" t="str">
        <f t="shared" si="103"/>
        <v>mRNA478: -&gt; E6_3_1_5_mRNA | 0.00292 - (0.0093 * E6_3_1_5_mRNA)</v>
      </c>
      <c r="N479" s="29" t="str">
        <f t="shared" si="92"/>
        <v>Peptide478: E6_3_1_5_mRNA -&gt; E6_3_1_5 | (0.278 * E6_3_1_5_mRNA) - (0.000000278 * E6_3_1_5)</v>
      </c>
    </row>
    <row r="480" spans="1:14">
      <c r="A480">
        <v>479</v>
      </c>
      <c r="B480" t="s">
        <v>13150</v>
      </c>
      <c r="C480" t="str">
        <f t="shared" si="93"/>
        <v>E6_3_2_1_mRNA</v>
      </c>
      <c r="D480" t="str">
        <f t="shared" si="94"/>
        <v>E6_3_2_1</v>
      </c>
      <c r="E480" s="29" t="str">
        <f t="shared" si="95"/>
        <v>E6_3_2_1_kcat : 13.7</v>
      </c>
      <c r="F480" s="30" t="str">
        <f t="shared" si="96"/>
        <v>E6_3_2_1_km : 1</v>
      </c>
      <c r="G480" s="31" t="str">
        <f t="shared" si="97"/>
        <v>E6_3_2_1_mRNA : E6_3_2_1_mRNA</v>
      </c>
      <c r="H480" s="32" t="str">
        <f t="shared" si="98"/>
        <v>E6_3_2_1 : E6_3_2_1</v>
      </c>
      <c r="I480" s="33" t="str">
        <f t="shared" si="99"/>
        <v>E6_3_2_1_mRNA : 0</v>
      </c>
      <c r="J480" s="16" t="str">
        <f t="shared" si="100"/>
        <v>E6_3_2_1 : 0</v>
      </c>
      <c r="K480" s="34" t="str">
        <f t="shared" si="101"/>
        <v>0.00292 - (0.0093 * E6_3_2_1_mRNA)</v>
      </c>
      <c r="L480" s="31" t="str">
        <f t="shared" si="102"/>
        <v>(0.278 * E6_3_2_1_mRNA) - (0.00000278 * E6_3_2_1)</v>
      </c>
      <c r="M480" s="35" t="str">
        <f t="shared" si="103"/>
        <v>mRNA479: -&gt; E6_3_2_1_mRNA | 0.00292 - (0.0093 * E6_3_2_1_mRNA)</v>
      </c>
      <c r="N480" s="29" t="str">
        <f t="shared" si="92"/>
        <v>Peptide479: E6_3_2_1_mRNA -&gt; E6_3_2_1 | (0.278 * E6_3_2_1_mRNA) - (0.000000278 * E6_3_2_1)</v>
      </c>
    </row>
    <row r="481" spans="1:14">
      <c r="A481">
        <v>480</v>
      </c>
      <c r="B481" t="s">
        <v>13151</v>
      </c>
      <c r="C481" t="str">
        <f t="shared" si="93"/>
        <v>E6_3_2_10_mRNA</v>
      </c>
      <c r="D481" t="str">
        <f t="shared" si="94"/>
        <v>E6_3_2_10</v>
      </c>
      <c r="E481" s="29" t="str">
        <f t="shared" si="95"/>
        <v>E6_3_2_10_kcat : 13.7</v>
      </c>
      <c r="F481" s="30" t="str">
        <f t="shared" si="96"/>
        <v>E6_3_2_10_km : 1</v>
      </c>
      <c r="G481" s="31" t="str">
        <f t="shared" si="97"/>
        <v>E6_3_2_10_mRNA : E6_3_2_10_mRNA</v>
      </c>
      <c r="H481" s="32" t="str">
        <f t="shared" si="98"/>
        <v>E6_3_2_10 : E6_3_2_10</v>
      </c>
      <c r="I481" s="33" t="str">
        <f t="shared" si="99"/>
        <v>E6_3_2_10_mRNA : 0</v>
      </c>
      <c r="J481" s="16" t="str">
        <f t="shared" si="100"/>
        <v>E6_3_2_10 : 0</v>
      </c>
      <c r="K481" s="34" t="str">
        <f t="shared" si="101"/>
        <v>0.00292 - (0.0093 * E6_3_2_10_mRNA)</v>
      </c>
      <c r="L481" s="31" t="str">
        <f t="shared" si="102"/>
        <v>(0.278 * E6_3_2_10_mRNA) - (0.00000278 * E6_3_2_10)</v>
      </c>
      <c r="M481" s="35" t="str">
        <f t="shared" si="103"/>
        <v>mRNA480: -&gt; E6_3_2_10_mRNA | 0.00292 - (0.0093 * E6_3_2_10_mRNA)</v>
      </c>
      <c r="N481" s="29" t="str">
        <f t="shared" si="92"/>
        <v>Peptide480: E6_3_2_10_mRNA -&gt; E6_3_2_10 | (0.278 * E6_3_2_10_mRNA) - (0.000000278 * E6_3_2_10)</v>
      </c>
    </row>
    <row r="482" spans="1:14">
      <c r="A482">
        <v>481</v>
      </c>
      <c r="B482" t="s">
        <v>13152</v>
      </c>
      <c r="C482" t="str">
        <f t="shared" si="93"/>
        <v>E6_3_2_12_mRNA</v>
      </c>
      <c r="D482" t="str">
        <f t="shared" si="94"/>
        <v>E6_3_2_12</v>
      </c>
      <c r="E482" s="29" t="str">
        <f t="shared" si="95"/>
        <v>E6_3_2_12_kcat : 13.7</v>
      </c>
      <c r="F482" s="30" t="str">
        <f t="shared" si="96"/>
        <v>E6_3_2_12_km : 1</v>
      </c>
      <c r="G482" s="31" t="str">
        <f t="shared" si="97"/>
        <v>E6_3_2_12_mRNA : E6_3_2_12_mRNA</v>
      </c>
      <c r="H482" s="32" t="str">
        <f t="shared" si="98"/>
        <v>E6_3_2_12 : E6_3_2_12</v>
      </c>
      <c r="I482" s="33" t="str">
        <f t="shared" si="99"/>
        <v>E6_3_2_12_mRNA : 0</v>
      </c>
      <c r="J482" s="16" t="str">
        <f t="shared" si="100"/>
        <v>E6_3_2_12 : 0</v>
      </c>
      <c r="K482" s="34" t="str">
        <f t="shared" si="101"/>
        <v>0.00292 - (0.0093 * E6_3_2_12_mRNA)</v>
      </c>
      <c r="L482" s="31" t="str">
        <f t="shared" si="102"/>
        <v>(0.278 * E6_3_2_12_mRNA) - (0.00000278 * E6_3_2_12)</v>
      </c>
      <c r="M482" s="35" t="str">
        <f t="shared" si="103"/>
        <v>mRNA481: -&gt; E6_3_2_12_mRNA | 0.00292 - (0.0093 * E6_3_2_12_mRNA)</v>
      </c>
      <c r="N482" s="29" t="str">
        <f t="shared" si="92"/>
        <v>Peptide481: E6_3_2_12_mRNA -&gt; E6_3_2_12 | (0.278 * E6_3_2_12_mRNA) - (0.000000278 * E6_3_2_12)</v>
      </c>
    </row>
    <row r="483" spans="1:14">
      <c r="A483">
        <v>482</v>
      </c>
      <c r="B483" t="s">
        <v>13153</v>
      </c>
      <c r="C483" t="str">
        <f t="shared" si="93"/>
        <v>E6_3_2_13_mRNA</v>
      </c>
      <c r="D483" t="str">
        <f t="shared" si="94"/>
        <v>E6_3_2_13</v>
      </c>
      <c r="E483" s="29" t="str">
        <f t="shared" si="95"/>
        <v>E6_3_2_13_kcat : 13.7</v>
      </c>
      <c r="F483" s="30" t="str">
        <f t="shared" si="96"/>
        <v>E6_3_2_13_km : 1</v>
      </c>
      <c r="G483" s="31" t="str">
        <f t="shared" si="97"/>
        <v>E6_3_2_13_mRNA : E6_3_2_13_mRNA</v>
      </c>
      <c r="H483" s="32" t="str">
        <f t="shared" si="98"/>
        <v>E6_3_2_13 : E6_3_2_13</v>
      </c>
      <c r="I483" s="33" t="str">
        <f t="shared" si="99"/>
        <v>E6_3_2_13_mRNA : 0</v>
      </c>
      <c r="J483" s="16" t="str">
        <f t="shared" si="100"/>
        <v>E6_3_2_13 : 0</v>
      </c>
      <c r="K483" s="34" t="str">
        <f t="shared" si="101"/>
        <v>0.00292 - (0.0093 * E6_3_2_13_mRNA)</v>
      </c>
      <c r="L483" s="31" t="str">
        <f t="shared" si="102"/>
        <v>(0.278 * E6_3_2_13_mRNA) - (0.00000278 * E6_3_2_13)</v>
      </c>
      <c r="M483" s="35" t="str">
        <f t="shared" si="103"/>
        <v>mRNA482: -&gt; E6_3_2_13_mRNA | 0.00292 - (0.0093 * E6_3_2_13_mRNA)</v>
      </c>
      <c r="N483" s="29" t="str">
        <f t="shared" si="92"/>
        <v>Peptide482: E6_3_2_13_mRNA -&gt; E6_3_2_13 | (0.278 * E6_3_2_13_mRNA) - (0.000000278 * E6_3_2_13)</v>
      </c>
    </row>
    <row r="484" spans="1:14">
      <c r="A484">
        <v>483</v>
      </c>
      <c r="B484" t="s">
        <v>13154</v>
      </c>
      <c r="C484" t="str">
        <f t="shared" si="93"/>
        <v>E6_3_2_17_mRNA</v>
      </c>
      <c r="D484" t="str">
        <f t="shared" si="94"/>
        <v>E6_3_2_17</v>
      </c>
      <c r="E484" s="29" t="str">
        <f t="shared" si="95"/>
        <v>E6_3_2_17_kcat : 13.7</v>
      </c>
      <c r="F484" s="30" t="str">
        <f t="shared" si="96"/>
        <v>E6_3_2_17_km : 1</v>
      </c>
      <c r="G484" s="31" t="str">
        <f t="shared" si="97"/>
        <v>E6_3_2_17_mRNA : E6_3_2_17_mRNA</v>
      </c>
      <c r="H484" s="32" t="str">
        <f t="shared" si="98"/>
        <v>E6_3_2_17 : E6_3_2_17</v>
      </c>
      <c r="I484" s="33" t="str">
        <f t="shared" si="99"/>
        <v>E6_3_2_17_mRNA : 0</v>
      </c>
      <c r="J484" s="16" t="str">
        <f t="shared" si="100"/>
        <v>E6_3_2_17 : 0</v>
      </c>
      <c r="K484" s="34" t="str">
        <f t="shared" si="101"/>
        <v>0.00292 - (0.0093 * E6_3_2_17_mRNA)</v>
      </c>
      <c r="L484" s="31" t="str">
        <f t="shared" si="102"/>
        <v>(0.278 * E6_3_2_17_mRNA) - (0.00000278 * E6_3_2_17)</v>
      </c>
      <c r="M484" s="35" t="str">
        <f t="shared" si="103"/>
        <v>mRNA483: -&gt; E6_3_2_17_mRNA | 0.00292 - (0.0093 * E6_3_2_17_mRNA)</v>
      </c>
      <c r="N484" s="29" t="str">
        <f t="shared" si="92"/>
        <v>Peptide483: E6_3_2_17_mRNA -&gt; E6_3_2_17 | (0.278 * E6_3_2_17_mRNA) - (0.000000278 * E6_3_2_17)</v>
      </c>
    </row>
    <row r="485" spans="1:14">
      <c r="A485">
        <v>484</v>
      </c>
      <c r="B485" t="s">
        <v>13155</v>
      </c>
      <c r="C485" t="str">
        <f t="shared" si="93"/>
        <v>E6_3_2_2_mRNA</v>
      </c>
      <c r="D485" t="str">
        <f t="shared" si="94"/>
        <v>E6_3_2_2</v>
      </c>
      <c r="E485" s="29" t="str">
        <f t="shared" si="95"/>
        <v>E6_3_2_2_kcat : 13.7</v>
      </c>
      <c r="F485" s="30" t="str">
        <f t="shared" si="96"/>
        <v>E6_3_2_2_km : 1</v>
      </c>
      <c r="G485" s="31" t="str">
        <f t="shared" si="97"/>
        <v>E6_3_2_2_mRNA : E6_3_2_2_mRNA</v>
      </c>
      <c r="H485" s="32" t="str">
        <f t="shared" si="98"/>
        <v>E6_3_2_2 : E6_3_2_2</v>
      </c>
      <c r="I485" s="33" t="str">
        <f t="shared" si="99"/>
        <v>E6_3_2_2_mRNA : 0</v>
      </c>
      <c r="J485" s="16" t="str">
        <f t="shared" si="100"/>
        <v>E6_3_2_2 : 0</v>
      </c>
      <c r="K485" s="34" t="str">
        <f t="shared" si="101"/>
        <v>0.00292 - (0.0093 * E6_3_2_2_mRNA)</v>
      </c>
      <c r="L485" s="31" t="str">
        <f t="shared" si="102"/>
        <v>(0.278 * E6_3_2_2_mRNA) - (0.00000278 * E6_3_2_2)</v>
      </c>
      <c r="M485" s="35" t="str">
        <f t="shared" si="103"/>
        <v>mRNA484: -&gt; E6_3_2_2_mRNA | 0.00292 - (0.0093 * E6_3_2_2_mRNA)</v>
      </c>
      <c r="N485" s="29" t="str">
        <f t="shared" si="92"/>
        <v>Peptide484: E6_3_2_2_mRNA -&gt; E6_3_2_2 | (0.278 * E6_3_2_2_mRNA) - (0.000000278 * E6_3_2_2)</v>
      </c>
    </row>
    <row r="486" spans="1:14">
      <c r="A486">
        <v>485</v>
      </c>
      <c r="B486" t="s">
        <v>13156</v>
      </c>
      <c r="C486" t="str">
        <f t="shared" si="93"/>
        <v>E6_3_2_5_mRNA</v>
      </c>
      <c r="D486" t="str">
        <f t="shared" si="94"/>
        <v>E6_3_2_5</v>
      </c>
      <c r="E486" s="29" t="str">
        <f t="shared" si="95"/>
        <v>E6_3_2_5_kcat : 13.7</v>
      </c>
      <c r="F486" s="30" t="str">
        <f t="shared" si="96"/>
        <v>E6_3_2_5_km : 1</v>
      </c>
      <c r="G486" s="31" t="str">
        <f t="shared" si="97"/>
        <v>E6_3_2_5_mRNA : E6_3_2_5_mRNA</v>
      </c>
      <c r="H486" s="32" t="str">
        <f t="shared" si="98"/>
        <v>E6_3_2_5 : E6_3_2_5</v>
      </c>
      <c r="I486" s="33" t="str">
        <f t="shared" si="99"/>
        <v>E6_3_2_5_mRNA : 0</v>
      </c>
      <c r="J486" s="16" t="str">
        <f t="shared" si="100"/>
        <v>E6_3_2_5 : 0</v>
      </c>
      <c r="K486" s="34" t="str">
        <f t="shared" si="101"/>
        <v>0.00292 - (0.0093 * E6_3_2_5_mRNA)</v>
      </c>
      <c r="L486" s="31" t="str">
        <f t="shared" si="102"/>
        <v>(0.278 * E6_3_2_5_mRNA) - (0.00000278 * E6_3_2_5)</v>
      </c>
      <c r="M486" s="35" t="str">
        <f t="shared" si="103"/>
        <v>mRNA485: -&gt; E6_3_2_5_mRNA | 0.00292 - (0.0093 * E6_3_2_5_mRNA)</v>
      </c>
      <c r="N486" s="29" t="str">
        <f t="shared" si="92"/>
        <v>Peptide485: E6_3_2_5_mRNA -&gt; E6_3_2_5 | (0.278 * E6_3_2_5_mRNA) - (0.000000278 * E6_3_2_5)</v>
      </c>
    </row>
    <row r="487" spans="1:14">
      <c r="A487">
        <v>486</v>
      </c>
      <c r="B487" t="s">
        <v>13157</v>
      </c>
      <c r="C487" t="str">
        <f t="shared" si="93"/>
        <v>E6_3_2_6_mRNA</v>
      </c>
      <c r="D487" t="str">
        <f t="shared" si="94"/>
        <v>E6_3_2_6</v>
      </c>
      <c r="E487" s="29" t="str">
        <f t="shared" si="95"/>
        <v>E6_3_2_6_kcat : 13.7</v>
      </c>
      <c r="F487" s="30" t="str">
        <f t="shared" si="96"/>
        <v>E6_3_2_6_km : 1</v>
      </c>
      <c r="G487" s="31" t="str">
        <f t="shared" si="97"/>
        <v>E6_3_2_6_mRNA : E6_3_2_6_mRNA</v>
      </c>
      <c r="H487" s="32" t="str">
        <f t="shared" si="98"/>
        <v>E6_3_2_6 : E6_3_2_6</v>
      </c>
      <c r="I487" s="33" t="str">
        <f t="shared" si="99"/>
        <v>E6_3_2_6_mRNA : 0</v>
      </c>
      <c r="J487" s="16" t="str">
        <f t="shared" si="100"/>
        <v>E6_3_2_6 : 0</v>
      </c>
      <c r="K487" s="34" t="str">
        <f t="shared" si="101"/>
        <v>0.00292 - (0.0093 * E6_3_2_6_mRNA)</v>
      </c>
      <c r="L487" s="31" t="str">
        <f t="shared" si="102"/>
        <v>(0.278 * E6_3_2_6_mRNA) - (0.00000278 * E6_3_2_6)</v>
      </c>
      <c r="M487" s="35" t="str">
        <f t="shared" si="103"/>
        <v>mRNA486: -&gt; E6_3_2_6_mRNA | 0.00292 - (0.0093 * E6_3_2_6_mRNA)</v>
      </c>
      <c r="N487" s="29" t="str">
        <f t="shared" si="92"/>
        <v>Peptide486: E6_3_2_6_mRNA -&gt; E6_3_2_6 | (0.278 * E6_3_2_6_mRNA) - (0.000000278 * E6_3_2_6)</v>
      </c>
    </row>
    <row r="488" spans="1:14">
      <c r="A488">
        <v>487</v>
      </c>
      <c r="B488" t="s">
        <v>16063</v>
      </c>
      <c r="C488" t="str">
        <f t="shared" si="93"/>
        <v>E6_3_2_8_mRNA</v>
      </c>
      <c r="D488" t="str">
        <f t="shared" si="94"/>
        <v>E6_3_2_8</v>
      </c>
      <c r="E488" s="29" t="str">
        <f t="shared" si="95"/>
        <v>E6_3_2_8_kcat : 13.7</v>
      </c>
      <c r="F488" s="30" t="str">
        <f t="shared" si="96"/>
        <v>E6_3_2_8_km : 1</v>
      </c>
      <c r="G488" s="31" t="str">
        <f t="shared" si="97"/>
        <v>E6_3_2_8_mRNA : E6_3_2_8_mRNA</v>
      </c>
      <c r="H488" s="32" t="str">
        <f t="shared" si="98"/>
        <v>E6_3_2_8 : E6_3_2_8</v>
      </c>
      <c r="I488" s="33" t="str">
        <f t="shared" si="99"/>
        <v>E6_3_2_8_mRNA : 0</v>
      </c>
      <c r="J488" s="16" t="str">
        <f t="shared" si="100"/>
        <v>E6_3_2_8 : 0</v>
      </c>
      <c r="K488" s="34" t="str">
        <f t="shared" si="101"/>
        <v>0.00292 - (0.0093 * E6_3_2_8_mRNA)</v>
      </c>
      <c r="L488" s="31" t="str">
        <f t="shared" si="102"/>
        <v>(0.278 * E6_3_2_8_mRNA) - (0.00000278 * E6_3_2_8)</v>
      </c>
      <c r="M488" s="35" t="str">
        <f t="shared" si="103"/>
        <v>mRNA487: -&gt; E6_3_2_8_mRNA | 0.00292 - (0.0093 * E6_3_2_8_mRNA)</v>
      </c>
      <c r="N488" s="29" t="str">
        <f t="shared" si="92"/>
        <v>Peptide487: E6_3_2_8_mRNA -&gt; E6_3_2_8 | (0.278 * E6_3_2_8_mRNA) - (0.000000278 * E6_3_2_8)</v>
      </c>
    </row>
    <row r="489" spans="1:14">
      <c r="A489">
        <v>488</v>
      </c>
      <c r="B489" t="s">
        <v>13158</v>
      </c>
      <c r="C489" t="str">
        <f t="shared" si="93"/>
        <v>E6_3_2_9_mRNA</v>
      </c>
      <c r="D489" t="str">
        <f t="shared" si="94"/>
        <v>E6_3_2_9</v>
      </c>
      <c r="E489" s="29" t="str">
        <f t="shared" si="95"/>
        <v>E6_3_2_9_kcat : 13.7</v>
      </c>
      <c r="F489" s="30" t="str">
        <f t="shared" si="96"/>
        <v>E6_3_2_9_km : 1</v>
      </c>
      <c r="G489" s="31" t="str">
        <f t="shared" si="97"/>
        <v>E6_3_2_9_mRNA : E6_3_2_9_mRNA</v>
      </c>
      <c r="H489" s="32" t="str">
        <f t="shared" si="98"/>
        <v>E6_3_2_9 : E6_3_2_9</v>
      </c>
      <c r="I489" s="33" t="str">
        <f t="shared" si="99"/>
        <v>E6_3_2_9_mRNA : 0</v>
      </c>
      <c r="J489" s="16" t="str">
        <f t="shared" si="100"/>
        <v>E6_3_2_9 : 0</v>
      </c>
      <c r="K489" s="34" t="str">
        <f t="shared" si="101"/>
        <v>0.00292 - (0.0093 * E6_3_2_9_mRNA)</v>
      </c>
      <c r="L489" s="31" t="str">
        <f t="shared" si="102"/>
        <v>(0.278 * E6_3_2_9_mRNA) - (0.00000278 * E6_3_2_9)</v>
      </c>
      <c r="M489" s="35" t="str">
        <f t="shared" si="103"/>
        <v>mRNA488: -&gt; E6_3_2_9_mRNA | 0.00292 - (0.0093 * E6_3_2_9_mRNA)</v>
      </c>
      <c r="N489" s="29" t="str">
        <f t="shared" si="92"/>
        <v>Peptide488: E6_3_2_9_mRNA -&gt; E6_3_2_9 | (0.278 * E6_3_2_9_mRNA) - (0.000000278 * E6_3_2_9)</v>
      </c>
    </row>
    <row r="490" spans="1:14">
      <c r="A490">
        <v>489</v>
      </c>
      <c r="B490" t="s">
        <v>13159</v>
      </c>
      <c r="C490" t="str">
        <f t="shared" si="93"/>
        <v>E6_3_3_1_mRNA</v>
      </c>
      <c r="D490" t="str">
        <f t="shared" si="94"/>
        <v>E6_3_3_1</v>
      </c>
      <c r="E490" s="29" t="str">
        <f t="shared" si="95"/>
        <v>E6_3_3_1_kcat : 13.7</v>
      </c>
      <c r="F490" s="30" t="str">
        <f t="shared" si="96"/>
        <v>E6_3_3_1_km : 1</v>
      </c>
      <c r="G490" s="31" t="str">
        <f t="shared" si="97"/>
        <v>E6_3_3_1_mRNA : E6_3_3_1_mRNA</v>
      </c>
      <c r="H490" s="32" t="str">
        <f t="shared" si="98"/>
        <v>E6_3_3_1 : E6_3_3_1</v>
      </c>
      <c r="I490" s="33" t="str">
        <f t="shared" si="99"/>
        <v>E6_3_3_1_mRNA : 0</v>
      </c>
      <c r="J490" s="16" t="str">
        <f t="shared" si="100"/>
        <v>E6_3_3_1 : 0</v>
      </c>
      <c r="K490" s="34" t="str">
        <f t="shared" si="101"/>
        <v>0.00292 - (0.0093 * E6_3_3_1_mRNA)</v>
      </c>
      <c r="L490" s="31" t="str">
        <f t="shared" si="102"/>
        <v>(0.278 * E6_3_3_1_mRNA) - (0.00000278 * E6_3_3_1)</v>
      </c>
      <c r="M490" s="35" t="str">
        <f t="shared" si="103"/>
        <v>mRNA489: -&gt; E6_3_3_1_mRNA | 0.00292 - (0.0093 * E6_3_3_1_mRNA)</v>
      </c>
      <c r="N490" s="29" t="str">
        <f t="shared" si="92"/>
        <v>Peptide489: E6_3_3_1_mRNA -&gt; E6_3_3_1 | (0.278 * E6_3_3_1_mRNA) - (0.000000278 * E6_3_3_1)</v>
      </c>
    </row>
    <row r="491" spans="1:14">
      <c r="A491">
        <v>490</v>
      </c>
      <c r="B491" t="s">
        <v>13160</v>
      </c>
      <c r="C491" t="str">
        <f t="shared" si="93"/>
        <v>E6_3_3_2_mRNA</v>
      </c>
      <c r="D491" t="str">
        <f t="shared" si="94"/>
        <v>E6_3_3_2</v>
      </c>
      <c r="E491" s="29" t="str">
        <f t="shared" si="95"/>
        <v>E6_3_3_2_kcat : 13.7</v>
      </c>
      <c r="F491" s="30" t="str">
        <f t="shared" si="96"/>
        <v>E6_3_3_2_km : 1</v>
      </c>
      <c r="G491" s="31" t="str">
        <f t="shared" si="97"/>
        <v>E6_3_3_2_mRNA : E6_3_3_2_mRNA</v>
      </c>
      <c r="H491" s="32" t="str">
        <f t="shared" si="98"/>
        <v>E6_3_3_2 : E6_3_3_2</v>
      </c>
      <c r="I491" s="33" t="str">
        <f t="shared" si="99"/>
        <v>E6_3_3_2_mRNA : 0</v>
      </c>
      <c r="J491" s="16" t="str">
        <f t="shared" si="100"/>
        <v>E6_3_3_2 : 0</v>
      </c>
      <c r="K491" s="34" t="str">
        <f t="shared" si="101"/>
        <v>0.00292 - (0.0093 * E6_3_3_2_mRNA)</v>
      </c>
      <c r="L491" s="31" t="str">
        <f t="shared" si="102"/>
        <v>(0.278 * E6_3_3_2_mRNA) - (0.00000278 * E6_3_3_2)</v>
      </c>
      <c r="M491" s="35" t="str">
        <f t="shared" si="103"/>
        <v>mRNA490: -&gt; E6_3_3_2_mRNA | 0.00292 - (0.0093 * E6_3_3_2_mRNA)</v>
      </c>
      <c r="N491" s="29" t="str">
        <f t="shared" si="92"/>
        <v>Peptide490: E6_3_3_2_mRNA -&gt; E6_3_3_2 | (0.278 * E6_3_3_2_mRNA) - (0.000000278 * E6_3_3_2)</v>
      </c>
    </row>
    <row r="492" spans="1:14">
      <c r="A492">
        <v>491</v>
      </c>
      <c r="B492" t="s">
        <v>13161</v>
      </c>
      <c r="C492" t="str">
        <f t="shared" si="93"/>
        <v>E6_3_3_3_mRNA</v>
      </c>
      <c r="D492" t="str">
        <f t="shared" si="94"/>
        <v>E6_3_3_3</v>
      </c>
      <c r="E492" s="29" t="str">
        <f t="shared" si="95"/>
        <v>E6_3_3_3_kcat : 13.7</v>
      </c>
      <c r="F492" s="30" t="str">
        <f t="shared" si="96"/>
        <v>E6_3_3_3_km : 1</v>
      </c>
      <c r="G492" s="31" t="str">
        <f t="shared" si="97"/>
        <v>E6_3_3_3_mRNA : E6_3_3_3_mRNA</v>
      </c>
      <c r="H492" s="32" t="str">
        <f t="shared" si="98"/>
        <v>E6_3_3_3 : E6_3_3_3</v>
      </c>
      <c r="I492" s="33" t="str">
        <f t="shared" si="99"/>
        <v>E6_3_3_3_mRNA : 0</v>
      </c>
      <c r="J492" s="16" t="str">
        <f t="shared" si="100"/>
        <v>E6_3_3_3 : 0</v>
      </c>
      <c r="K492" s="34" t="str">
        <f t="shared" si="101"/>
        <v>0.00292 - (0.0093 * E6_3_3_3_mRNA)</v>
      </c>
      <c r="L492" s="31" t="str">
        <f t="shared" si="102"/>
        <v>(0.278 * E6_3_3_3_mRNA) - (0.00000278 * E6_3_3_3)</v>
      </c>
      <c r="M492" s="35" t="str">
        <f t="shared" si="103"/>
        <v>mRNA491: -&gt; E6_3_3_3_mRNA | 0.00292 - (0.0093 * E6_3_3_3_mRNA)</v>
      </c>
      <c r="N492" s="29" t="str">
        <f t="shared" si="92"/>
        <v>Peptide491: E6_3_3_3_mRNA -&gt; E6_3_3_3 | (0.278 * E6_3_3_3_mRNA) - (0.000000278 * E6_3_3_3)</v>
      </c>
    </row>
    <row r="493" spans="1:14">
      <c r="A493">
        <v>492</v>
      </c>
      <c r="B493" t="s">
        <v>13162</v>
      </c>
      <c r="C493" t="str">
        <f t="shared" si="93"/>
        <v>E6_3_4_13_mRNA</v>
      </c>
      <c r="D493" t="str">
        <f t="shared" si="94"/>
        <v>E6_3_4_13</v>
      </c>
      <c r="E493" s="29" t="str">
        <f t="shared" si="95"/>
        <v>E6_3_4_13_kcat : 13.7</v>
      </c>
      <c r="F493" s="30" t="str">
        <f t="shared" si="96"/>
        <v>E6_3_4_13_km : 1</v>
      </c>
      <c r="G493" s="31" t="str">
        <f t="shared" si="97"/>
        <v>E6_3_4_13_mRNA : E6_3_4_13_mRNA</v>
      </c>
      <c r="H493" s="32" t="str">
        <f t="shared" si="98"/>
        <v>E6_3_4_13 : E6_3_4_13</v>
      </c>
      <c r="I493" s="33" t="str">
        <f t="shared" si="99"/>
        <v>E6_3_4_13_mRNA : 0</v>
      </c>
      <c r="J493" s="16" t="str">
        <f t="shared" si="100"/>
        <v>E6_3_4_13 : 0</v>
      </c>
      <c r="K493" s="34" t="str">
        <f t="shared" si="101"/>
        <v>0.00292 - (0.0093 * E6_3_4_13_mRNA)</v>
      </c>
      <c r="L493" s="31" t="str">
        <f t="shared" si="102"/>
        <v>(0.278 * E6_3_4_13_mRNA) - (0.00000278 * E6_3_4_13)</v>
      </c>
      <c r="M493" s="35" t="str">
        <f t="shared" si="103"/>
        <v>mRNA492: -&gt; E6_3_4_13_mRNA | 0.00292 - (0.0093 * E6_3_4_13_mRNA)</v>
      </c>
      <c r="N493" s="29" t="str">
        <f t="shared" si="92"/>
        <v>Peptide492: E6_3_4_13_mRNA -&gt; E6_3_4_13 | (0.278 * E6_3_4_13_mRNA) - (0.000000278 * E6_3_4_13)</v>
      </c>
    </row>
    <row r="494" spans="1:14">
      <c r="A494">
        <v>493</v>
      </c>
      <c r="B494" t="s">
        <v>13163</v>
      </c>
      <c r="C494" t="str">
        <f t="shared" si="93"/>
        <v>E6_3_4_15_mRNA</v>
      </c>
      <c r="D494" t="str">
        <f t="shared" si="94"/>
        <v>E6_3_4_15</v>
      </c>
      <c r="E494" s="29" t="str">
        <f t="shared" si="95"/>
        <v>E6_3_4_15_kcat : 13.7</v>
      </c>
      <c r="F494" s="30" t="str">
        <f t="shared" si="96"/>
        <v>E6_3_4_15_km : 1</v>
      </c>
      <c r="G494" s="31" t="str">
        <f t="shared" si="97"/>
        <v>E6_3_4_15_mRNA : E6_3_4_15_mRNA</v>
      </c>
      <c r="H494" s="32" t="str">
        <f t="shared" si="98"/>
        <v>E6_3_4_15 : E6_3_4_15</v>
      </c>
      <c r="I494" s="33" t="str">
        <f t="shared" si="99"/>
        <v>E6_3_4_15_mRNA : 0</v>
      </c>
      <c r="J494" s="16" t="str">
        <f t="shared" si="100"/>
        <v>E6_3_4_15 : 0</v>
      </c>
      <c r="K494" s="34" t="str">
        <f t="shared" si="101"/>
        <v>0.00292 - (0.0093 * E6_3_4_15_mRNA)</v>
      </c>
      <c r="L494" s="31" t="str">
        <f t="shared" si="102"/>
        <v>(0.278 * E6_3_4_15_mRNA) - (0.00000278 * E6_3_4_15)</v>
      </c>
      <c r="M494" s="35" t="str">
        <f t="shared" si="103"/>
        <v>mRNA493: -&gt; E6_3_4_15_mRNA | 0.00292 - (0.0093 * E6_3_4_15_mRNA)</v>
      </c>
      <c r="N494" s="29" t="str">
        <f t="shared" si="92"/>
        <v>Peptide493: E6_3_4_15_mRNA -&gt; E6_3_4_15 | (0.278 * E6_3_4_15_mRNA) - (0.000000278 * E6_3_4_15)</v>
      </c>
    </row>
    <row r="495" spans="1:14">
      <c r="A495">
        <v>494</v>
      </c>
      <c r="B495" t="s">
        <v>13164</v>
      </c>
      <c r="C495" t="str">
        <f t="shared" si="93"/>
        <v>E6_3_4_18_mRNA</v>
      </c>
      <c r="D495" t="str">
        <f t="shared" si="94"/>
        <v>E6_3_4_18</v>
      </c>
      <c r="E495" s="29" t="str">
        <f t="shared" si="95"/>
        <v>E6_3_4_18_kcat : 13.7</v>
      </c>
      <c r="F495" s="30" t="str">
        <f t="shared" si="96"/>
        <v>E6_3_4_18_km : 1</v>
      </c>
      <c r="G495" s="31" t="str">
        <f t="shared" si="97"/>
        <v>E6_3_4_18_mRNA : E6_3_4_18_mRNA</v>
      </c>
      <c r="H495" s="32" t="str">
        <f t="shared" si="98"/>
        <v>E6_3_4_18 : E6_3_4_18</v>
      </c>
      <c r="I495" s="33" t="str">
        <f t="shared" si="99"/>
        <v>E6_3_4_18_mRNA : 0</v>
      </c>
      <c r="J495" s="16" t="str">
        <f t="shared" si="100"/>
        <v>E6_3_4_18 : 0</v>
      </c>
      <c r="K495" s="34" t="str">
        <f t="shared" si="101"/>
        <v>0.00292 - (0.0093 * E6_3_4_18_mRNA)</v>
      </c>
      <c r="L495" s="31" t="str">
        <f t="shared" si="102"/>
        <v>(0.278 * E6_3_4_18_mRNA) - (0.00000278 * E6_3_4_18)</v>
      </c>
      <c r="M495" s="35" t="str">
        <f t="shared" si="103"/>
        <v>mRNA494: -&gt; E6_3_4_18_mRNA | 0.00292 - (0.0093 * E6_3_4_18_mRNA)</v>
      </c>
      <c r="N495" s="29" t="str">
        <f t="shared" si="92"/>
        <v>Peptide494: E6_3_4_18_mRNA -&gt; E6_3_4_18 | (0.278 * E6_3_4_18_mRNA) - (0.000000278 * E6_3_4_18)</v>
      </c>
    </row>
    <row r="496" spans="1:14">
      <c r="A496">
        <v>495</v>
      </c>
      <c r="B496" t="s">
        <v>13165</v>
      </c>
      <c r="C496" t="str">
        <f t="shared" si="93"/>
        <v>E6_3_4_19_mRNA</v>
      </c>
      <c r="D496" t="str">
        <f t="shared" si="94"/>
        <v>E6_3_4_19</v>
      </c>
      <c r="E496" s="29" t="str">
        <f t="shared" si="95"/>
        <v>E6_3_4_19_kcat : 13.7</v>
      </c>
      <c r="F496" s="30" t="str">
        <f t="shared" si="96"/>
        <v>E6_3_4_19_km : 1</v>
      </c>
      <c r="G496" s="31" t="str">
        <f t="shared" si="97"/>
        <v>E6_3_4_19_mRNA : E6_3_4_19_mRNA</v>
      </c>
      <c r="H496" s="32" t="str">
        <f t="shared" si="98"/>
        <v>E6_3_4_19 : E6_3_4_19</v>
      </c>
      <c r="I496" s="33" t="str">
        <f t="shared" si="99"/>
        <v>E6_3_4_19_mRNA : 0</v>
      </c>
      <c r="J496" s="16" t="str">
        <f t="shared" si="100"/>
        <v>E6_3_4_19 : 0</v>
      </c>
      <c r="K496" s="34" t="str">
        <f t="shared" si="101"/>
        <v>0.00292 - (0.0093 * E6_3_4_19_mRNA)</v>
      </c>
      <c r="L496" s="31" t="str">
        <f t="shared" si="102"/>
        <v>(0.278 * E6_3_4_19_mRNA) - (0.00000278 * E6_3_4_19)</v>
      </c>
      <c r="M496" s="35" t="str">
        <f t="shared" si="103"/>
        <v>mRNA495: -&gt; E6_3_4_19_mRNA | 0.00292 - (0.0093 * E6_3_4_19_mRNA)</v>
      </c>
      <c r="N496" s="29" t="str">
        <f t="shared" si="92"/>
        <v>Peptide495: E6_3_4_19_mRNA -&gt; E6_3_4_19 | (0.278 * E6_3_4_19_mRNA) - (0.000000278 * E6_3_4_19)</v>
      </c>
    </row>
    <row r="497" spans="1:14">
      <c r="A497">
        <v>496</v>
      </c>
      <c r="B497" t="s">
        <v>13166</v>
      </c>
      <c r="C497" t="str">
        <f t="shared" si="93"/>
        <v>E6_3_4_2_mRNA</v>
      </c>
      <c r="D497" t="str">
        <f t="shared" si="94"/>
        <v>E6_3_4_2</v>
      </c>
      <c r="E497" s="29" t="str">
        <f t="shared" si="95"/>
        <v>E6_3_4_2_kcat : 13.7</v>
      </c>
      <c r="F497" s="30" t="str">
        <f t="shared" si="96"/>
        <v>E6_3_4_2_km : 1</v>
      </c>
      <c r="G497" s="31" t="str">
        <f t="shared" si="97"/>
        <v>E6_3_4_2_mRNA : E6_3_4_2_mRNA</v>
      </c>
      <c r="H497" s="32" t="str">
        <f t="shared" si="98"/>
        <v>E6_3_4_2 : E6_3_4_2</v>
      </c>
      <c r="I497" s="33" t="str">
        <f t="shared" si="99"/>
        <v>E6_3_4_2_mRNA : 0</v>
      </c>
      <c r="J497" s="16" t="str">
        <f t="shared" si="100"/>
        <v>E6_3_4_2 : 0</v>
      </c>
      <c r="K497" s="34" t="str">
        <f t="shared" si="101"/>
        <v>0.00292 - (0.0093 * E6_3_4_2_mRNA)</v>
      </c>
      <c r="L497" s="31" t="str">
        <f t="shared" si="102"/>
        <v>(0.278 * E6_3_4_2_mRNA) - (0.00000278 * E6_3_4_2)</v>
      </c>
      <c r="M497" s="35" t="str">
        <f t="shared" si="103"/>
        <v>mRNA496: -&gt; E6_3_4_2_mRNA | 0.00292 - (0.0093 * E6_3_4_2_mRNA)</v>
      </c>
      <c r="N497" s="29" t="str">
        <f t="shared" si="92"/>
        <v>Peptide496: E6_3_4_2_mRNA -&gt; E6_3_4_2 | (0.278 * E6_3_4_2_mRNA) - (0.000000278 * E6_3_4_2)</v>
      </c>
    </row>
    <row r="498" spans="1:14">
      <c r="A498">
        <v>497</v>
      </c>
      <c r="B498" t="s">
        <v>17941</v>
      </c>
      <c r="C498" t="str">
        <f t="shared" si="93"/>
        <v>E6_3_4_21_mRNA</v>
      </c>
      <c r="D498" t="str">
        <f t="shared" si="94"/>
        <v>E6_3_4_21</v>
      </c>
      <c r="E498" s="29" t="str">
        <f t="shared" si="95"/>
        <v>E6_3_4_21_kcat : 13.7</v>
      </c>
      <c r="F498" s="30" t="str">
        <f t="shared" si="96"/>
        <v>E6_3_4_21_km : 1</v>
      </c>
      <c r="G498" s="31" t="str">
        <f t="shared" si="97"/>
        <v>E6_3_4_21_mRNA : E6_3_4_21_mRNA</v>
      </c>
      <c r="H498" s="32" t="str">
        <f t="shared" si="98"/>
        <v>E6_3_4_21 : E6_3_4_21</v>
      </c>
      <c r="I498" s="33" t="str">
        <f t="shared" si="99"/>
        <v>E6_3_4_21_mRNA : 0</v>
      </c>
      <c r="J498" s="16" t="str">
        <f t="shared" si="100"/>
        <v>E6_3_4_21 : 0</v>
      </c>
      <c r="K498" s="34" t="str">
        <f t="shared" si="101"/>
        <v>0.00292 - (0.0093 * E6_3_4_21_mRNA)</v>
      </c>
      <c r="L498" s="31" t="str">
        <f t="shared" si="102"/>
        <v>(0.278 * E6_3_4_21_mRNA) - (0.00000278 * E6_3_4_21)</v>
      </c>
      <c r="M498" s="35" t="str">
        <f t="shared" si="103"/>
        <v>mRNA497: -&gt; E6_3_4_21_mRNA | 0.00292 - (0.0093 * E6_3_4_21_mRNA)</v>
      </c>
      <c r="N498" s="29" t="str">
        <f t="shared" si="92"/>
        <v>Peptide497: E6_3_4_21_mRNA -&gt; E6_3_4_21 | (0.278 * E6_3_4_21_mRNA) - (0.000000278 * E6_3_4_21)</v>
      </c>
    </row>
    <row r="499" spans="1:14">
      <c r="A499">
        <v>498</v>
      </c>
      <c r="B499" t="s">
        <v>16064</v>
      </c>
      <c r="C499" t="str">
        <f t="shared" si="93"/>
        <v>E6_3_4_4_mRNA</v>
      </c>
      <c r="D499" t="str">
        <f t="shared" si="94"/>
        <v>E6_3_4_4</v>
      </c>
      <c r="E499" s="29" t="str">
        <f t="shared" si="95"/>
        <v>E6_3_4_4_kcat : 13.7</v>
      </c>
      <c r="F499" s="30" t="str">
        <f t="shared" si="96"/>
        <v>E6_3_4_4_km : 1</v>
      </c>
      <c r="G499" s="31" t="str">
        <f t="shared" si="97"/>
        <v>E6_3_4_4_mRNA : E6_3_4_4_mRNA</v>
      </c>
      <c r="H499" s="32" t="str">
        <f t="shared" si="98"/>
        <v>E6_3_4_4 : E6_3_4_4</v>
      </c>
      <c r="I499" s="33" t="str">
        <f t="shared" si="99"/>
        <v>E6_3_4_4_mRNA : 0</v>
      </c>
      <c r="J499" s="16" t="str">
        <f t="shared" si="100"/>
        <v>E6_3_4_4 : 0</v>
      </c>
      <c r="K499" s="34" t="str">
        <f t="shared" si="101"/>
        <v>0.00292 - (0.0093 * E6_3_4_4_mRNA)</v>
      </c>
      <c r="L499" s="31" t="str">
        <f t="shared" si="102"/>
        <v>(0.278 * E6_3_4_4_mRNA) - (0.00000278 * E6_3_4_4)</v>
      </c>
      <c r="M499" s="35" t="str">
        <f t="shared" si="103"/>
        <v>mRNA498: -&gt; E6_3_4_4_mRNA | 0.00292 - (0.0093 * E6_3_4_4_mRNA)</v>
      </c>
      <c r="N499" s="29" t="str">
        <f t="shared" si="92"/>
        <v>Peptide498: E6_3_4_4_mRNA -&gt; E6_3_4_4 | (0.278 * E6_3_4_4_mRNA) - (0.000000278 * E6_3_4_4)</v>
      </c>
    </row>
    <row r="500" spans="1:14">
      <c r="A500">
        <v>499</v>
      </c>
      <c r="B500" t="s">
        <v>13167</v>
      </c>
      <c r="C500" t="str">
        <f t="shared" si="93"/>
        <v>E6_3_4_5_mRNA</v>
      </c>
      <c r="D500" t="str">
        <f t="shared" si="94"/>
        <v>E6_3_4_5</v>
      </c>
      <c r="E500" s="29" t="str">
        <f t="shared" si="95"/>
        <v>E6_3_4_5_kcat : 13.7</v>
      </c>
      <c r="F500" s="30" t="str">
        <f t="shared" si="96"/>
        <v>E6_3_4_5_km : 1</v>
      </c>
      <c r="G500" s="31" t="str">
        <f t="shared" si="97"/>
        <v>E6_3_4_5_mRNA : E6_3_4_5_mRNA</v>
      </c>
      <c r="H500" s="32" t="str">
        <f t="shared" si="98"/>
        <v>E6_3_4_5 : E6_3_4_5</v>
      </c>
      <c r="I500" s="33" t="str">
        <f t="shared" si="99"/>
        <v>E6_3_4_5_mRNA : 0</v>
      </c>
      <c r="J500" s="16" t="str">
        <f t="shared" si="100"/>
        <v>E6_3_4_5 : 0</v>
      </c>
      <c r="K500" s="34" t="str">
        <f t="shared" si="101"/>
        <v>0.00292 - (0.0093 * E6_3_4_5_mRNA)</v>
      </c>
      <c r="L500" s="31" t="str">
        <f t="shared" si="102"/>
        <v>(0.278 * E6_3_4_5_mRNA) - (0.00000278 * E6_3_4_5)</v>
      </c>
      <c r="M500" s="35" t="str">
        <f t="shared" si="103"/>
        <v>mRNA499: -&gt; E6_3_4_5_mRNA | 0.00292 - (0.0093 * E6_3_4_5_mRNA)</v>
      </c>
      <c r="N500" s="29" t="str">
        <f t="shared" si="92"/>
        <v>Peptide499: E6_3_4_5_mRNA -&gt; E6_3_4_5 | (0.278 * E6_3_4_5_mRNA) - (0.000000278 * E6_3_4_5)</v>
      </c>
    </row>
    <row r="501" spans="1:14">
      <c r="A501">
        <v>500</v>
      </c>
      <c r="B501" t="s">
        <v>13168</v>
      </c>
      <c r="C501" t="str">
        <f t="shared" si="93"/>
        <v>E6_3_5_2_mRNA</v>
      </c>
      <c r="D501" t="str">
        <f t="shared" si="94"/>
        <v>E6_3_5_2</v>
      </c>
      <c r="E501" s="29" t="str">
        <f t="shared" si="95"/>
        <v>E6_3_5_2_kcat : 13.7</v>
      </c>
      <c r="F501" s="30" t="str">
        <f t="shared" si="96"/>
        <v>E6_3_5_2_km : 1</v>
      </c>
      <c r="G501" s="31" t="str">
        <f t="shared" si="97"/>
        <v>E6_3_5_2_mRNA : E6_3_5_2_mRNA</v>
      </c>
      <c r="H501" s="32" t="str">
        <f t="shared" si="98"/>
        <v>E6_3_5_2 : E6_3_5_2</v>
      </c>
      <c r="I501" s="33" t="str">
        <f t="shared" si="99"/>
        <v>E6_3_5_2_mRNA : 0</v>
      </c>
      <c r="J501" s="16" t="str">
        <f t="shared" si="100"/>
        <v>E6_3_5_2 : 0</v>
      </c>
      <c r="K501" s="34" t="str">
        <f t="shared" si="101"/>
        <v>0.00292 - (0.0093 * E6_3_5_2_mRNA)</v>
      </c>
      <c r="L501" s="31" t="str">
        <f t="shared" si="102"/>
        <v>(0.278 * E6_3_5_2_mRNA) - (0.00000278 * E6_3_5_2)</v>
      </c>
      <c r="M501" s="35" t="str">
        <f t="shared" si="103"/>
        <v>mRNA500: -&gt; E6_3_5_2_mRNA | 0.00292 - (0.0093 * E6_3_5_2_mRNA)</v>
      </c>
      <c r="N501" s="29" t="str">
        <f t="shared" si="92"/>
        <v>Peptide500: E6_3_5_2_mRNA -&gt; E6_3_5_2 | (0.278 * E6_3_5_2_mRNA) - (0.000000278 * E6_3_5_2)</v>
      </c>
    </row>
    <row r="502" spans="1:14">
      <c r="A502">
        <v>501</v>
      </c>
      <c r="B502" t="s">
        <v>13169</v>
      </c>
      <c r="C502" t="str">
        <f t="shared" si="93"/>
        <v>E6_3_5_3_mRNA</v>
      </c>
      <c r="D502" t="str">
        <f t="shared" si="94"/>
        <v>E6_3_5_3</v>
      </c>
      <c r="E502" s="29" t="str">
        <f t="shared" si="95"/>
        <v>E6_3_5_3_kcat : 13.7</v>
      </c>
      <c r="F502" s="30" t="str">
        <f t="shared" si="96"/>
        <v>E6_3_5_3_km : 1</v>
      </c>
      <c r="G502" s="31" t="str">
        <f t="shared" si="97"/>
        <v>E6_3_5_3_mRNA : E6_3_5_3_mRNA</v>
      </c>
      <c r="H502" s="32" t="str">
        <f t="shared" si="98"/>
        <v>E6_3_5_3 : E6_3_5_3</v>
      </c>
      <c r="I502" s="33" t="str">
        <f t="shared" si="99"/>
        <v>E6_3_5_3_mRNA : 0</v>
      </c>
      <c r="J502" s="16" t="str">
        <f t="shared" si="100"/>
        <v>E6_3_5_3 : 0</v>
      </c>
      <c r="K502" s="34" t="str">
        <f t="shared" si="101"/>
        <v>0.00292 - (0.0093 * E6_3_5_3_mRNA)</v>
      </c>
      <c r="L502" s="31" t="str">
        <f t="shared" si="102"/>
        <v>(0.278 * E6_3_5_3_mRNA) - (0.00000278 * E6_3_5_3)</v>
      </c>
      <c r="M502" s="35" t="str">
        <f t="shared" si="103"/>
        <v>mRNA501: -&gt; E6_3_5_3_mRNA | 0.00292 - (0.0093 * E6_3_5_3_mRNA)</v>
      </c>
      <c r="N502" s="29" t="str">
        <f t="shared" si="92"/>
        <v>Peptide501: E6_3_5_3_mRNA -&gt; E6_3_5_3 | (0.278 * E6_3_5_3_mRNA) - (0.000000278 * E6_3_5_3)</v>
      </c>
    </row>
    <row r="503" spans="1:14">
      <c r="A503">
        <v>502</v>
      </c>
      <c r="B503" t="s">
        <v>13170</v>
      </c>
      <c r="C503" t="str">
        <f t="shared" si="93"/>
        <v>E6_3_5_4_mRNA</v>
      </c>
      <c r="D503" t="str">
        <f t="shared" si="94"/>
        <v>E6_3_5_4</v>
      </c>
      <c r="E503" s="29" t="str">
        <f t="shared" si="95"/>
        <v>E6_3_5_4_kcat : 13.7</v>
      </c>
      <c r="F503" s="30" t="str">
        <f t="shared" si="96"/>
        <v>E6_3_5_4_km : 1</v>
      </c>
      <c r="G503" s="31" t="str">
        <f t="shared" si="97"/>
        <v>E6_3_5_4_mRNA : E6_3_5_4_mRNA</v>
      </c>
      <c r="H503" s="32" t="str">
        <f t="shared" si="98"/>
        <v>E6_3_5_4 : E6_3_5_4</v>
      </c>
      <c r="I503" s="33" t="str">
        <f t="shared" si="99"/>
        <v>E6_3_5_4_mRNA : 0</v>
      </c>
      <c r="J503" s="16" t="str">
        <f t="shared" si="100"/>
        <v>E6_3_5_4 : 0</v>
      </c>
      <c r="K503" s="34" t="str">
        <f t="shared" si="101"/>
        <v>0.00292 - (0.0093 * E6_3_5_4_mRNA)</v>
      </c>
      <c r="L503" s="31" t="str">
        <f t="shared" si="102"/>
        <v>(0.278 * E6_3_5_4_mRNA) - (0.00000278 * E6_3_5_4)</v>
      </c>
      <c r="M503" s="35" t="str">
        <f t="shared" si="103"/>
        <v>mRNA502: -&gt; E6_3_5_4_mRNA | 0.00292 - (0.0093 * E6_3_5_4_mRNA)</v>
      </c>
      <c r="N503" s="29" t="str">
        <f t="shared" si="92"/>
        <v>Peptide502: E6_3_5_4_mRNA -&gt; E6_3_5_4 | (0.278 * E6_3_5_4_mRNA) - (0.000000278 * E6_3_5_4)</v>
      </c>
    </row>
    <row r="504" spans="1:14">
      <c r="A504">
        <v>503</v>
      </c>
      <c r="B504" t="s">
        <v>13171</v>
      </c>
      <c r="C504" t="str">
        <f t="shared" si="93"/>
        <v>E6_3_5_5_mRNA</v>
      </c>
      <c r="D504" t="str">
        <f t="shared" si="94"/>
        <v>E6_3_5_5</v>
      </c>
      <c r="E504" s="29" t="str">
        <f t="shared" si="95"/>
        <v>E6_3_5_5_kcat : 13.7</v>
      </c>
      <c r="F504" s="30" t="str">
        <f t="shared" si="96"/>
        <v>E6_3_5_5_km : 1</v>
      </c>
      <c r="G504" s="31" t="str">
        <f t="shared" si="97"/>
        <v>E6_3_5_5_mRNA : E6_3_5_5_mRNA</v>
      </c>
      <c r="H504" s="32" t="str">
        <f t="shared" si="98"/>
        <v>E6_3_5_5 : E6_3_5_5</v>
      </c>
      <c r="I504" s="33" t="str">
        <f t="shared" si="99"/>
        <v>E6_3_5_5_mRNA : 0</v>
      </c>
      <c r="J504" s="16" t="str">
        <f t="shared" si="100"/>
        <v>E6_3_5_5 : 0</v>
      </c>
      <c r="K504" s="34" t="str">
        <f t="shared" si="101"/>
        <v>0.00292 - (0.0093 * E6_3_5_5_mRNA)</v>
      </c>
      <c r="L504" s="31" t="str">
        <f t="shared" si="102"/>
        <v>(0.278 * E6_3_5_5_mRNA) - (0.00000278 * E6_3_5_5)</v>
      </c>
      <c r="M504" s="35" t="str">
        <f t="shared" si="103"/>
        <v>mRNA503: -&gt; E6_3_5_5_mRNA | 0.00292 - (0.0093 * E6_3_5_5_mRNA)</v>
      </c>
      <c r="N504" s="29" t="str">
        <f t="shared" si="92"/>
        <v>Peptide503: E6_3_5_5_mRNA -&gt; E6_3_5_5 | (0.278 * E6_3_5_5_mRNA) - (0.000000278 * E6_3_5_5)</v>
      </c>
    </row>
    <row r="505" spans="1:14">
      <c r="A505">
        <v>504</v>
      </c>
      <c r="B505" t="s">
        <v>16065</v>
      </c>
      <c r="C505" t="str">
        <f t="shared" si="93"/>
        <v>E6_4_1_1_mRNA</v>
      </c>
      <c r="D505" t="str">
        <f t="shared" si="94"/>
        <v>E6_4_1_1</v>
      </c>
      <c r="E505" s="29" t="str">
        <f t="shared" si="95"/>
        <v>E6_4_1_1_kcat : 13.7</v>
      </c>
      <c r="F505" s="30" t="str">
        <f t="shared" si="96"/>
        <v>E6_4_1_1_km : 1</v>
      </c>
      <c r="G505" s="31" t="str">
        <f t="shared" si="97"/>
        <v>E6_4_1_1_mRNA : E6_4_1_1_mRNA</v>
      </c>
      <c r="H505" s="32" t="str">
        <f t="shared" si="98"/>
        <v>E6_4_1_1 : E6_4_1_1</v>
      </c>
      <c r="I505" s="33" t="str">
        <f t="shared" si="99"/>
        <v>E6_4_1_1_mRNA : 0</v>
      </c>
      <c r="J505" s="16" t="str">
        <f t="shared" si="100"/>
        <v>E6_4_1_1 : 0</v>
      </c>
      <c r="K505" s="34" t="str">
        <f t="shared" si="101"/>
        <v>0.00292 - (0.0093 * E6_4_1_1_mRNA)</v>
      </c>
      <c r="L505" s="31" t="str">
        <f t="shared" si="102"/>
        <v>(0.278 * E6_4_1_1_mRNA) - (0.00000278 * E6_4_1_1)</v>
      </c>
      <c r="M505" s="35" t="str">
        <f t="shared" si="103"/>
        <v>mRNA504: -&gt; E6_4_1_1_mRNA | 0.00292 - (0.0093 * E6_4_1_1_mRNA)</v>
      </c>
      <c r="N505" s="29" t="str">
        <f t="shared" si="92"/>
        <v>Peptide504: E6_4_1_1_mRNA -&gt; E6_4_1_1 | (0.278 * E6_4_1_1_mRNA) - (0.000000278 * E6_4_1_1)</v>
      </c>
    </row>
    <row r="506" spans="1:14">
      <c r="A506">
        <v>505</v>
      </c>
      <c r="B506" t="s">
        <v>13172</v>
      </c>
      <c r="C506" t="str">
        <f t="shared" si="93"/>
        <v>E6_5_1_2_mRNA</v>
      </c>
      <c r="D506" t="str">
        <f t="shared" si="94"/>
        <v>E6_5_1_2</v>
      </c>
      <c r="E506" s="29" t="str">
        <f t="shared" si="95"/>
        <v>E6_5_1_2_kcat : 13.7</v>
      </c>
      <c r="F506" s="30" t="str">
        <f t="shared" si="96"/>
        <v>E6_5_1_2_km : 1</v>
      </c>
      <c r="G506" s="31" t="str">
        <f t="shared" si="97"/>
        <v>E6_5_1_2_mRNA : E6_5_1_2_mRNA</v>
      </c>
      <c r="H506" s="32" t="str">
        <f t="shared" si="98"/>
        <v>E6_5_1_2 : E6_5_1_2</v>
      </c>
      <c r="I506" s="33" t="str">
        <f t="shared" si="99"/>
        <v>E6_5_1_2_mRNA : 0</v>
      </c>
      <c r="J506" s="16" t="str">
        <f t="shared" si="100"/>
        <v>E6_5_1_2 : 0</v>
      </c>
      <c r="K506" s="34" t="str">
        <f t="shared" si="101"/>
        <v>0.00292 - (0.0093 * E6_5_1_2_mRNA)</v>
      </c>
      <c r="L506" s="31" t="str">
        <f t="shared" si="102"/>
        <v>(0.278 * E6_5_1_2_mRNA) - (0.00000278 * E6_5_1_2)</v>
      </c>
      <c r="M506" s="35" t="str">
        <f t="shared" si="103"/>
        <v>mRNA505: -&gt; E6_5_1_2_mRNA | 0.00292 - (0.0093 * E6_5_1_2_mRNA)</v>
      </c>
      <c r="N506" s="29" t="str">
        <f t="shared" si="92"/>
        <v>Peptide505: E6_5_1_2_mRNA -&gt; E6_5_1_2 | (0.278 * E6_5_1_2_mRNA) - (0.000000278 * E6_5_1_2)</v>
      </c>
    </row>
    <row r="507" spans="1:14">
      <c r="A507">
        <v>506</v>
      </c>
      <c r="B507" t="s">
        <v>13173</v>
      </c>
      <c r="C507" t="str">
        <f t="shared" si="93"/>
        <v>E6_5_1_8_mRNA</v>
      </c>
      <c r="D507" t="str">
        <f t="shared" si="94"/>
        <v>E6_5_1_8</v>
      </c>
      <c r="E507" s="29" t="str">
        <f t="shared" si="95"/>
        <v>E6_5_1_8_kcat : 13.7</v>
      </c>
      <c r="F507" s="30" t="str">
        <f t="shared" si="96"/>
        <v>E6_5_1_8_km : 1</v>
      </c>
      <c r="G507" s="31" t="str">
        <f t="shared" si="97"/>
        <v>E6_5_1_8_mRNA : E6_5_1_8_mRNA</v>
      </c>
      <c r="H507" s="32" t="str">
        <f t="shared" si="98"/>
        <v>E6_5_1_8 : E6_5_1_8</v>
      </c>
      <c r="I507" s="33" t="str">
        <f t="shared" si="99"/>
        <v>E6_5_1_8_mRNA : 0</v>
      </c>
      <c r="J507" s="16" t="str">
        <f t="shared" si="100"/>
        <v>E6_5_1_8 : 0</v>
      </c>
      <c r="K507" s="34" t="str">
        <f t="shared" si="101"/>
        <v>0.00292 - (0.0093 * E6_5_1_8_mRNA)</v>
      </c>
      <c r="L507" s="31" t="str">
        <f t="shared" si="102"/>
        <v>(0.278 * E6_5_1_8_mRNA) - (0.00000278 * E6_5_1_8)</v>
      </c>
      <c r="M507" s="35" t="str">
        <f t="shared" si="103"/>
        <v>mRNA506: -&gt; E6_5_1_8_mRNA | 0.00292 - (0.0093 * E6_5_1_8_mRNA)</v>
      </c>
      <c r="N507" s="29" t="str">
        <f t="shared" si="92"/>
        <v>Peptide506: E6_5_1_8_mRNA -&gt; E6_5_1_8 | (0.278 * E6_5_1_8_mRNA) - (0.000000278 * E6_5_1_8)</v>
      </c>
    </row>
    <row r="508" spans="1:14">
      <c r="A508">
        <v>507</v>
      </c>
      <c r="B508" t="s">
        <v>13174</v>
      </c>
      <c r="C508" t="str">
        <f t="shared" si="93"/>
        <v>E7_1_1_8_mRNA</v>
      </c>
      <c r="D508" t="str">
        <f t="shared" si="94"/>
        <v>E7_1_1_8</v>
      </c>
      <c r="E508" s="29" t="str">
        <f t="shared" si="95"/>
        <v>E7_1_1_8_kcat : 13.7</v>
      </c>
      <c r="F508" s="30" t="str">
        <f t="shared" si="96"/>
        <v>E7_1_1_8_km : 1</v>
      </c>
      <c r="G508" s="31" t="str">
        <f t="shared" si="97"/>
        <v>E7_1_1_8_mRNA : E7_1_1_8_mRNA</v>
      </c>
      <c r="H508" s="32" t="str">
        <f t="shared" si="98"/>
        <v>E7_1_1_8 : E7_1_1_8</v>
      </c>
      <c r="I508" s="33" t="str">
        <f t="shared" si="99"/>
        <v>E7_1_1_8_mRNA : 0</v>
      </c>
      <c r="J508" s="16" t="str">
        <f t="shared" si="100"/>
        <v>E7_1_1_8 : 0</v>
      </c>
      <c r="K508" s="34" t="str">
        <f t="shared" si="101"/>
        <v>0.00292 - (0.0093 * E7_1_1_8_mRNA)</v>
      </c>
      <c r="L508" s="31" t="str">
        <f t="shared" si="102"/>
        <v>(0.278 * E7_1_1_8_mRNA) - (0.00000278 * E7_1_1_8)</v>
      </c>
      <c r="M508" s="35" t="str">
        <f t="shared" si="103"/>
        <v>mRNA507: -&gt; E7_1_1_8_mRNA | 0.00292 - (0.0093 * E7_1_1_8_mRNA)</v>
      </c>
      <c r="N508" s="29" t="str">
        <f t="shared" si="92"/>
        <v>Peptide507: E7_1_1_8_mRNA -&gt; E7_1_1_8 | (0.278 * E7_1_1_8_mRNA) - (0.000000278 * E7_1_1_8)</v>
      </c>
    </row>
    <row r="509" spans="1:14">
      <c r="A509">
        <v>508</v>
      </c>
      <c r="B509" t="s">
        <v>13175</v>
      </c>
      <c r="C509" t="str">
        <f t="shared" si="93"/>
        <v>E7_1_2_2_mRNA</v>
      </c>
      <c r="D509" t="str">
        <f t="shared" si="94"/>
        <v>E7_1_2_2</v>
      </c>
      <c r="E509" s="29" t="str">
        <f t="shared" si="95"/>
        <v>E7_1_2_2_kcat : 13.7</v>
      </c>
      <c r="F509" s="30" t="str">
        <f t="shared" si="96"/>
        <v>E7_1_2_2_km : 1</v>
      </c>
      <c r="G509" s="31" t="str">
        <f t="shared" si="97"/>
        <v>E7_1_2_2_mRNA : E7_1_2_2_mRNA</v>
      </c>
      <c r="H509" s="32" t="str">
        <f t="shared" si="98"/>
        <v>E7_1_2_2 : E7_1_2_2</v>
      </c>
      <c r="I509" s="33" t="str">
        <f t="shared" si="99"/>
        <v>E7_1_2_2_mRNA : 0</v>
      </c>
      <c r="J509" s="16" t="str">
        <f t="shared" si="100"/>
        <v>E7_1_2_2 : 0</v>
      </c>
      <c r="K509" s="34" t="str">
        <f t="shared" si="101"/>
        <v>0.00292 - (0.0093 * E7_1_2_2_mRNA)</v>
      </c>
      <c r="L509" s="31" t="str">
        <f t="shared" si="102"/>
        <v>(0.278 * E7_1_2_2_mRNA) - (0.00000278 * E7_1_2_2)</v>
      </c>
      <c r="M509" s="35" t="str">
        <f t="shared" si="103"/>
        <v>mRNA508: -&gt; E7_1_2_2_mRNA | 0.00292 - (0.0093 * E7_1_2_2_mRNA)</v>
      </c>
      <c r="N509" s="29" t="str">
        <f t="shared" si="92"/>
        <v>Peptide508: E7_1_2_2_mRNA -&gt; E7_1_2_2 | (0.278 * E7_1_2_2_mRNA) - (0.000000278 * E7_1_2_2)</v>
      </c>
    </row>
    <row r="510" spans="1:14">
      <c r="A510">
        <v>509</v>
      </c>
      <c r="B510" t="s">
        <v>13176</v>
      </c>
      <c r="C510" t="str">
        <f t="shared" si="93"/>
        <v>E7_3_2_1_mRNA</v>
      </c>
      <c r="D510" t="str">
        <f t="shared" si="94"/>
        <v>E7_3_2_1</v>
      </c>
      <c r="E510" s="29" t="str">
        <f t="shared" si="95"/>
        <v>E7_3_2_1_kcat : 13.7</v>
      </c>
      <c r="F510" s="30" t="str">
        <f t="shared" si="96"/>
        <v>E7_3_2_1_km : 1</v>
      </c>
      <c r="G510" s="31" t="str">
        <f t="shared" si="97"/>
        <v>E7_3_2_1_mRNA : E7_3_2_1_mRNA</v>
      </c>
      <c r="H510" s="32" t="str">
        <f t="shared" si="98"/>
        <v>E7_3_2_1 : E7_3_2_1</v>
      </c>
      <c r="I510" s="33" t="str">
        <f t="shared" si="99"/>
        <v>E7_3_2_1_mRNA : 0</v>
      </c>
      <c r="J510" s="16" t="str">
        <f t="shared" si="100"/>
        <v>E7_3_2_1 : 0</v>
      </c>
      <c r="K510" s="34" t="str">
        <f t="shared" si="101"/>
        <v>0.00292 - (0.0093 * E7_3_2_1_mRNA)</v>
      </c>
      <c r="L510" s="31" t="str">
        <f t="shared" si="102"/>
        <v>(0.278 * E7_3_2_1_mRNA) - (0.00000278 * E7_3_2_1)</v>
      </c>
      <c r="M510" s="35" t="str">
        <f t="shared" si="103"/>
        <v>mRNA509: -&gt; E7_3_2_1_mRNA | 0.00292 - (0.0093 * E7_3_2_1_mRNA)</v>
      </c>
      <c r="N510" s="29" t="str">
        <f t="shared" si="92"/>
        <v>Peptide509: E7_3_2_1_mRNA -&gt; E7_3_2_1 | (0.278 * E7_3_2_1_mRNA) - (0.000000278 * E7_3_2_1)</v>
      </c>
    </row>
    <row r="511" spans="1:14">
      <c r="A511">
        <v>510</v>
      </c>
      <c r="B511" t="s">
        <v>13177</v>
      </c>
      <c r="C511" t="str">
        <f t="shared" si="93"/>
        <v>E7_3_2_2_mRNA</v>
      </c>
      <c r="D511" t="str">
        <f t="shared" si="94"/>
        <v>E7_3_2_2</v>
      </c>
      <c r="E511" s="29" t="str">
        <f t="shared" si="95"/>
        <v>E7_3_2_2_kcat : 13.7</v>
      </c>
      <c r="F511" s="30" t="str">
        <f t="shared" si="96"/>
        <v>E7_3_2_2_km : 1</v>
      </c>
      <c r="G511" s="31" t="str">
        <f t="shared" si="97"/>
        <v>E7_3_2_2_mRNA : E7_3_2_2_mRNA</v>
      </c>
      <c r="H511" s="32" t="str">
        <f t="shared" si="98"/>
        <v>E7_3_2_2 : E7_3_2_2</v>
      </c>
      <c r="I511" s="33" t="str">
        <f t="shared" si="99"/>
        <v>E7_3_2_2_mRNA : 0</v>
      </c>
      <c r="J511" s="16" t="str">
        <f t="shared" si="100"/>
        <v>E7_3_2_2 : 0</v>
      </c>
      <c r="K511" s="34" t="str">
        <f t="shared" si="101"/>
        <v>0.00292 - (0.0093 * E7_3_2_2_mRNA)</v>
      </c>
      <c r="L511" s="31" t="str">
        <f t="shared" si="102"/>
        <v>(0.278 * E7_3_2_2_mRNA) - (0.00000278 * E7_3_2_2)</v>
      </c>
      <c r="M511" s="35" t="str">
        <f t="shared" si="103"/>
        <v>mRNA510: -&gt; E7_3_2_2_mRNA | 0.00292 - (0.0093 * E7_3_2_2_mRNA)</v>
      </c>
      <c r="N511" s="29" t="str">
        <f>CONCATENATE("Peptide",A511,": ",C511," -&gt; ",D511," | ","(","0.278"," * ",C511,")"," - ","(","0.000000278"," * ",D511,")")</f>
        <v>Peptide510: E7_3_2_2_mRNA -&gt; E7_3_2_2 | (0.278 * E7_3_2_2_mRNA) - (0.000000278 * E7_3_2_2)</v>
      </c>
    </row>
    <row r="512" spans="1:14">
      <c r="A512">
        <v>511</v>
      </c>
      <c r="B512" t="s">
        <v>13178</v>
      </c>
      <c r="C512" t="str">
        <f t="shared" si="93"/>
        <v>E7_4_2_11_mRNA</v>
      </c>
      <c r="D512" t="str">
        <f t="shared" si="94"/>
        <v>E7_4_2_11</v>
      </c>
      <c r="E512" s="29" t="str">
        <f t="shared" si="95"/>
        <v>E7_4_2_11_kcat : 13.7</v>
      </c>
      <c r="F512" s="30" t="str">
        <f t="shared" si="96"/>
        <v>E7_4_2_11_km : 1</v>
      </c>
      <c r="G512" s="31" t="str">
        <f t="shared" si="97"/>
        <v>E7_4_2_11_mRNA : E7_4_2_11_mRNA</v>
      </c>
      <c r="H512" s="32" t="str">
        <f t="shared" si="98"/>
        <v>E7_4_2_11 : E7_4_2_11</v>
      </c>
      <c r="I512" s="33" t="str">
        <f t="shared" si="99"/>
        <v>E7_4_2_11_mRNA : 0</v>
      </c>
      <c r="J512" s="16" t="str">
        <f t="shared" si="100"/>
        <v>E7_4_2_11 : 0</v>
      </c>
      <c r="K512" s="34" t="str">
        <f t="shared" si="101"/>
        <v>0.00292 - (0.0093 * E7_4_2_11_mRNA)</v>
      </c>
      <c r="L512" s="31" t="str">
        <f t="shared" si="102"/>
        <v>(0.278 * E7_4_2_11_mRNA) - (0.00000278 * E7_4_2_11)</v>
      </c>
      <c r="M512" s="35" t="str">
        <f t="shared" si="103"/>
        <v>mRNA511: -&gt; E7_4_2_11_mRNA | 0.00292 - (0.0093 * E7_4_2_11_mRNA)</v>
      </c>
      <c r="N512" s="29" t="str">
        <f>CONCATENATE("Peptide",A512,": ",C512," -&gt; ",D512," | ","(","0.278"," * ",C512,")"," - ","(","0.000000278"," * ",D512,")")</f>
        <v>Peptide511: E7_4_2_11_mRNA -&gt; E7_4_2_11 | (0.278 * E7_4_2_11_mRNA) - (0.000000278 * E7_4_2_11)</v>
      </c>
    </row>
    <row r="513" spans="7:14">
      <c r="G513"/>
      <c r="H513"/>
      <c r="I513"/>
      <c r="J513"/>
      <c r="K513"/>
      <c r="L513"/>
      <c r="M513"/>
      <c r="N513"/>
    </row>
    <row r="514" spans="7:14">
      <c r="G514"/>
      <c r="H514"/>
      <c r="I514"/>
      <c r="J514"/>
      <c r="K514"/>
      <c r="L514"/>
      <c r="M514"/>
      <c r="N514"/>
    </row>
    <row r="515" spans="7:14">
      <c r="G515"/>
      <c r="H515"/>
      <c r="I515"/>
      <c r="J515"/>
      <c r="K515"/>
      <c r="L515"/>
      <c r="M515"/>
      <c r="N515"/>
    </row>
    <row r="516" spans="7:14">
      <c r="G516"/>
      <c r="H516"/>
      <c r="I516"/>
      <c r="J516"/>
      <c r="K516"/>
      <c r="L516"/>
      <c r="M516"/>
      <c r="N516"/>
    </row>
    <row r="517" spans="7:14">
      <c r="G517"/>
      <c r="H517"/>
      <c r="I517"/>
      <c r="J517"/>
      <c r="K517"/>
      <c r="L517"/>
      <c r="M517"/>
      <c r="N517"/>
    </row>
    <row r="518" spans="7:14">
      <c r="G518"/>
      <c r="H518"/>
      <c r="I518"/>
      <c r="J518"/>
      <c r="K518"/>
      <c r="L518"/>
      <c r="M518"/>
      <c r="N518"/>
    </row>
    <row r="519" spans="7:14">
      <c r="G519"/>
      <c r="H519"/>
      <c r="I519"/>
      <c r="J519"/>
      <c r="K519"/>
      <c r="L519"/>
      <c r="M519"/>
      <c r="N519"/>
    </row>
    <row r="520" spans="7:14">
      <c r="G520"/>
      <c r="H520"/>
      <c r="I520"/>
      <c r="J520"/>
      <c r="K520"/>
      <c r="L520"/>
      <c r="M520"/>
      <c r="N520"/>
    </row>
    <row r="521" spans="7:14">
      <c r="G521"/>
      <c r="H521"/>
      <c r="I521"/>
      <c r="J521"/>
      <c r="K521"/>
      <c r="L521"/>
      <c r="M521"/>
      <c r="N521"/>
    </row>
    <row r="522" spans="7:14">
      <c r="G522"/>
      <c r="H522"/>
      <c r="I522"/>
      <c r="J522"/>
      <c r="K522"/>
      <c r="L522"/>
      <c r="M522"/>
      <c r="N522"/>
    </row>
    <row r="523" spans="7:14">
      <c r="G523"/>
      <c r="H523"/>
      <c r="I523"/>
      <c r="J523"/>
      <c r="K523"/>
      <c r="L523"/>
      <c r="M523"/>
      <c r="N523"/>
    </row>
    <row r="524" spans="7:14">
      <c r="G524"/>
      <c r="H524"/>
      <c r="I524"/>
      <c r="J524"/>
      <c r="K524"/>
      <c r="L524"/>
      <c r="M524"/>
      <c r="N524"/>
    </row>
    <row r="525" spans="7:14">
      <c r="G525"/>
      <c r="H525"/>
      <c r="I525"/>
      <c r="J525"/>
      <c r="K525"/>
      <c r="L525"/>
      <c r="M525"/>
      <c r="N525"/>
    </row>
    <row r="526" spans="7:14">
      <c r="G526"/>
      <c r="H526"/>
      <c r="I526"/>
      <c r="J526"/>
      <c r="K526"/>
      <c r="L526"/>
      <c r="M526"/>
      <c r="N526"/>
    </row>
    <row r="527" spans="7:14">
      <c r="G527"/>
      <c r="H527"/>
      <c r="I527"/>
      <c r="J527"/>
      <c r="K527"/>
      <c r="L527"/>
      <c r="M527"/>
      <c r="N527"/>
    </row>
    <row r="528" spans="7:14">
      <c r="G528"/>
      <c r="H528"/>
      <c r="I528"/>
      <c r="J528"/>
      <c r="K528"/>
      <c r="L528"/>
      <c r="M528"/>
      <c r="N528"/>
    </row>
    <row r="529" spans="7:14">
      <c r="G529"/>
      <c r="H529"/>
      <c r="I529"/>
      <c r="J529"/>
      <c r="K529"/>
      <c r="L529"/>
      <c r="M529"/>
      <c r="N529"/>
    </row>
    <row r="530" spans="7:14">
      <c r="G530"/>
      <c r="H530"/>
      <c r="I530"/>
      <c r="J530"/>
      <c r="K530"/>
      <c r="L530"/>
      <c r="M530"/>
      <c r="N530"/>
    </row>
    <row r="531" spans="7:14">
      <c r="G531"/>
      <c r="H531"/>
      <c r="I531"/>
      <c r="J531"/>
      <c r="K531"/>
      <c r="L531"/>
      <c r="M531"/>
      <c r="N531"/>
    </row>
    <row r="532" spans="7:14">
      <c r="G532"/>
      <c r="H532"/>
      <c r="I532"/>
      <c r="J532"/>
      <c r="K532"/>
      <c r="L532"/>
      <c r="M532"/>
      <c r="N532"/>
    </row>
    <row r="533" spans="7:14">
      <c r="G533"/>
      <c r="H533"/>
      <c r="I533"/>
      <c r="J533"/>
      <c r="K533"/>
      <c r="L533"/>
      <c r="M533"/>
      <c r="N533"/>
    </row>
    <row r="534" spans="7:14">
      <c r="G534"/>
      <c r="H534"/>
      <c r="I534"/>
      <c r="J534"/>
      <c r="K534"/>
      <c r="L534"/>
      <c r="M534"/>
      <c r="N534"/>
    </row>
    <row r="535" spans="7:14">
      <c r="G535"/>
      <c r="H535"/>
      <c r="I535"/>
      <c r="J535"/>
      <c r="K535"/>
      <c r="L535"/>
      <c r="M535"/>
      <c r="N535"/>
    </row>
    <row r="536" spans="7:14">
      <c r="G536"/>
      <c r="H536"/>
      <c r="I536"/>
      <c r="J536"/>
      <c r="K536"/>
      <c r="L536"/>
      <c r="M536"/>
      <c r="N536"/>
    </row>
    <row r="537" spans="7:14">
      <c r="G537"/>
      <c r="H537"/>
      <c r="I537"/>
      <c r="J537"/>
      <c r="K537"/>
      <c r="L537"/>
      <c r="M537"/>
      <c r="N537"/>
    </row>
    <row r="538" spans="7:14">
      <c r="G538"/>
      <c r="H538"/>
      <c r="I538"/>
      <c r="J538"/>
      <c r="K538"/>
      <c r="L538"/>
      <c r="M538"/>
      <c r="N538"/>
    </row>
    <row r="539" spans="7:14">
      <c r="G539"/>
      <c r="H539"/>
      <c r="I539"/>
      <c r="J539"/>
      <c r="K539"/>
      <c r="L539"/>
      <c r="M539"/>
      <c r="N539"/>
    </row>
    <row r="540" spans="7:14">
      <c r="G540"/>
      <c r="H540"/>
      <c r="I540"/>
      <c r="J540"/>
      <c r="K540"/>
      <c r="L540"/>
      <c r="M540"/>
      <c r="N540"/>
    </row>
    <row r="541" spans="7:14">
      <c r="G541"/>
      <c r="H541"/>
      <c r="I541"/>
      <c r="J541"/>
      <c r="K541"/>
      <c r="L541"/>
      <c r="M541"/>
      <c r="N541"/>
    </row>
    <row r="542" spans="7:14">
      <c r="G542"/>
      <c r="H542"/>
      <c r="I542"/>
      <c r="J542"/>
      <c r="K542"/>
      <c r="L542"/>
      <c r="M542"/>
      <c r="N542"/>
    </row>
    <row r="543" spans="7:14">
      <c r="G543"/>
      <c r="H543"/>
      <c r="I543"/>
      <c r="J543"/>
      <c r="K543"/>
      <c r="L543"/>
      <c r="M543"/>
      <c r="N543"/>
    </row>
    <row r="544" spans="7:14">
      <c r="G544"/>
      <c r="H544"/>
      <c r="I544"/>
      <c r="J544"/>
      <c r="K544"/>
      <c r="L544"/>
      <c r="M544"/>
      <c r="N544"/>
    </row>
    <row r="545" spans="7:14">
      <c r="G545"/>
      <c r="H545"/>
      <c r="I545"/>
      <c r="J545"/>
      <c r="K545"/>
      <c r="L545"/>
      <c r="M545"/>
      <c r="N545"/>
    </row>
    <row r="546" spans="7:14">
      <c r="G546"/>
      <c r="H546"/>
      <c r="I546"/>
      <c r="J546"/>
      <c r="K546"/>
      <c r="L546"/>
      <c r="M546"/>
      <c r="N546"/>
    </row>
    <row r="547" spans="7:14">
      <c r="G547"/>
      <c r="H547"/>
      <c r="I547"/>
      <c r="J547"/>
      <c r="K547"/>
      <c r="L547"/>
      <c r="M547"/>
      <c r="N547"/>
    </row>
    <row r="548" spans="7:14">
      <c r="G548"/>
      <c r="H548"/>
      <c r="I548"/>
      <c r="J548"/>
      <c r="K548"/>
      <c r="L548"/>
      <c r="M548"/>
      <c r="N548"/>
    </row>
    <row r="549" spans="7:14">
      <c r="G549"/>
      <c r="H549"/>
      <c r="I549"/>
      <c r="J549"/>
      <c r="K549"/>
      <c r="L549"/>
      <c r="M549"/>
      <c r="N549"/>
    </row>
    <row r="550" spans="7:14">
      <c r="G550"/>
      <c r="H550"/>
      <c r="I550"/>
      <c r="J550"/>
      <c r="K550"/>
      <c r="L550"/>
      <c r="M550"/>
      <c r="N550"/>
    </row>
    <row r="551" spans="7:14">
      <c r="G551"/>
      <c r="H551"/>
      <c r="I551"/>
      <c r="J551"/>
      <c r="K551"/>
      <c r="L551"/>
      <c r="M551"/>
      <c r="N551"/>
    </row>
    <row r="552" spans="7:14">
      <c r="G552"/>
      <c r="H552"/>
      <c r="I552"/>
      <c r="J552"/>
      <c r="K552"/>
      <c r="L552"/>
      <c r="M552"/>
      <c r="N552"/>
    </row>
    <row r="553" spans="7:14">
      <c r="G553"/>
      <c r="H553"/>
      <c r="I553"/>
      <c r="J553"/>
      <c r="K553"/>
      <c r="L553"/>
      <c r="M553"/>
      <c r="N553"/>
    </row>
    <row r="554" spans="7:14">
      <c r="G554"/>
      <c r="H554"/>
      <c r="I554"/>
      <c r="J554"/>
      <c r="K554"/>
      <c r="L554"/>
      <c r="M554"/>
      <c r="N554"/>
    </row>
    <row r="555" spans="7:14">
      <c r="G555"/>
      <c r="H555"/>
      <c r="I555"/>
      <c r="J555"/>
      <c r="K555"/>
      <c r="L555"/>
      <c r="M555"/>
      <c r="N555"/>
    </row>
    <row r="556" spans="7:14">
      <c r="G556"/>
      <c r="H556"/>
      <c r="I556"/>
      <c r="J556"/>
      <c r="K556"/>
      <c r="L556"/>
      <c r="M556"/>
      <c r="N556"/>
    </row>
    <row r="557" spans="7:14">
      <c r="G557"/>
      <c r="H557"/>
      <c r="I557"/>
      <c r="J557"/>
      <c r="K557"/>
      <c r="L557"/>
      <c r="M557"/>
      <c r="N557"/>
    </row>
    <row r="558" spans="7:14">
      <c r="G558"/>
      <c r="H558"/>
      <c r="I558"/>
      <c r="J558"/>
      <c r="K558"/>
      <c r="L558"/>
      <c r="M558"/>
      <c r="N558"/>
    </row>
    <row r="559" spans="7:14">
      <c r="G559"/>
      <c r="H559"/>
      <c r="I559"/>
      <c r="J559"/>
      <c r="K559"/>
      <c r="L559"/>
      <c r="M559"/>
      <c r="N559"/>
    </row>
    <row r="560" spans="7:14">
      <c r="G560"/>
      <c r="H560"/>
      <c r="I560"/>
      <c r="J560"/>
      <c r="K560"/>
      <c r="L560"/>
      <c r="M560"/>
      <c r="N560"/>
    </row>
    <row r="561" spans="7:14">
      <c r="G561"/>
      <c r="H561"/>
      <c r="I561"/>
      <c r="J561"/>
      <c r="K561"/>
      <c r="L561"/>
      <c r="M561"/>
      <c r="N561"/>
    </row>
    <row r="562" spans="7:14">
      <c r="G562"/>
      <c r="H562"/>
      <c r="I562"/>
      <c r="J562"/>
      <c r="K562"/>
      <c r="L562"/>
      <c r="M562"/>
      <c r="N562"/>
    </row>
    <row r="563" spans="7:14">
      <c r="G563"/>
      <c r="H563"/>
      <c r="I563"/>
      <c r="J563"/>
      <c r="K563"/>
      <c r="L563"/>
      <c r="M563"/>
      <c r="N563"/>
    </row>
    <row r="564" spans="7:14">
      <c r="G564"/>
      <c r="H564"/>
      <c r="I564"/>
      <c r="J564"/>
      <c r="K564"/>
      <c r="L564"/>
      <c r="M564"/>
      <c r="N564"/>
    </row>
    <row r="565" spans="7:14">
      <c r="G565"/>
      <c r="H565"/>
      <c r="I565"/>
      <c r="J565"/>
      <c r="K565"/>
      <c r="L565"/>
      <c r="M565"/>
      <c r="N565"/>
    </row>
    <row r="566" spans="7:14">
      <c r="G566"/>
      <c r="H566"/>
      <c r="I566"/>
      <c r="J566"/>
      <c r="K566"/>
      <c r="L566"/>
      <c r="M566"/>
      <c r="N566"/>
    </row>
    <row r="567" spans="7:14">
      <c r="G567"/>
      <c r="H567"/>
      <c r="I567"/>
      <c r="J567"/>
      <c r="K567"/>
      <c r="L567"/>
      <c r="M567"/>
      <c r="N567"/>
    </row>
    <row r="568" spans="7:14">
      <c r="G568"/>
      <c r="H568"/>
      <c r="I568"/>
      <c r="J568"/>
      <c r="K568"/>
      <c r="L568"/>
      <c r="M568"/>
      <c r="N568"/>
    </row>
    <row r="569" spans="7:14">
      <c r="G569"/>
      <c r="H569"/>
      <c r="I569"/>
      <c r="J569"/>
      <c r="K569"/>
      <c r="L569"/>
      <c r="M569"/>
      <c r="N569"/>
    </row>
    <row r="570" spans="7:14">
      <c r="G570"/>
      <c r="H570"/>
      <c r="I570"/>
      <c r="J570"/>
      <c r="K570"/>
      <c r="L570"/>
      <c r="M570"/>
      <c r="N570"/>
    </row>
    <row r="571" spans="7:14">
      <c r="G571"/>
      <c r="H571"/>
      <c r="I571"/>
      <c r="J571"/>
      <c r="K571"/>
      <c r="L571"/>
      <c r="M571"/>
      <c r="N571"/>
    </row>
    <row r="572" spans="7:14">
      <c r="G572"/>
      <c r="H572"/>
      <c r="I572"/>
      <c r="J572"/>
      <c r="K572"/>
      <c r="L572"/>
      <c r="M572"/>
      <c r="N572"/>
    </row>
    <row r="573" spans="7:14">
      <c r="G573"/>
      <c r="H573"/>
      <c r="I573"/>
      <c r="J573"/>
      <c r="K573"/>
      <c r="L573"/>
      <c r="M573"/>
      <c r="N573"/>
    </row>
    <row r="574" spans="7:14">
      <c r="G574"/>
      <c r="H574"/>
      <c r="I574"/>
      <c r="J574"/>
      <c r="K574"/>
      <c r="L574"/>
      <c r="M574"/>
      <c r="N574"/>
    </row>
    <row r="575" spans="7:14">
      <c r="G575"/>
      <c r="H575"/>
      <c r="I575"/>
      <c r="J575"/>
      <c r="K575"/>
      <c r="L575"/>
      <c r="M575"/>
      <c r="N575"/>
    </row>
    <row r="576" spans="7:14">
      <c r="G576"/>
      <c r="H576"/>
      <c r="I576"/>
      <c r="J576"/>
      <c r="K576"/>
      <c r="L576"/>
      <c r="M576"/>
      <c r="N576"/>
    </row>
    <row r="577" spans="7:14">
      <c r="G577"/>
      <c r="H577"/>
      <c r="I577"/>
      <c r="J577"/>
      <c r="K577"/>
      <c r="L577"/>
      <c r="M577"/>
      <c r="N577"/>
    </row>
    <row r="578" spans="7:14">
      <c r="G578"/>
      <c r="H578"/>
      <c r="I578"/>
      <c r="J578"/>
      <c r="K578"/>
      <c r="L578"/>
      <c r="M578"/>
      <c r="N578"/>
    </row>
    <row r="579" spans="7:14">
      <c r="G579"/>
      <c r="H579"/>
      <c r="I579"/>
      <c r="J579"/>
      <c r="K579"/>
      <c r="L579"/>
      <c r="M579"/>
      <c r="N579"/>
    </row>
    <row r="580" spans="7:14">
      <c r="G580"/>
      <c r="H580"/>
      <c r="I580"/>
      <c r="J580"/>
      <c r="K580"/>
      <c r="L580"/>
      <c r="M580"/>
      <c r="N580"/>
    </row>
    <row r="581" spans="7:14">
      <c r="G581"/>
      <c r="H581"/>
      <c r="I581"/>
      <c r="J581"/>
      <c r="K581"/>
      <c r="L581"/>
      <c r="M581"/>
      <c r="N581"/>
    </row>
    <row r="582" spans="7:14">
      <c r="G582"/>
      <c r="H582"/>
      <c r="I582"/>
      <c r="J582"/>
      <c r="K582"/>
      <c r="L582"/>
      <c r="M582"/>
      <c r="N582"/>
    </row>
    <row r="583" spans="7:14">
      <c r="G583"/>
      <c r="H583"/>
      <c r="I583"/>
      <c r="J583"/>
      <c r="K583"/>
      <c r="L583"/>
      <c r="M583"/>
      <c r="N583"/>
    </row>
    <row r="584" spans="7:14">
      <c r="G584"/>
      <c r="H584"/>
      <c r="I584"/>
      <c r="J584"/>
      <c r="K584"/>
      <c r="L584"/>
      <c r="M584"/>
      <c r="N584"/>
    </row>
    <row r="585" spans="7:14">
      <c r="G585"/>
      <c r="H585"/>
      <c r="I585"/>
      <c r="J585"/>
      <c r="K585"/>
      <c r="L585"/>
      <c r="M585"/>
      <c r="N585"/>
    </row>
    <row r="586" spans="7:14">
      <c r="G586"/>
      <c r="H586"/>
      <c r="I586"/>
      <c r="J586"/>
      <c r="K586"/>
      <c r="L586"/>
      <c r="M586"/>
      <c r="N586"/>
    </row>
    <row r="587" spans="7:14">
      <c r="G587"/>
      <c r="H587"/>
      <c r="I587"/>
      <c r="J587"/>
      <c r="K587"/>
      <c r="L587"/>
      <c r="M587"/>
      <c r="N587"/>
    </row>
    <row r="588" spans="7:14">
      <c r="G588"/>
      <c r="H588"/>
      <c r="I588"/>
      <c r="J588"/>
      <c r="K588"/>
      <c r="L588"/>
      <c r="M588"/>
      <c r="N588"/>
    </row>
    <row r="589" spans="7:14">
      <c r="G589"/>
      <c r="H589"/>
      <c r="I589"/>
      <c r="J589"/>
      <c r="K589"/>
      <c r="L589"/>
      <c r="M589"/>
      <c r="N589"/>
    </row>
    <row r="590" spans="7:14">
      <c r="G590"/>
      <c r="H590"/>
      <c r="I590"/>
      <c r="J590"/>
      <c r="K590"/>
      <c r="L590"/>
      <c r="M590"/>
      <c r="N590"/>
    </row>
    <row r="591" spans="7:14">
      <c r="G591"/>
      <c r="H591"/>
      <c r="I591"/>
      <c r="J591"/>
      <c r="K591"/>
      <c r="L591"/>
      <c r="M591"/>
      <c r="N591"/>
    </row>
    <row r="592" spans="7:14">
      <c r="G592"/>
      <c r="H592"/>
      <c r="I592"/>
      <c r="J592"/>
      <c r="K592"/>
      <c r="L592"/>
      <c r="M592"/>
      <c r="N592"/>
    </row>
    <row r="593" spans="7:14">
      <c r="G593"/>
      <c r="H593"/>
      <c r="I593"/>
      <c r="J593"/>
      <c r="K593"/>
      <c r="L593"/>
      <c r="M593"/>
      <c r="N593"/>
    </row>
    <row r="594" spans="7:14">
      <c r="G594"/>
      <c r="H594"/>
      <c r="I594"/>
      <c r="J594"/>
      <c r="K594"/>
      <c r="L594"/>
      <c r="M594"/>
      <c r="N594"/>
    </row>
    <row r="595" spans="7:14">
      <c r="G595"/>
      <c r="H595"/>
      <c r="I595"/>
      <c r="J595"/>
      <c r="K595"/>
      <c r="L595"/>
      <c r="M595"/>
      <c r="N595"/>
    </row>
    <row r="596" spans="7:14">
      <c r="G596"/>
      <c r="H596"/>
      <c r="I596"/>
      <c r="J596"/>
      <c r="K596"/>
      <c r="L596"/>
      <c r="M596"/>
      <c r="N596"/>
    </row>
    <row r="597" spans="7:14">
      <c r="G597"/>
      <c r="H597"/>
      <c r="I597"/>
      <c r="J597"/>
      <c r="K597"/>
      <c r="L597"/>
      <c r="M597"/>
      <c r="N597"/>
    </row>
    <row r="598" spans="7:14">
      <c r="G598"/>
      <c r="H598"/>
      <c r="I598"/>
      <c r="J598"/>
      <c r="K598"/>
      <c r="L598"/>
      <c r="M598"/>
      <c r="N598"/>
    </row>
    <row r="599" spans="7:14">
      <c r="G599"/>
      <c r="H599"/>
      <c r="I599"/>
      <c r="J599"/>
      <c r="K599"/>
      <c r="L599"/>
      <c r="M599"/>
      <c r="N599"/>
    </row>
    <row r="600" spans="7:14">
      <c r="G600"/>
      <c r="H600"/>
      <c r="I600"/>
      <c r="J600"/>
      <c r="K600"/>
      <c r="L600"/>
      <c r="M600"/>
      <c r="N600"/>
    </row>
    <row r="601" spans="7:14">
      <c r="G601"/>
      <c r="H601"/>
      <c r="I601"/>
      <c r="J601"/>
      <c r="K601"/>
      <c r="L601"/>
      <c r="M601"/>
      <c r="N601"/>
    </row>
  </sheetData>
  <sortState xmlns:xlrd2="http://schemas.microsoft.com/office/spreadsheetml/2017/richdata2" ref="A2:N512">
    <sortCondition ref="B5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F56-8493-4958-AF2E-F83A38E2B304}">
  <dimension ref="A1:K2095"/>
  <sheetViews>
    <sheetView topLeftCell="B1" zoomScale="85" zoomScaleNormal="85" workbookViewId="0">
      <pane ySplit="1" topLeftCell="A1133" activePane="bottomLeft" state="frozen"/>
      <selection activeCell="F19" sqref="F19"/>
      <selection pane="bottomLeft" activeCell="K1134" sqref="K1134"/>
    </sheetView>
  </sheetViews>
  <sheetFormatPr defaultColWidth="8.6328125" defaultRowHeight="14.5"/>
  <cols>
    <col min="1" max="1" width="17.6328125" style="19" customWidth="1"/>
    <col min="2" max="2" width="15.36328125" style="19" customWidth="1"/>
    <col min="3" max="3" width="10.6328125" style="19" customWidth="1"/>
    <col min="4" max="4" width="5.08984375" style="19" customWidth="1"/>
    <col min="5" max="5" width="11.36328125" style="19" customWidth="1"/>
    <col min="6" max="6" width="20.36328125" style="19" customWidth="1"/>
    <col min="7" max="7" width="19.6328125" style="19" customWidth="1"/>
    <col min="8" max="8" width="21.453125" style="19" customWidth="1"/>
    <col min="9" max="9" width="21.36328125" style="19" customWidth="1"/>
    <col min="10" max="10" width="52.453125" style="19" customWidth="1"/>
    <col min="11" max="11" width="67.6328125" style="37" customWidth="1"/>
    <col min="12" max="16384" width="8.6328125" style="19"/>
  </cols>
  <sheetData>
    <row r="1" spans="1:11" s="20" customFormat="1" ht="29">
      <c r="A1" s="20" t="s">
        <v>10</v>
      </c>
      <c r="B1" s="20" t="s">
        <v>12</v>
      </c>
      <c r="C1" s="20" t="s">
        <v>8441</v>
      </c>
      <c r="D1" s="20" t="s">
        <v>8465</v>
      </c>
      <c r="E1" s="20" t="s">
        <v>8466</v>
      </c>
      <c r="F1" s="20" t="s">
        <v>8467</v>
      </c>
      <c r="G1" s="20" t="s">
        <v>8468</v>
      </c>
      <c r="H1" s="20" t="s">
        <v>8469</v>
      </c>
      <c r="I1" s="20" t="s">
        <v>8470</v>
      </c>
      <c r="J1" s="20" t="s">
        <v>8471</v>
      </c>
      <c r="K1" s="36" t="s">
        <v>8472</v>
      </c>
    </row>
    <row r="2" spans="1:11" ht="46.25" customHeight="1">
      <c r="A2" t="s">
        <v>7685</v>
      </c>
      <c r="B2" t="s">
        <v>7686</v>
      </c>
      <c r="C2" t="s">
        <v>12771</v>
      </c>
      <c r="D2" s="19">
        <v>1</v>
      </c>
      <c r="E2" s="19" t="str">
        <f t="shared" ref="E2:E65" si="0">CONCATENATE("E",C2)</f>
        <v>E1_1_1_1</v>
      </c>
      <c r="F2" s="19" t="s">
        <v>13179</v>
      </c>
      <c r="G2" s="19" t="s">
        <v>14594</v>
      </c>
      <c r="H2" s="19" t="s">
        <v>13866</v>
      </c>
      <c r="I2" s="19" t="s">
        <v>15281</v>
      </c>
      <c r="J2" s="19" t="str">
        <f>CONCATENATE("(${Variables:",E2,"_kcat","} * ",E2," * ",G2,")","/(${Variables:",E2,"_km","} + (",E2," * ",G2,"))")</f>
        <v>(${Variables:E1_1_1_1_kcat} * E1_1_1_1 * C00226 * C00003)/(${Variables:E1_1_1_1_km} + (E1_1_1_1 * C00226 * C00003))</v>
      </c>
      <c r="K2" s="37" t="str">
        <f>CONCATENATE("r",D2,": ",F2," -&gt; ",H2," | ",J2)</f>
        <v>r1: C00226 + C00003 -&gt; C00071 + C00004 + C00080 | (${Variables:E1_1_1_1_kcat} * E1_1_1_1 * C00226 * C00003)/(${Variables:E1_1_1_1_km} + (E1_1_1_1 * C00226 * C00003))</v>
      </c>
    </row>
    <row r="3" spans="1:11" ht="46.25" customHeight="1">
      <c r="A3" t="s">
        <v>7685</v>
      </c>
      <c r="B3" t="s">
        <v>7686</v>
      </c>
      <c r="C3" t="s">
        <v>12771</v>
      </c>
      <c r="D3" s="19">
        <v>2</v>
      </c>
      <c r="E3" s="19" t="str">
        <f t="shared" si="0"/>
        <v>E1_1_1_1</v>
      </c>
      <c r="F3" s="19" t="s">
        <v>13180</v>
      </c>
      <c r="G3" s="19" t="s">
        <v>14595</v>
      </c>
      <c r="H3" s="19" t="s">
        <v>13867</v>
      </c>
      <c r="I3" s="19" t="s">
        <v>15282</v>
      </c>
      <c r="J3" s="19" t="str">
        <f t="shared" ref="J3:J66" si="1">CONCATENATE("(${Variables:",E3,"_kcat","} * ",E3," * ",G3,")","/(${Variables:",E3,"_km","} + (",E3," * ",G3,"))")</f>
        <v>(${Variables:E1_1_1_1_kcat} * E1_1_1_1 * C00469 * C00003)/(${Variables:E1_1_1_1_km} + (E1_1_1_1 * C00469 * C00003))</v>
      </c>
      <c r="K3" s="37" t="str">
        <f t="shared" ref="K3:K66" si="2">CONCATENATE("r",D3,": ",F3," -&gt; ",H3," | ",J3)</f>
        <v>r2: C00469 + C00003 -&gt; C00084 + C00004 + C00080 | (${Variables:E1_1_1_1_kcat} * E1_1_1_1 * C00469 * C00003)/(${Variables:E1_1_1_1_km} + (E1_1_1_1 * C00469 * C00003))</v>
      </c>
    </row>
    <row r="4" spans="1:11" ht="46.25" customHeight="1">
      <c r="A4" t="s">
        <v>7685</v>
      </c>
      <c r="B4" t="s">
        <v>7686</v>
      </c>
      <c r="C4" t="s">
        <v>12771</v>
      </c>
      <c r="D4" s="19">
        <v>3</v>
      </c>
      <c r="E4" s="19" t="str">
        <f t="shared" si="0"/>
        <v>E1_1_1_1</v>
      </c>
      <c r="F4" s="19" t="s">
        <v>13181</v>
      </c>
      <c r="G4" s="19" t="s">
        <v>14596</v>
      </c>
      <c r="H4" s="19" t="s">
        <v>13868</v>
      </c>
      <c r="I4" s="19" t="s">
        <v>15283</v>
      </c>
      <c r="J4" s="19" t="str">
        <f t="shared" si="1"/>
        <v>(${Variables:E1_1_1_1_kcat} * E1_1_1_1 * C00473 * C00003)/(${Variables:E1_1_1_1_km} + (E1_1_1_1 * C00473 * C00003))</v>
      </c>
      <c r="K4" s="37" t="str">
        <f t="shared" si="2"/>
        <v>r3: C00473 + C00003 -&gt; C00376 + C00004 + C00080 | (${Variables:E1_1_1_1_kcat} * E1_1_1_1 * C00473 * C00003)/(${Variables:E1_1_1_1_km} + (E1_1_1_1 * C00473 * C00003))</v>
      </c>
    </row>
    <row r="5" spans="1:11" ht="46.25" customHeight="1">
      <c r="A5" t="s">
        <v>7685</v>
      </c>
      <c r="B5" t="s">
        <v>7686</v>
      </c>
      <c r="C5" t="s">
        <v>12771</v>
      </c>
      <c r="D5" s="19">
        <v>4</v>
      </c>
      <c r="E5" s="19" t="str">
        <f t="shared" si="0"/>
        <v>E1_1_1_1</v>
      </c>
      <c r="F5" s="19" t="s">
        <v>13182</v>
      </c>
      <c r="G5" s="19" t="s">
        <v>14597</v>
      </c>
      <c r="H5" s="19" t="s">
        <v>13869</v>
      </c>
      <c r="I5" s="19" t="s">
        <v>15284</v>
      </c>
      <c r="J5" s="19" t="str">
        <f t="shared" si="1"/>
        <v>(${Variables:E1_1_1_1_kcat} * E1_1_1_1 * C00756 * C00003)/(${Variables:E1_1_1_1_km} + (E1_1_1_1 * C00756 * C00003))</v>
      </c>
      <c r="K5" s="37" t="str">
        <f t="shared" si="2"/>
        <v>r4: C00756 + C00003 -&gt; C01545 + C00004 + C00080 | (${Variables:E1_1_1_1_kcat} * E1_1_1_1 * C00756 * C00003)/(${Variables:E1_1_1_1_km} + (E1_1_1_1 * C00756 * C00003))</v>
      </c>
    </row>
    <row r="6" spans="1:11" ht="46.25" customHeight="1">
      <c r="A6" t="s">
        <v>7685</v>
      </c>
      <c r="B6" t="s">
        <v>7686</v>
      </c>
      <c r="C6" t="s">
        <v>12771</v>
      </c>
      <c r="D6" s="19">
        <v>5</v>
      </c>
      <c r="E6" s="19" t="str">
        <f t="shared" si="0"/>
        <v>E1_1_1_1</v>
      </c>
      <c r="F6" s="19" t="s">
        <v>13183</v>
      </c>
      <c r="G6" s="19" t="s">
        <v>14598</v>
      </c>
      <c r="H6" s="19" t="s">
        <v>13870</v>
      </c>
      <c r="I6" s="19" t="s">
        <v>15285</v>
      </c>
      <c r="J6" s="19" t="str">
        <f t="shared" si="1"/>
        <v>(${Variables:E1_1_1_1_kcat} * E1_1_1_1 * C05444 * C00003)/(${Variables:E1_1_1_1_km} + (E1_1_1_1 * C05444 * C00003))</v>
      </c>
      <c r="K6" s="37" t="str">
        <f t="shared" si="2"/>
        <v>r5: C05444 + C00003 -&gt; C05445 + C00004 + C00080 | (${Variables:E1_1_1_1_kcat} * E1_1_1_1 * C05444 * C00003)/(${Variables:E1_1_1_1_km} + (E1_1_1_1 * C05444 * C00003))</v>
      </c>
    </row>
    <row r="7" spans="1:11" ht="46.25" customHeight="1">
      <c r="A7" t="s">
        <v>7685</v>
      </c>
      <c r="B7" t="s">
        <v>7686</v>
      </c>
      <c r="C7" t="s">
        <v>12771</v>
      </c>
      <c r="D7" s="19">
        <v>6</v>
      </c>
      <c r="E7" s="19" t="str">
        <f t="shared" si="0"/>
        <v>E1_1_1_1</v>
      </c>
      <c r="F7" s="19" t="s">
        <v>13184</v>
      </c>
      <c r="G7" s="19" t="s">
        <v>14599</v>
      </c>
      <c r="H7" s="19" t="s">
        <v>13871</v>
      </c>
      <c r="I7" s="19" t="s">
        <v>15286</v>
      </c>
      <c r="J7" s="19" t="str">
        <f t="shared" si="1"/>
        <v>(${Variables:E1_1_1_1_kcat} * E1_1_1_1 * C05576 * C00003)/(${Variables:E1_1_1_1_km} + (E1_1_1_1 * C05576 * C00003))</v>
      </c>
      <c r="K7" s="37" t="str">
        <f t="shared" si="2"/>
        <v>r6: C05576 + C00003 -&gt; C05577 + C00004 + C00080 | (${Variables:E1_1_1_1_kcat} * E1_1_1_1 * C05576 * C00003)/(${Variables:E1_1_1_1_km} + (E1_1_1_1 * C05576 * C00003))</v>
      </c>
    </row>
    <row r="8" spans="1:11" ht="46.25" customHeight="1">
      <c r="A8" t="s">
        <v>7685</v>
      </c>
      <c r="B8" t="s">
        <v>7686</v>
      </c>
      <c r="C8" t="s">
        <v>12771</v>
      </c>
      <c r="D8" s="19">
        <v>7</v>
      </c>
      <c r="E8" s="19" t="str">
        <f t="shared" si="0"/>
        <v>E1_1_1_1</v>
      </c>
      <c r="F8" s="19" t="s">
        <v>13185</v>
      </c>
      <c r="G8" s="19" t="s">
        <v>14600</v>
      </c>
      <c r="H8" s="19" t="s">
        <v>13872</v>
      </c>
      <c r="I8" s="19" t="s">
        <v>15287</v>
      </c>
      <c r="J8" s="19" t="str">
        <f t="shared" si="1"/>
        <v>(${Variables:E1_1_1_1_kcat} * E1_1_1_1 * C06611 * C00003)/(${Variables:E1_1_1_1_km} + (E1_1_1_1 * C06611 * C00003))</v>
      </c>
      <c r="K8" s="37" t="str">
        <f t="shared" si="2"/>
        <v>r7: C06611 + C00003 -&gt; C06613 + C00004 + C00080 | (${Variables:E1_1_1_1_kcat} * E1_1_1_1 * C06611 * C00003)/(${Variables:E1_1_1_1_km} + (E1_1_1_1 * C06611 * C00003))</v>
      </c>
    </row>
    <row r="9" spans="1:11" ht="46.25" customHeight="1">
      <c r="A9" t="s">
        <v>7685</v>
      </c>
      <c r="B9" t="s">
        <v>7686</v>
      </c>
      <c r="C9" t="s">
        <v>12771</v>
      </c>
      <c r="D9" s="19">
        <v>8</v>
      </c>
      <c r="E9" s="19" t="str">
        <f t="shared" si="0"/>
        <v>E1_1_1_1</v>
      </c>
      <c r="F9" s="19" t="s">
        <v>13186</v>
      </c>
      <c r="G9" s="19" t="s">
        <v>14601</v>
      </c>
      <c r="H9" s="19" t="s">
        <v>13873</v>
      </c>
      <c r="I9" s="19" t="s">
        <v>15288</v>
      </c>
      <c r="J9" s="19" t="str">
        <f t="shared" si="1"/>
        <v>(${Variables:E1_1_1_1_kcat} * E1_1_1_1 * C06612 * C00003)/(${Variables:E1_1_1_1_km} + (E1_1_1_1 * C06612 * C00003))</v>
      </c>
      <c r="K9" s="37" t="str">
        <f t="shared" si="2"/>
        <v>r8: C06612 + C00003 -&gt; C16348 + C00004 + C00080 | (${Variables:E1_1_1_1_kcat} * E1_1_1_1 * C06612 * C00003)/(${Variables:E1_1_1_1_km} + (E1_1_1_1 * C06612 * C00003))</v>
      </c>
    </row>
    <row r="10" spans="1:11" ht="46.25" customHeight="1">
      <c r="A10" t="s">
        <v>7685</v>
      </c>
      <c r="B10" t="s">
        <v>7686</v>
      </c>
      <c r="C10" t="s">
        <v>12771</v>
      </c>
      <c r="D10" s="19">
        <v>9</v>
      </c>
      <c r="E10" s="19" t="str">
        <f t="shared" si="0"/>
        <v>E1_1_1_1</v>
      </c>
      <c r="F10" s="19" t="s">
        <v>13187</v>
      </c>
      <c r="G10" s="19" t="s">
        <v>14602</v>
      </c>
      <c r="H10" s="19" t="s">
        <v>13874</v>
      </c>
      <c r="I10" s="19" t="s">
        <v>15289</v>
      </c>
      <c r="J10" s="19" t="str">
        <f t="shared" si="1"/>
        <v>(${Variables:E1_1_1_1_kcat} * E1_1_1_1 * C14089 * C00003)/(${Variables:E1_1_1_1_km} + (E1_1_1_1 * C14089 * C00003))</v>
      </c>
      <c r="K10" s="37" t="str">
        <f t="shared" si="2"/>
        <v>r9: C14089 + C00003 -&gt; C14090 + C00004 + C00080 | (${Variables:E1_1_1_1_kcat} * E1_1_1_1 * C14089 * C00003)/(${Variables:E1_1_1_1_km} + (E1_1_1_1 * C14089 * C00003))</v>
      </c>
    </row>
    <row r="11" spans="1:11" ht="46.25" customHeight="1">
      <c r="A11" t="s">
        <v>7685</v>
      </c>
      <c r="B11" t="s">
        <v>7686</v>
      </c>
      <c r="C11" t="s">
        <v>12771</v>
      </c>
      <c r="D11" s="19">
        <v>10</v>
      </c>
      <c r="E11" s="19" t="str">
        <f t="shared" si="0"/>
        <v>E1_1_1_1</v>
      </c>
      <c r="F11" s="19" t="s">
        <v>13188</v>
      </c>
      <c r="G11" s="19" t="s">
        <v>14603</v>
      </c>
      <c r="H11" s="19" t="s">
        <v>13875</v>
      </c>
      <c r="I11" s="19" t="s">
        <v>15290</v>
      </c>
      <c r="J11" s="19" t="str">
        <f t="shared" si="1"/>
        <v>(${Variables:E1_1_1_1_kcat} * E1_1_1_1 * C02909 * C00003)/(${Variables:E1_1_1_1_km} + (E1_1_1_1 * C02909 * C00003))</v>
      </c>
      <c r="K11" s="37" t="str">
        <f t="shared" si="2"/>
        <v>r10: C02909 + C00003 -&gt; C14099 + C00004 + C00080 | (${Variables:E1_1_1_1_kcat} * E1_1_1_1 * C02909 * C00003)/(${Variables:E1_1_1_1_km} + (E1_1_1_1 * C02909 * C00003))</v>
      </c>
    </row>
    <row r="12" spans="1:11" ht="46.25" customHeight="1">
      <c r="A12" t="s">
        <v>7685</v>
      </c>
      <c r="B12" t="s">
        <v>7686</v>
      </c>
      <c r="C12" t="s">
        <v>12771</v>
      </c>
      <c r="D12" s="19">
        <v>11</v>
      </c>
      <c r="E12" s="19" t="str">
        <f t="shared" si="0"/>
        <v>E1_1_1_1</v>
      </c>
      <c r="F12" s="19" t="s">
        <v>13189</v>
      </c>
      <c r="G12" s="19" t="s">
        <v>14604</v>
      </c>
      <c r="H12" s="19" t="s">
        <v>13876</v>
      </c>
      <c r="I12" s="19" t="s">
        <v>15291</v>
      </c>
      <c r="J12" s="19" t="str">
        <f t="shared" si="1"/>
        <v>(${Variables:E1_1_1_1_kcat} * E1_1_1_1 * C07645 * C00004 * C00080)/(${Variables:E1_1_1_1_km} + (E1_1_1_1 * C07645 * C00004 * C00080))</v>
      </c>
      <c r="K12" s="37" t="str">
        <f t="shared" si="2"/>
        <v>r11: C07645 + C00004 + C00080 -&gt; C16551 + C00003 | (${Variables:E1_1_1_1_kcat} * E1_1_1_1 * C07645 * C00004 * C00080)/(${Variables:E1_1_1_1_km} + (E1_1_1_1 * C07645 * C00004 * C00080))</v>
      </c>
    </row>
    <row r="13" spans="1:11" ht="46.25" customHeight="1">
      <c r="A13" t="s">
        <v>7685</v>
      </c>
      <c r="B13" t="s">
        <v>7686</v>
      </c>
      <c r="C13" t="s">
        <v>12771</v>
      </c>
      <c r="D13" s="19">
        <v>12</v>
      </c>
      <c r="E13" s="19" t="str">
        <f t="shared" si="0"/>
        <v>E1_1_1_1</v>
      </c>
      <c r="F13" s="19" t="s">
        <v>13190</v>
      </c>
      <c r="G13" s="19" t="s">
        <v>14605</v>
      </c>
      <c r="H13" s="19" t="s">
        <v>13877</v>
      </c>
      <c r="I13" s="19" t="s">
        <v>15292</v>
      </c>
      <c r="J13" s="19" t="str">
        <f t="shared" si="1"/>
        <v>(${Variables:E1_1_1_1_kcat} * E1_1_1_1 * C16586 * C00003)/(${Variables:E1_1_1_1_km} + (E1_1_1_1 * C16586 * C00003))</v>
      </c>
      <c r="K13" s="37" t="str">
        <f t="shared" si="2"/>
        <v>r12: C16586 + C00003 -&gt; C16587 + C00004 + C00080 | (${Variables:E1_1_1_1_kcat} * E1_1_1_1 * C16586 * C00003)/(${Variables:E1_1_1_1_km} + (E1_1_1_1 * C16586 * C00003))</v>
      </c>
    </row>
    <row r="14" spans="1:11" ht="46.25" customHeight="1">
      <c r="A14" t="s">
        <v>7685</v>
      </c>
      <c r="B14" t="s">
        <v>7686</v>
      </c>
      <c r="C14" t="s">
        <v>12771</v>
      </c>
      <c r="D14" s="19">
        <v>13</v>
      </c>
      <c r="E14" s="19" t="str">
        <f t="shared" si="0"/>
        <v>E1_1_1_1</v>
      </c>
      <c r="F14" s="19" t="s">
        <v>13191</v>
      </c>
      <c r="G14" s="19" t="s">
        <v>14606</v>
      </c>
      <c r="H14" s="19" t="s">
        <v>13878</v>
      </c>
      <c r="I14" s="19" t="s">
        <v>15293</v>
      </c>
      <c r="J14" s="19" t="str">
        <f t="shared" si="1"/>
        <v>(${Variables:E1_1_1_1_kcat} * E1_1_1_1 * C00114 * C00003)/(${Variables:E1_1_1_1_km} + (E1_1_1_1 * C00114 * C00003))</v>
      </c>
      <c r="K14" s="37" t="str">
        <f t="shared" si="2"/>
        <v>r13: C00114 + C00003 -&gt; C00576 + C00004 + C00080 | (${Variables:E1_1_1_1_kcat} * E1_1_1_1 * C00114 * C00003)/(${Variables:E1_1_1_1_km} + (E1_1_1_1 * C00114 * C00003))</v>
      </c>
    </row>
    <row r="15" spans="1:11" ht="46.25" customHeight="1">
      <c r="A15" t="s">
        <v>7685</v>
      </c>
      <c r="B15" t="s">
        <v>7686</v>
      </c>
      <c r="C15" t="s">
        <v>12771</v>
      </c>
      <c r="D15" s="19">
        <v>14</v>
      </c>
      <c r="E15" s="19" t="str">
        <f t="shared" si="0"/>
        <v>E1_1_1_1</v>
      </c>
      <c r="F15" s="19" t="s">
        <v>13192</v>
      </c>
      <c r="G15" s="19" t="s">
        <v>14607</v>
      </c>
      <c r="H15" s="19" t="s">
        <v>13879</v>
      </c>
      <c r="I15" s="19" t="s">
        <v>15294</v>
      </c>
      <c r="J15" s="19" t="str">
        <f t="shared" si="1"/>
        <v>(${Variables:E1_1_1_1_kcat} * E1_1_1_1 * C00114 * C00006)/(${Variables:E1_1_1_1_km} + (E1_1_1_1 * C00114 * C00006))</v>
      </c>
      <c r="K15" s="37" t="str">
        <f t="shared" si="2"/>
        <v>r14: C00114 + C00006 -&gt; C00576 + C00005 + C00080 | (${Variables:E1_1_1_1_kcat} * E1_1_1_1 * C00114 * C00006)/(${Variables:E1_1_1_1_km} + (E1_1_1_1 * C00114 * C00006))</v>
      </c>
    </row>
    <row r="16" spans="1:11" ht="46.25" customHeight="1">
      <c r="A16" t="s">
        <v>7685</v>
      </c>
      <c r="B16" t="s">
        <v>7686</v>
      </c>
      <c r="C16" t="s">
        <v>12771</v>
      </c>
      <c r="D16" s="19">
        <v>15</v>
      </c>
      <c r="E16" s="19" t="str">
        <f t="shared" si="0"/>
        <v>E1_1_1_1</v>
      </c>
      <c r="F16" s="19" t="s">
        <v>13193</v>
      </c>
      <c r="G16" s="19" t="s">
        <v>14608</v>
      </c>
      <c r="H16" s="19" t="s">
        <v>13880</v>
      </c>
      <c r="I16" s="19" t="s">
        <v>15295</v>
      </c>
      <c r="J16" s="19" t="str">
        <f t="shared" si="1"/>
        <v>(${Variables:E1_1_1_1_kcat} * E1_1_1_1 * C16310 * C00004 * C00080)/(${Variables:E1_1_1_1_km} + (E1_1_1_1 * C16310 * C00004 * C00080))</v>
      </c>
      <c r="K16" s="37" t="str">
        <f t="shared" si="2"/>
        <v>r15: C16310 + C00004 + C00080 -&gt; C08492 + C00003 | (${Variables:E1_1_1_1_kcat} * E1_1_1_1 * C16310 * C00004 * C00080)/(${Variables:E1_1_1_1_km} + (E1_1_1_1 * C16310 * C00004 * C00080))</v>
      </c>
    </row>
    <row r="17" spans="1:11" ht="46.25" customHeight="1">
      <c r="A17" t="s">
        <v>7685</v>
      </c>
      <c r="B17" t="s">
        <v>7686</v>
      </c>
      <c r="C17" t="s">
        <v>12771</v>
      </c>
      <c r="D17" s="19">
        <v>16</v>
      </c>
      <c r="E17" s="19" t="str">
        <f t="shared" si="0"/>
        <v>E1_1_1_1</v>
      </c>
      <c r="F17" s="19" t="s">
        <v>13194</v>
      </c>
      <c r="G17" s="19" t="s">
        <v>14609</v>
      </c>
      <c r="H17" s="19" t="s">
        <v>13881</v>
      </c>
      <c r="I17" s="19" t="s">
        <v>15296</v>
      </c>
      <c r="J17" s="19" t="str">
        <f t="shared" si="1"/>
        <v>(${Variables:E1_1_1_1_kcat} * E1_1_1_1 * C01612 * C00003)/(${Variables:E1_1_1_1_km} + (E1_1_1_1 * C01612 * C00003))</v>
      </c>
      <c r="K17" s="37" t="str">
        <f t="shared" si="2"/>
        <v>r16: C01612 + C00003 -&gt; C01450 + C00004 + C00080 | (${Variables:E1_1_1_1_kcat} * E1_1_1_1 * C01612 * C00003)/(${Variables:E1_1_1_1_km} + (E1_1_1_1 * C01612 * C00003))</v>
      </c>
    </row>
    <row r="18" spans="1:11" ht="46.25" customHeight="1">
      <c r="A18" t="s">
        <v>7685</v>
      </c>
      <c r="B18" t="s">
        <v>7686</v>
      </c>
      <c r="C18" t="s">
        <v>12771</v>
      </c>
      <c r="D18" s="19">
        <v>17</v>
      </c>
      <c r="E18" s="19" t="str">
        <f t="shared" si="0"/>
        <v>E1_1_1_1</v>
      </c>
      <c r="F18" s="19" t="s">
        <v>13195</v>
      </c>
      <c r="G18" s="19" t="s">
        <v>14610</v>
      </c>
      <c r="H18" s="19" t="s">
        <v>13882</v>
      </c>
      <c r="I18" s="19" t="s">
        <v>15297</v>
      </c>
      <c r="J18" s="19" t="str">
        <f t="shared" si="1"/>
        <v>(${Variables:E1_1_1_1_kcat} * E1_1_1_1 * C16595 * C00003)/(${Variables:E1_1_1_1_km} + (E1_1_1_1 * C16595 * C00003))</v>
      </c>
      <c r="K18" s="37" t="str">
        <f t="shared" si="2"/>
        <v>r17: C16595 + C00003 -&gt; C16596 + C00004 + C00080 | (${Variables:E1_1_1_1_kcat} * E1_1_1_1 * C16595 * C00003)/(${Variables:E1_1_1_1_km} + (E1_1_1_1 * C16595 * C00003))</v>
      </c>
    </row>
    <row r="19" spans="1:11" ht="46.25" customHeight="1">
      <c r="A19" t="s">
        <v>7685</v>
      </c>
      <c r="B19" t="s">
        <v>7686</v>
      </c>
      <c r="C19" t="s">
        <v>12771</v>
      </c>
      <c r="D19" s="19">
        <v>18</v>
      </c>
      <c r="E19" s="19" t="str">
        <f t="shared" si="0"/>
        <v>E1_1_1_1</v>
      </c>
      <c r="F19" s="19" t="s">
        <v>13196</v>
      </c>
      <c r="G19" s="19" t="s">
        <v>14611</v>
      </c>
      <c r="H19" s="19" t="s">
        <v>13883</v>
      </c>
      <c r="I19" s="19" t="s">
        <v>15298</v>
      </c>
      <c r="J19" s="19" t="str">
        <f t="shared" si="1"/>
        <v>(${Variables:E1_1_1_1_kcat} * E1_1_1_1 * C00418 * C00003)/(${Variables:E1_1_1_1_km} + (E1_1_1_1 * C00418 * C00003))</v>
      </c>
      <c r="K19" s="37" t="str">
        <f t="shared" si="2"/>
        <v>r18: C00418 + C00003 -&gt; C00772 + C00004 + C00080 | (${Variables:E1_1_1_1_kcat} * E1_1_1_1 * C00418 * C00003)/(${Variables:E1_1_1_1_km} + (E1_1_1_1 * C00418 * C00003))</v>
      </c>
    </row>
    <row r="20" spans="1:11" ht="46.25" customHeight="1">
      <c r="A20" t="s">
        <v>7685</v>
      </c>
      <c r="B20" t="s">
        <v>7686</v>
      </c>
      <c r="C20" t="s">
        <v>12771</v>
      </c>
      <c r="D20" s="19">
        <v>19</v>
      </c>
      <c r="E20" s="19" t="str">
        <f t="shared" si="0"/>
        <v>E1_1_1_1</v>
      </c>
      <c r="F20" s="19" t="s">
        <v>13197</v>
      </c>
      <c r="G20" s="19" t="s">
        <v>14612</v>
      </c>
      <c r="H20" s="19" t="s">
        <v>13884</v>
      </c>
      <c r="I20" s="19" t="s">
        <v>15299</v>
      </c>
      <c r="J20" s="19" t="str">
        <f t="shared" si="1"/>
        <v>(${Variables:E1_1_1_1_kcat} * E1_1_1_1 * C06899 * C00004 * C00080)/(${Variables:E1_1_1_1_km} + (E1_1_1_1 * C06899 * C00004 * C00080))</v>
      </c>
      <c r="K20" s="37" t="str">
        <f t="shared" si="2"/>
        <v>r19: C06899 + C00004 + C00080 -&gt; C07490 + C00003 + C00001 | (${Variables:E1_1_1_1_kcat} * E1_1_1_1 * C06899 * C00004 * C00080)/(${Variables:E1_1_1_1_km} + (E1_1_1_1 * C06899 * C00004 * C00080))</v>
      </c>
    </row>
    <row r="21" spans="1:11" ht="46.25" customHeight="1">
      <c r="A21" t="s">
        <v>2078</v>
      </c>
      <c r="B21" t="s">
        <v>2079</v>
      </c>
      <c r="C21" t="s">
        <v>12770</v>
      </c>
      <c r="D21" s="19">
        <v>20</v>
      </c>
      <c r="E21" s="19" t="str">
        <f t="shared" si="0"/>
        <v>E1_1_1_100</v>
      </c>
      <c r="F21" s="19" t="s">
        <v>13198</v>
      </c>
      <c r="G21" s="19" t="s">
        <v>14613</v>
      </c>
      <c r="H21" s="19" t="s">
        <v>13885</v>
      </c>
      <c r="I21" s="19" t="s">
        <v>15300</v>
      </c>
      <c r="J21" s="19" t="str">
        <f t="shared" si="1"/>
        <v>(${Variables:E1_1_1_100_kcat} * E1_1_1_100 * C01271 * C00006)/(${Variables:E1_1_1_100_km} + (E1_1_1_100 * C01271 * C00006))</v>
      </c>
      <c r="K21" s="37" t="str">
        <f t="shared" si="2"/>
        <v>r20: C01271 + C00006 -&gt; C00685 + C00005 + C00080 | (${Variables:E1_1_1_100_kcat} * E1_1_1_100 * C01271 * C00006)/(${Variables:E1_1_1_100_km} + (E1_1_1_100 * C01271 * C00006))</v>
      </c>
    </row>
    <row r="22" spans="1:11" ht="46.25" customHeight="1">
      <c r="A22" t="s">
        <v>2078</v>
      </c>
      <c r="B22" t="s">
        <v>2079</v>
      </c>
      <c r="C22" t="s">
        <v>12770</v>
      </c>
      <c r="D22" s="19">
        <v>21</v>
      </c>
      <c r="E22" s="19" t="str">
        <f t="shared" si="0"/>
        <v>E1_1_1_100</v>
      </c>
      <c r="F22" s="19" t="s">
        <v>13199</v>
      </c>
      <c r="G22" s="19" t="s">
        <v>14614</v>
      </c>
      <c r="H22" s="19" t="s">
        <v>13886</v>
      </c>
      <c r="I22" s="19" t="s">
        <v>15301</v>
      </c>
      <c r="J22" s="19" t="str">
        <f t="shared" si="1"/>
        <v>(${Variables:E1_1_1_100_kcat} * E1_1_1_100 * C04618 * C00006)/(${Variables:E1_1_1_100_km} + (E1_1_1_100 * C04618 * C00006))</v>
      </c>
      <c r="K22" s="37" t="str">
        <f t="shared" si="2"/>
        <v>r21: C04618 + C00006 -&gt; C05744 + C00005 + C00080 | (${Variables:E1_1_1_100_kcat} * E1_1_1_100 * C04618 * C00006)/(${Variables:E1_1_1_100_km} + (E1_1_1_100 * C04618 * C00006))</v>
      </c>
    </row>
    <row r="23" spans="1:11" ht="46.25" customHeight="1">
      <c r="A23" t="s">
        <v>2078</v>
      </c>
      <c r="B23" t="s">
        <v>2079</v>
      </c>
      <c r="C23" t="s">
        <v>12770</v>
      </c>
      <c r="D23" s="19">
        <v>22</v>
      </c>
      <c r="E23" s="19" t="str">
        <f t="shared" si="0"/>
        <v>E1_1_1_100</v>
      </c>
      <c r="F23" s="19" t="s">
        <v>13200</v>
      </c>
      <c r="G23" s="19" t="s">
        <v>14615</v>
      </c>
      <c r="H23" s="19" t="s">
        <v>13887</v>
      </c>
      <c r="I23" s="19" t="s">
        <v>15302</v>
      </c>
      <c r="J23" s="19" t="str">
        <f t="shared" si="1"/>
        <v>(${Variables:E1_1_1_100_kcat} * E1_1_1_100 * C04619 * C00006)/(${Variables:E1_1_1_100_km} + (E1_1_1_100 * C04619 * C00006))</v>
      </c>
      <c r="K23" s="37" t="str">
        <f t="shared" si="2"/>
        <v>r22: C04619 + C00006 -&gt; C05753 + C00005 | (${Variables:E1_1_1_100_kcat} * E1_1_1_100 * C04619 * C00006)/(${Variables:E1_1_1_100_km} + (E1_1_1_100 * C04619 * C00006))</v>
      </c>
    </row>
    <row r="24" spans="1:11" ht="46.25" customHeight="1">
      <c r="A24" t="s">
        <v>2078</v>
      </c>
      <c r="B24" t="s">
        <v>2079</v>
      </c>
      <c r="C24" t="s">
        <v>12770</v>
      </c>
      <c r="D24" s="19">
        <v>23</v>
      </c>
      <c r="E24" s="19" t="str">
        <f t="shared" si="0"/>
        <v>E1_1_1_100</v>
      </c>
      <c r="F24" s="19" t="s">
        <v>13201</v>
      </c>
      <c r="G24" s="19" t="s">
        <v>14616</v>
      </c>
      <c r="H24" s="19" t="s">
        <v>13888</v>
      </c>
      <c r="I24" s="19" t="s">
        <v>15303</v>
      </c>
      <c r="J24" s="19" t="str">
        <f t="shared" si="1"/>
        <v>(${Variables:E1_1_1_100_kcat} * E1_1_1_100 * C04620 * C00006)/(${Variables:E1_1_1_100_km} + (E1_1_1_100 * C04620 * C00006))</v>
      </c>
      <c r="K24" s="37" t="str">
        <f t="shared" si="2"/>
        <v>r23: C04620 + C00006 -&gt; C05750 + C00005 + C00080 | (${Variables:E1_1_1_100_kcat} * E1_1_1_100 * C04620 * C00006)/(${Variables:E1_1_1_100_km} + (E1_1_1_100 * C04620 * C00006))</v>
      </c>
    </row>
    <row r="25" spans="1:11" ht="46.25" customHeight="1">
      <c r="A25" t="s">
        <v>2078</v>
      </c>
      <c r="B25" t="s">
        <v>2079</v>
      </c>
      <c r="C25" t="s">
        <v>12770</v>
      </c>
      <c r="D25" s="19">
        <v>24</v>
      </c>
      <c r="E25" s="19" t="str">
        <f t="shared" si="0"/>
        <v>E1_1_1_100</v>
      </c>
      <c r="F25" s="19" t="s">
        <v>13202</v>
      </c>
      <c r="G25" s="19" t="s">
        <v>14617</v>
      </c>
      <c r="H25" s="19" t="s">
        <v>13889</v>
      </c>
      <c r="I25" s="19" t="s">
        <v>15304</v>
      </c>
      <c r="J25" s="19" t="str">
        <f t="shared" si="1"/>
        <v>(${Variables:E1_1_1_100_kcat} * E1_1_1_100 * C04633 * C00006)/(${Variables:E1_1_1_100_km} + (E1_1_1_100 * C04633 * C00006))</v>
      </c>
      <c r="K25" s="37" t="str">
        <f t="shared" si="2"/>
        <v>r24: C04633 + C00006 -&gt; C05762 + C00005 + C00080 | (${Variables:E1_1_1_100_kcat} * E1_1_1_100 * C04633 * C00006)/(${Variables:E1_1_1_100_km} + (E1_1_1_100 * C04633 * C00006))</v>
      </c>
    </row>
    <row r="26" spans="1:11" ht="46.25" customHeight="1">
      <c r="A26" t="s">
        <v>2078</v>
      </c>
      <c r="B26" t="s">
        <v>2079</v>
      </c>
      <c r="C26" t="s">
        <v>12770</v>
      </c>
      <c r="D26" s="19">
        <v>25</v>
      </c>
      <c r="E26" s="19" t="str">
        <f t="shared" si="0"/>
        <v>E1_1_1_100</v>
      </c>
      <c r="F26" s="19" t="s">
        <v>13203</v>
      </c>
      <c r="G26" s="19" t="s">
        <v>14618</v>
      </c>
      <c r="H26" s="19" t="s">
        <v>14107</v>
      </c>
      <c r="I26" s="19" t="s">
        <v>15522</v>
      </c>
      <c r="J26" s="19" t="str">
        <f t="shared" si="1"/>
        <v>(${Variables:E1_1_1_100_kcat} * E1_1_1_100 * C04688 * C00006)/(${Variables:E1_1_1_100_km} + (E1_1_1_100 * C04688 * C00006))</v>
      </c>
      <c r="K26" s="37" t="str">
        <f t="shared" si="2"/>
        <v>r25: C04688 + C00006 -&gt; C05759 + C00005 + C00080 | (${Variables:E1_1_1_100_kcat} * E1_1_1_100 * C04688 * C00006)/(${Variables:E1_1_1_100_km} + (E1_1_1_100 * C04688 * C00006))</v>
      </c>
    </row>
    <row r="27" spans="1:11" ht="46.25" customHeight="1">
      <c r="A27" t="s">
        <v>2078</v>
      </c>
      <c r="B27" t="s">
        <v>2079</v>
      </c>
      <c r="C27" t="s">
        <v>12770</v>
      </c>
      <c r="D27" s="19">
        <v>26</v>
      </c>
      <c r="E27" s="19" t="str">
        <f t="shared" si="0"/>
        <v>E1_1_1_100</v>
      </c>
      <c r="F27" s="19" t="s">
        <v>13204</v>
      </c>
      <c r="G27" s="19" t="s">
        <v>14619</v>
      </c>
      <c r="H27" s="19" t="s">
        <v>13890</v>
      </c>
      <c r="I27" s="19" t="s">
        <v>15305</v>
      </c>
      <c r="J27" s="19" t="str">
        <f t="shared" si="1"/>
        <v>(${Variables:E1_1_1_100_kcat} * E1_1_1_100 * C05747 * C00006)/(${Variables:E1_1_1_100_km} + (E1_1_1_100 * C05747 * C00006))</v>
      </c>
      <c r="K27" s="37" t="str">
        <f t="shared" si="2"/>
        <v>r26: C05747 + C00006 -&gt; C05746 + C00005 + C00080 | (${Variables:E1_1_1_100_kcat} * E1_1_1_100 * C05747 * C00006)/(${Variables:E1_1_1_100_km} + (E1_1_1_100 * C05747 * C00006))</v>
      </c>
    </row>
    <row r="28" spans="1:11" ht="46.25" customHeight="1">
      <c r="A28" t="s">
        <v>2078</v>
      </c>
      <c r="B28" t="s">
        <v>2079</v>
      </c>
      <c r="C28" t="s">
        <v>12770</v>
      </c>
      <c r="D28" s="19">
        <v>27</v>
      </c>
      <c r="E28" s="19" t="str">
        <f t="shared" si="0"/>
        <v>E1_1_1_100</v>
      </c>
      <c r="F28" s="19" t="s">
        <v>13205</v>
      </c>
      <c r="G28" s="19" t="s">
        <v>14620</v>
      </c>
      <c r="H28" s="19" t="s">
        <v>13891</v>
      </c>
      <c r="I28" s="19" t="s">
        <v>15306</v>
      </c>
      <c r="J28" s="19" t="str">
        <f t="shared" si="1"/>
        <v>(${Variables:E1_1_1_100_kcat} * E1_1_1_100 * C05757 * C00006)/(${Variables:E1_1_1_100_km} + (E1_1_1_100 * C05757 * C00006))</v>
      </c>
      <c r="K28" s="37" t="str">
        <f t="shared" si="2"/>
        <v>r27: C05757 + C00006 -&gt; C05756 + C00005 + C00080 | (${Variables:E1_1_1_100_kcat} * E1_1_1_100 * C05757 * C00006)/(${Variables:E1_1_1_100_km} + (E1_1_1_100 * C05757 * C00006))</v>
      </c>
    </row>
    <row r="29" spans="1:11" ht="46.25" customHeight="1">
      <c r="A29" t="s">
        <v>2078</v>
      </c>
      <c r="B29" t="s">
        <v>2079</v>
      </c>
      <c r="C29" t="s">
        <v>12770</v>
      </c>
      <c r="D29" s="19">
        <v>28</v>
      </c>
      <c r="E29" s="19" t="str">
        <f t="shared" si="0"/>
        <v>E1_1_1_100</v>
      </c>
      <c r="F29" s="19" t="s">
        <v>13206</v>
      </c>
      <c r="G29" s="19" t="s">
        <v>14621</v>
      </c>
      <c r="H29" s="19" t="s">
        <v>13892</v>
      </c>
      <c r="I29" s="19" t="s">
        <v>15307</v>
      </c>
      <c r="J29" s="19" t="str">
        <f t="shared" si="1"/>
        <v>(${Variables:E1_1_1_100_kcat} * E1_1_1_100 * C16219 * C00005 * C00080)/(${Variables:E1_1_1_100_km} + (E1_1_1_100 * C16219 * C00005 * C00080))</v>
      </c>
      <c r="K29" s="37" t="str">
        <f t="shared" si="2"/>
        <v>r28: C16219 + C00005 + C00080 -&gt; C16220 + C00006 | (${Variables:E1_1_1_100_kcat} * E1_1_1_100 * C16219 * C00005 * C00080)/(${Variables:E1_1_1_100_km} + (E1_1_1_100 * C16219 * C00005 * C00080))</v>
      </c>
    </row>
    <row r="30" spans="1:11" ht="46.25" customHeight="1">
      <c r="A30" t="s">
        <v>2078</v>
      </c>
      <c r="B30" t="s">
        <v>2079</v>
      </c>
      <c r="C30" t="s">
        <v>12770</v>
      </c>
      <c r="D30" s="19">
        <v>29</v>
      </c>
      <c r="E30" s="19" t="str">
        <f t="shared" si="0"/>
        <v>E1_1_1_100</v>
      </c>
      <c r="F30" s="19" t="s">
        <v>13207</v>
      </c>
      <c r="G30" s="19" t="s">
        <v>14622</v>
      </c>
      <c r="H30" s="19" t="s">
        <v>13893</v>
      </c>
      <c r="I30" s="19" t="s">
        <v>15308</v>
      </c>
      <c r="J30" s="19" t="str">
        <f t="shared" si="1"/>
        <v>(${Variables:E1_1_1_100_kcat} * E1_1_1_100 * C20372 * C00005 * C00080)/(${Variables:E1_1_1_100_km} + (E1_1_1_100 * C20372 * C00005 * C00080))</v>
      </c>
      <c r="K30" s="37" t="str">
        <f t="shared" si="2"/>
        <v>r29: C20372 + C00005 + C00080 -&gt; C20373 + C00006 | (${Variables:E1_1_1_100_kcat} * E1_1_1_100 * C20372 * C00005 * C00080)/(${Variables:E1_1_1_100_km} + (E1_1_1_100 * C20372 * C00005 * C00080))</v>
      </c>
    </row>
    <row r="31" spans="1:11" ht="46.25" customHeight="1">
      <c r="A31" t="s">
        <v>2078</v>
      </c>
      <c r="B31" t="s">
        <v>2079</v>
      </c>
      <c r="C31" t="s">
        <v>12770</v>
      </c>
      <c r="D31" s="19">
        <v>30</v>
      </c>
      <c r="E31" s="19" t="str">
        <f t="shared" si="0"/>
        <v>E1_1_1_100</v>
      </c>
      <c r="F31" s="19" t="s">
        <v>13208</v>
      </c>
      <c r="G31" s="19" t="s">
        <v>14623</v>
      </c>
      <c r="H31" s="19" t="s">
        <v>13894</v>
      </c>
      <c r="I31" s="19" t="s">
        <v>15309</v>
      </c>
      <c r="J31" s="19" t="str">
        <f t="shared" si="1"/>
        <v>(${Variables:E1_1_1_100_kcat} * E1_1_1_100 * C20376 * C00005 * C00080)/(${Variables:E1_1_1_100_km} + (E1_1_1_100 * C20376 * C00005 * C00080))</v>
      </c>
      <c r="K31" s="37" t="str">
        <f t="shared" si="2"/>
        <v>r30: C20376 + C00005 + C00080 -&gt; C20377 + C00006 | (${Variables:E1_1_1_100_kcat} * E1_1_1_100 * C20376 * C00005 * C00080)/(${Variables:E1_1_1_100_km} + (E1_1_1_100 * C20376 * C00005 * C00080))</v>
      </c>
    </row>
    <row r="32" spans="1:11" ht="46.25" customHeight="1">
      <c r="A32" t="s">
        <v>3103</v>
      </c>
      <c r="B32" t="s">
        <v>3104</v>
      </c>
      <c r="C32" t="s">
        <v>16009</v>
      </c>
      <c r="D32" s="19">
        <v>31</v>
      </c>
      <c r="E32" s="19" t="str">
        <f t="shared" si="0"/>
        <v>E1_1_1_169</v>
      </c>
      <c r="F32" s="19" t="s">
        <v>13209</v>
      </c>
      <c r="G32" s="19" t="s">
        <v>14624</v>
      </c>
      <c r="H32" s="19" t="s">
        <v>13895</v>
      </c>
      <c r="I32" s="19" t="s">
        <v>15310</v>
      </c>
      <c r="J32" s="19" t="str">
        <f t="shared" si="1"/>
        <v>(${Variables:E1_1_1_169_kcat} * E1_1_1_169 * C00522 * C00006)/(${Variables:E1_1_1_169_km} + (E1_1_1_169 * C00522 * C00006))</v>
      </c>
      <c r="K32" s="37" t="str">
        <f t="shared" si="2"/>
        <v>r31: C00522 + C00006 -&gt; C00966 + C00005 + C00080 | (${Variables:E1_1_1_169_kcat} * E1_1_1_169 * C00522 * C00006)/(${Variables:E1_1_1_169_km} + (E1_1_1_169 * C00522 * C00006))</v>
      </c>
    </row>
    <row r="33" spans="1:11" ht="46.25" customHeight="1">
      <c r="A33" t="s">
        <v>8316</v>
      </c>
      <c r="B33" t="s">
        <v>8317</v>
      </c>
      <c r="C33" t="s">
        <v>16010</v>
      </c>
      <c r="D33" s="19">
        <v>32</v>
      </c>
      <c r="E33" s="19" t="str">
        <f t="shared" si="0"/>
        <v>E1_1_1_18</v>
      </c>
      <c r="F33" s="19" t="s">
        <v>13210</v>
      </c>
      <c r="G33" s="19" t="s">
        <v>14625</v>
      </c>
      <c r="H33" s="19" t="s">
        <v>13896</v>
      </c>
      <c r="I33" s="19" t="s">
        <v>15311</v>
      </c>
      <c r="J33" s="19" t="str">
        <f t="shared" si="1"/>
        <v>(${Variables:E1_1_1_18_kcat} * E1_1_1_18 * C00137 * C00003)/(${Variables:E1_1_1_18_km} + (E1_1_1_18 * C00137 * C00003))</v>
      </c>
      <c r="K33" s="37" t="str">
        <f t="shared" si="2"/>
        <v>r32: C00137 + C00003 -&gt; C00691 + C00004 + C00080 | (${Variables:E1_1_1_18_kcat} * E1_1_1_18 * C00137 * C00003)/(${Variables:E1_1_1_18_km} + (E1_1_1_18 * C00137 * C00003))</v>
      </c>
    </row>
    <row r="34" spans="1:11" ht="46.25" customHeight="1">
      <c r="A34" t="s">
        <v>4510</v>
      </c>
      <c r="B34" t="s">
        <v>4511</v>
      </c>
      <c r="C34" t="s">
        <v>12772</v>
      </c>
      <c r="D34" s="19">
        <v>33</v>
      </c>
      <c r="E34" s="19" t="str">
        <f t="shared" si="0"/>
        <v>E1_1_1_193</v>
      </c>
      <c r="F34" s="19" t="s">
        <v>13211</v>
      </c>
      <c r="G34" s="19" t="s">
        <v>14626</v>
      </c>
      <c r="H34" s="19" t="s">
        <v>13897</v>
      </c>
      <c r="I34" s="19" t="s">
        <v>15312</v>
      </c>
      <c r="J34" s="19" t="str">
        <f t="shared" si="1"/>
        <v>(${Variables:E1_1_1_193_kcat} * E1_1_1_193 * C04454 * C00006)/(${Variables:E1_1_1_193_km} + (E1_1_1_193 * C04454 * C00006))</v>
      </c>
      <c r="K34" s="37" t="str">
        <f t="shared" si="2"/>
        <v>r33: C04454 + C00006 -&gt; C01268 + C00005 + C00080 | (${Variables:E1_1_1_193_kcat} * E1_1_1_193 * C04454 * C00006)/(${Variables:E1_1_1_193_km} + (E1_1_1_193 * C04454 * C00006))</v>
      </c>
    </row>
    <row r="35" spans="1:11" ht="46.25" customHeight="1">
      <c r="A35" t="s">
        <v>1772</v>
      </c>
      <c r="B35" t="s">
        <v>1773</v>
      </c>
      <c r="C35" t="s">
        <v>12773</v>
      </c>
      <c r="D35" s="19">
        <v>34</v>
      </c>
      <c r="E35" s="19" t="str">
        <f t="shared" si="0"/>
        <v>E1_1_1_205</v>
      </c>
      <c r="F35" s="19" t="s">
        <v>13212</v>
      </c>
      <c r="G35" s="19" t="s">
        <v>14627</v>
      </c>
      <c r="H35" s="19" t="s">
        <v>13898</v>
      </c>
      <c r="I35" s="19" t="s">
        <v>15313</v>
      </c>
      <c r="J35" s="19" t="str">
        <f t="shared" si="1"/>
        <v>(${Variables:E1_1_1_205_kcat} * E1_1_1_205 * C00130 * C00003 * C00001)/(${Variables:E1_1_1_205_km} + (E1_1_1_205 * C00130 * C00003 * C00001))</v>
      </c>
      <c r="K35" s="37" t="str">
        <f t="shared" si="2"/>
        <v>r34: C00130 + C00003 + C00001 -&gt; C00655 + C00004 + C00080 | (${Variables:E1_1_1_205_kcat} * E1_1_1_205 * C00130 * C00003 * C00001)/(${Variables:E1_1_1_205_km} + (E1_1_1_205 * C00130 * C00003 * C00001))</v>
      </c>
    </row>
    <row r="36" spans="1:11" ht="58">
      <c r="A36" t="s">
        <v>1772</v>
      </c>
      <c r="B36" t="s">
        <v>1773</v>
      </c>
      <c r="C36" t="s">
        <v>12773</v>
      </c>
      <c r="D36" s="19">
        <v>35</v>
      </c>
      <c r="E36" s="19" t="str">
        <f t="shared" si="0"/>
        <v>E1_1_1_205</v>
      </c>
      <c r="F36" s="19" t="s">
        <v>13213</v>
      </c>
      <c r="G36" s="19" t="s">
        <v>14628</v>
      </c>
      <c r="H36" s="19" t="s">
        <v>13899</v>
      </c>
      <c r="I36" s="19" t="s">
        <v>15314</v>
      </c>
      <c r="J36" s="19" t="str">
        <f t="shared" si="1"/>
        <v>(${Variables:E1_1_1_205_kcat} * E1_1_1_205 * C04646 * C00003 * C00001)/(${Variables:E1_1_1_205_km} + (E1_1_1_205 * C04646 * C00003 * C00001))</v>
      </c>
      <c r="K36" s="37" t="str">
        <f t="shared" si="2"/>
        <v>r35: C04646 + C00003 + C00001 -&gt; C16618 + C00004 + C00080 | (${Variables:E1_1_1_205_kcat} * E1_1_1_205 * C04646 * C00003 * C00001)/(${Variables:E1_1_1_205_km} + (E1_1_1_205 * C04646 * C00003 * C00001))</v>
      </c>
    </row>
    <row r="37" spans="1:11" ht="46.25" customHeight="1">
      <c r="A37" t="s">
        <v>5799</v>
      </c>
      <c r="B37" t="s">
        <v>5800</v>
      </c>
      <c r="C37" t="s">
        <v>12774</v>
      </c>
      <c r="D37" s="19">
        <v>36</v>
      </c>
      <c r="E37" s="19" t="str">
        <f t="shared" si="0"/>
        <v>E1_1_1_23</v>
      </c>
      <c r="F37" s="19" t="s">
        <v>13214</v>
      </c>
      <c r="G37" s="19" t="s">
        <v>14629</v>
      </c>
      <c r="H37" s="19" t="s">
        <v>13900</v>
      </c>
      <c r="I37" s="19" t="s">
        <v>15315</v>
      </c>
      <c r="J37" s="19" t="str">
        <f t="shared" si="1"/>
        <v>(${Variables:E1_1_1_23_kcat} * E1_1_1_23 * C00860 * C00003 * C00001)/(${Variables:E1_1_1_23_km} + (E1_1_1_23 * C00860 * C00003 * C00001))</v>
      </c>
      <c r="K37" s="37" t="str">
        <f t="shared" si="2"/>
        <v>r36: C00860 + C00003 + C00001 -&gt; C00135 + C00004 + C00080 | (${Variables:E1_1_1_23_kcat} * E1_1_1_23 * C00860 * C00003 * C00001)/(${Variables:E1_1_1_23_km} + (E1_1_1_23 * C00860 * C00003 * C00001))</v>
      </c>
    </row>
    <row r="38" spans="1:11" ht="46.25" customHeight="1">
      <c r="A38" t="s">
        <v>5799</v>
      </c>
      <c r="B38" t="s">
        <v>5800</v>
      </c>
      <c r="C38" t="s">
        <v>12774</v>
      </c>
      <c r="D38" s="19">
        <v>37</v>
      </c>
      <c r="E38" s="19" t="str">
        <f t="shared" si="0"/>
        <v>E1_1_1_23</v>
      </c>
      <c r="F38" s="19" t="s">
        <v>13215</v>
      </c>
      <c r="G38" s="19" t="s">
        <v>14630</v>
      </c>
      <c r="H38" s="19" t="s">
        <v>13900</v>
      </c>
      <c r="I38" s="19" t="s">
        <v>15315</v>
      </c>
      <c r="J38" s="19" t="str">
        <f t="shared" si="1"/>
        <v>(${Variables:E1_1_1_23_kcat} * E1_1_1_23 * C01929 * C00001 * C00003)/(${Variables:E1_1_1_23_km} + (E1_1_1_23 * C01929 * C00001 * C00003))</v>
      </c>
      <c r="K38" s="37" t="str">
        <f t="shared" si="2"/>
        <v>r37: C01929 + C00001 + C00003 -&gt; C00135 + C00004 + C00080 | (${Variables:E1_1_1_23_kcat} * E1_1_1_23 * C01929 * C00001 * C00003)/(${Variables:E1_1_1_23_km} + (E1_1_1_23 * C01929 * C00001 * C00003))</v>
      </c>
    </row>
    <row r="39" spans="1:11" ht="46.25" customHeight="1">
      <c r="A39" t="s">
        <v>5799</v>
      </c>
      <c r="B39" t="s">
        <v>5800</v>
      </c>
      <c r="C39" t="s">
        <v>12774</v>
      </c>
      <c r="D39" s="19">
        <v>38</v>
      </c>
      <c r="E39" s="19" t="str">
        <f t="shared" si="0"/>
        <v>E1_1_1_23</v>
      </c>
      <c r="F39" s="19" t="s">
        <v>13216</v>
      </c>
      <c r="G39" s="19" t="s">
        <v>14631</v>
      </c>
      <c r="H39" s="19" t="s">
        <v>13901</v>
      </c>
      <c r="I39" s="19" t="s">
        <v>15316</v>
      </c>
      <c r="J39" s="19" t="str">
        <f t="shared" si="1"/>
        <v>(${Variables:E1_1_1_23_kcat} * E1_1_1_23 * C00860 * C00003)/(${Variables:E1_1_1_23_km} + (E1_1_1_23 * C00860 * C00003))</v>
      </c>
      <c r="K39" s="37" t="str">
        <f t="shared" si="2"/>
        <v>r38: C00860 + C00003 -&gt; C01929 + C00004 + C00080 | (${Variables:E1_1_1_23_kcat} * E1_1_1_23 * C00860 * C00003)/(${Variables:E1_1_1_23_km} + (E1_1_1_23 * C00860 * C00003))</v>
      </c>
    </row>
    <row r="40" spans="1:11" ht="46.25" customHeight="1">
      <c r="A40" t="s">
        <v>4615</v>
      </c>
      <c r="B40" t="s">
        <v>4616</v>
      </c>
      <c r="C40" t="s">
        <v>12775</v>
      </c>
      <c r="D40" s="19">
        <v>39</v>
      </c>
      <c r="E40" s="19" t="str">
        <f t="shared" si="0"/>
        <v>E1_1_1_25</v>
      </c>
      <c r="F40" s="19" t="s">
        <v>13217</v>
      </c>
      <c r="G40" s="19" t="s">
        <v>14632</v>
      </c>
      <c r="H40" s="19" t="s">
        <v>13902</v>
      </c>
      <c r="I40" s="19" t="s">
        <v>15317</v>
      </c>
      <c r="J40" s="19" t="str">
        <f t="shared" si="1"/>
        <v>(${Variables:E1_1_1_25_kcat} * E1_1_1_25 * C00493 * C00006)/(${Variables:E1_1_1_25_km} + (E1_1_1_25 * C00493 * C00006))</v>
      </c>
      <c r="K40" s="37" t="str">
        <f t="shared" si="2"/>
        <v>r39: C00493 + C00006 -&gt; C02637 + C00005 + C00080 | (${Variables:E1_1_1_25_kcat} * E1_1_1_25 * C00493 * C00006)/(${Variables:E1_1_1_25_km} + (E1_1_1_25 * C00493 * C00006))</v>
      </c>
    </row>
    <row r="41" spans="1:11" ht="46.25" customHeight="1">
      <c r="A41" t="s">
        <v>4615</v>
      </c>
      <c r="B41" t="s">
        <v>4616</v>
      </c>
      <c r="C41" t="s">
        <v>12775</v>
      </c>
      <c r="D41" s="19">
        <v>40</v>
      </c>
      <c r="E41" s="19" t="str">
        <f t="shared" si="0"/>
        <v>E1_1_1_25</v>
      </c>
      <c r="F41" s="19" t="s">
        <v>13218</v>
      </c>
      <c r="G41" s="19" t="s">
        <v>14633</v>
      </c>
      <c r="H41" s="19" t="s">
        <v>13903</v>
      </c>
      <c r="I41" s="19" t="s">
        <v>15318</v>
      </c>
      <c r="J41" s="19" t="str">
        <f t="shared" si="1"/>
        <v>(${Variables:E1_1_1_25_kcat} * E1_1_1_25 * C02637 * C00006)/(${Variables:E1_1_1_25_km} + (E1_1_1_25 * C02637 * C00006))</v>
      </c>
      <c r="K41" s="37" t="str">
        <f t="shared" si="2"/>
        <v>r40: C02637 + C00006 -&gt; C22438 + C00005 + C00080 | (${Variables:E1_1_1_25_kcat} * E1_1_1_25 * C02637 * C00006)/(${Variables:E1_1_1_25_km} + (E1_1_1_25 * C02637 * C00006))</v>
      </c>
    </row>
    <row r="42" spans="1:11" ht="46.25" customHeight="1">
      <c r="A42" t="s">
        <v>5554</v>
      </c>
      <c r="B42" t="s">
        <v>5555</v>
      </c>
      <c r="C42" t="s">
        <v>12776</v>
      </c>
      <c r="D42" s="19">
        <v>41</v>
      </c>
      <c r="E42" s="19" t="str">
        <f t="shared" si="0"/>
        <v>E1_1_1_267</v>
      </c>
      <c r="F42" s="19" t="s">
        <v>13219</v>
      </c>
      <c r="G42" s="19" t="s">
        <v>14634</v>
      </c>
      <c r="H42" s="19" t="s">
        <v>13904</v>
      </c>
      <c r="I42" s="19" t="s">
        <v>15319</v>
      </c>
      <c r="J42" s="19" t="str">
        <f t="shared" si="1"/>
        <v>(${Variables:E1_1_1_267_kcat} * E1_1_1_267 * C11434 * C00006)/(${Variables:E1_1_1_267_km} + (E1_1_1_267 * C11434 * C00006))</v>
      </c>
      <c r="K42" s="37" t="str">
        <f t="shared" si="2"/>
        <v>r41: C11434 + C00006 -&gt; C11437 + C00005 + C00080 | (${Variables:E1_1_1_267_kcat} * E1_1_1_267 * C11434 * C00006)/(${Variables:E1_1_1_267_km} + (E1_1_1_267 * C11434 * C00006))</v>
      </c>
    </row>
    <row r="43" spans="1:11" ht="46.25" customHeight="1">
      <c r="A43" t="s">
        <v>7934</v>
      </c>
      <c r="B43" t="s">
        <v>7935</v>
      </c>
      <c r="C43" t="s">
        <v>12777</v>
      </c>
      <c r="D43" s="19">
        <v>42</v>
      </c>
      <c r="E43" s="19" t="str">
        <f t="shared" si="0"/>
        <v>E1_1_1_27</v>
      </c>
      <c r="F43" s="19" t="s">
        <v>13220</v>
      </c>
      <c r="G43" s="19" t="s">
        <v>14635</v>
      </c>
      <c r="H43" s="19" t="s">
        <v>13905</v>
      </c>
      <c r="I43" s="19" t="s">
        <v>15320</v>
      </c>
      <c r="J43" s="19" t="str">
        <f t="shared" si="1"/>
        <v>(${Variables:E1_1_1_27_kcat} * E1_1_1_27 * C00186 * C00003 )/(${Variables:E1_1_1_27_km} + (E1_1_1_27 * C00186 * C00003 ))</v>
      </c>
      <c r="K43" s="37" t="str">
        <f t="shared" si="2"/>
        <v>r42: C00186 + C00003  -&gt; C00022 + C00004 + C00080 | (${Variables:E1_1_1_27_kcat} * E1_1_1_27 * C00186 * C00003 )/(${Variables:E1_1_1_27_km} + (E1_1_1_27 * C00186 * C00003 ))</v>
      </c>
    </row>
    <row r="44" spans="1:11" ht="46.25" customHeight="1">
      <c r="A44" t="s">
        <v>7934</v>
      </c>
      <c r="B44" t="s">
        <v>7935</v>
      </c>
      <c r="C44" t="s">
        <v>12777</v>
      </c>
      <c r="D44" s="19">
        <v>43</v>
      </c>
      <c r="E44" s="19" t="str">
        <f t="shared" si="0"/>
        <v>E1_1_1_27</v>
      </c>
      <c r="F44" s="19" t="s">
        <v>13221</v>
      </c>
      <c r="G44" s="19" t="s">
        <v>14636</v>
      </c>
      <c r="H44" s="19" t="s">
        <v>13906</v>
      </c>
      <c r="I44" s="19" t="s">
        <v>15321</v>
      </c>
      <c r="J44" s="19" t="str">
        <f t="shared" si="1"/>
        <v>(${Variables:E1_1_1_27_kcat} * E1_1_1_27 * C05984 * C00003)/(${Variables:E1_1_1_27_km} + (E1_1_1_27 * C05984 * C00003))</v>
      </c>
      <c r="K44" s="37" t="str">
        <f t="shared" si="2"/>
        <v>r43: C05984 + C00003 -&gt; C00109 + C00004 + C00080 | (${Variables:E1_1_1_27_kcat} * E1_1_1_27 * C05984 * C00003)/(${Variables:E1_1_1_27_km} + (E1_1_1_27 * C05984 * C00003))</v>
      </c>
    </row>
    <row r="45" spans="1:11" ht="46.25" customHeight="1">
      <c r="A45" t="s">
        <v>7934</v>
      </c>
      <c r="B45" t="s">
        <v>7935</v>
      </c>
      <c r="C45" t="s">
        <v>12777</v>
      </c>
      <c r="D45" s="19">
        <v>44</v>
      </c>
      <c r="E45" s="19" t="str">
        <f t="shared" si="0"/>
        <v>E1_1_1_27</v>
      </c>
      <c r="F45" s="19" t="s">
        <v>13222</v>
      </c>
      <c r="G45" s="19" t="s">
        <v>14637</v>
      </c>
      <c r="H45" s="19" t="s">
        <v>13907</v>
      </c>
      <c r="I45" s="19" t="s">
        <v>15322</v>
      </c>
      <c r="J45" s="19" t="str">
        <f t="shared" si="1"/>
        <v>(${Variables:E1_1_1_27_kcat} * E1_1_1_27 * C05823 * C00003)/(${Variables:E1_1_1_27_km} + (E1_1_1_27 * C05823 * C00003))</v>
      </c>
      <c r="K45" s="37" t="str">
        <f t="shared" si="2"/>
        <v>r44: C05823 + C00003 -&gt; C00957 + C00004 + C00080 | (${Variables:E1_1_1_27_kcat} * E1_1_1_27 * C05823 * C00003)/(${Variables:E1_1_1_27_km} + (E1_1_1_27 * C05823 * C00003))</v>
      </c>
    </row>
    <row r="46" spans="1:11" ht="46.25" customHeight="1">
      <c r="A46" t="s">
        <v>2609</v>
      </c>
      <c r="B46" t="s">
        <v>2610</v>
      </c>
      <c r="C46" t="s">
        <v>12778</v>
      </c>
      <c r="D46" s="19">
        <v>45</v>
      </c>
      <c r="E46" s="19" t="str">
        <f t="shared" si="0"/>
        <v>E1_1_1_28</v>
      </c>
      <c r="F46" s="19" t="s">
        <v>13223</v>
      </c>
      <c r="G46" s="19" t="s">
        <v>14638</v>
      </c>
      <c r="H46" s="19" t="s">
        <v>13905</v>
      </c>
      <c r="I46" s="19" t="s">
        <v>15320</v>
      </c>
      <c r="J46" s="19" t="str">
        <f t="shared" si="1"/>
        <v>(${Variables:E1_1_1_28_kcat} * E1_1_1_28 * C00256 * C00003)/(${Variables:E1_1_1_28_km} + (E1_1_1_28 * C00256 * C00003))</v>
      </c>
      <c r="K46" s="37" t="str">
        <f t="shared" si="2"/>
        <v>r45: C00256 + C00003 -&gt; C00022 + C00004 + C00080 | (${Variables:E1_1_1_28_kcat} * E1_1_1_28 * C00256 * C00003)/(${Variables:E1_1_1_28_km} + (E1_1_1_28 * C00256 * C00003))</v>
      </c>
    </row>
    <row r="47" spans="1:11" ht="46.25" customHeight="1">
      <c r="A47" t="s">
        <v>8196</v>
      </c>
      <c r="B47" t="s">
        <v>8197</v>
      </c>
      <c r="C47" t="s">
        <v>12779</v>
      </c>
      <c r="D47" s="19">
        <v>46</v>
      </c>
      <c r="E47" s="19" t="str">
        <f t="shared" si="0"/>
        <v>E1_1_1_298</v>
      </c>
      <c r="F47" s="19" t="s">
        <v>13224</v>
      </c>
      <c r="G47" s="19" t="s">
        <v>14639</v>
      </c>
      <c r="H47" s="19" t="s">
        <v>13908</v>
      </c>
      <c r="I47" s="19" t="s">
        <v>15323</v>
      </c>
      <c r="J47" s="19" t="str">
        <f t="shared" si="1"/>
        <v>(${Variables:E1_1_1_298_kcat} * E1_1_1_298 * C01013 * C00006)/(${Variables:E1_1_1_298_km} + (E1_1_1_298 * C01013 * C00006))</v>
      </c>
      <c r="K47" s="37" t="str">
        <f t="shared" si="2"/>
        <v>r46: C01013 + C00006 -&gt; C00222 + C00005 + C00080 | (${Variables:E1_1_1_298_kcat} * E1_1_1_298 * C01013 * C00006)/(${Variables:E1_1_1_298_km} + (E1_1_1_298 * C01013 * C00006))</v>
      </c>
    </row>
    <row r="48" spans="1:11" ht="46.25" customHeight="1">
      <c r="A48" t="s">
        <v>3362</v>
      </c>
      <c r="B48" t="s">
        <v>3363</v>
      </c>
      <c r="C48" t="s">
        <v>12780</v>
      </c>
      <c r="D48" s="19">
        <v>47</v>
      </c>
      <c r="E48" s="19" t="str">
        <f t="shared" si="0"/>
        <v>E1_1_1_3</v>
      </c>
      <c r="F48" s="19" t="s">
        <v>13225</v>
      </c>
      <c r="G48" s="19" t="s">
        <v>14640</v>
      </c>
      <c r="H48" s="19" t="s">
        <v>13909</v>
      </c>
      <c r="I48" s="19" t="s">
        <v>15324</v>
      </c>
      <c r="J48" s="19" t="str">
        <f t="shared" si="1"/>
        <v>(${Variables:E1_1_1_3_kcat} * E1_1_1_3 * C00263 * C00003)/(${Variables:E1_1_1_3_km} + (E1_1_1_3 * C00263 * C00003))</v>
      </c>
      <c r="K48" s="37" t="str">
        <f t="shared" si="2"/>
        <v>r47: C00263 + C00003 -&gt; C00441 + C00004 + C00080 | (${Variables:E1_1_1_3_kcat} * E1_1_1_3 * C00263 * C00003)/(${Variables:E1_1_1_3_km} + (E1_1_1_3 * C00263 * C00003))</v>
      </c>
    </row>
    <row r="49" spans="1:11" ht="46.25" customHeight="1">
      <c r="A49" t="s">
        <v>3362</v>
      </c>
      <c r="B49" t="s">
        <v>3363</v>
      </c>
      <c r="C49" t="s">
        <v>12780</v>
      </c>
      <c r="D49" s="19">
        <v>48</v>
      </c>
      <c r="E49" s="19" t="str">
        <f t="shared" si="0"/>
        <v>E1_1_1_3</v>
      </c>
      <c r="F49" s="19" t="s">
        <v>13226</v>
      </c>
      <c r="G49" s="19" t="s">
        <v>14641</v>
      </c>
      <c r="H49" s="19" t="s">
        <v>13910</v>
      </c>
      <c r="I49" s="19" t="s">
        <v>15325</v>
      </c>
      <c r="J49" s="19" t="str">
        <f t="shared" si="1"/>
        <v>(${Variables:E1_1_1_3_kcat} * E1_1_1_3 * C00263 * C00006)/(${Variables:E1_1_1_3_km} + (E1_1_1_3 * C00263 * C00006))</v>
      </c>
      <c r="K49" s="37" t="str">
        <f t="shared" si="2"/>
        <v>r48: C00263 + C00006 -&gt; C00441 + C00005 + C00080 | (${Variables:E1_1_1_3_kcat} * E1_1_1_3 * C00263 * C00006)/(${Variables:E1_1_1_3_km} + (E1_1_1_3 * C00263 * C00006))</v>
      </c>
    </row>
    <row r="50" spans="1:11" ht="46.25" customHeight="1">
      <c r="A50" t="s">
        <v>963</v>
      </c>
      <c r="B50" t="s">
        <v>964</v>
      </c>
      <c r="C50" t="s">
        <v>12781</v>
      </c>
      <c r="D50" s="19">
        <v>49</v>
      </c>
      <c r="E50" s="19" t="str">
        <f t="shared" si="0"/>
        <v>E1_1_1_306</v>
      </c>
      <c r="F50" s="19" t="s">
        <v>13227</v>
      </c>
      <c r="G50" s="19" t="s">
        <v>14642</v>
      </c>
      <c r="H50" s="19" t="s">
        <v>13911</v>
      </c>
      <c r="I50" s="19" t="s">
        <v>15326</v>
      </c>
      <c r="J50" s="19" t="str">
        <f t="shared" si="1"/>
        <v>(${Variables:E1_1_1_306_kcat} * E1_1_1_306 * C18235 * C00003)/(${Variables:E1_1_1_306_km} + (E1_1_1_306 * C18235 * C00003))</v>
      </c>
      <c r="K50" s="37" t="str">
        <f t="shared" si="2"/>
        <v>r49: C18235 + C00003 -&gt; C06718 + C00004 + C00080 | (${Variables:E1_1_1_306_kcat} * E1_1_1_306 * C18235 * C00003)/(${Variables:E1_1_1_306_km} + (E1_1_1_306 * C18235 * C00003))</v>
      </c>
    </row>
    <row r="51" spans="1:11" ht="46.25" customHeight="1">
      <c r="A51" t="s">
        <v>963</v>
      </c>
      <c r="B51" t="s">
        <v>964</v>
      </c>
      <c r="C51" t="s">
        <v>12781</v>
      </c>
      <c r="D51" s="19">
        <v>50</v>
      </c>
      <c r="E51" s="19" t="str">
        <f t="shared" si="0"/>
        <v>E1_1_1_306</v>
      </c>
      <c r="F51" s="19" t="s">
        <v>13228</v>
      </c>
      <c r="G51" s="19" t="s">
        <v>14643</v>
      </c>
      <c r="H51" s="19" t="s">
        <v>13912</v>
      </c>
      <c r="I51" s="19" t="s">
        <v>15327</v>
      </c>
      <c r="J51" s="19" t="str">
        <f t="shared" si="1"/>
        <v>(${Variables:E1_1_1_306_kcat} * E1_1_1_306 * C18235 * C00003 * C00001)/(${Variables:E1_1_1_306_km} + (E1_1_1_306 * C18235 * C00003 * C00001))</v>
      </c>
      <c r="K51" s="37" t="str">
        <f t="shared" si="2"/>
        <v>r50: C18235 + C00003 + C00001 -&gt; C00058 + C06717 + C00004 + C00080 | (${Variables:E1_1_1_306_kcat} * E1_1_1_306 * C18235 * C00003 * C00001)/(${Variables:E1_1_1_306_km} + (E1_1_1_306 * C18235 * C00003 * C00001))</v>
      </c>
    </row>
    <row r="52" spans="1:11" ht="46.25" customHeight="1">
      <c r="A52" t="s">
        <v>582</v>
      </c>
      <c r="B52" t="s">
        <v>583</v>
      </c>
      <c r="C52" t="s">
        <v>12782</v>
      </c>
      <c r="D52" s="19">
        <v>51</v>
      </c>
      <c r="E52" s="19" t="str">
        <f t="shared" si="0"/>
        <v>E1_1_1_333</v>
      </c>
      <c r="F52" s="19" t="s">
        <v>13229</v>
      </c>
      <c r="G52" s="19" t="s">
        <v>14644</v>
      </c>
      <c r="H52" s="19" t="s">
        <v>13913</v>
      </c>
      <c r="I52" s="19" t="s">
        <v>15328</v>
      </c>
      <c r="J52" s="19" t="str">
        <f t="shared" si="1"/>
        <v>(${Variables:E1_1_1_333_kcat} * E1_1_1_333 * C20370 * C00003)/(${Variables:E1_1_1_333_km} + (E1_1_1_333 * C20370 * C00003))</v>
      </c>
      <c r="K52" s="37" t="str">
        <f t="shared" si="2"/>
        <v>r51: C20370 + C00003 -&gt; C20369 + C00004 + C00080 | (${Variables:E1_1_1_333_kcat} * E1_1_1_333 * C20370 * C00003)/(${Variables:E1_1_1_333_km} + (E1_1_1_333 * C20370 * C00003))</v>
      </c>
    </row>
    <row r="53" spans="1:11" ht="46.25" customHeight="1">
      <c r="A53" t="s">
        <v>6561</v>
      </c>
      <c r="B53" t="s">
        <v>6562</v>
      </c>
      <c r="C53" t="s">
        <v>12783</v>
      </c>
      <c r="D53" s="19">
        <v>52</v>
      </c>
      <c r="E53" s="19" t="str">
        <f t="shared" si="0"/>
        <v>E1_1_1_37</v>
      </c>
      <c r="F53" s="19" t="s">
        <v>13230</v>
      </c>
      <c r="G53" s="19" t="s">
        <v>14645</v>
      </c>
      <c r="H53" s="19" t="s">
        <v>13914</v>
      </c>
      <c r="I53" s="19" t="s">
        <v>15329</v>
      </c>
      <c r="J53" s="19" t="str">
        <f t="shared" si="1"/>
        <v>(${Variables:E1_1_1_37_kcat} * E1_1_1_37 * C00149 * C00003)/(${Variables:E1_1_1_37_km} + (E1_1_1_37 * C00149 * C00003))</v>
      </c>
      <c r="K53" s="37" t="str">
        <f t="shared" si="2"/>
        <v>r52: C00149 + C00003 -&gt; C00036 + C00004 + C00080 | (${Variables:E1_1_1_37_kcat} * E1_1_1_37 * C00149 * C00003)/(${Variables:E1_1_1_37_km} + (E1_1_1_37 * C00149 * C00003))</v>
      </c>
    </row>
    <row r="54" spans="1:11" ht="46.25" customHeight="1">
      <c r="A54" t="s">
        <v>6561</v>
      </c>
      <c r="B54" t="s">
        <v>6562</v>
      </c>
      <c r="C54" t="s">
        <v>12783</v>
      </c>
      <c r="D54" s="19">
        <v>53</v>
      </c>
      <c r="E54" s="19" t="str">
        <f t="shared" si="0"/>
        <v>E1_1_1_37</v>
      </c>
      <c r="F54" s="19" t="s">
        <v>13231</v>
      </c>
      <c r="G54" s="19" t="s">
        <v>14646</v>
      </c>
      <c r="H54" s="19" t="s">
        <v>13915</v>
      </c>
      <c r="I54" s="19" t="s">
        <v>15330</v>
      </c>
      <c r="J54" s="19" t="str">
        <f t="shared" si="1"/>
        <v>(${Variables:E1_1_1_37_kcat} * E1_1_1_37 * C04367 * C00003)/(${Variables:E1_1_1_37_km} + (E1_1_1_37 * C04367 * C00003))</v>
      </c>
      <c r="K54" s="37" t="str">
        <f t="shared" si="2"/>
        <v>r53: C04367 + C00003 -&gt; C01244 + C00004 + C00080 | (${Variables:E1_1_1_37_kcat} * E1_1_1_37 * C04367 * C00003)/(${Variables:E1_1_1_37_km} + (E1_1_1_37 * C04367 * C00003))</v>
      </c>
    </row>
    <row r="55" spans="1:11" ht="46.25" customHeight="1">
      <c r="A55" t="s">
        <v>6561</v>
      </c>
      <c r="B55" t="s">
        <v>6562</v>
      </c>
      <c r="C55" t="s">
        <v>12783</v>
      </c>
      <c r="D55" s="19">
        <v>54</v>
      </c>
      <c r="E55" s="19" t="str">
        <f t="shared" si="0"/>
        <v>E1_1_1_37</v>
      </c>
      <c r="F55" s="19" t="s">
        <v>13232</v>
      </c>
      <c r="G55" s="19" t="s">
        <v>14647</v>
      </c>
      <c r="H55" s="19" t="s">
        <v>13916</v>
      </c>
      <c r="I55" s="19" t="s">
        <v>15331</v>
      </c>
      <c r="J55" s="19" t="str">
        <f t="shared" si="1"/>
        <v>(${Variables:E1_1_1_37_kcat} * E1_1_1_37 * C11537 * C00003)/(${Variables:E1_1_1_37_km} + (E1_1_1_37 * C11537 * C00003))</v>
      </c>
      <c r="K55" s="37" t="str">
        <f t="shared" si="2"/>
        <v>r54: C11537 + C00003 -&gt; C05528 + C00004 + C00080 | (${Variables:E1_1_1_37_kcat} * E1_1_1_37 * C11537 * C00003)/(${Variables:E1_1_1_37_km} + (E1_1_1_37 * C11537 * C00003))</v>
      </c>
    </row>
    <row r="56" spans="1:11" ht="46.25" customHeight="1">
      <c r="A56" t="s">
        <v>8175</v>
      </c>
      <c r="B56" t="s">
        <v>8176</v>
      </c>
      <c r="C56" t="s">
        <v>12784</v>
      </c>
      <c r="D56" s="19">
        <v>55</v>
      </c>
      <c r="E56" s="19" t="str">
        <f t="shared" si="0"/>
        <v>E1_1_1_40</v>
      </c>
      <c r="F56" s="19" t="s">
        <v>13233</v>
      </c>
      <c r="G56" s="19" t="s">
        <v>14648</v>
      </c>
      <c r="H56" s="19" t="s">
        <v>13917</v>
      </c>
      <c r="I56" s="19" t="s">
        <v>15332</v>
      </c>
      <c r="J56" s="19" t="str">
        <f t="shared" si="1"/>
        <v>(${Variables:E1_1_1_40_kcat} * E1_1_1_40 * C00149 * C00006)/(${Variables:E1_1_1_40_km} + (E1_1_1_40 * C00149 * C00006))</v>
      </c>
      <c r="K56" s="37" t="str">
        <f t="shared" si="2"/>
        <v>r55: C00149 + C00006 -&gt; C00022 + C00011 + C00005 + C00080 | (${Variables:E1_1_1_40_kcat} * E1_1_1_40 * C00149 * C00006)/(${Variables:E1_1_1_40_km} + (E1_1_1_40 * C00149 * C00006))</v>
      </c>
    </row>
    <row r="57" spans="1:11" ht="46.25" customHeight="1">
      <c r="A57" t="s">
        <v>8175</v>
      </c>
      <c r="B57" t="s">
        <v>8176</v>
      </c>
      <c r="C57" t="s">
        <v>12784</v>
      </c>
      <c r="D57" s="19">
        <v>56</v>
      </c>
      <c r="E57" s="19" t="str">
        <f t="shared" si="0"/>
        <v>E1_1_1_40</v>
      </c>
      <c r="F57" s="19" t="s">
        <v>11824</v>
      </c>
      <c r="G57" s="19" t="s">
        <v>11824</v>
      </c>
      <c r="H57" s="19" t="s">
        <v>13918</v>
      </c>
      <c r="I57" s="19" t="s">
        <v>15333</v>
      </c>
      <c r="J57" s="19" t="str">
        <f t="shared" si="1"/>
        <v>(${Variables:E1_1_1_40_kcat} * E1_1_1_40 * C00036 )/(${Variables:E1_1_1_40_km} + (E1_1_1_40 * C00036 ))</v>
      </c>
      <c r="K57" s="37" t="str">
        <f t="shared" si="2"/>
        <v>r56: C00036  -&gt; C00022 + C00011 | (${Variables:E1_1_1_40_kcat} * E1_1_1_40 * C00036 )/(${Variables:E1_1_1_40_km} + (E1_1_1_40 * C00036 ))</v>
      </c>
    </row>
    <row r="58" spans="1:11" ht="46.25" customHeight="1">
      <c r="A58" t="s">
        <v>1936</v>
      </c>
      <c r="B58" t="s">
        <v>1937</v>
      </c>
      <c r="C58" t="s">
        <v>12785</v>
      </c>
      <c r="D58" s="19">
        <v>57</v>
      </c>
      <c r="E58" s="19" t="str">
        <f t="shared" si="0"/>
        <v>E1_1_1_42</v>
      </c>
      <c r="F58" s="19" t="s">
        <v>13234</v>
      </c>
      <c r="G58" s="19" t="s">
        <v>14649</v>
      </c>
      <c r="H58" s="19" t="s">
        <v>13919</v>
      </c>
      <c r="I58" s="19" t="s">
        <v>15334</v>
      </c>
      <c r="J58" s="19" t="str">
        <f t="shared" si="1"/>
        <v>(${Variables:E1_1_1_42_kcat} * E1_1_1_42 * C00311 * C00006)/(${Variables:E1_1_1_42_km} + (E1_1_1_42 * C00311 * C00006))</v>
      </c>
      <c r="K58" s="37" t="str">
        <f t="shared" si="2"/>
        <v>r57: C00311 + C00006 -&gt; C00026 + C00011 + C00005 + C00080 | (${Variables:E1_1_1_42_kcat} * E1_1_1_42 * C00311 * C00006)/(${Variables:E1_1_1_42_km} + (E1_1_1_42 * C00311 * C00006))</v>
      </c>
    </row>
    <row r="59" spans="1:11" ht="46.25" customHeight="1">
      <c r="A59" t="s">
        <v>1936</v>
      </c>
      <c r="B59" t="s">
        <v>1937</v>
      </c>
      <c r="C59" t="s">
        <v>12785</v>
      </c>
      <c r="D59" s="19">
        <v>58</v>
      </c>
      <c r="E59" s="19" t="str">
        <f t="shared" si="0"/>
        <v>E1_1_1_42</v>
      </c>
      <c r="F59" s="19" t="s">
        <v>10190</v>
      </c>
      <c r="G59" s="19" t="s">
        <v>10190</v>
      </c>
      <c r="H59" s="19" t="s">
        <v>13920</v>
      </c>
      <c r="I59" s="19" t="s">
        <v>15335</v>
      </c>
      <c r="J59" s="19" t="str">
        <f t="shared" si="1"/>
        <v>(${Variables:E1_1_1_42_kcat} * E1_1_1_42 * C05379)/(${Variables:E1_1_1_42_km} + (E1_1_1_42 * C05379))</v>
      </c>
      <c r="K59" s="37" t="str">
        <f t="shared" si="2"/>
        <v>r58: C05379 -&gt; C00026 + C00011 | (${Variables:E1_1_1_42_kcat} * E1_1_1_42 * C05379)/(${Variables:E1_1_1_42_km} + (E1_1_1_42 * C05379))</v>
      </c>
    </row>
    <row r="60" spans="1:11" ht="46.25" customHeight="1">
      <c r="A60" t="s">
        <v>1936</v>
      </c>
      <c r="B60" t="s">
        <v>1937</v>
      </c>
      <c r="C60" t="s">
        <v>12785</v>
      </c>
      <c r="D60" s="19">
        <v>59</v>
      </c>
      <c r="E60" s="19" t="str">
        <f t="shared" si="0"/>
        <v>E1_1_1_42</v>
      </c>
      <c r="F60" s="19" t="s">
        <v>13234</v>
      </c>
      <c r="G60" s="19" t="s">
        <v>14649</v>
      </c>
      <c r="H60" s="19" t="s">
        <v>13921</v>
      </c>
      <c r="I60" s="19" t="s">
        <v>15336</v>
      </c>
      <c r="J60" s="19" t="str">
        <f t="shared" si="1"/>
        <v>(${Variables:E1_1_1_42_kcat} * E1_1_1_42 * C00311 * C00006)/(${Variables:E1_1_1_42_km} + (E1_1_1_42 * C00311 * C00006))</v>
      </c>
      <c r="K60" s="37" t="str">
        <f t="shared" si="2"/>
        <v>r59: C00311 + C00006 -&gt; C05379 + C00005 + C00080 | (${Variables:E1_1_1_42_kcat} * E1_1_1_42 * C00311 * C00006)/(${Variables:E1_1_1_42_km} + (E1_1_1_42 * C00311 * C00006))</v>
      </c>
    </row>
    <row r="61" spans="1:11" ht="46.25" customHeight="1">
      <c r="A61" t="s">
        <v>4096</v>
      </c>
      <c r="B61" t="s">
        <v>4097</v>
      </c>
      <c r="C61" t="s">
        <v>12786</v>
      </c>
      <c r="D61" s="19">
        <v>60</v>
      </c>
      <c r="E61" s="19" t="str">
        <f t="shared" si="0"/>
        <v>E1_1_1_44</v>
      </c>
      <c r="F61" s="19" t="s">
        <v>13235</v>
      </c>
      <c r="G61" s="19" t="s">
        <v>14650</v>
      </c>
      <c r="H61" s="19" t="s">
        <v>13922</v>
      </c>
      <c r="I61" s="19" t="s">
        <v>15337</v>
      </c>
      <c r="J61" s="19" t="str">
        <f t="shared" si="1"/>
        <v>(${Variables:E1_1_1_44_kcat} * E1_1_1_44 * C00345 * C00006)/(${Variables:E1_1_1_44_km} + (E1_1_1_44 * C00345 * C00006))</v>
      </c>
      <c r="K61" s="37" t="str">
        <f t="shared" si="2"/>
        <v>r60: C00345 + C00006 -&gt; C00199 + C00011 + C00005 + C00080 | (${Variables:E1_1_1_44_kcat} * E1_1_1_44 * C00345 * C00006)/(${Variables:E1_1_1_44_km} + (E1_1_1_44 * C00345 * C00006))</v>
      </c>
    </row>
    <row r="62" spans="1:11" ht="46.25" customHeight="1">
      <c r="A62" t="s">
        <v>4440</v>
      </c>
      <c r="B62" t="s">
        <v>4441</v>
      </c>
      <c r="C62" t="s">
        <v>12787</v>
      </c>
      <c r="D62" s="19">
        <v>61</v>
      </c>
      <c r="E62" s="19" t="str">
        <f t="shared" si="0"/>
        <v>E1_1_1_49</v>
      </c>
      <c r="F62" s="19" t="s">
        <v>13236</v>
      </c>
      <c r="G62" s="19" t="s">
        <v>14651</v>
      </c>
      <c r="H62" s="19" t="s">
        <v>13923</v>
      </c>
      <c r="I62" s="19" t="s">
        <v>15338</v>
      </c>
      <c r="J62" s="19" t="str">
        <f t="shared" si="1"/>
        <v>(${Variables:E1_1_1_49_kcat} * E1_1_1_49 * C00092 * C00006)/(${Variables:E1_1_1_49_km} + (E1_1_1_49 * C00092 * C00006))</v>
      </c>
      <c r="K62" s="37" t="str">
        <f t="shared" si="2"/>
        <v>r61: C00092 + C00006 -&gt; C01236 + C00005 + C00080 | (${Variables:E1_1_1_49_kcat} * E1_1_1_49 * C00092 * C00006)/(${Variables:E1_1_1_49_km} + (E1_1_1_49 * C00092 * C00006))</v>
      </c>
    </row>
    <row r="63" spans="1:11" ht="46.25" customHeight="1">
      <c r="A63" t="s">
        <v>4440</v>
      </c>
      <c r="B63" t="s">
        <v>4441</v>
      </c>
      <c r="C63" t="s">
        <v>12787</v>
      </c>
      <c r="D63" s="19">
        <v>62</v>
      </c>
      <c r="E63" s="19" t="str">
        <f t="shared" si="0"/>
        <v>E1_1_1_49</v>
      </c>
      <c r="F63" s="19" t="s">
        <v>13237</v>
      </c>
      <c r="G63" s="19" t="s">
        <v>14652</v>
      </c>
      <c r="H63" s="19" t="s">
        <v>13923</v>
      </c>
      <c r="I63" s="19" t="s">
        <v>15338</v>
      </c>
      <c r="J63" s="19" t="str">
        <f t="shared" si="1"/>
        <v>(${Variables:E1_1_1_49_kcat} * E1_1_1_49 * C01172 * C00006)/(${Variables:E1_1_1_49_km} + (E1_1_1_49 * C01172 * C00006))</v>
      </c>
      <c r="K63" s="37" t="str">
        <f t="shared" si="2"/>
        <v>r62: C01172 + C00006 -&gt; C01236 + C00005 + C00080 | (${Variables:E1_1_1_49_kcat} * E1_1_1_49 * C01172 * C00006)/(${Variables:E1_1_1_49_km} + (E1_1_1_49 * C01172 * C00006))</v>
      </c>
    </row>
    <row r="64" spans="1:11" ht="46.25" customHeight="1">
      <c r="A64" t="s">
        <v>3648</v>
      </c>
      <c r="B64" t="s">
        <v>3649</v>
      </c>
      <c r="C64" t="s">
        <v>12788</v>
      </c>
      <c r="D64" s="19">
        <v>63</v>
      </c>
      <c r="E64" s="19" t="str">
        <f t="shared" si="0"/>
        <v>E1_1_1_85</v>
      </c>
      <c r="F64" s="19" t="s">
        <v>13238</v>
      </c>
      <c r="G64" s="19" t="s">
        <v>14653</v>
      </c>
      <c r="H64" s="19" t="s">
        <v>9818</v>
      </c>
      <c r="I64" s="19" t="s">
        <v>9818</v>
      </c>
      <c r="J64" s="19" t="str">
        <f t="shared" si="1"/>
        <v>(${Variables:E1_1_1_85_kcat} * E1_1_1_85 * C00233 * C00011)/(${Variables:E1_1_1_85_km} + (E1_1_1_85 * C00233 * C00011))</v>
      </c>
      <c r="K64" s="37" t="str">
        <f t="shared" si="2"/>
        <v>r63: C00233 + C00011 -&gt; C04236 | (${Variables:E1_1_1_85_kcat} * E1_1_1_85 * C00233 * C00011)/(${Variables:E1_1_1_85_km} + (E1_1_1_85 * C00233 * C00011))</v>
      </c>
    </row>
    <row r="65" spans="1:11" ht="46.25" customHeight="1">
      <c r="A65" t="s">
        <v>3648</v>
      </c>
      <c r="B65" t="s">
        <v>3649</v>
      </c>
      <c r="C65" t="s">
        <v>12788</v>
      </c>
      <c r="D65" s="19">
        <v>64</v>
      </c>
      <c r="E65" s="19" t="str">
        <f t="shared" si="0"/>
        <v>E1_1_1_85</v>
      </c>
      <c r="F65" s="19" t="s">
        <v>13239</v>
      </c>
      <c r="G65" s="19" t="s">
        <v>14654</v>
      </c>
      <c r="H65" s="19" t="s">
        <v>13924</v>
      </c>
      <c r="I65" s="19" t="s">
        <v>15339</v>
      </c>
      <c r="J65" s="19" t="str">
        <f t="shared" si="1"/>
        <v>(${Variables:E1_1_1_85_kcat} * E1_1_1_85 * C04411 * C00003)/(${Variables:E1_1_1_85_km} + (E1_1_1_85 * C04411 * C00003))</v>
      </c>
      <c r="K65" s="37" t="str">
        <f t="shared" si="2"/>
        <v>r64: C04411 + C00003 -&gt; C04236 + C00004 + C00080 | (${Variables:E1_1_1_85_kcat} * E1_1_1_85 * C04411 * C00003)/(${Variables:E1_1_1_85_km} + (E1_1_1_85 * C04411 * C00003))</v>
      </c>
    </row>
    <row r="66" spans="1:11" ht="46.25" customHeight="1">
      <c r="A66" t="s">
        <v>3648</v>
      </c>
      <c r="B66" t="s">
        <v>3649</v>
      </c>
      <c r="C66" t="s">
        <v>12788</v>
      </c>
      <c r="D66" s="19">
        <v>65</v>
      </c>
      <c r="E66" s="19" t="str">
        <f t="shared" ref="E66:E129" si="3">CONCATENATE("E",C66)</f>
        <v>E1_1_1_85</v>
      </c>
      <c r="F66" s="19" t="s">
        <v>13239</v>
      </c>
      <c r="G66" s="19" t="s">
        <v>14654</v>
      </c>
      <c r="H66" s="19" t="s">
        <v>13925</v>
      </c>
      <c r="I66" s="19" t="s">
        <v>15340</v>
      </c>
      <c r="J66" s="19" t="str">
        <f t="shared" si="1"/>
        <v>(${Variables:E1_1_1_85_kcat} * E1_1_1_85 * C04411 * C00003)/(${Variables:E1_1_1_85_km} + (E1_1_1_85 * C04411 * C00003))</v>
      </c>
      <c r="K66" s="37" t="str">
        <f t="shared" si="2"/>
        <v>r65: C04411 + C00003 -&gt; C00233 + C00011 + C00004 + C00080 | (${Variables:E1_1_1_85_kcat} * E1_1_1_85 * C04411 * C00003)/(${Variables:E1_1_1_85_km} + (E1_1_1_85 * C04411 * C00003))</v>
      </c>
    </row>
    <row r="67" spans="1:11" ht="46.25" customHeight="1">
      <c r="A67" t="s">
        <v>3648</v>
      </c>
      <c r="B67" t="s">
        <v>3649</v>
      </c>
      <c r="C67" t="s">
        <v>12788</v>
      </c>
      <c r="D67" s="19">
        <v>66</v>
      </c>
      <c r="E67" s="19" t="str">
        <f t="shared" si="3"/>
        <v>E1_1_1_85</v>
      </c>
      <c r="F67" s="19" t="s">
        <v>13240</v>
      </c>
      <c r="G67" s="19" t="s">
        <v>14655</v>
      </c>
      <c r="H67" s="19" t="s">
        <v>13926</v>
      </c>
      <c r="I67" s="19" t="s">
        <v>15341</v>
      </c>
      <c r="J67" s="19" t="str">
        <f t="shared" ref="J67:J130" si="4">CONCATENATE("(${Variables:",E67,"_kcat","} * ",E67," * ",G67,")","/(${Variables:",E67,"_km","} + (",E67," * ",G67,"))")</f>
        <v>(${Variables:E1_1_1_85_kcat} * E1_1_1_85 * C00109 * C00011 * C00004 * C00080)/(${Variables:E1_1_1_85_km} + (E1_1_1_85 * C00109 * C00011 * C00004 * C00080))</v>
      </c>
      <c r="K67" s="37" t="str">
        <f t="shared" ref="K67:K130" si="5">CONCATENATE("r",D67,": ",F67," -&gt; ",H67," | ",J67)</f>
        <v>r66: C00109 + C00011 + C00004 + C00080 -&gt; C06032 + C00003 | (${Variables:E1_1_1_85_kcat} * E1_1_1_85 * C00109 * C00011 * C00004 * C00080)/(${Variables:E1_1_1_85_km} + (E1_1_1_85 * C00109 * C00011 * C00004 * C00080))</v>
      </c>
    </row>
    <row r="68" spans="1:11" ht="46.25" customHeight="1">
      <c r="A68" t="s">
        <v>3619</v>
      </c>
      <c r="B68" t="s">
        <v>3620</v>
      </c>
      <c r="C68" t="s">
        <v>12789</v>
      </c>
      <c r="D68" s="19">
        <v>67</v>
      </c>
      <c r="E68" s="19" t="str">
        <f t="shared" si="3"/>
        <v>E1_1_1_86</v>
      </c>
      <c r="F68" s="19" t="s">
        <v>13241</v>
      </c>
      <c r="G68" s="19" t="s">
        <v>14656</v>
      </c>
      <c r="H68" s="19" t="s">
        <v>13927</v>
      </c>
      <c r="I68" s="19" t="s">
        <v>15342</v>
      </c>
      <c r="J68" s="19" t="str">
        <f t="shared" si="4"/>
        <v>(${Variables:E1_1_1_86_kcat} * E1_1_1_86 * C04272 * C00006)/(${Variables:E1_1_1_86_km} + (E1_1_1_86 * C04272 * C00006))</v>
      </c>
      <c r="K68" s="37" t="str">
        <f t="shared" si="5"/>
        <v>r67: C04272 + C00006 -&gt; C06010 + C00005 + C00080 | (${Variables:E1_1_1_86_kcat} * E1_1_1_86 * C04272 * C00006)/(${Variables:E1_1_1_86_km} + (E1_1_1_86 * C04272 * C00006))</v>
      </c>
    </row>
    <row r="69" spans="1:11" ht="46.25" customHeight="1">
      <c r="A69" t="s">
        <v>3619</v>
      </c>
      <c r="B69" t="s">
        <v>3620</v>
      </c>
      <c r="C69" t="s">
        <v>12789</v>
      </c>
      <c r="D69" s="19">
        <v>68</v>
      </c>
      <c r="E69" s="19" t="str">
        <f t="shared" si="3"/>
        <v>E1_1_1_86</v>
      </c>
      <c r="F69" s="19" t="s">
        <v>13242</v>
      </c>
      <c r="G69" s="19" t="s">
        <v>14657</v>
      </c>
      <c r="H69" s="19" t="s">
        <v>13928</v>
      </c>
      <c r="I69" s="19" t="s">
        <v>15343</v>
      </c>
      <c r="J69" s="19" t="str">
        <f t="shared" si="4"/>
        <v>(${Variables:E1_1_1_86_kcat} * E1_1_1_86 * C00900 * C00005 * C00080)/(${Variables:E1_1_1_86_km} + (E1_1_1_86 * C00900 * C00005 * C00080))</v>
      </c>
      <c r="K69" s="37" t="str">
        <f t="shared" si="5"/>
        <v>r68: C00900 + C00005 + C00080 -&gt; C04039 + C00006 | (${Variables:E1_1_1_86_kcat} * E1_1_1_86 * C00900 * C00005 * C00080)/(${Variables:E1_1_1_86_km} + (E1_1_1_86 * C00900 * C00005 * C00080))</v>
      </c>
    </row>
    <row r="70" spans="1:11" ht="46.25" customHeight="1">
      <c r="A70" t="s">
        <v>3619</v>
      </c>
      <c r="B70" t="s">
        <v>3620</v>
      </c>
      <c r="C70" t="s">
        <v>12789</v>
      </c>
      <c r="D70" s="19">
        <v>69</v>
      </c>
      <c r="E70" s="19" t="str">
        <f t="shared" si="3"/>
        <v>E1_1_1_86</v>
      </c>
      <c r="F70" s="19" t="s">
        <v>13241</v>
      </c>
      <c r="G70" s="19" t="s">
        <v>14656</v>
      </c>
      <c r="H70" s="19" t="s">
        <v>13929</v>
      </c>
      <c r="I70" s="19" t="s">
        <v>15344</v>
      </c>
      <c r="J70" s="19" t="str">
        <f t="shared" si="4"/>
        <v>(${Variables:E1_1_1_86_kcat} * E1_1_1_86 * C04272 * C00006)/(${Variables:E1_1_1_86_km} + (E1_1_1_86 * C04272 * C00006))</v>
      </c>
      <c r="K70" s="37" t="str">
        <f t="shared" si="5"/>
        <v>r69: C04272 + C00006 -&gt; C04181 + C00005 + C00080 | (${Variables:E1_1_1_86_kcat} * E1_1_1_86 * C04272 * C00006)/(${Variables:E1_1_1_86_km} + (E1_1_1_86 * C04272 * C00006))</v>
      </c>
    </row>
    <row r="71" spans="1:11" ht="46.25" customHeight="1">
      <c r="A71" t="s">
        <v>3619</v>
      </c>
      <c r="B71" t="s">
        <v>3620</v>
      </c>
      <c r="C71" t="s">
        <v>12789</v>
      </c>
      <c r="D71" s="19">
        <v>70</v>
      </c>
      <c r="E71" s="19" t="str">
        <f t="shared" si="3"/>
        <v>E1_1_1_86</v>
      </c>
      <c r="F71" s="19" t="s">
        <v>13243</v>
      </c>
      <c r="G71" s="19" t="s">
        <v>14658</v>
      </c>
      <c r="H71" s="19" t="s">
        <v>13930</v>
      </c>
      <c r="I71" s="19" t="s">
        <v>15345</v>
      </c>
      <c r="J71" s="19" t="str">
        <f t="shared" si="4"/>
        <v>(${Variables:E1_1_1_86_kcat} * E1_1_1_86 * C06007 * C00006)/(${Variables:E1_1_1_86_km} + (E1_1_1_86 * C06007 * C00006))</v>
      </c>
      <c r="K71" s="37" t="str">
        <f t="shared" si="5"/>
        <v>r70: C06007 + C00006 -&gt; C14463 + C00005 + C00080 | (${Variables:E1_1_1_86_kcat} * E1_1_1_86 * C06007 * C00006)/(${Variables:E1_1_1_86_km} + (E1_1_1_86 * C06007 * C00006))</v>
      </c>
    </row>
    <row r="72" spans="1:11" ht="46.25" customHeight="1">
      <c r="A72" t="s">
        <v>3619</v>
      </c>
      <c r="B72" t="s">
        <v>3620</v>
      </c>
      <c r="C72" t="s">
        <v>12789</v>
      </c>
      <c r="D72" s="19">
        <v>71</v>
      </c>
      <c r="E72" s="19" t="str">
        <f t="shared" si="3"/>
        <v>E1_1_1_86</v>
      </c>
      <c r="F72" s="19" t="s">
        <v>9832</v>
      </c>
      <c r="G72" s="19" t="s">
        <v>9832</v>
      </c>
      <c r="H72" s="19" t="s">
        <v>9833</v>
      </c>
      <c r="I72" s="19" t="s">
        <v>9833</v>
      </c>
      <c r="J72" s="19" t="str">
        <f t="shared" si="4"/>
        <v>(${Variables:E1_1_1_86_kcat} * E1_1_1_86 * C06006)/(${Variables:E1_1_1_86_km} + (E1_1_1_86 * C06006))</v>
      </c>
      <c r="K72" s="37" t="str">
        <f t="shared" si="5"/>
        <v>r71: C06006 -&gt; C14463 | (${Variables:E1_1_1_86_kcat} * E1_1_1_86 * C06006)/(${Variables:E1_1_1_86_km} + (E1_1_1_86 * C06006))</v>
      </c>
    </row>
    <row r="73" spans="1:11" ht="46.25" customHeight="1">
      <c r="A73" t="s">
        <v>3619</v>
      </c>
      <c r="B73" t="s">
        <v>3620</v>
      </c>
      <c r="C73" t="s">
        <v>12789</v>
      </c>
      <c r="D73" s="19">
        <v>72</v>
      </c>
      <c r="E73" s="19" t="str">
        <f t="shared" si="3"/>
        <v>E1_1_1_86</v>
      </c>
      <c r="F73" s="19" t="s">
        <v>9835</v>
      </c>
      <c r="G73" s="19" t="s">
        <v>9835</v>
      </c>
      <c r="H73" s="19" t="s">
        <v>9836</v>
      </c>
      <c r="I73" s="19" t="s">
        <v>9836</v>
      </c>
      <c r="J73" s="19" t="str">
        <f t="shared" si="4"/>
        <v>(${Variables:E1_1_1_86_kcat} * E1_1_1_86 * C06010)/(${Variables:E1_1_1_86_km} + (E1_1_1_86 * C06010))</v>
      </c>
      <c r="K73" s="37" t="str">
        <f t="shared" si="5"/>
        <v>r72: C06010 -&gt; C04181 | (${Variables:E1_1_1_86_kcat} * E1_1_1_86 * C06010)/(${Variables:E1_1_1_86_km} + (E1_1_1_86 * C06010))</v>
      </c>
    </row>
    <row r="74" spans="1:11" ht="46.25" customHeight="1">
      <c r="A74" t="s">
        <v>3733</v>
      </c>
      <c r="B74" t="s">
        <v>3734</v>
      </c>
      <c r="C74" t="s">
        <v>12790</v>
      </c>
      <c r="D74" s="19">
        <v>73</v>
      </c>
      <c r="E74" s="19" t="str">
        <f t="shared" si="3"/>
        <v>E1_1_1_94</v>
      </c>
      <c r="F74" s="19" t="s">
        <v>13244</v>
      </c>
      <c r="G74" s="19" t="s">
        <v>14659</v>
      </c>
      <c r="H74" s="19" t="s">
        <v>13931</v>
      </c>
      <c r="I74" s="19" t="s">
        <v>15346</v>
      </c>
      <c r="J74" s="19" t="str">
        <f t="shared" si="4"/>
        <v>(${Variables:E1_1_1_94_kcat} * E1_1_1_94 * C00093 * C00003)/(${Variables:E1_1_1_94_km} + (E1_1_1_94 * C00093 * C00003))</v>
      </c>
      <c r="K74" s="37" t="str">
        <f t="shared" si="5"/>
        <v>r73: C00093 + C00003 -&gt; C00111 + C00004 + C00080 | (${Variables:E1_1_1_94_kcat} * E1_1_1_94 * C00093 * C00003)/(${Variables:E1_1_1_94_km} + (E1_1_1_94 * C00093 * C00003))</v>
      </c>
    </row>
    <row r="75" spans="1:11" ht="46.25" customHeight="1">
      <c r="A75" t="s">
        <v>3733</v>
      </c>
      <c r="B75" t="s">
        <v>3734</v>
      </c>
      <c r="C75" t="s">
        <v>12790</v>
      </c>
      <c r="D75" s="19">
        <v>74</v>
      </c>
      <c r="E75" s="19" t="str">
        <f t="shared" si="3"/>
        <v>E1_1_1_94</v>
      </c>
      <c r="F75" s="19" t="s">
        <v>13245</v>
      </c>
      <c r="G75" s="19" t="s">
        <v>14660</v>
      </c>
      <c r="H75" s="19" t="s">
        <v>13932</v>
      </c>
      <c r="I75" s="19" t="s">
        <v>15347</v>
      </c>
      <c r="J75" s="19" t="str">
        <f t="shared" si="4"/>
        <v>(${Variables:E1_1_1_94_kcat} * E1_1_1_94 * C00093 * C00006)/(${Variables:E1_1_1_94_km} + (E1_1_1_94 * C00093 * C00006))</v>
      </c>
      <c r="K75" s="37" t="str">
        <f t="shared" si="5"/>
        <v>r74: C00093 + C00006 -&gt; C00111 + C00005 + C00080 | (${Variables:E1_1_1_94_kcat} * E1_1_1_94 * C00093 * C00006)/(${Variables:E1_1_1_94_km} + (E1_1_1_94 * C00093 * C00006))</v>
      </c>
    </row>
    <row r="76" spans="1:11" ht="46.25" customHeight="1">
      <c r="A76" t="s">
        <v>3642</v>
      </c>
      <c r="B76" t="s">
        <v>3643</v>
      </c>
      <c r="C76" t="s">
        <v>12791</v>
      </c>
      <c r="D76" s="19">
        <v>75</v>
      </c>
      <c r="E76" s="19" t="str">
        <f t="shared" si="3"/>
        <v>E1_1_1_95</v>
      </c>
      <c r="F76" s="19" t="s">
        <v>13246</v>
      </c>
      <c r="G76" s="19" t="s">
        <v>14661</v>
      </c>
      <c r="H76" s="19" t="s">
        <v>13933</v>
      </c>
      <c r="I76" s="19" t="s">
        <v>15348</v>
      </c>
      <c r="J76" s="19" t="str">
        <f t="shared" si="4"/>
        <v>(${Variables:E1_1_1_95_kcat} * E1_1_1_95 * C00197 * C00003)/(${Variables:E1_1_1_95_km} + (E1_1_1_95 * C00197 * C00003))</v>
      </c>
      <c r="K76" s="37" t="str">
        <f t="shared" si="5"/>
        <v>r75: C00197 + C00003 -&gt; C03232 + C00004 + C00080 | (${Variables:E1_1_1_95_kcat} * E1_1_1_95 * C00197 * C00003)/(${Variables:E1_1_1_95_km} + (E1_1_1_95 * C00197 * C00003))</v>
      </c>
    </row>
    <row r="77" spans="1:11" ht="46.25" customHeight="1">
      <c r="A77" t="s">
        <v>3642</v>
      </c>
      <c r="B77" t="s">
        <v>3643</v>
      </c>
      <c r="C77" t="s">
        <v>12791</v>
      </c>
      <c r="D77" s="19">
        <v>76</v>
      </c>
      <c r="E77" s="19" t="str">
        <f t="shared" si="3"/>
        <v>E1_1_1_95</v>
      </c>
      <c r="F77" s="19" t="s">
        <v>13247</v>
      </c>
      <c r="G77" s="19" t="s">
        <v>14662</v>
      </c>
      <c r="H77" s="19" t="s">
        <v>13934</v>
      </c>
      <c r="I77" s="19" t="s">
        <v>15349</v>
      </c>
      <c r="J77" s="19" t="str">
        <f t="shared" si="4"/>
        <v>(${Variables:E1_1_1_95_kcat} * E1_1_1_95 * C02630 * C00003)/(${Variables:E1_1_1_95_km} + (E1_1_1_95 * C02630 * C00003))</v>
      </c>
      <c r="K77" s="37" t="str">
        <f t="shared" si="5"/>
        <v>r76: C02630 + C00003 -&gt; C00026 + C00004 + C00080 | (${Variables:E1_1_1_95_kcat} * E1_1_1_95 * C02630 * C00003)/(${Variables:E1_1_1_95_km} + (E1_1_1_95 * C02630 * C00003))</v>
      </c>
    </row>
    <row r="78" spans="1:11" ht="46.25" customHeight="1">
      <c r="A78" t="s">
        <v>5519</v>
      </c>
      <c r="B78" t="s">
        <v>5520</v>
      </c>
      <c r="C78" t="s">
        <v>12792</v>
      </c>
      <c r="D78" s="19">
        <v>77</v>
      </c>
      <c r="E78" s="19" t="str">
        <f t="shared" si="3"/>
        <v>E1_1_5_4</v>
      </c>
      <c r="F78" s="19" t="s">
        <v>13248</v>
      </c>
      <c r="G78" s="19" t="s">
        <v>14663</v>
      </c>
      <c r="H78" s="19" t="s">
        <v>13935</v>
      </c>
      <c r="I78" s="19" t="s">
        <v>15350</v>
      </c>
      <c r="J78" s="19" t="str">
        <f t="shared" si="4"/>
        <v>(${Variables:E1_1_5_4_kcat} * E1_1_5_4 * C00149 * C15602)/(${Variables:E1_1_5_4_km} + (E1_1_5_4 * C00149 * C15602))</v>
      </c>
      <c r="K78" s="37" t="str">
        <f t="shared" si="5"/>
        <v>r77: C00149 + C15602 -&gt; C00036 + C15603 | (${Variables:E1_1_5_4_kcat} * E1_1_5_4 * C00149 * C15602)/(${Variables:E1_1_5_4_km} + (E1_1_5_4 * C00149 * C15602))</v>
      </c>
    </row>
    <row r="79" spans="1:11" ht="46.25" customHeight="1">
      <c r="A79" t="s">
        <v>5519</v>
      </c>
      <c r="B79" t="s">
        <v>5520</v>
      </c>
      <c r="C79" t="s">
        <v>12792</v>
      </c>
      <c r="D79" s="19">
        <v>78</v>
      </c>
      <c r="E79" s="19" t="str">
        <f t="shared" si="3"/>
        <v>E1_1_5_4</v>
      </c>
      <c r="F79" s="19" t="s">
        <v>13249</v>
      </c>
      <c r="G79" s="19" t="s">
        <v>14664</v>
      </c>
      <c r="H79" s="19" t="s">
        <v>13936</v>
      </c>
      <c r="I79" s="19" t="s">
        <v>15351</v>
      </c>
      <c r="J79" s="19" t="str">
        <f t="shared" si="4"/>
        <v>(${Variables:E1_1_5_4_kcat} * E1_1_5_4 * C00149 * C00007)/(${Variables:E1_1_5_4_km} + (E1_1_5_4 * C00149 * C00007))</v>
      </c>
      <c r="K79" s="37" t="str">
        <f t="shared" si="5"/>
        <v>r78: C00149 + C00007 -&gt; C00036 + C00027 | (${Variables:E1_1_5_4_kcat} * E1_1_5_4 * C00149 * C00007)/(${Variables:E1_1_5_4_km} + (E1_1_5_4 * C00149 * C00007))</v>
      </c>
    </row>
    <row r="80" spans="1:11" ht="46.25" customHeight="1">
      <c r="A80" t="s">
        <v>5519</v>
      </c>
      <c r="B80" t="s">
        <v>5520</v>
      </c>
      <c r="C80" t="s">
        <v>12792</v>
      </c>
      <c r="D80" s="19">
        <v>79</v>
      </c>
      <c r="E80" s="19" t="str">
        <f t="shared" si="3"/>
        <v>E1_1_5_4</v>
      </c>
      <c r="F80" s="19" t="s">
        <v>13250</v>
      </c>
      <c r="G80" s="19" t="s">
        <v>14665</v>
      </c>
      <c r="H80" s="19" t="s">
        <v>13937</v>
      </c>
      <c r="I80" s="19" t="s">
        <v>15352</v>
      </c>
      <c r="J80" s="19" t="str">
        <f t="shared" si="4"/>
        <v>(${Variables:E1_1_5_4_kcat} * E1_1_5_4 * C00149 * C00016)/(${Variables:E1_1_5_4_km} + (E1_1_5_4 * C00149 * C00016))</v>
      </c>
      <c r="K80" s="37" t="str">
        <f t="shared" si="5"/>
        <v>r79: C00149 + C00016 -&gt; C00036 + C01352 | (${Variables:E1_1_5_4_kcat} * E1_1_5_4 * C00149 * C00016)/(${Variables:E1_1_5_4_km} + (E1_1_5_4 * C00149 * C00016))</v>
      </c>
    </row>
    <row r="81" spans="1:11" ht="46.25" customHeight="1">
      <c r="A81" t="s">
        <v>6846</v>
      </c>
      <c r="B81" t="s">
        <v>6847</v>
      </c>
      <c r="C81" t="s">
        <v>12793</v>
      </c>
      <c r="D81" s="19">
        <v>80</v>
      </c>
      <c r="E81" s="19" t="str">
        <f t="shared" si="3"/>
        <v>E1_11_1_24</v>
      </c>
      <c r="F81" s="19" t="s">
        <v>13251</v>
      </c>
      <c r="G81" s="19" t="s">
        <v>14666</v>
      </c>
      <c r="H81" s="19" t="s">
        <v>13938</v>
      </c>
      <c r="I81" s="19" t="s">
        <v>15353</v>
      </c>
      <c r="J81" s="19" t="str">
        <f t="shared" si="4"/>
        <v>(${Variables:E1_11_1_24_kcat} * E1_11_1_24 * C00342 * C15498)/(${Variables:E1_11_1_24_km} + (E1_11_1_24 * C00342 * C15498))</v>
      </c>
      <c r="K81" s="37" t="str">
        <f t="shared" si="5"/>
        <v>r80: C00342 + C15498 -&gt; C00343 + C00001 + C01335 | (${Variables:E1_11_1_24_kcat} * E1_11_1_24 * C00342 * C15498)/(${Variables:E1_11_1_24_km} + (E1_11_1_24 * C00342 * C15498))</v>
      </c>
    </row>
    <row r="82" spans="1:11" ht="46.25" customHeight="1">
      <c r="A82" t="s">
        <v>784</v>
      </c>
      <c r="B82" t="s">
        <v>785</v>
      </c>
      <c r="C82" t="s">
        <v>12794</v>
      </c>
      <c r="D82" s="19">
        <v>81</v>
      </c>
      <c r="E82" s="19" t="str">
        <f t="shared" si="3"/>
        <v>E1_11_1_6</v>
      </c>
      <c r="F82" s="19" t="s">
        <v>10376</v>
      </c>
      <c r="G82" s="19" t="s">
        <v>10376</v>
      </c>
      <c r="H82" s="19" t="s">
        <v>13939</v>
      </c>
      <c r="I82" s="19" t="s">
        <v>15354</v>
      </c>
      <c r="J82" s="19" t="str">
        <f t="shared" si="4"/>
        <v>(${Variables:E1_11_1_6_kcat} * E1_11_1_6 * C00027)/(${Variables:E1_11_1_6_km} + (E1_11_1_6 * C00027))</v>
      </c>
      <c r="K82" s="37" t="str">
        <f t="shared" si="5"/>
        <v>r81: C00027 -&gt; C00007 + C00001 | (${Variables:E1_11_1_6_kcat} * E1_11_1_6 * C00027)/(${Variables:E1_11_1_6_km} + (E1_11_1_6 * C00027))</v>
      </c>
    </row>
    <row r="83" spans="1:11" ht="46.25" customHeight="1">
      <c r="A83" t="s">
        <v>784</v>
      </c>
      <c r="B83" t="s">
        <v>785</v>
      </c>
      <c r="C83" t="s">
        <v>12794</v>
      </c>
      <c r="D83" s="19">
        <v>82</v>
      </c>
      <c r="E83" s="19" t="str">
        <f t="shared" si="3"/>
        <v>E1_11_1_6</v>
      </c>
      <c r="F83" s="19" t="s">
        <v>13252</v>
      </c>
      <c r="G83" s="19" t="s">
        <v>14667</v>
      </c>
      <c r="H83" s="19" t="s">
        <v>13940</v>
      </c>
      <c r="I83" s="19" t="s">
        <v>15355</v>
      </c>
      <c r="J83" s="19" t="str">
        <f t="shared" si="4"/>
        <v>(${Variables:E1_11_1_6_kcat} * E1_11_1_6 * C00132 * C00027)/(${Variables:E1_11_1_6_km} + (E1_11_1_6 * C00132 * C00027))</v>
      </c>
      <c r="K83" s="37" t="str">
        <f t="shared" si="5"/>
        <v>r82: C00132 + C00027 -&gt; C00067 + C00001 | (${Variables:E1_11_1_6_kcat} * E1_11_1_6 * C00132 * C00027)/(${Variables:E1_11_1_6_km} + (E1_11_1_6 * C00132 * C00027))</v>
      </c>
    </row>
    <row r="84" spans="1:11" ht="46.25" customHeight="1">
      <c r="A84" t="s">
        <v>784</v>
      </c>
      <c r="B84" t="s">
        <v>785</v>
      </c>
      <c r="C84" t="s">
        <v>12794</v>
      </c>
      <c r="D84" s="19">
        <v>83</v>
      </c>
      <c r="E84" s="19" t="str">
        <f t="shared" si="3"/>
        <v>E1_11_1_6</v>
      </c>
      <c r="F84" s="19" t="s">
        <v>13253</v>
      </c>
      <c r="G84" s="19" t="s">
        <v>14668</v>
      </c>
      <c r="H84" s="19" t="s">
        <v>13941</v>
      </c>
      <c r="I84" s="19" t="s">
        <v>15356</v>
      </c>
      <c r="J84" s="19" t="str">
        <f t="shared" si="4"/>
        <v>(${Variables:E1_11_1_6_kcat} * E1_11_1_6 * C00632 * C00007)/(${Variables:E1_11_1_6_km} + (E1_11_1_6 * C00632 * C00007))</v>
      </c>
      <c r="K84" s="37" t="str">
        <f t="shared" si="5"/>
        <v>r83: C00632 + C00007 -&gt; C05640 + C00704 + C00027 + C00080 | (${Variables:E1_11_1_6_kcat} * E1_11_1_6 * C00632 * C00007)/(${Variables:E1_11_1_6_km} + (E1_11_1_6 * C00632 * C00007))</v>
      </c>
    </row>
    <row r="85" spans="1:11" ht="46.25" customHeight="1">
      <c r="A85" t="s">
        <v>6628</v>
      </c>
      <c r="B85" t="s">
        <v>6629</v>
      </c>
      <c r="C85" t="s">
        <v>12795</v>
      </c>
      <c r="D85" s="19">
        <v>84</v>
      </c>
      <c r="E85" s="19" t="str">
        <f t="shared" si="3"/>
        <v>E1_13_11_1</v>
      </c>
      <c r="F85" s="19" t="s">
        <v>13254</v>
      </c>
      <c r="G85" s="19" t="s">
        <v>14669</v>
      </c>
      <c r="H85" s="19" t="s">
        <v>8985</v>
      </c>
      <c r="I85" s="19" t="s">
        <v>8985</v>
      </c>
      <c r="J85" s="19" t="str">
        <f t="shared" si="4"/>
        <v>(${Variables:E1_13_11_1_kcat} * E1_13_11_1 * C00090 * C00007 )/(${Variables:E1_13_11_1_km} + (E1_13_11_1 * C00090 * C00007 ))</v>
      </c>
      <c r="K85" s="37" t="str">
        <f t="shared" si="5"/>
        <v>r84: C00090 + C00007  -&gt; C02480 | (${Variables:E1_13_11_1_kcat} * E1_13_11_1 * C00090 * C00007 )/(${Variables:E1_13_11_1_km} + (E1_13_11_1 * C00090 * C00007 ))</v>
      </c>
    </row>
    <row r="86" spans="1:11" ht="46.25" customHeight="1">
      <c r="A86" t="s">
        <v>6628</v>
      </c>
      <c r="B86" t="s">
        <v>6629</v>
      </c>
      <c r="C86" t="s">
        <v>12795</v>
      </c>
      <c r="D86" s="19">
        <v>85</v>
      </c>
      <c r="E86" s="19" t="str">
        <f t="shared" si="3"/>
        <v>E1_13_11_1</v>
      </c>
      <c r="F86" s="19" t="s">
        <v>13255</v>
      </c>
      <c r="G86" s="19" t="s">
        <v>14670</v>
      </c>
      <c r="H86" s="19" t="s">
        <v>8987</v>
      </c>
      <c r="I86" s="19" t="s">
        <v>8987</v>
      </c>
      <c r="J86" s="19" t="str">
        <f t="shared" si="4"/>
        <v>(${Variables:E1_13_11_1_kcat} * E1_13_11_1 * C02375 * C00007)/(${Variables:E1_13_11_1_km} + (E1_13_11_1 * C02375 * C00007))</v>
      </c>
      <c r="K86" s="37" t="str">
        <f t="shared" si="5"/>
        <v>r85: C02375 + C00007 -&gt; C03585 | (${Variables:E1_13_11_1_kcat} * E1_13_11_1 * C02375 * C00007)/(${Variables:E1_13_11_1_km} + (E1_13_11_1 * C02375 * C00007))</v>
      </c>
    </row>
    <row r="87" spans="1:11" ht="46.25" customHeight="1">
      <c r="A87" t="s">
        <v>6628</v>
      </c>
      <c r="B87" t="s">
        <v>6629</v>
      </c>
      <c r="C87" t="s">
        <v>12795</v>
      </c>
      <c r="D87" s="19">
        <v>86</v>
      </c>
      <c r="E87" s="19" t="str">
        <f t="shared" si="3"/>
        <v>E1_13_11_1</v>
      </c>
      <c r="F87" s="19" t="s">
        <v>13256</v>
      </c>
      <c r="G87" s="19" t="s">
        <v>14671</v>
      </c>
      <c r="H87" s="19" t="s">
        <v>8989</v>
      </c>
      <c r="I87" s="19" t="s">
        <v>8989</v>
      </c>
      <c r="J87" s="19" t="str">
        <f t="shared" si="4"/>
        <v>(${Variables:E1_13_11_1_kcat} * E1_13_11_1 * C06730 * C00007)/(${Variables:E1_13_11_1_km} + (E1_13_11_1 * C06730 * C00007))</v>
      </c>
      <c r="K87" s="37" t="str">
        <f t="shared" si="5"/>
        <v>r86: C06730 + C00007 -&gt; C04112 | (${Variables:E1_13_11_1_kcat} * E1_13_11_1 * C06730 * C00007)/(${Variables:E1_13_11_1_km} + (E1_13_11_1 * C06730 * C00007))</v>
      </c>
    </row>
    <row r="88" spans="1:11" ht="46.25" customHeight="1">
      <c r="A88" t="s">
        <v>6628</v>
      </c>
      <c r="B88" t="s">
        <v>6629</v>
      </c>
      <c r="C88" t="s">
        <v>12795</v>
      </c>
      <c r="D88" s="19">
        <v>87</v>
      </c>
      <c r="E88" s="19" t="str">
        <f t="shared" si="3"/>
        <v>E1_13_11_1</v>
      </c>
      <c r="F88" s="19" t="s">
        <v>13257</v>
      </c>
      <c r="G88" s="19" t="s">
        <v>14672</v>
      </c>
      <c r="H88" s="19" t="s">
        <v>8991</v>
      </c>
      <c r="I88" s="19" t="s">
        <v>8991</v>
      </c>
      <c r="J88" s="19" t="str">
        <f t="shared" si="4"/>
        <v>(${Variables:E1_13_11_1_kcat} * E1_13_11_1 * C16472 * C00007)/(${Variables:E1_13_11_1_km} + (E1_13_11_1 * C16472 * C00007))</v>
      </c>
      <c r="K88" s="37" t="str">
        <f t="shared" si="5"/>
        <v>r87: C16472 + C00007 -&gt; C16475 | (${Variables:E1_13_11_1_kcat} * E1_13_11_1 * C16472 * C00007)/(${Variables:E1_13_11_1_km} + (E1_13_11_1 * C16472 * C00007))</v>
      </c>
    </row>
    <row r="89" spans="1:11" ht="46.25" customHeight="1">
      <c r="A89" t="s">
        <v>6628</v>
      </c>
      <c r="B89" t="s">
        <v>6629</v>
      </c>
      <c r="C89" t="s">
        <v>12795</v>
      </c>
      <c r="D89" s="19">
        <v>88</v>
      </c>
      <c r="E89" s="19" t="str">
        <f t="shared" si="3"/>
        <v>E1_13_11_1</v>
      </c>
      <c r="F89" s="19" t="s">
        <v>13258</v>
      </c>
      <c r="G89" s="19" t="s">
        <v>14673</v>
      </c>
      <c r="H89" s="19" t="s">
        <v>8993</v>
      </c>
      <c r="I89" s="19" t="s">
        <v>8993</v>
      </c>
      <c r="J89" s="19" t="str">
        <f t="shared" si="4"/>
        <v>(${Variables:E1_13_11_1_kcat} * E1_13_11_1 * C16473 * C00007)/(${Variables:E1_13_11_1_km} + (E1_13_11_1 * C16473 * C00007))</v>
      </c>
      <c r="K89" s="37" t="str">
        <f t="shared" si="5"/>
        <v>r88: C16473 + C00007 -&gt; C16474 | (${Variables:E1_13_11_1_kcat} * E1_13_11_1 * C16473 * C00007)/(${Variables:E1_13_11_1_km} + (E1_13_11_1 * C16473 * C00007))</v>
      </c>
    </row>
    <row r="90" spans="1:11" ht="46.25" customHeight="1">
      <c r="A90" t="s">
        <v>6628</v>
      </c>
      <c r="B90" t="s">
        <v>6629</v>
      </c>
      <c r="C90" t="s">
        <v>12795</v>
      </c>
      <c r="D90" s="19">
        <v>89</v>
      </c>
      <c r="E90" s="19" t="str">
        <f t="shared" si="3"/>
        <v>E1_13_11_1</v>
      </c>
      <c r="F90" s="19" t="s">
        <v>13259</v>
      </c>
      <c r="G90" s="19" t="s">
        <v>14674</v>
      </c>
      <c r="H90" s="19" t="s">
        <v>8995</v>
      </c>
      <c r="I90" s="19" t="s">
        <v>8995</v>
      </c>
      <c r="J90" s="19" t="str">
        <f t="shared" si="4"/>
        <v>(${Variables:E1_13_11_1_kcat} * E1_13_11_1 * C18240 * C00007)/(${Variables:E1_13_11_1_km} + (E1_13_11_1 * C18240 * C00007))</v>
      </c>
      <c r="K90" s="37" t="str">
        <f t="shared" si="5"/>
        <v>r89: C18240 + C00007 -&gt; C18241 | (${Variables:E1_13_11_1_kcat} * E1_13_11_1 * C18240 * C00007)/(${Variables:E1_13_11_1_km} + (E1_13_11_1 * C18240 * C00007))</v>
      </c>
    </row>
    <row r="91" spans="1:11" ht="46.25" customHeight="1">
      <c r="A91" t="s">
        <v>6612</v>
      </c>
      <c r="B91" t="s">
        <v>6613</v>
      </c>
      <c r="C91" t="s">
        <v>12796</v>
      </c>
      <c r="D91" s="19">
        <v>90</v>
      </c>
      <c r="E91" s="19" t="str">
        <f t="shared" si="3"/>
        <v>E1_13_11_3</v>
      </c>
      <c r="F91" s="19" t="s">
        <v>13260</v>
      </c>
      <c r="G91" s="19" t="s">
        <v>14675</v>
      </c>
      <c r="H91" s="19" t="s">
        <v>9006</v>
      </c>
      <c r="I91" s="19" t="s">
        <v>9006</v>
      </c>
      <c r="J91" s="19" t="str">
        <f t="shared" si="4"/>
        <v>(${Variables:E1_13_11_3_kcat} * E1_13_11_3 * C00230 * C00007)/(${Variables:E1_13_11_3_km} + (E1_13_11_3 * C00230 * C00007))</v>
      </c>
      <c r="K91" s="37" t="str">
        <f t="shared" si="5"/>
        <v>r90: C00230 + C00007 -&gt; C01163 | (${Variables:E1_13_11_3_kcat} * E1_13_11_3 * C00230 * C00007)/(${Variables:E1_13_11_3_km} + (E1_13_11_3 * C00230 * C00007))</v>
      </c>
    </row>
    <row r="92" spans="1:11" ht="46.25" customHeight="1">
      <c r="A92" t="s">
        <v>6612</v>
      </c>
      <c r="B92" t="s">
        <v>6613</v>
      </c>
      <c r="C92" t="s">
        <v>12796</v>
      </c>
      <c r="D92" s="19">
        <v>91</v>
      </c>
      <c r="E92" s="19" t="str">
        <f t="shared" si="3"/>
        <v>E1_13_11_3</v>
      </c>
      <c r="F92" s="19" t="s">
        <v>13261</v>
      </c>
      <c r="G92" s="19" t="s">
        <v>14676</v>
      </c>
      <c r="H92" s="19" t="s">
        <v>13942</v>
      </c>
      <c r="I92" s="19" t="s">
        <v>15357</v>
      </c>
      <c r="J92" s="19" t="str">
        <f t="shared" si="4"/>
        <v>(${Variables:E1_13_11_3_kcat} * E1_13_11_3 * C01424 * C00007)/(${Variables:E1_13_11_3_km} + (E1_13_11_3 * C01424 * C00007))</v>
      </c>
      <c r="K92" s="37" t="str">
        <f t="shared" si="5"/>
        <v>r91: C01424 + C00007 -&gt; C03671 + C00001 | (${Variables:E1_13_11_3_kcat} * E1_13_11_3 * C01424 * C00007)/(${Variables:E1_13_11_3_km} + (E1_13_11_3 * C01424 * C00007))</v>
      </c>
    </row>
    <row r="93" spans="1:11" ht="46.25" customHeight="1">
      <c r="A93" t="s">
        <v>6615</v>
      </c>
      <c r="B93" t="s">
        <v>6616</v>
      </c>
      <c r="C93" t="s">
        <v>12796</v>
      </c>
      <c r="D93" s="19">
        <v>92</v>
      </c>
      <c r="E93" s="19" t="str">
        <f t="shared" si="3"/>
        <v>E1_13_11_3</v>
      </c>
      <c r="F93" s="19" t="s">
        <v>13260</v>
      </c>
      <c r="G93" s="19" t="s">
        <v>14675</v>
      </c>
      <c r="H93" s="19" t="s">
        <v>9006</v>
      </c>
      <c r="I93" s="19" t="s">
        <v>9006</v>
      </c>
      <c r="J93" s="19" t="str">
        <f t="shared" si="4"/>
        <v>(${Variables:E1_13_11_3_kcat} * E1_13_11_3 * C00230 * C00007)/(${Variables:E1_13_11_3_km} + (E1_13_11_3 * C00230 * C00007))</v>
      </c>
      <c r="K93" s="37" t="str">
        <f t="shared" si="5"/>
        <v>r92: C00230 + C00007 -&gt; C01163 | (${Variables:E1_13_11_3_kcat} * E1_13_11_3 * C00230 * C00007)/(${Variables:E1_13_11_3_km} + (E1_13_11_3 * C00230 * C00007))</v>
      </c>
    </row>
    <row r="94" spans="1:11" ht="46.25" customHeight="1">
      <c r="A94" t="s">
        <v>6615</v>
      </c>
      <c r="B94" t="s">
        <v>6616</v>
      </c>
      <c r="C94" t="s">
        <v>12796</v>
      </c>
      <c r="D94" s="19">
        <v>93</v>
      </c>
      <c r="E94" s="19" t="str">
        <f t="shared" si="3"/>
        <v>E1_13_11_3</v>
      </c>
      <c r="F94" s="19" t="s">
        <v>13261</v>
      </c>
      <c r="G94" s="19" t="s">
        <v>14676</v>
      </c>
      <c r="H94" s="19" t="s">
        <v>13942</v>
      </c>
      <c r="I94" s="19" t="s">
        <v>15357</v>
      </c>
      <c r="J94" s="19" t="str">
        <f t="shared" si="4"/>
        <v>(${Variables:E1_13_11_3_kcat} * E1_13_11_3 * C01424 * C00007)/(${Variables:E1_13_11_3_km} + (E1_13_11_3 * C01424 * C00007))</v>
      </c>
      <c r="K94" s="37" t="str">
        <f t="shared" si="5"/>
        <v>r93: C01424 + C00007 -&gt; C03671 + C00001 | (${Variables:E1_13_11_3_kcat} * E1_13_11_3 * C01424 * C00007)/(${Variables:E1_13_11_3_km} + (E1_13_11_3 * C01424 * C00007))</v>
      </c>
    </row>
    <row r="95" spans="1:11" ht="46.25" customHeight="1">
      <c r="A95" t="s">
        <v>2707</v>
      </c>
      <c r="B95" t="s">
        <v>2708</v>
      </c>
      <c r="C95" t="s">
        <v>16011</v>
      </c>
      <c r="D95" s="19">
        <v>94</v>
      </c>
      <c r="E95" s="19" t="str">
        <f t="shared" si="3"/>
        <v>E1_13_12_16</v>
      </c>
      <c r="F95" s="19" t="s">
        <v>13262</v>
      </c>
      <c r="G95" s="19" t="s">
        <v>14677</v>
      </c>
      <c r="H95" s="19" t="s">
        <v>13943</v>
      </c>
      <c r="I95" s="19" t="s">
        <v>15358</v>
      </c>
      <c r="J95" s="19" t="str">
        <f t="shared" si="4"/>
        <v>(${Variables:E1_13_12_16_kcat} * E1_13_12_16 * C18091 * C00007 * C01847)/(${Variables:E1_13_12_16_km} + (E1_13_12_16 * C18091 * C00007 * C01847))</v>
      </c>
      <c r="K95" s="37" t="str">
        <f t="shared" si="5"/>
        <v>r94: C18091 + C00007 + C01847 -&gt; C00084 + C00088 + C00061 + C00001 | (${Variables:E1_13_12_16_kcat} * E1_13_12_16 * C18091 * C00007 * C01847)/(${Variables:E1_13_12_16_km} + (E1_13_12_16 * C18091 * C00007 * C01847))</v>
      </c>
    </row>
    <row r="96" spans="1:11" ht="46.25" customHeight="1">
      <c r="A96" t="s">
        <v>6632</v>
      </c>
      <c r="B96" t="s">
        <v>6633</v>
      </c>
      <c r="C96" t="s">
        <v>12797</v>
      </c>
      <c r="D96" s="19">
        <v>95</v>
      </c>
      <c r="E96" s="19" t="str">
        <f t="shared" si="3"/>
        <v>E1_14_12_10</v>
      </c>
      <c r="F96" s="19" t="s">
        <v>13263</v>
      </c>
      <c r="G96" s="19" t="s">
        <v>14678</v>
      </c>
      <c r="H96" t="s">
        <v>13948</v>
      </c>
      <c r="I96" t="s">
        <v>15363</v>
      </c>
      <c r="J96" s="19" t="str">
        <f t="shared" si="4"/>
        <v>(${Variables:E1_14_12_10_kcat} * E1_14_12_10 * C00180 * C00004 * C00080 * C00007)/(${Variables:E1_14_12_10_km} + (E1_14_12_10 * C00180 * C00004 * C00080 * C00007))</v>
      </c>
      <c r="K96" s="37" t="str">
        <f t="shared" si="5"/>
        <v>r95: C00180 + C00004 + C00080 + C00007 -&gt; C04634 + C00003 | (${Variables:E1_14_12_10_kcat} * E1_14_12_10 * C00180 * C00004 * C00080 * C00007)/(${Variables:E1_14_12_10_km} + (E1_14_12_10 * C00180 * C00004 * C00080 * C00007))</v>
      </c>
    </row>
    <row r="97" spans="1:11" ht="46.25" customHeight="1">
      <c r="A97" t="s">
        <v>6632</v>
      </c>
      <c r="B97" t="s">
        <v>6633</v>
      </c>
      <c r="C97" t="s">
        <v>12797</v>
      </c>
      <c r="D97" s="19">
        <v>96</v>
      </c>
      <c r="E97" s="19" t="str">
        <f t="shared" si="3"/>
        <v>E1_14_12_10</v>
      </c>
      <c r="F97" s="19" t="s">
        <v>13263</v>
      </c>
      <c r="G97" s="19" t="s">
        <v>14678</v>
      </c>
      <c r="H97" s="19" t="s">
        <v>13306</v>
      </c>
      <c r="I97" s="19" t="s">
        <v>14721</v>
      </c>
      <c r="J97" s="19" t="str">
        <f t="shared" si="4"/>
        <v>(${Variables:E1_14_12_10_kcat} * E1_14_12_10 * C00180 * C00004 * C00080 * C00007)/(${Variables:E1_14_12_10_km} + (E1_14_12_10 * C00180 * C00004 * C00080 * C00007))</v>
      </c>
      <c r="K97" s="37" t="str">
        <f t="shared" si="5"/>
        <v>r96: C00180 + C00004 + C00080 + C00007 -&gt; C06321 + C00003 | (${Variables:E1_14_12_10_kcat} * E1_14_12_10 * C00180 * C00004 * C00080 * C00007)/(${Variables:E1_14_12_10_km} + (E1_14_12_10 * C00180 * C00004 * C00080 * C00007))</v>
      </c>
    </row>
    <row r="98" spans="1:11" ht="46.25" customHeight="1">
      <c r="A98" t="s">
        <v>6632</v>
      </c>
      <c r="B98" t="s">
        <v>6633</v>
      </c>
      <c r="C98" t="s">
        <v>12797</v>
      </c>
      <c r="D98" s="19">
        <v>97</v>
      </c>
      <c r="E98" s="19" t="str">
        <f t="shared" si="3"/>
        <v>E1_14_12_10</v>
      </c>
      <c r="F98" s="19" t="s">
        <v>13264</v>
      </c>
      <c r="G98" s="19" t="s">
        <v>14679</v>
      </c>
      <c r="H98" s="19" t="s">
        <v>13944</v>
      </c>
      <c r="I98" s="19" t="s">
        <v>15359</v>
      </c>
      <c r="J98" s="19" t="str">
        <f t="shared" si="4"/>
        <v>(${Variables:E1_14_12_10_kcat} * E1_14_12_10 * C00180 * C00005 * C00080 * C00007)/(${Variables:E1_14_12_10_km} + (E1_14_12_10 * C00180 * C00005 * C00080 * C00007))</v>
      </c>
      <c r="K98" s="37" t="str">
        <f t="shared" si="5"/>
        <v>r97: C00180 + C00005 + C00080 + C00007 -&gt; C06321 + C00006 | (${Variables:E1_14_12_10_kcat} * E1_14_12_10 * C00180 * C00005 * C00080 * C00007)/(${Variables:E1_14_12_10_km} + (E1_14_12_10 * C00180 * C00005 * C00080 * C00007))</v>
      </c>
    </row>
    <row r="99" spans="1:11" ht="46.25" customHeight="1">
      <c r="A99" t="s">
        <v>6632</v>
      </c>
      <c r="B99" t="s">
        <v>6633</v>
      </c>
      <c r="C99" t="s">
        <v>12797</v>
      </c>
      <c r="D99" s="19">
        <v>98</v>
      </c>
      <c r="E99" s="19" t="str">
        <f t="shared" si="3"/>
        <v>E1_14_12_10</v>
      </c>
      <c r="F99" s="19" t="s">
        <v>13265</v>
      </c>
      <c r="G99" s="19" t="s">
        <v>14680</v>
      </c>
      <c r="H99" s="19" t="s">
        <v>13945</v>
      </c>
      <c r="I99" s="19" t="s">
        <v>15360</v>
      </c>
      <c r="J99" s="19" t="str">
        <f t="shared" si="4"/>
        <v>(${Variables:E1_14_12_10_kcat} * E1_14_12_10 * C02359 * C00004 * C00080 * C00007)/(${Variables:E1_14_12_10_km} + (E1_14_12_10 * C02359 * C00004 * C00080 * C00007))</v>
      </c>
      <c r="K99" s="37" t="str">
        <f t="shared" si="5"/>
        <v>r98: C02359 + C00004 + C00080 + C00007 -&gt; C16482 + C00003 | (${Variables:E1_14_12_10_kcat} * E1_14_12_10 * C02359 * C00004 * C00080 * C00007)/(${Variables:E1_14_12_10_km} + (E1_14_12_10 * C02359 * C00004 * C00080 * C00007))</v>
      </c>
    </row>
    <row r="100" spans="1:11" ht="46.25" customHeight="1">
      <c r="A100" t="s">
        <v>6632</v>
      </c>
      <c r="B100" t="s">
        <v>6633</v>
      </c>
      <c r="C100" t="s">
        <v>12797</v>
      </c>
      <c r="D100" s="19">
        <v>99</v>
      </c>
      <c r="E100" s="19" t="str">
        <f t="shared" si="3"/>
        <v>E1_14_12_10</v>
      </c>
      <c r="F100" s="19" t="s">
        <v>13265</v>
      </c>
      <c r="G100" s="19" t="s">
        <v>14680</v>
      </c>
      <c r="H100" s="19" t="s">
        <v>13946</v>
      </c>
      <c r="I100" s="19" t="s">
        <v>15361</v>
      </c>
      <c r="J100" s="19" t="str">
        <f t="shared" si="4"/>
        <v>(${Variables:E1_14_12_10_kcat} * E1_14_12_10 * C02359 * C00004 * C00080 * C00007)/(${Variables:E1_14_12_10_km} + (E1_14_12_10 * C02359 * C00004 * C00080 * C00007))</v>
      </c>
      <c r="K100" s="37" t="str">
        <f t="shared" si="5"/>
        <v>r99: C02359 + C00004 + C00080 + C00007 -&gt; C16481 + C00003 | (${Variables:E1_14_12_10_kcat} * E1_14_12_10 * C02359 * C00004 * C00080 * C00007)/(${Variables:E1_14_12_10_km} + (E1_14_12_10 * C02359 * C00004 * C00080 * C00007))</v>
      </c>
    </row>
    <row r="101" spans="1:11" ht="46.25" customHeight="1">
      <c r="A101" t="s">
        <v>6632</v>
      </c>
      <c r="B101" t="s">
        <v>6633</v>
      </c>
      <c r="C101" t="s">
        <v>12797</v>
      </c>
      <c r="D101" s="19">
        <v>100</v>
      </c>
      <c r="E101" s="19" t="str">
        <f t="shared" si="3"/>
        <v>E1_14_12_10</v>
      </c>
      <c r="F101" s="19" t="s">
        <v>13266</v>
      </c>
      <c r="G101" s="19" t="s">
        <v>14681</v>
      </c>
      <c r="H101" s="19" t="s">
        <v>13307</v>
      </c>
      <c r="I101" s="19" t="s">
        <v>14722</v>
      </c>
      <c r="J101" s="19" t="str">
        <f t="shared" si="4"/>
        <v>(${Variables:E1_14_12_10_kcat} * E1_14_12_10 * C02364 * C00004 * C00007 * C00080)/(${Variables:E1_14_12_10_km} + (E1_14_12_10 * C02364 * C00004 * C00007 * C00080))</v>
      </c>
      <c r="K101" s="37" t="str">
        <f t="shared" si="5"/>
        <v>r100: C02364 + C00004 + C00007 + C00080 -&gt; C16478 + C00003 | (${Variables:E1_14_12_10_kcat} * E1_14_12_10 * C02364 * C00004 * C00007 * C00080)/(${Variables:E1_14_12_10_km} + (E1_14_12_10 * C02364 * C00004 * C00007 * C00080))</v>
      </c>
    </row>
    <row r="102" spans="1:11" ht="46.25" customHeight="1">
      <c r="A102" t="s">
        <v>6632</v>
      </c>
      <c r="B102" t="s">
        <v>6633</v>
      </c>
      <c r="C102" t="s">
        <v>12797</v>
      </c>
      <c r="D102" s="19">
        <v>101</v>
      </c>
      <c r="E102" s="19" t="str">
        <f t="shared" si="3"/>
        <v>E1_14_12_10</v>
      </c>
      <c r="F102" s="19" t="s">
        <v>13267</v>
      </c>
      <c r="G102" s="19" t="s">
        <v>14682</v>
      </c>
      <c r="H102" s="19" t="s">
        <v>13308</v>
      </c>
      <c r="I102" s="19" t="s">
        <v>14723</v>
      </c>
      <c r="J102" s="19" t="str">
        <f t="shared" si="4"/>
        <v>(${Variables:E1_14_12_10_kcat} * E1_14_12_10 * C02364 * C00004 * C00080 * C00007)/(${Variables:E1_14_12_10_km} + (E1_14_12_10 * C02364 * C00004 * C00080 * C00007))</v>
      </c>
      <c r="K102" s="37" t="str">
        <f t="shared" si="5"/>
        <v>r101: C02364 + C00004 + C00080 + C00007 -&gt; C16479 + C00003 | (${Variables:E1_14_12_10_kcat} * E1_14_12_10 * C02364 * C00004 * C00080 * C00007)/(${Variables:E1_14_12_10_km} + (E1_14_12_10 * C02364 * C00004 * C00080 * C00007))</v>
      </c>
    </row>
    <row r="103" spans="1:11" ht="46.25" customHeight="1">
      <c r="A103" t="s">
        <v>6632</v>
      </c>
      <c r="B103" t="s">
        <v>6633</v>
      </c>
      <c r="C103" t="s">
        <v>12797</v>
      </c>
      <c r="D103" s="19">
        <v>102</v>
      </c>
      <c r="E103" s="19" t="str">
        <f t="shared" si="3"/>
        <v>E1_14_12_10</v>
      </c>
      <c r="F103" s="19" t="s">
        <v>13268</v>
      </c>
      <c r="G103" s="19" t="s">
        <v>14683</v>
      </c>
      <c r="H103" s="19" t="s">
        <v>13947</v>
      </c>
      <c r="I103" s="19" t="s">
        <v>15362</v>
      </c>
      <c r="J103" s="19" t="str">
        <f t="shared" si="4"/>
        <v>(${Variables:E1_14_12_10_kcat} * E1_14_12_10 * C02371 * C00004 * C00080 * C00007)/(${Variables:E1_14_12_10_km} + (E1_14_12_10 * C02371 * C00004 * C00080 * C00007))</v>
      </c>
      <c r="K103" s="37" t="str">
        <f t="shared" si="5"/>
        <v>r102: C02371 + C00004 + C00080 + C00007 -&gt; C16480 + C00003 | (${Variables:E1_14_12_10_kcat} * E1_14_12_10 * C02371 * C00004 * C00080 * C00007)/(${Variables:E1_14_12_10_km} + (E1_14_12_10 * C02371 * C00004 * C00080 * C00007))</v>
      </c>
    </row>
    <row r="104" spans="1:11" ht="46.25" customHeight="1">
      <c r="A104" t="s">
        <v>6636</v>
      </c>
      <c r="B104" t="s">
        <v>6637</v>
      </c>
      <c r="C104" t="s">
        <v>12797</v>
      </c>
      <c r="D104" s="19">
        <v>103</v>
      </c>
      <c r="E104" s="19" t="str">
        <f t="shared" si="3"/>
        <v>E1_14_12_10</v>
      </c>
      <c r="F104" s="19" t="s">
        <v>13263</v>
      </c>
      <c r="G104" s="19" t="s">
        <v>14678</v>
      </c>
      <c r="H104" s="19" t="s">
        <v>13948</v>
      </c>
      <c r="I104" s="19" t="s">
        <v>15363</v>
      </c>
      <c r="J104" s="19" t="str">
        <f t="shared" si="4"/>
        <v>(${Variables:E1_14_12_10_kcat} * E1_14_12_10 * C00180 * C00004 * C00080 * C00007)/(${Variables:E1_14_12_10_km} + (E1_14_12_10 * C00180 * C00004 * C00080 * C00007))</v>
      </c>
      <c r="K104" s="37" t="str">
        <f t="shared" si="5"/>
        <v>r103: C00180 + C00004 + C00080 + C00007 -&gt; C04634 + C00003 | (${Variables:E1_14_12_10_kcat} * E1_14_12_10 * C00180 * C00004 * C00080 * C00007)/(${Variables:E1_14_12_10_km} + (E1_14_12_10 * C00180 * C00004 * C00080 * C00007))</v>
      </c>
    </row>
    <row r="105" spans="1:11" ht="46.25" customHeight="1">
      <c r="A105" t="s">
        <v>6636</v>
      </c>
      <c r="B105" t="s">
        <v>6637</v>
      </c>
      <c r="C105" t="s">
        <v>12797</v>
      </c>
      <c r="D105" s="19">
        <v>104</v>
      </c>
      <c r="E105" s="19" t="str">
        <f t="shared" si="3"/>
        <v>E1_14_12_10</v>
      </c>
      <c r="F105" s="19" t="s">
        <v>13263</v>
      </c>
      <c r="G105" s="19" t="s">
        <v>14678</v>
      </c>
      <c r="H105" s="19" t="s">
        <v>13306</v>
      </c>
      <c r="I105" s="19" t="s">
        <v>14721</v>
      </c>
      <c r="J105" s="19" t="str">
        <f t="shared" si="4"/>
        <v>(${Variables:E1_14_12_10_kcat} * E1_14_12_10 * C00180 * C00004 * C00080 * C00007)/(${Variables:E1_14_12_10_km} + (E1_14_12_10 * C00180 * C00004 * C00080 * C00007))</v>
      </c>
      <c r="K105" s="37" t="str">
        <f t="shared" si="5"/>
        <v>r104: C00180 + C00004 + C00080 + C00007 -&gt; C06321 + C00003 | (${Variables:E1_14_12_10_kcat} * E1_14_12_10 * C00180 * C00004 * C00080 * C00007)/(${Variables:E1_14_12_10_km} + (E1_14_12_10 * C00180 * C00004 * C00080 * C00007))</v>
      </c>
    </row>
    <row r="106" spans="1:11" ht="46.25" customHeight="1">
      <c r="A106" t="s">
        <v>6636</v>
      </c>
      <c r="B106" t="s">
        <v>6637</v>
      </c>
      <c r="C106" t="s">
        <v>12797</v>
      </c>
      <c r="D106" s="19">
        <v>105</v>
      </c>
      <c r="E106" s="19" t="str">
        <f t="shared" si="3"/>
        <v>E1_14_12_10</v>
      </c>
      <c r="F106" s="19" t="s">
        <v>13264</v>
      </c>
      <c r="G106" s="19" t="s">
        <v>14679</v>
      </c>
      <c r="H106" s="19" t="s">
        <v>13944</v>
      </c>
      <c r="I106" s="19" t="s">
        <v>15359</v>
      </c>
      <c r="J106" s="19" t="str">
        <f t="shared" si="4"/>
        <v>(${Variables:E1_14_12_10_kcat} * E1_14_12_10 * C00180 * C00005 * C00080 * C00007)/(${Variables:E1_14_12_10_km} + (E1_14_12_10 * C00180 * C00005 * C00080 * C00007))</v>
      </c>
      <c r="K106" s="37" t="str">
        <f t="shared" si="5"/>
        <v>r105: C00180 + C00005 + C00080 + C00007 -&gt; C06321 + C00006 | (${Variables:E1_14_12_10_kcat} * E1_14_12_10 * C00180 * C00005 * C00080 * C00007)/(${Variables:E1_14_12_10_km} + (E1_14_12_10 * C00180 * C00005 * C00080 * C00007))</v>
      </c>
    </row>
    <row r="107" spans="1:11" ht="46.25" customHeight="1">
      <c r="A107" t="s">
        <v>6636</v>
      </c>
      <c r="B107" t="s">
        <v>6637</v>
      </c>
      <c r="C107" t="s">
        <v>12797</v>
      </c>
      <c r="D107" s="19">
        <v>106</v>
      </c>
      <c r="E107" s="19" t="str">
        <f t="shared" si="3"/>
        <v>E1_14_12_10</v>
      </c>
      <c r="F107" s="19" t="s">
        <v>13265</v>
      </c>
      <c r="G107" s="19" t="s">
        <v>14680</v>
      </c>
      <c r="H107" s="19" t="s">
        <v>13945</v>
      </c>
      <c r="I107" s="19" t="s">
        <v>15360</v>
      </c>
      <c r="J107" s="19" t="str">
        <f t="shared" si="4"/>
        <v>(${Variables:E1_14_12_10_kcat} * E1_14_12_10 * C02359 * C00004 * C00080 * C00007)/(${Variables:E1_14_12_10_km} + (E1_14_12_10 * C02359 * C00004 * C00080 * C00007))</v>
      </c>
      <c r="K107" s="37" t="str">
        <f t="shared" si="5"/>
        <v>r106: C02359 + C00004 + C00080 + C00007 -&gt; C16482 + C00003 | (${Variables:E1_14_12_10_kcat} * E1_14_12_10 * C02359 * C00004 * C00080 * C00007)/(${Variables:E1_14_12_10_km} + (E1_14_12_10 * C02359 * C00004 * C00080 * C00007))</v>
      </c>
    </row>
    <row r="108" spans="1:11" ht="46.25" customHeight="1">
      <c r="A108" t="s">
        <v>6636</v>
      </c>
      <c r="B108" t="s">
        <v>6637</v>
      </c>
      <c r="C108" t="s">
        <v>12797</v>
      </c>
      <c r="D108" s="19">
        <v>107</v>
      </c>
      <c r="E108" s="19" t="str">
        <f t="shared" si="3"/>
        <v>E1_14_12_10</v>
      </c>
      <c r="F108" s="19" t="s">
        <v>13265</v>
      </c>
      <c r="G108" s="19" t="s">
        <v>14680</v>
      </c>
      <c r="H108" s="19" t="s">
        <v>13946</v>
      </c>
      <c r="I108" s="19" t="s">
        <v>15361</v>
      </c>
      <c r="J108" s="19" t="str">
        <f t="shared" si="4"/>
        <v>(${Variables:E1_14_12_10_kcat} * E1_14_12_10 * C02359 * C00004 * C00080 * C00007)/(${Variables:E1_14_12_10_km} + (E1_14_12_10 * C02359 * C00004 * C00080 * C00007))</v>
      </c>
      <c r="K108" s="37" t="str">
        <f t="shared" si="5"/>
        <v>r107: C02359 + C00004 + C00080 + C00007 -&gt; C16481 + C00003 | (${Variables:E1_14_12_10_kcat} * E1_14_12_10 * C02359 * C00004 * C00080 * C00007)/(${Variables:E1_14_12_10_km} + (E1_14_12_10 * C02359 * C00004 * C00080 * C00007))</v>
      </c>
    </row>
    <row r="109" spans="1:11" ht="46.25" customHeight="1">
      <c r="A109" t="s">
        <v>6636</v>
      </c>
      <c r="B109" t="s">
        <v>6637</v>
      </c>
      <c r="C109" t="s">
        <v>12797</v>
      </c>
      <c r="D109" s="19">
        <v>108</v>
      </c>
      <c r="E109" s="19" t="str">
        <f t="shared" si="3"/>
        <v>E1_14_12_10</v>
      </c>
      <c r="F109" s="19" t="s">
        <v>13266</v>
      </c>
      <c r="G109" s="19" t="s">
        <v>14681</v>
      </c>
      <c r="H109" s="19" t="s">
        <v>13307</v>
      </c>
      <c r="I109" s="19" t="s">
        <v>14722</v>
      </c>
      <c r="J109" s="19" t="str">
        <f t="shared" si="4"/>
        <v>(${Variables:E1_14_12_10_kcat} * E1_14_12_10 * C02364 * C00004 * C00007 * C00080)/(${Variables:E1_14_12_10_km} + (E1_14_12_10 * C02364 * C00004 * C00007 * C00080))</v>
      </c>
      <c r="K109" s="37" t="str">
        <f t="shared" si="5"/>
        <v>r108: C02364 + C00004 + C00007 + C00080 -&gt; C16478 + C00003 | (${Variables:E1_14_12_10_kcat} * E1_14_12_10 * C02364 * C00004 * C00007 * C00080)/(${Variables:E1_14_12_10_km} + (E1_14_12_10 * C02364 * C00004 * C00007 * C00080))</v>
      </c>
    </row>
    <row r="110" spans="1:11" ht="46.25" customHeight="1">
      <c r="A110" t="s">
        <v>6636</v>
      </c>
      <c r="B110" t="s">
        <v>6637</v>
      </c>
      <c r="C110" t="s">
        <v>12797</v>
      </c>
      <c r="D110" s="19">
        <v>109</v>
      </c>
      <c r="E110" s="19" t="str">
        <f t="shared" si="3"/>
        <v>E1_14_12_10</v>
      </c>
      <c r="F110" s="19" t="s">
        <v>13267</v>
      </c>
      <c r="G110" s="19" t="s">
        <v>14682</v>
      </c>
      <c r="H110" s="19" t="s">
        <v>13308</v>
      </c>
      <c r="I110" s="19" t="s">
        <v>14723</v>
      </c>
      <c r="J110" s="19" t="str">
        <f t="shared" si="4"/>
        <v>(${Variables:E1_14_12_10_kcat} * E1_14_12_10 * C02364 * C00004 * C00080 * C00007)/(${Variables:E1_14_12_10_km} + (E1_14_12_10 * C02364 * C00004 * C00080 * C00007))</v>
      </c>
      <c r="K110" s="37" t="str">
        <f t="shared" si="5"/>
        <v>r109: C02364 + C00004 + C00080 + C00007 -&gt; C16479 + C00003 | (${Variables:E1_14_12_10_kcat} * E1_14_12_10 * C02364 * C00004 * C00080 * C00007)/(${Variables:E1_14_12_10_km} + (E1_14_12_10 * C02364 * C00004 * C00080 * C00007))</v>
      </c>
    </row>
    <row r="111" spans="1:11" ht="46.25" customHeight="1">
      <c r="A111" t="s">
        <v>6636</v>
      </c>
      <c r="B111" t="s">
        <v>6637</v>
      </c>
      <c r="C111" t="s">
        <v>12797</v>
      </c>
      <c r="D111" s="19">
        <v>110</v>
      </c>
      <c r="E111" s="19" t="str">
        <f t="shared" si="3"/>
        <v>E1_14_12_10</v>
      </c>
      <c r="F111" s="19" t="s">
        <v>13268</v>
      </c>
      <c r="G111" s="19" t="s">
        <v>14683</v>
      </c>
      <c r="H111" s="19" t="s">
        <v>13947</v>
      </c>
      <c r="I111" s="19" t="s">
        <v>15362</v>
      </c>
      <c r="J111" s="19" t="str">
        <f t="shared" si="4"/>
        <v>(${Variables:E1_14_12_10_kcat} * E1_14_12_10 * C02371 * C00004 * C00080 * C00007)/(${Variables:E1_14_12_10_km} + (E1_14_12_10 * C02371 * C00004 * C00080 * C00007))</v>
      </c>
      <c r="K111" s="37" t="str">
        <f t="shared" si="5"/>
        <v>r110: C02371 + C00004 + C00080 + C00007 -&gt; C16480 + C00003 | (${Variables:E1_14_12_10_kcat} * E1_14_12_10 * C02371 * C00004 * C00080 * C00007)/(${Variables:E1_14_12_10_km} + (E1_14_12_10 * C02371 * C00004 * C00080 * C00007))</v>
      </c>
    </row>
    <row r="112" spans="1:11" ht="46.25" customHeight="1">
      <c r="A112" t="s">
        <v>3298</v>
      </c>
      <c r="B112" t="s">
        <v>3299</v>
      </c>
      <c r="C112" t="s">
        <v>12798</v>
      </c>
      <c r="D112" s="19">
        <v>111</v>
      </c>
      <c r="E112" s="19" t="str">
        <f t="shared" si="3"/>
        <v>E1_14_13_127</v>
      </c>
      <c r="F112" s="19" t="s">
        <v>13269</v>
      </c>
      <c r="G112" s="19" t="s">
        <v>14684</v>
      </c>
      <c r="H112" s="19" t="s">
        <v>13949</v>
      </c>
      <c r="I112" s="19" t="s">
        <v>15364</v>
      </c>
      <c r="J112" s="19" t="str">
        <f t="shared" si="4"/>
        <v>(${Variables:E1_14_13_127_kcat} * E1_14_13_127 * C11457 * C00007 * C00004 * C00080)/(${Variables:E1_14_13_127_km} + (E1_14_13_127 * C11457 * C00007 * C00004 * C00080))</v>
      </c>
      <c r="K112" s="37" t="str">
        <f t="shared" si="5"/>
        <v>r111: C11457 + C00007 + C00004 + C00080 -&gt; C04044 + C00001 + C00003 | (${Variables:E1_14_13_127_kcat} * E1_14_13_127 * C11457 * C00007 * C00004 * C00080)/(${Variables:E1_14_13_127_km} + (E1_14_13_127 * C11457 * C00007 * C00004 * C00080))</v>
      </c>
    </row>
    <row r="113" spans="1:11" ht="46.25" customHeight="1">
      <c r="A113" t="s">
        <v>3298</v>
      </c>
      <c r="B113" t="s">
        <v>3299</v>
      </c>
      <c r="C113" t="s">
        <v>12798</v>
      </c>
      <c r="D113" s="19">
        <v>112</v>
      </c>
      <c r="E113" s="19" t="str">
        <f t="shared" si="3"/>
        <v>E1_14_13_127</v>
      </c>
      <c r="F113" s="19" t="s">
        <v>13270</v>
      </c>
      <c r="G113" s="19" t="s">
        <v>14685</v>
      </c>
      <c r="H113" s="19" t="s">
        <v>13950</v>
      </c>
      <c r="I113" s="19" t="s">
        <v>15365</v>
      </c>
      <c r="J113" s="19" t="str">
        <f t="shared" si="4"/>
        <v>(${Variables:E1_14_13_127_kcat} * E1_14_13_127 * C12621 * C00007 * C00004 * C00080)/(${Variables:E1_14_13_127_km} + (E1_14_13_127 * C12621 * C00007 * C00004 * C00080))</v>
      </c>
      <c r="K113" s="37" t="str">
        <f t="shared" si="5"/>
        <v>r112: C12621 + C00007 + C00004 + C00080 -&gt; C12623 + C00001 + C00003 | (${Variables:E1_14_13_127_kcat} * E1_14_13_127 * C12621 * C00007 * C00004 * C00080)/(${Variables:E1_14_13_127_km} + (E1_14_13_127 * C12621 * C00007 * C00004 * C00080))</v>
      </c>
    </row>
    <row r="114" spans="1:11" ht="46.25" customHeight="1">
      <c r="A114" t="s">
        <v>8222</v>
      </c>
      <c r="B114" t="s">
        <v>8223</v>
      </c>
      <c r="C114" t="s">
        <v>16012</v>
      </c>
      <c r="D114" s="19">
        <v>113</v>
      </c>
      <c r="E114" s="19" t="str">
        <f t="shared" si="3"/>
        <v>E1_14_13_24</v>
      </c>
      <c r="F114" s="19" t="s">
        <v>13271</v>
      </c>
      <c r="G114" s="19" t="s">
        <v>14686</v>
      </c>
      <c r="H114" s="19" t="s">
        <v>13951</v>
      </c>
      <c r="I114" s="19" t="s">
        <v>15366</v>
      </c>
      <c r="J114" s="19" t="str">
        <f t="shared" si="4"/>
        <v>(${Variables:E1_14_13_24_kcat} * E1_14_13_24 * C00587 * C00007 * C00004 * C00080)/(${Variables:E1_14_13_24_km} + (E1_14_13_24 * C00587 * C00007 * C00004 * C00080))</v>
      </c>
      <c r="K114" s="37" t="str">
        <f t="shared" si="5"/>
        <v>r113: C00587 + C00007 + C00004 + C00080 -&gt; C00628 + C00003 + C00001 | (${Variables:E1_14_13_24_kcat} * E1_14_13_24 * C00587 * C00007 * C00004 * C00080)/(${Variables:E1_14_13_24_km} + (E1_14_13_24 * C00587 * C00007 * C00004 * C00080))</v>
      </c>
    </row>
    <row r="115" spans="1:11" ht="46.25" customHeight="1">
      <c r="A115" t="s">
        <v>6144</v>
      </c>
      <c r="B115" t="s">
        <v>6145</v>
      </c>
      <c r="C115" t="s">
        <v>12799</v>
      </c>
      <c r="D115" s="19">
        <v>114</v>
      </c>
      <c r="E115" s="19" t="str">
        <f t="shared" si="3"/>
        <v>E1_14_14_18</v>
      </c>
      <c r="F115" s="19" t="s">
        <v>13272</v>
      </c>
      <c r="G115" s="19" t="s">
        <v>14687</v>
      </c>
      <c r="H115" s="19" t="s">
        <v>13952</v>
      </c>
      <c r="I115" s="19" t="s">
        <v>15367</v>
      </c>
      <c r="J115" s="19" t="str">
        <f t="shared" si="4"/>
        <v>(${Variables:E1_14_14_18_kcat} * E1_14_14_18 * C00032 * C03024 * C00007)/(${Variables:E1_14_14_18_km} + (E1_14_14_18 * C00032 * C03024 * C00007))</v>
      </c>
      <c r="K115" s="37" t="str">
        <f t="shared" si="5"/>
        <v>r114: C00032 + C03024 + C00007 -&gt; C00500 + C00237 + C14818 + C03161 + C00001 | (${Variables:E1_14_14_18_kcat} * E1_14_14_18 * C00032 * C03024 * C00007)/(${Variables:E1_14_14_18_km} + (E1_14_14_18 * C00032 * C03024 * C00007))</v>
      </c>
    </row>
    <row r="116" spans="1:11" ht="46.25" customHeight="1">
      <c r="A116" t="s">
        <v>7966</v>
      </c>
      <c r="B116" t="s">
        <v>7967</v>
      </c>
      <c r="C116" t="s">
        <v>12800</v>
      </c>
      <c r="D116" s="19">
        <v>115</v>
      </c>
      <c r="E116" s="19" t="str">
        <f t="shared" si="3"/>
        <v>E1_15_1_1</v>
      </c>
      <c r="F116" s="19" t="s">
        <v>13273</v>
      </c>
      <c r="G116" s="19" t="s">
        <v>14688</v>
      </c>
      <c r="H116" s="19" t="s">
        <v>13953</v>
      </c>
      <c r="I116" s="19" t="s">
        <v>15368</v>
      </c>
      <c r="J116" s="19" t="str">
        <f t="shared" si="4"/>
        <v>(${Variables:E1_15_1_1_kcat} * E1_15_1_1 * C00704 * C00080 )/(${Variables:E1_15_1_1_km} + (E1_15_1_1 * C00704 * C00080 ))</v>
      </c>
      <c r="K116" s="37" t="str">
        <f t="shared" si="5"/>
        <v>r115: C00704 + C00080  -&gt; C00027 + C00007 | (${Variables:E1_15_1_1_kcat} * E1_15_1_1 * C00704 * C00080 )/(${Variables:E1_15_1_1_km} + (E1_15_1_1 * C00704 * C00080 ))</v>
      </c>
    </row>
    <row r="117" spans="1:11" ht="46.25" customHeight="1">
      <c r="A117" t="s">
        <v>5436</v>
      </c>
      <c r="B117" t="s">
        <v>5437</v>
      </c>
      <c r="C117" t="s">
        <v>12801</v>
      </c>
      <c r="D117" s="19">
        <v>116</v>
      </c>
      <c r="E117" s="19" t="str">
        <f t="shared" si="3"/>
        <v>E1_17_1_8</v>
      </c>
      <c r="F117" s="19" t="s">
        <v>13274</v>
      </c>
      <c r="G117" s="19" t="s">
        <v>14689</v>
      </c>
      <c r="H117" s="19" t="s">
        <v>13954</v>
      </c>
      <c r="I117" s="19" t="s">
        <v>15369</v>
      </c>
      <c r="J117" s="19" t="str">
        <f t="shared" si="4"/>
        <v>(${Variables:E1_17_1_8_kcat} * E1_17_1_8 * C03972 * C00003 * C00001)/(${Variables:E1_17_1_8_km} + (E1_17_1_8 * C03972 * C00003 * C00001))</v>
      </c>
      <c r="K117" s="37" t="str">
        <f t="shared" si="5"/>
        <v>r116: C03972 + C00003 + C00001 -&gt; C20258 + C00004 + C00080 | (${Variables:E1_17_1_8_kcat} * E1_17_1_8 * C03972 * C00003 * C00001)/(${Variables:E1_17_1_8_km} + (E1_17_1_8 * C03972 * C00003 * C00001))</v>
      </c>
    </row>
    <row r="118" spans="1:11" ht="46.25" customHeight="1">
      <c r="A118" t="s">
        <v>5436</v>
      </c>
      <c r="B118" t="s">
        <v>5437</v>
      </c>
      <c r="C118" t="s">
        <v>12801</v>
      </c>
      <c r="D118" s="19">
        <v>117</v>
      </c>
      <c r="E118" s="19" t="str">
        <f t="shared" si="3"/>
        <v>E1_17_1_8</v>
      </c>
      <c r="F118" s="19" t="s">
        <v>13275</v>
      </c>
      <c r="G118" s="19" t="s">
        <v>14690</v>
      </c>
      <c r="H118" s="19" t="s">
        <v>13955</v>
      </c>
      <c r="I118" s="19" t="s">
        <v>15370</v>
      </c>
      <c r="J118" s="19" t="str">
        <f t="shared" si="4"/>
        <v>(${Variables:E1_17_1_8_kcat} * E1_17_1_8 * C03972 * C00006 * C00001)/(${Variables:E1_17_1_8_km} + (E1_17_1_8 * C03972 * C00006 * C00001))</v>
      </c>
      <c r="K118" s="37" t="str">
        <f t="shared" si="5"/>
        <v>r117: C03972 + C00006 + C00001 -&gt; C20258 + C00005 + C00080 | (${Variables:E1_17_1_8_kcat} * E1_17_1_8 * C03972 * C00006 * C00001)/(${Variables:E1_17_1_8_km} + (E1_17_1_8 * C03972 * C00006 * C00001))</v>
      </c>
    </row>
    <row r="119" spans="1:11" ht="46.25" customHeight="1">
      <c r="A119" t="s">
        <v>6934</v>
      </c>
      <c r="B119" t="s">
        <v>6935</v>
      </c>
      <c r="C119" t="s">
        <v>16013</v>
      </c>
      <c r="D119" s="19">
        <v>118</v>
      </c>
      <c r="E119" s="19" t="str">
        <f t="shared" si="3"/>
        <v>E1_17_4_1</v>
      </c>
      <c r="F119" s="19" t="s">
        <v>13276</v>
      </c>
      <c r="G119" s="19" t="s">
        <v>14691</v>
      </c>
      <c r="H119" s="19" t="s">
        <v>13956</v>
      </c>
      <c r="I119" s="19" t="s">
        <v>15371</v>
      </c>
      <c r="J119" s="19" t="str">
        <f t="shared" si="4"/>
        <v>(${Variables:E1_17_4_1_kcat} * E1_17_4_1 * C04232 * C00343 * C00001)/(${Variables:E1_17_4_1_km} + (E1_17_4_1 * C04232 * C00343 * C00001))</v>
      </c>
      <c r="K119" s="37" t="str">
        <f t="shared" si="5"/>
        <v>r118: C04232 + C00343 + C00001 -&gt; C03723 + C00342 | (${Variables:E1_17_4_1_kcat} * E1_17_4_1 * C04232 * C00343 * C00001)/(${Variables:E1_17_4_1_km} + (E1_17_4_1 * C04232 * C00343 * C00001))</v>
      </c>
    </row>
    <row r="120" spans="1:11" ht="46.25" customHeight="1">
      <c r="A120" t="s">
        <v>6934</v>
      </c>
      <c r="B120" t="s">
        <v>6935</v>
      </c>
      <c r="C120" t="s">
        <v>16013</v>
      </c>
      <c r="D120" s="19">
        <v>119</v>
      </c>
      <c r="E120" s="19" t="str">
        <f t="shared" si="3"/>
        <v>E1_17_4_1</v>
      </c>
      <c r="F120" s="19" t="s">
        <v>13277</v>
      </c>
      <c r="G120" s="19" t="s">
        <v>14692</v>
      </c>
      <c r="H120" s="19" t="s">
        <v>13957</v>
      </c>
      <c r="I120" s="19" t="s">
        <v>15372</v>
      </c>
      <c r="J120" s="19" t="str">
        <f t="shared" si="4"/>
        <v>(${Variables:E1_17_4_1_kcat} * E1_17_4_1 * C00206 * C00343 * C00001)/(${Variables:E1_17_4_1_km} + (E1_17_4_1 * C00206 * C00343 * C00001))</v>
      </c>
      <c r="K120" s="37" t="str">
        <f t="shared" si="5"/>
        <v>r119: C00206 + C00343 + C00001 -&gt; C00342 + C00008 | (${Variables:E1_17_4_1_kcat} * E1_17_4_1 * C00206 * C00343 * C00001)/(${Variables:E1_17_4_1_km} + (E1_17_4_1 * C00206 * C00343 * C00001))</v>
      </c>
    </row>
    <row r="121" spans="1:11" ht="46.25" customHeight="1">
      <c r="A121" t="s">
        <v>6934</v>
      </c>
      <c r="B121" t="s">
        <v>6935</v>
      </c>
      <c r="C121" t="s">
        <v>16013</v>
      </c>
      <c r="D121" s="19">
        <v>120</v>
      </c>
      <c r="E121" s="19" t="str">
        <f t="shared" si="3"/>
        <v>E1_17_4_1</v>
      </c>
      <c r="F121" s="19" t="s">
        <v>13278</v>
      </c>
      <c r="G121" s="19" t="s">
        <v>14693</v>
      </c>
      <c r="H121" s="19" t="s">
        <v>13958</v>
      </c>
      <c r="I121" s="19" t="s">
        <v>15373</v>
      </c>
      <c r="J121" s="19" t="str">
        <f t="shared" si="4"/>
        <v>(${Variables:E1_17_4_1_kcat} * E1_17_4_1 * C01346 * C00343 * C00001)/(${Variables:E1_17_4_1_km} + (E1_17_4_1 * C01346 * C00343 * C00001))</v>
      </c>
      <c r="K121" s="37" t="str">
        <f t="shared" si="5"/>
        <v>r120: C01346 + C00343 + C00001 -&gt; C00342 + C00015 | (${Variables:E1_17_4_1_kcat} * E1_17_4_1 * C01346 * C00343 * C00001)/(${Variables:E1_17_4_1_km} + (E1_17_4_1 * C01346 * C00343 * C00001))</v>
      </c>
    </row>
    <row r="122" spans="1:11" ht="46.25" customHeight="1">
      <c r="A122" t="s">
        <v>6934</v>
      </c>
      <c r="B122" t="s">
        <v>6935</v>
      </c>
      <c r="C122" t="s">
        <v>16013</v>
      </c>
      <c r="D122" s="19">
        <v>121</v>
      </c>
      <c r="E122" s="19" t="str">
        <f t="shared" si="3"/>
        <v>E1_17_4_1</v>
      </c>
      <c r="F122" s="19" t="s">
        <v>13279</v>
      </c>
      <c r="G122" s="19" t="s">
        <v>14694</v>
      </c>
      <c r="H122" s="19" t="s">
        <v>13959</v>
      </c>
      <c r="I122" s="19" t="s">
        <v>15374</v>
      </c>
      <c r="J122" s="19" t="str">
        <f t="shared" si="4"/>
        <v>(${Variables:E1_17_4_1_kcat} * E1_17_4_1 * C00361 * C00343 * C00001)/(${Variables:E1_17_4_1_km} + (E1_17_4_1 * C00361 * C00343 * C00001))</v>
      </c>
      <c r="K122" s="37" t="str">
        <f t="shared" si="5"/>
        <v>r121: C00361 + C00343 + C00001 -&gt; C00035 + C00342 | (${Variables:E1_17_4_1_kcat} * E1_17_4_1 * C00361 * C00343 * C00001)/(${Variables:E1_17_4_1_km} + (E1_17_4_1 * C00361 * C00343 * C00001))</v>
      </c>
    </row>
    <row r="123" spans="1:11" ht="46.25" customHeight="1">
      <c r="A123" t="s">
        <v>6934</v>
      </c>
      <c r="B123" t="s">
        <v>6935</v>
      </c>
      <c r="C123" t="s">
        <v>16013</v>
      </c>
      <c r="D123" s="19">
        <v>122</v>
      </c>
      <c r="E123" s="19" t="str">
        <f t="shared" si="3"/>
        <v>E1_17_4_1</v>
      </c>
      <c r="F123" s="19" t="s">
        <v>13280</v>
      </c>
      <c r="G123" s="19" t="s">
        <v>14695</v>
      </c>
      <c r="H123" s="19" t="s">
        <v>13960</v>
      </c>
      <c r="I123" s="19" t="s">
        <v>15375</v>
      </c>
      <c r="J123" s="19" t="str">
        <f t="shared" si="4"/>
        <v>(${Variables:E1_17_4_1_kcat} * E1_17_4_1 * C00705 * C00343 * C00001)/(${Variables:E1_17_4_1_km} + (E1_17_4_1 * C00705 * C00343 * C00001))</v>
      </c>
      <c r="K123" s="37" t="str">
        <f t="shared" si="5"/>
        <v>r122: C00705 + C00343 + C00001 -&gt; C00342 + C00112 | (${Variables:E1_17_4_1_kcat} * E1_17_4_1 * C00705 * C00343 * C00001)/(${Variables:E1_17_4_1_km} + (E1_17_4_1 * C00705 * C00343 * C00001))</v>
      </c>
    </row>
    <row r="124" spans="1:11" ht="46.25" customHeight="1">
      <c r="A124" t="s">
        <v>6934</v>
      </c>
      <c r="B124" t="s">
        <v>6935</v>
      </c>
      <c r="C124" t="s">
        <v>16013</v>
      </c>
      <c r="D124" s="19">
        <v>123</v>
      </c>
      <c r="E124" s="19" t="str">
        <f t="shared" si="3"/>
        <v>E1_17_4_1</v>
      </c>
      <c r="F124" s="19" t="s">
        <v>13281</v>
      </c>
      <c r="G124" s="19" t="s">
        <v>14696</v>
      </c>
      <c r="H124" s="19" t="s">
        <v>13961</v>
      </c>
      <c r="I124" s="19" t="s">
        <v>15376</v>
      </c>
      <c r="J124" s="19" t="str">
        <f t="shared" si="4"/>
        <v>(${Variables:E1_17_4_1_kcat} * E1_17_4_1 * C04232 * C16664 * C00001)/(${Variables:E1_17_4_1_km} + (E1_17_4_1 * C04232 * C16664 * C00001))</v>
      </c>
      <c r="K124" s="37" t="str">
        <f t="shared" si="5"/>
        <v>r123: C04232 + C16664 + C00001 -&gt; C03723 + C16663 | (${Variables:E1_17_4_1_kcat} * E1_17_4_1 * C04232 * C16664 * C00001)/(${Variables:E1_17_4_1_km} + (E1_17_4_1 * C04232 * C16664 * C00001))</v>
      </c>
    </row>
    <row r="125" spans="1:11" ht="46.25" customHeight="1">
      <c r="A125" t="s">
        <v>6934</v>
      </c>
      <c r="B125" t="s">
        <v>6935</v>
      </c>
      <c r="C125" t="s">
        <v>16013</v>
      </c>
      <c r="D125" s="19">
        <v>124</v>
      </c>
      <c r="E125" s="19" t="str">
        <f t="shared" si="3"/>
        <v>E1_17_4_1</v>
      </c>
      <c r="F125" s="19" t="s">
        <v>13282</v>
      </c>
      <c r="G125" s="19" t="s">
        <v>14697</v>
      </c>
      <c r="H125" s="19" t="s">
        <v>13962</v>
      </c>
      <c r="I125" s="19" t="s">
        <v>15377</v>
      </c>
      <c r="J125" s="19" t="str">
        <f t="shared" si="4"/>
        <v>(${Variables:E1_17_4_1_kcat} * E1_17_4_1 * C04232 * C03170 * C00001)/(${Variables:E1_17_4_1_km} + (E1_17_4_1 * C04232 * C03170 * C00001))</v>
      </c>
      <c r="K125" s="37" t="str">
        <f t="shared" si="5"/>
        <v>r124: C04232 + C03170 + C00001 -&gt; C03723 + C02090 | (${Variables:E1_17_4_1_kcat} * E1_17_4_1 * C04232 * C03170 * C00001)/(${Variables:E1_17_4_1_km} + (E1_17_4_1 * C04232 * C03170 * C00001))</v>
      </c>
    </row>
    <row r="126" spans="1:11" ht="46.25" customHeight="1">
      <c r="A126" t="s">
        <v>6934</v>
      </c>
      <c r="B126" t="s">
        <v>6935</v>
      </c>
      <c r="C126" t="s">
        <v>16013</v>
      </c>
      <c r="D126" s="19">
        <v>125</v>
      </c>
      <c r="E126" s="19" t="str">
        <f t="shared" si="3"/>
        <v>E1_17_4_1</v>
      </c>
      <c r="F126" s="19" t="s">
        <v>13283</v>
      </c>
      <c r="G126" s="19" t="s">
        <v>14698</v>
      </c>
      <c r="H126" s="19" t="s">
        <v>13963</v>
      </c>
      <c r="I126" s="19" t="s">
        <v>15378</v>
      </c>
      <c r="J126" s="19" t="str">
        <f t="shared" si="4"/>
        <v>(${Variables:E1_17_4_1_kcat} * E1_17_4_1 * C21750 * C00343 * C00001)/(${Variables:E1_17_4_1_km} + (E1_17_4_1 * C21750 * C00343 * C00001))</v>
      </c>
      <c r="K126" s="37" t="str">
        <f t="shared" si="5"/>
        <v>r125: C21750 + C00343 + C00001 -&gt; C21748 + C00342 | (${Variables:E1_17_4_1_kcat} * E1_17_4_1 * C21750 * C00343 * C00001)/(${Variables:E1_17_4_1_km} + (E1_17_4_1 * C21750 * C00343 * C00001))</v>
      </c>
    </row>
    <row r="127" spans="1:11" ht="46.25" customHeight="1">
      <c r="A127" t="s">
        <v>6946</v>
      </c>
      <c r="B127" t="s">
        <v>6947</v>
      </c>
      <c r="C127" t="s">
        <v>16013</v>
      </c>
      <c r="D127" s="19">
        <v>126</v>
      </c>
      <c r="E127" s="19" t="str">
        <f t="shared" si="3"/>
        <v>E1_17_4_1</v>
      </c>
      <c r="F127" s="19" t="s">
        <v>13276</v>
      </c>
      <c r="G127" s="19" t="s">
        <v>14691</v>
      </c>
      <c r="H127" s="19" t="s">
        <v>13956</v>
      </c>
      <c r="I127" s="19" t="s">
        <v>15371</v>
      </c>
      <c r="J127" s="19" t="str">
        <f t="shared" si="4"/>
        <v>(${Variables:E1_17_4_1_kcat} * E1_17_4_1 * C04232 * C00343 * C00001)/(${Variables:E1_17_4_1_km} + (E1_17_4_1 * C04232 * C00343 * C00001))</v>
      </c>
      <c r="K127" s="37" t="str">
        <f t="shared" si="5"/>
        <v>r126: C04232 + C00343 + C00001 -&gt; C03723 + C00342 | (${Variables:E1_17_4_1_kcat} * E1_17_4_1 * C04232 * C00343 * C00001)/(${Variables:E1_17_4_1_km} + (E1_17_4_1 * C04232 * C00343 * C00001))</v>
      </c>
    </row>
    <row r="128" spans="1:11" ht="46.25" customHeight="1">
      <c r="A128" t="s">
        <v>6946</v>
      </c>
      <c r="B128" t="s">
        <v>6947</v>
      </c>
      <c r="C128" t="s">
        <v>16013</v>
      </c>
      <c r="D128" s="19">
        <v>127</v>
      </c>
      <c r="E128" s="19" t="str">
        <f t="shared" si="3"/>
        <v>E1_17_4_1</v>
      </c>
      <c r="F128" s="19" t="s">
        <v>13277</v>
      </c>
      <c r="G128" s="19" t="s">
        <v>14692</v>
      </c>
      <c r="H128" s="19" t="s">
        <v>13957</v>
      </c>
      <c r="I128" s="19" t="s">
        <v>15372</v>
      </c>
      <c r="J128" s="19" t="str">
        <f t="shared" si="4"/>
        <v>(${Variables:E1_17_4_1_kcat} * E1_17_4_1 * C00206 * C00343 * C00001)/(${Variables:E1_17_4_1_km} + (E1_17_4_1 * C00206 * C00343 * C00001))</v>
      </c>
      <c r="K128" s="37" t="str">
        <f t="shared" si="5"/>
        <v>r127: C00206 + C00343 + C00001 -&gt; C00342 + C00008 | (${Variables:E1_17_4_1_kcat} * E1_17_4_1 * C00206 * C00343 * C00001)/(${Variables:E1_17_4_1_km} + (E1_17_4_1 * C00206 * C00343 * C00001))</v>
      </c>
    </row>
    <row r="129" spans="1:11" ht="46.25" customHeight="1">
      <c r="A129" t="s">
        <v>6946</v>
      </c>
      <c r="B129" t="s">
        <v>6947</v>
      </c>
      <c r="C129" t="s">
        <v>16013</v>
      </c>
      <c r="D129" s="19">
        <v>128</v>
      </c>
      <c r="E129" s="19" t="str">
        <f t="shared" si="3"/>
        <v>E1_17_4_1</v>
      </c>
      <c r="F129" s="19" t="s">
        <v>13278</v>
      </c>
      <c r="G129" s="19" t="s">
        <v>14693</v>
      </c>
      <c r="H129" s="19" t="s">
        <v>13958</v>
      </c>
      <c r="I129" s="19" t="s">
        <v>15373</v>
      </c>
      <c r="J129" s="19" t="str">
        <f t="shared" si="4"/>
        <v>(${Variables:E1_17_4_1_kcat} * E1_17_4_1 * C01346 * C00343 * C00001)/(${Variables:E1_17_4_1_km} + (E1_17_4_1 * C01346 * C00343 * C00001))</v>
      </c>
      <c r="K129" s="37" t="str">
        <f t="shared" si="5"/>
        <v>r128: C01346 + C00343 + C00001 -&gt; C00342 + C00015 | (${Variables:E1_17_4_1_kcat} * E1_17_4_1 * C01346 * C00343 * C00001)/(${Variables:E1_17_4_1_km} + (E1_17_4_1 * C01346 * C00343 * C00001))</v>
      </c>
    </row>
    <row r="130" spans="1:11" ht="46.25" customHeight="1">
      <c r="A130" t="s">
        <v>6946</v>
      </c>
      <c r="B130" t="s">
        <v>6947</v>
      </c>
      <c r="C130" t="s">
        <v>16013</v>
      </c>
      <c r="D130" s="19">
        <v>129</v>
      </c>
      <c r="E130" s="19" t="str">
        <f t="shared" ref="E130:E193" si="6">CONCATENATE("E",C130)</f>
        <v>E1_17_4_1</v>
      </c>
      <c r="F130" s="19" t="s">
        <v>13279</v>
      </c>
      <c r="G130" s="19" t="s">
        <v>14694</v>
      </c>
      <c r="H130" s="19" t="s">
        <v>13959</v>
      </c>
      <c r="I130" s="19" t="s">
        <v>15374</v>
      </c>
      <c r="J130" s="19" t="str">
        <f t="shared" si="4"/>
        <v>(${Variables:E1_17_4_1_kcat} * E1_17_4_1 * C00361 * C00343 * C00001)/(${Variables:E1_17_4_1_km} + (E1_17_4_1 * C00361 * C00343 * C00001))</v>
      </c>
      <c r="K130" s="37" t="str">
        <f t="shared" si="5"/>
        <v>r129: C00361 + C00343 + C00001 -&gt; C00035 + C00342 | (${Variables:E1_17_4_1_kcat} * E1_17_4_1 * C00361 * C00343 * C00001)/(${Variables:E1_17_4_1_km} + (E1_17_4_1 * C00361 * C00343 * C00001))</v>
      </c>
    </row>
    <row r="131" spans="1:11" ht="46.25" customHeight="1">
      <c r="A131" t="s">
        <v>6946</v>
      </c>
      <c r="B131" t="s">
        <v>6947</v>
      </c>
      <c r="C131" t="s">
        <v>16013</v>
      </c>
      <c r="D131" s="19">
        <v>130</v>
      </c>
      <c r="E131" s="19" t="str">
        <f t="shared" si="6"/>
        <v>E1_17_4_1</v>
      </c>
      <c r="F131" s="19" t="s">
        <v>13280</v>
      </c>
      <c r="G131" s="19" t="s">
        <v>14695</v>
      </c>
      <c r="H131" s="19" t="s">
        <v>13960</v>
      </c>
      <c r="I131" s="19" t="s">
        <v>15375</v>
      </c>
      <c r="J131" s="19" t="str">
        <f t="shared" ref="J131:J194" si="7">CONCATENATE("(${Variables:",E131,"_kcat","} * ",E131," * ",G131,")","/(${Variables:",E131,"_km","} + (",E131," * ",G131,"))")</f>
        <v>(${Variables:E1_17_4_1_kcat} * E1_17_4_1 * C00705 * C00343 * C00001)/(${Variables:E1_17_4_1_km} + (E1_17_4_1 * C00705 * C00343 * C00001))</v>
      </c>
      <c r="K131" s="37" t="str">
        <f t="shared" ref="K131:K194" si="8">CONCATENATE("r",D131,": ",F131," -&gt; ",H131," | ",J131)</f>
        <v>r130: C00705 + C00343 + C00001 -&gt; C00342 + C00112 | (${Variables:E1_17_4_1_kcat} * E1_17_4_1 * C00705 * C00343 * C00001)/(${Variables:E1_17_4_1_km} + (E1_17_4_1 * C00705 * C00343 * C00001))</v>
      </c>
    </row>
    <row r="132" spans="1:11" ht="46.25" customHeight="1">
      <c r="A132" t="s">
        <v>6946</v>
      </c>
      <c r="B132" t="s">
        <v>6947</v>
      </c>
      <c r="C132" t="s">
        <v>16013</v>
      </c>
      <c r="D132" s="19">
        <v>131</v>
      </c>
      <c r="E132" s="19" t="str">
        <f t="shared" si="6"/>
        <v>E1_17_4_1</v>
      </c>
      <c r="F132" s="19" t="s">
        <v>13281</v>
      </c>
      <c r="G132" s="19" t="s">
        <v>14696</v>
      </c>
      <c r="H132" s="19" t="s">
        <v>13961</v>
      </c>
      <c r="I132" s="19" t="s">
        <v>15376</v>
      </c>
      <c r="J132" s="19" t="str">
        <f t="shared" si="7"/>
        <v>(${Variables:E1_17_4_1_kcat} * E1_17_4_1 * C04232 * C16664 * C00001)/(${Variables:E1_17_4_1_km} + (E1_17_4_1 * C04232 * C16664 * C00001))</v>
      </c>
      <c r="K132" s="37" t="str">
        <f t="shared" si="8"/>
        <v>r131: C04232 + C16664 + C00001 -&gt; C03723 + C16663 | (${Variables:E1_17_4_1_kcat} * E1_17_4_1 * C04232 * C16664 * C00001)/(${Variables:E1_17_4_1_km} + (E1_17_4_1 * C04232 * C16664 * C00001))</v>
      </c>
    </row>
    <row r="133" spans="1:11" ht="46.25" customHeight="1">
      <c r="A133" t="s">
        <v>6946</v>
      </c>
      <c r="B133" t="s">
        <v>6947</v>
      </c>
      <c r="C133" t="s">
        <v>16013</v>
      </c>
      <c r="D133" s="19">
        <v>132</v>
      </c>
      <c r="E133" s="19" t="str">
        <f t="shared" si="6"/>
        <v>E1_17_4_1</v>
      </c>
      <c r="F133" s="19" t="s">
        <v>13282</v>
      </c>
      <c r="G133" s="19" t="s">
        <v>14697</v>
      </c>
      <c r="H133" s="19" t="s">
        <v>13962</v>
      </c>
      <c r="I133" s="19" t="s">
        <v>15377</v>
      </c>
      <c r="J133" s="19" t="str">
        <f t="shared" si="7"/>
        <v>(${Variables:E1_17_4_1_kcat} * E1_17_4_1 * C04232 * C03170 * C00001)/(${Variables:E1_17_4_1_km} + (E1_17_4_1 * C04232 * C03170 * C00001))</v>
      </c>
      <c r="K133" s="37" t="str">
        <f t="shared" si="8"/>
        <v>r132: C04232 + C03170 + C00001 -&gt; C03723 + C02090 | (${Variables:E1_17_4_1_kcat} * E1_17_4_1 * C04232 * C03170 * C00001)/(${Variables:E1_17_4_1_km} + (E1_17_4_1 * C04232 * C03170 * C00001))</v>
      </c>
    </row>
    <row r="134" spans="1:11" ht="46.25" customHeight="1">
      <c r="A134" t="s">
        <v>6946</v>
      </c>
      <c r="B134" t="s">
        <v>6947</v>
      </c>
      <c r="C134" t="s">
        <v>16013</v>
      </c>
      <c r="D134" s="19">
        <v>133</v>
      </c>
      <c r="E134" s="19" t="str">
        <f t="shared" si="6"/>
        <v>E1_17_4_1</v>
      </c>
      <c r="F134" s="19" t="s">
        <v>13283</v>
      </c>
      <c r="G134" s="19" t="s">
        <v>14698</v>
      </c>
      <c r="H134" s="19" t="s">
        <v>13963</v>
      </c>
      <c r="I134" s="19" t="s">
        <v>15378</v>
      </c>
      <c r="J134" s="19" t="str">
        <f t="shared" si="7"/>
        <v>(${Variables:E1_17_4_1_kcat} * E1_17_4_1 * C21750 * C00343 * C00001)/(${Variables:E1_17_4_1_km} + (E1_17_4_1 * C21750 * C00343 * C00001))</v>
      </c>
      <c r="K134" s="37" t="str">
        <f t="shared" si="8"/>
        <v>r133: C21750 + C00343 + C00001 -&gt; C21748 + C00342 | (${Variables:E1_17_4_1_kcat} * E1_17_4_1 * C21750 * C00343 * C00001)/(${Variables:E1_17_4_1_km} + (E1_17_4_1 * C21750 * C00343 * C00001))</v>
      </c>
    </row>
    <row r="135" spans="1:11" ht="46.25" customHeight="1">
      <c r="A135" t="s">
        <v>5547</v>
      </c>
      <c r="B135" t="s">
        <v>5548</v>
      </c>
      <c r="C135" t="s">
        <v>16014</v>
      </c>
      <c r="D135" s="19">
        <v>134</v>
      </c>
      <c r="E135" s="19" t="str">
        <f t="shared" si="6"/>
        <v>E1_17_7_1</v>
      </c>
      <c r="F135" s="19" t="s">
        <v>13284</v>
      </c>
      <c r="G135" s="19" t="s">
        <v>14699</v>
      </c>
      <c r="H135" s="19" t="s">
        <v>13964</v>
      </c>
      <c r="I135" s="19" t="s">
        <v>15379</v>
      </c>
      <c r="J135" s="19" t="str">
        <f t="shared" si="7"/>
        <v>(${Variables:E1_17_7_1_kcat} * E1_17_7_1 * C11453 * C00138)/(${Variables:E1_17_7_1_km} + (E1_17_7_1 * C11453 * C00138))</v>
      </c>
      <c r="K135" s="37" t="str">
        <f t="shared" si="8"/>
        <v>r134: C11453 + C00138 -&gt; C11811 + C00001 + C00139 | (${Variables:E1_17_7_1_kcat} * E1_17_7_1 * C11453 * C00138)/(${Variables:E1_17_7_1_km} + (E1_17_7_1 * C11453 * C00138))</v>
      </c>
    </row>
    <row r="136" spans="1:11" ht="46.25" customHeight="1">
      <c r="A136" t="s">
        <v>2937</v>
      </c>
      <c r="B136" t="s">
        <v>2938</v>
      </c>
      <c r="C136" t="s">
        <v>12802</v>
      </c>
      <c r="D136" s="19">
        <v>135</v>
      </c>
      <c r="E136" s="19" t="str">
        <f t="shared" si="6"/>
        <v>E1_17_7_4</v>
      </c>
      <c r="F136" s="19" t="s">
        <v>13285</v>
      </c>
      <c r="G136" s="19" t="s">
        <v>14700</v>
      </c>
      <c r="H136" s="19" t="s">
        <v>13965</v>
      </c>
      <c r="I136" s="19" t="s">
        <v>15380</v>
      </c>
      <c r="J136" s="19" t="str">
        <f t="shared" si="7"/>
        <v>(${Variables:E1_17_7_4_kcat} * E1_17_7_4 * C11811 * C00138 * C00080)/(${Variables:E1_17_7_4_km} + (E1_17_7_4 * C11811 * C00138 * C00080))</v>
      </c>
      <c r="K136" s="37" t="str">
        <f t="shared" si="8"/>
        <v>r135: C11811 + C00138 + C00080 -&gt; C00129 + C00139 + C00001 | (${Variables:E1_17_7_4_kcat} * E1_17_7_4 * C11811 * C00138 * C00080)/(${Variables:E1_17_7_4_km} + (E1_17_7_4 * C11811 * C00138 * C00080))</v>
      </c>
    </row>
    <row r="137" spans="1:11" ht="46.25" customHeight="1">
      <c r="A137" t="s">
        <v>2937</v>
      </c>
      <c r="B137" t="s">
        <v>2938</v>
      </c>
      <c r="C137" t="s">
        <v>12802</v>
      </c>
      <c r="D137" s="19">
        <v>136</v>
      </c>
      <c r="E137" s="19" t="str">
        <f t="shared" si="6"/>
        <v>E1_17_7_4</v>
      </c>
      <c r="F137" s="19" t="s">
        <v>13286</v>
      </c>
      <c r="G137" s="19" t="s">
        <v>14701</v>
      </c>
      <c r="H137" s="19" t="s">
        <v>13285</v>
      </c>
      <c r="I137" s="19" t="s">
        <v>14700</v>
      </c>
      <c r="J137" s="19" t="str">
        <f t="shared" si="7"/>
        <v>(${Variables:E1_17_7_4_kcat} * E1_17_7_4 * C00235 * C00139 * C00001)/(${Variables:E1_17_7_4_km} + (E1_17_7_4 * C00235 * C00139 * C00001))</v>
      </c>
      <c r="K137" s="37" t="str">
        <f t="shared" si="8"/>
        <v>r136: C00235 + C00139 + C00001 -&gt; C11811 + C00138 + C00080 | (${Variables:E1_17_7_4_kcat} * E1_17_7_4 * C00235 * C00139 * C00001)/(${Variables:E1_17_7_4_km} + (E1_17_7_4 * C00235 * C00139 * C00001))</v>
      </c>
    </row>
    <row r="138" spans="1:11" ht="46.25" customHeight="1">
      <c r="A138" t="s">
        <v>4419</v>
      </c>
      <c r="B138" t="s">
        <v>4420</v>
      </c>
      <c r="C138" t="s">
        <v>16015</v>
      </c>
      <c r="D138" s="19">
        <v>137</v>
      </c>
      <c r="E138" s="19" t="str">
        <f t="shared" si="6"/>
        <v>E1_17_99_9</v>
      </c>
      <c r="F138" s="19" t="s">
        <v>13287</v>
      </c>
      <c r="G138" s="19" t="s">
        <v>14702</v>
      </c>
      <c r="H138" s="19" t="s">
        <v>13966</v>
      </c>
      <c r="I138" s="19" t="s">
        <v>15381</v>
      </c>
      <c r="J138" s="19" t="str">
        <f t="shared" si="7"/>
        <v>(${Variables:E1_17_99_9_kcat} * E1_17_99_9 * C15672 * C00001 * C00028)/(${Variables:E1_17_99_9_km} + (E1_17_99_9 * C15672 * C00001 * C00028))</v>
      </c>
      <c r="K138" s="37" t="str">
        <f t="shared" si="8"/>
        <v>r137: C15672 + C00001 + C00028 -&gt; C15670 + C00030 | (${Variables:E1_17_99_9_kcat} * E1_17_99_9 * C15672 * C00001 * C00028)/(${Variables:E1_17_99_9_km} + (E1_17_99_9 * C15672 * C00001 * C00028))</v>
      </c>
    </row>
    <row r="139" spans="1:11" ht="46.25" customHeight="1">
      <c r="A139" t="s">
        <v>4419</v>
      </c>
      <c r="B139" t="s">
        <v>4420</v>
      </c>
      <c r="C139" t="s">
        <v>16015</v>
      </c>
      <c r="D139" s="19">
        <v>138</v>
      </c>
      <c r="E139" s="19" t="str">
        <f t="shared" si="6"/>
        <v>E1_17_99_9</v>
      </c>
      <c r="F139" s="19" t="s">
        <v>13288</v>
      </c>
      <c r="G139" s="19" t="s">
        <v>14703</v>
      </c>
      <c r="H139" s="19" t="s">
        <v>13967</v>
      </c>
      <c r="I139" s="19" t="s">
        <v>15382</v>
      </c>
      <c r="J139" s="19" t="str">
        <f t="shared" si="7"/>
        <v>(${Variables:E1_17_99_9_kcat} * E1_17_99_9 * C22328 * C00028 * C00001)/(${Variables:E1_17_99_9_km} + (E1_17_99_9 * C22328 * C00028 * C00001))</v>
      </c>
      <c r="K139" s="37" t="str">
        <f t="shared" si="8"/>
        <v>r138: C22328 + C00028 + C00001 -&gt; C22329 + C00030 | (${Variables:E1_17_99_9_kcat} * E1_17_99_9 * C22328 * C00028 * C00001)/(${Variables:E1_17_99_9_km} + (E1_17_99_9 * C22328 * C00028 * C00001))</v>
      </c>
    </row>
    <row r="140" spans="1:11" ht="46.25" customHeight="1">
      <c r="A140" t="s">
        <v>4419</v>
      </c>
      <c r="B140" t="s">
        <v>4420</v>
      </c>
      <c r="C140" t="s">
        <v>16015</v>
      </c>
      <c r="D140" s="19">
        <v>139</v>
      </c>
      <c r="E140" s="19" t="str">
        <f t="shared" si="6"/>
        <v>E1_17_99_9</v>
      </c>
      <c r="F140" s="19" t="s">
        <v>9658</v>
      </c>
      <c r="G140" s="19" t="s">
        <v>9658</v>
      </c>
      <c r="H140" s="19" t="s">
        <v>13968</v>
      </c>
      <c r="I140" s="19" t="s">
        <v>15383</v>
      </c>
      <c r="J140" s="19" t="str">
        <f t="shared" si="7"/>
        <v>(${Variables:E1_17_99_9_kcat} * E1_17_99_9 * C22329)/(${Variables:E1_17_99_9_km} + (E1_17_99_9 * C22329))</v>
      </c>
      <c r="K140" s="37" t="str">
        <f t="shared" si="8"/>
        <v>r139: C22329 -&gt; C15670 + C00001 | (${Variables:E1_17_99_9_kcat} * E1_17_99_9 * C22329)/(${Variables:E1_17_99_9_km} + (E1_17_99_9 * C22329))</v>
      </c>
    </row>
    <row r="141" spans="1:11" ht="46.25" customHeight="1">
      <c r="A141" t="s">
        <v>776</v>
      </c>
      <c r="B141" t="s">
        <v>777</v>
      </c>
      <c r="C141" t="s">
        <v>12803</v>
      </c>
      <c r="D141" s="19">
        <v>140</v>
      </c>
      <c r="E141" s="19" t="str">
        <f t="shared" si="6"/>
        <v>E1_2_1_11</v>
      </c>
      <c r="F141" s="19" t="s">
        <v>13289</v>
      </c>
      <c r="G141" s="19" t="s">
        <v>14704</v>
      </c>
      <c r="H141" s="19" t="s">
        <v>13969</v>
      </c>
      <c r="I141" s="19" t="s">
        <v>15384</v>
      </c>
      <c r="J141" s="19" t="str">
        <f t="shared" si="7"/>
        <v>(${Variables:E1_2_1_11_kcat} * E1_2_1_11 * C00441 * C00009 * C00006)/(${Variables:E1_2_1_11_km} + (E1_2_1_11 * C00441 * C00009 * C00006))</v>
      </c>
      <c r="K141" s="37" t="str">
        <f t="shared" si="8"/>
        <v>r140: C00441 + C00009 + C00006 -&gt; C03082 + C00005 + C00080 | (${Variables:E1_2_1_11_kcat} * E1_2_1_11 * C00441 * C00009 * C00006)/(${Variables:E1_2_1_11_km} + (E1_2_1_11 * C00441 * C00009 * C00006))</v>
      </c>
    </row>
    <row r="142" spans="1:11" ht="46.25" customHeight="1">
      <c r="A142" t="s">
        <v>2710</v>
      </c>
      <c r="B142" t="s">
        <v>2711</v>
      </c>
      <c r="C142" t="s">
        <v>12804</v>
      </c>
      <c r="D142" s="19">
        <v>141</v>
      </c>
      <c r="E142" s="19" t="str">
        <f t="shared" si="6"/>
        <v>E1_2_1_12</v>
      </c>
      <c r="F142" s="19" t="s">
        <v>13290</v>
      </c>
      <c r="G142" s="19" t="s">
        <v>14705</v>
      </c>
      <c r="H142" s="19" t="s">
        <v>13970</v>
      </c>
      <c r="I142" s="19" t="s">
        <v>15385</v>
      </c>
      <c r="J142" s="19" t="str">
        <f t="shared" si="7"/>
        <v>(${Variables:E1_2_1_12_kcat} * E1_2_1_12 * C00118 * C00009 * C00003)/(${Variables:E1_2_1_12_km} + (E1_2_1_12 * C00118 * C00009 * C00003))</v>
      </c>
      <c r="K142" s="37" t="str">
        <f t="shared" si="8"/>
        <v>r141: C00118 + C00009 + C00003 -&gt; C00236 + C00004 + C00080 | (${Variables:E1_2_1_12_kcat} * E1_2_1_12 * C00118 * C00009 * C00003)/(${Variables:E1_2_1_12_km} + (E1_2_1_12 * C00118 * C00009 * C00003))</v>
      </c>
    </row>
    <row r="143" spans="1:11" ht="46.25" customHeight="1">
      <c r="A143" t="s">
        <v>3931</v>
      </c>
      <c r="B143" t="s">
        <v>3932</v>
      </c>
      <c r="C143" t="s">
        <v>12805</v>
      </c>
      <c r="D143" s="19">
        <v>142</v>
      </c>
      <c r="E143" s="19" t="str">
        <f t="shared" si="6"/>
        <v>E1_2_1_38</v>
      </c>
      <c r="F143" s="19" t="s">
        <v>13291</v>
      </c>
      <c r="G143" s="19" t="s">
        <v>14706</v>
      </c>
      <c r="H143" s="19" t="s">
        <v>13971</v>
      </c>
      <c r="I143" s="19" t="s">
        <v>15386</v>
      </c>
      <c r="J143" s="19" t="str">
        <f t="shared" si="7"/>
        <v>(${Variables:E1_2_1_38_kcat} * E1_2_1_38 * C01250 * C00009 * C00006)/(${Variables:E1_2_1_38_km} + (E1_2_1_38 * C01250 * C00009 * C00006))</v>
      </c>
      <c r="K143" s="37" t="str">
        <f t="shared" si="8"/>
        <v>r142: C01250 + C00009 + C00006 -&gt; C04133 + C00005 + C00080 | (${Variables:E1_2_1_38_kcat} * E1_2_1_38 * C01250 * C00009 * C00006)/(${Variables:E1_2_1_38_km} + (E1_2_1_38 * C01250 * C00009 * C00006))</v>
      </c>
    </row>
    <row r="144" spans="1:11" ht="46.25" customHeight="1">
      <c r="A144" t="s">
        <v>6493</v>
      </c>
      <c r="B144" t="s">
        <v>6494</v>
      </c>
      <c r="C144" t="s">
        <v>12806</v>
      </c>
      <c r="D144" s="19">
        <v>143</v>
      </c>
      <c r="E144" s="19" t="str">
        <f t="shared" si="6"/>
        <v>E1_2_1_41</v>
      </c>
      <c r="F144" s="19" t="s">
        <v>13292</v>
      </c>
      <c r="G144" s="19" t="s">
        <v>14707</v>
      </c>
      <c r="H144" s="19" t="s">
        <v>13972</v>
      </c>
      <c r="I144" s="19" t="s">
        <v>15387</v>
      </c>
      <c r="J144" s="19" t="str">
        <f t="shared" si="7"/>
        <v>(${Variables:E1_2_1_41_kcat} * E1_2_1_41 * C01165 * C00009 * C00006)/(${Variables:E1_2_1_41_km} + (E1_2_1_41 * C01165 * C00009 * C00006))</v>
      </c>
      <c r="K144" s="37" t="str">
        <f t="shared" si="8"/>
        <v>r143: C01165 + C00009 + C00006 -&gt; C03287 + C00005 + C00080 | (${Variables:E1_2_1_41_kcat} * E1_2_1_41 * C01165 * C00009 * C00006)/(${Variables:E1_2_1_41_km} + (E1_2_1_41 * C01165 * C00009 * C00006))</v>
      </c>
    </row>
    <row r="145" spans="1:11" ht="46.25" customHeight="1">
      <c r="A145" t="s">
        <v>7333</v>
      </c>
      <c r="B145" t="s">
        <v>7334</v>
      </c>
      <c r="C145" t="s">
        <v>16016</v>
      </c>
      <c r="D145" s="19">
        <v>144</v>
      </c>
      <c r="E145" s="19" t="str">
        <f t="shared" si="6"/>
        <v>E1_2_1_64</v>
      </c>
      <c r="F145" s="19" t="s">
        <v>13293</v>
      </c>
      <c r="G145" s="19" t="s">
        <v>14708</v>
      </c>
      <c r="H145" s="19" t="s">
        <v>13973</v>
      </c>
      <c r="I145" s="19" t="s">
        <v>15388</v>
      </c>
      <c r="J145" s="19" t="str">
        <f t="shared" si="7"/>
        <v>(${Variables:E1_2_1_64_kcat} * E1_2_1_64 * C00633 * C00003 * C00001)/(${Variables:E1_2_1_64_km} + (E1_2_1_64 * C00633 * C00003 * C00001))</v>
      </c>
      <c r="K145" s="37" t="str">
        <f t="shared" si="8"/>
        <v>r144: C00633 + C00003 + C00001 -&gt; C00156 + C00004 + C00080 | (${Variables:E1_2_1_64_kcat} * E1_2_1_64 * C00633 * C00003 * C00001)/(${Variables:E1_2_1_64_km} + (E1_2_1_64 * C00633 * C00003 * C00001))</v>
      </c>
    </row>
    <row r="146" spans="1:11" ht="46.25" customHeight="1">
      <c r="A146" t="s">
        <v>7333</v>
      </c>
      <c r="B146" t="s">
        <v>7334</v>
      </c>
      <c r="C146" t="s">
        <v>16016</v>
      </c>
      <c r="D146" s="19">
        <v>145</v>
      </c>
      <c r="E146" s="19" t="str">
        <f t="shared" si="6"/>
        <v>E1_2_1_64</v>
      </c>
      <c r="F146" s="19" t="s">
        <v>13294</v>
      </c>
      <c r="G146" s="19" t="s">
        <v>14709</v>
      </c>
      <c r="H146" s="19" t="s">
        <v>13974</v>
      </c>
      <c r="I146" s="19" t="s">
        <v>15389</v>
      </c>
      <c r="J146" s="19" t="str">
        <f t="shared" si="7"/>
        <v>(${Variables:E1_2_1_64_kcat} * E1_2_1_64 * C03067 * C00003 * C00001)/(${Variables:E1_2_1_64_km} + (E1_2_1_64 * C03067 * C00003 * C00001))</v>
      </c>
      <c r="K146" s="37" t="str">
        <f t="shared" si="8"/>
        <v>r145: C03067 + C00003 + C00001 -&gt; C00587 + C00004 + C00080 | (${Variables:E1_2_1_64_kcat} * E1_2_1_64 * C03067 * C00003 * C00001)/(${Variables:E1_2_1_64_km} + (E1_2_1_64 * C03067 * C00003 * C00001))</v>
      </c>
    </row>
    <row r="147" spans="1:11" ht="46.25" customHeight="1">
      <c r="A147" t="s">
        <v>7333</v>
      </c>
      <c r="B147" t="s">
        <v>7334</v>
      </c>
      <c r="C147" t="s">
        <v>12807</v>
      </c>
      <c r="D147" s="19">
        <v>146</v>
      </c>
      <c r="E147" s="19" t="str">
        <f t="shared" si="6"/>
        <v>E1_2_1_67</v>
      </c>
      <c r="F147" s="19" t="s">
        <v>13295</v>
      </c>
      <c r="G147" s="19" t="s">
        <v>14710</v>
      </c>
      <c r="H147" s="19" t="s">
        <v>13975</v>
      </c>
      <c r="I147" s="19" t="s">
        <v>15390</v>
      </c>
      <c r="J147" s="19" t="str">
        <f t="shared" si="7"/>
        <v>(${Variables:E1_2_1_67_kcat} * E1_2_1_67 * C00755 * C00003 * C00001)/(${Variables:E1_2_1_67_km} + (E1_2_1_67 * C00755 * C00003 * C00001))</v>
      </c>
      <c r="K147" s="37" t="str">
        <f t="shared" si="8"/>
        <v>r146: C00755 + C00003 + C00001 -&gt; C06672 + C00004 + C00080 | (${Variables:E1_2_1_67_kcat} * E1_2_1_67 * C00755 * C00003 * C00001)/(${Variables:E1_2_1_67_km} + (E1_2_1_67 * C00755 * C00003 * C00001))</v>
      </c>
    </row>
    <row r="148" spans="1:11" ht="46.25" customHeight="1">
      <c r="A148" t="s">
        <v>1220</v>
      </c>
      <c r="B148" t="s">
        <v>1221</v>
      </c>
      <c r="C148" t="s">
        <v>12808</v>
      </c>
      <c r="D148" s="19">
        <v>147</v>
      </c>
      <c r="E148" s="19" t="str">
        <f t="shared" si="6"/>
        <v>E1_2_1_70</v>
      </c>
      <c r="F148" s="19" t="s">
        <v>13296</v>
      </c>
      <c r="G148" s="19" t="s">
        <v>14711</v>
      </c>
      <c r="H148" s="19" t="s">
        <v>13976</v>
      </c>
      <c r="I148" s="19" t="s">
        <v>15391</v>
      </c>
      <c r="J148" s="19" t="str">
        <f t="shared" si="7"/>
        <v>(${Variables:E1_2_1_70_kcat} * E1_2_1_70 * C02987 * C00005 * C00080)/(${Variables:E1_2_1_70_km} + (E1_2_1_70 * C02987 * C00005 * C00080))</v>
      </c>
      <c r="K148" s="37" t="str">
        <f t="shared" si="8"/>
        <v>r147: C02987 + C00005 + C00080 -&gt; C03741 + C01641 + C00006 | (${Variables:E1_2_1_70_kcat} * E1_2_1_70 * C02987 * C00005 * C00080)/(${Variables:E1_2_1_70_km} + (E1_2_1_70 * C02987 * C00005 * C00080))</v>
      </c>
    </row>
    <row r="149" spans="1:11" ht="46.25" customHeight="1">
      <c r="A149" t="s">
        <v>7450</v>
      </c>
      <c r="B149" t="s">
        <v>7451</v>
      </c>
      <c r="C149" t="s">
        <v>12809</v>
      </c>
      <c r="D149" s="19">
        <v>148</v>
      </c>
      <c r="E149" s="19" t="str">
        <f t="shared" si="6"/>
        <v>E1_2_1_79</v>
      </c>
      <c r="F149" s="19" t="s">
        <v>13297</v>
      </c>
      <c r="G149" s="19" t="s">
        <v>14712</v>
      </c>
      <c r="H149" s="19" t="s">
        <v>13977</v>
      </c>
      <c r="I149" s="19" t="s">
        <v>15392</v>
      </c>
      <c r="J149" s="19" t="str">
        <f t="shared" si="7"/>
        <v>(${Variables:E1_2_1_79_kcat} * E1_2_1_79 * C00232 * C00006 * C00001)/(${Variables:E1_2_1_79_km} + (E1_2_1_79 * C00232 * C00006 * C00001))</v>
      </c>
      <c r="K149" s="37" t="str">
        <f t="shared" si="8"/>
        <v>r148: C00232 + C00006 + C00001 -&gt; C00042 + C00005 + C00080 | (${Variables:E1_2_1_79_kcat} * E1_2_1_79 * C00232 * C00006 * C00001)/(${Variables:E1_2_1_79_km} + (E1_2_1_79 * C00232 * C00006 * C00001))</v>
      </c>
    </row>
    <row r="150" spans="1:11" ht="46.25" customHeight="1">
      <c r="A150" t="s">
        <v>7333</v>
      </c>
      <c r="B150" t="s">
        <v>7334</v>
      </c>
      <c r="C150" t="s">
        <v>12810</v>
      </c>
      <c r="D150" s="19">
        <v>149</v>
      </c>
      <c r="E150" s="19" t="str">
        <f t="shared" si="6"/>
        <v>E1_2_1_96</v>
      </c>
      <c r="F150" s="19" t="s">
        <v>13298</v>
      </c>
      <c r="G150" s="19" t="s">
        <v>14713</v>
      </c>
      <c r="H150" s="19" t="s">
        <v>13978</v>
      </c>
      <c r="I150" s="19" t="s">
        <v>15393</v>
      </c>
      <c r="J150" s="19" t="str">
        <f t="shared" si="7"/>
        <v>(${Variables:E1_2_1_96_kcat} * E1_2_1_96 * C00633 * C00006 * C00001)/(${Variables:E1_2_1_96_km} + (E1_2_1_96 * C00633 * C00006 * C00001))</v>
      </c>
      <c r="K150" s="37" t="str">
        <f t="shared" si="8"/>
        <v>r149: C00633 + C00006 + C00001 -&gt; C00156 + C00005 + C00080 | (${Variables:E1_2_1_96_kcat} * E1_2_1_96 * C00633 * C00006 * C00001)/(${Variables:E1_2_1_96_km} + (E1_2_1_96 * C00633 * C00006 * C00001))</v>
      </c>
    </row>
    <row r="151" spans="1:11" ht="46.25" customHeight="1">
      <c r="A151" t="s">
        <v>7333</v>
      </c>
      <c r="B151" t="s">
        <v>7334</v>
      </c>
      <c r="C151" t="s">
        <v>12810</v>
      </c>
      <c r="D151" s="19">
        <v>150</v>
      </c>
      <c r="E151" s="19" t="str">
        <f t="shared" si="6"/>
        <v>E1_2_1_96</v>
      </c>
      <c r="F151" s="19" t="s">
        <v>13299</v>
      </c>
      <c r="G151" s="19" t="s">
        <v>14714</v>
      </c>
      <c r="H151" s="19" t="s">
        <v>13979</v>
      </c>
      <c r="I151" s="19" t="s">
        <v>15394</v>
      </c>
      <c r="J151" s="19" t="str">
        <f t="shared" si="7"/>
        <v>(${Variables:E1_2_1_96_kcat} * E1_2_1_96 * C21166 * C00006 * C00001)/(${Variables:E1_2_1_96_km} + (E1_2_1_96 * C21166 * C00006 * C00001))</v>
      </c>
      <c r="K151" s="37" t="str">
        <f t="shared" si="8"/>
        <v>r150: C21166 + C00006 + C00001 -&gt; C21167 + C00005 + C00080 | (${Variables:E1_2_1_96_kcat} * E1_2_1_96 * C21166 * C00006 * C00001)/(${Variables:E1_2_1_96_km} + (E1_2_1_96 * C21166 * C00006 * C00001))</v>
      </c>
    </row>
    <row r="152" spans="1:11" ht="46.25" customHeight="1">
      <c r="A152" t="s">
        <v>6196</v>
      </c>
      <c r="B152" t="s">
        <v>6197</v>
      </c>
      <c r="C152" t="s">
        <v>12811</v>
      </c>
      <c r="D152" s="19">
        <v>151</v>
      </c>
      <c r="E152" s="19" t="str">
        <f t="shared" si="6"/>
        <v>E1_2_4_1</v>
      </c>
      <c r="F152" s="19" t="s">
        <v>13300</v>
      </c>
      <c r="G152" s="19" t="s">
        <v>14715</v>
      </c>
      <c r="H152" s="19" t="s">
        <v>13980</v>
      </c>
      <c r="I152" s="19" t="s">
        <v>15395</v>
      </c>
      <c r="J152" s="19" t="str">
        <f t="shared" si="7"/>
        <v>(${Variables:E1_2_4_1_kcat} * E1_2_4_1 * C00022 * C15972)/(${Variables:E1_2_4_1_km} + (E1_2_4_1 * C00022 * C15972))</v>
      </c>
      <c r="K152" s="37" t="str">
        <f t="shared" si="8"/>
        <v>r151: C00022 + C15972 -&gt; C16255 + C00011 | (${Variables:E1_2_4_1_kcat} * E1_2_4_1 * C00022 * C15972)/(${Variables:E1_2_4_1_km} + (E1_2_4_1 * C00022 * C15972))</v>
      </c>
    </row>
    <row r="153" spans="1:11" ht="46.25" customHeight="1">
      <c r="A153" t="s">
        <v>6196</v>
      </c>
      <c r="B153" t="s">
        <v>6197</v>
      </c>
      <c r="C153" t="s">
        <v>12811</v>
      </c>
      <c r="D153" s="19">
        <v>152</v>
      </c>
      <c r="E153" s="19" t="str">
        <f t="shared" si="6"/>
        <v>E1_2_4_1</v>
      </c>
      <c r="F153" s="19" t="s">
        <v>13301</v>
      </c>
      <c r="G153" s="19" t="s">
        <v>14716</v>
      </c>
      <c r="H153" s="19" t="s">
        <v>13981</v>
      </c>
      <c r="I153" s="19" t="s">
        <v>15396</v>
      </c>
      <c r="J153" s="19" t="str">
        <f t="shared" si="7"/>
        <v>(${Variables:E1_2_4_1_kcat} * E1_2_4_1 * C00022 * C00068)/(${Variables:E1_2_4_1_km} + (E1_2_4_1 * C00022 * C00068))</v>
      </c>
      <c r="K153" s="37" t="str">
        <f t="shared" si="8"/>
        <v>r152: C00022 + C00068 -&gt; C05125 + C00011 | (${Variables:E1_2_4_1_kcat} * E1_2_4_1 * C00022 * C00068)/(${Variables:E1_2_4_1_km} + (E1_2_4_1 * C00022 * C00068))</v>
      </c>
    </row>
    <row r="154" spans="1:11" ht="46.25" customHeight="1">
      <c r="A154" t="s">
        <v>6196</v>
      </c>
      <c r="B154" t="s">
        <v>6197</v>
      </c>
      <c r="C154" t="s">
        <v>12811</v>
      </c>
      <c r="D154" s="19">
        <v>153</v>
      </c>
      <c r="E154" s="19" t="str">
        <f t="shared" si="6"/>
        <v>E1_2_4_1</v>
      </c>
      <c r="F154" s="19" t="s">
        <v>13302</v>
      </c>
      <c r="G154" s="19" t="s">
        <v>14717</v>
      </c>
      <c r="H154" s="19" t="s">
        <v>13982</v>
      </c>
      <c r="I154" s="19" t="s">
        <v>15397</v>
      </c>
      <c r="J154" s="19" t="str">
        <f t="shared" si="7"/>
        <v>(${Variables:E1_2_4_1_kcat} * E1_2_4_1 * C05125 * C15972)/(${Variables:E1_2_4_1_km} + (E1_2_4_1 * C05125 * C15972))</v>
      </c>
      <c r="K154" s="37" t="str">
        <f t="shared" si="8"/>
        <v>r153: C05125 + C15972 -&gt; C16255 + C00068 | (${Variables:E1_2_4_1_kcat} * E1_2_4_1 * C05125 * C15972)/(${Variables:E1_2_4_1_km} + (E1_2_4_1 * C05125 * C15972))</v>
      </c>
    </row>
    <row r="155" spans="1:11" ht="46.25" customHeight="1">
      <c r="A155" t="s">
        <v>3116</v>
      </c>
      <c r="B155" t="s">
        <v>3117</v>
      </c>
      <c r="C155" t="s">
        <v>16017</v>
      </c>
      <c r="D155" s="19">
        <v>154</v>
      </c>
      <c r="E155" s="19" t="str">
        <f t="shared" si="6"/>
        <v>E1_20_4_1</v>
      </c>
      <c r="F155" s="19" t="s">
        <v>13303</v>
      </c>
      <c r="G155" s="19" t="s">
        <v>14718</v>
      </c>
      <c r="H155" s="19" t="s">
        <v>13983</v>
      </c>
      <c r="I155" s="19" t="s">
        <v>15398</v>
      </c>
      <c r="J155" s="19" t="str">
        <f t="shared" si="7"/>
        <v>(${Variables:E1_20_4_1_kcat} * E1_20_4_1 * C11215 * C07292)/(${Variables:E1_20_4_1_km} + (E1_20_4_1 * C11215 * C07292))</v>
      </c>
      <c r="K155" s="37" t="str">
        <f t="shared" si="8"/>
        <v>r154: C11215 + C07292 -&gt; C06697 + C07293 | (${Variables:E1_20_4_1_kcat} * E1_20_4_1 * C11215 * C07292)/(${Variables:E1_20_4_1_km} + (E1_20_4_1 * C11215 * C07292))</v>
      </c>
    </row>
    <row r="156" spans="1:11" ht="46.25" customHeight="1">
      <c r="A156" t="s">
        <v>4266</v>
      </c>
      <c r="B156" t="s">
        <v>4267</v>
      </c>
      <c r="C156" t="s">
        <v>12812</v>
      </c>
      <c r="D156" s="19">
        <v>155</v>
      </c>
      <c r="E156" s="19" t="str">
        <f t="shared" si="6"/>
        <v>E1_20_4_4</v>
      </c>
      <c r="F156" s="19" t="s">
        <v>13304</v>
      </c>
      <c r="G156" s="19" t="s">
        <v>14719</v>
      </c>
      <c r="H156" s="19" t="s">
        <v>13984</v>
      </c>
      <c r="I156" s="19" t="s">
        <v>15399</v>
      </c>
      <c r="J156" s="19" t="str">
        <f t="shared" si="7"/>
        <v>(${Variables:E1_20_4_4_kcat} * E1_20_4_4 * C11215 * C00342)/(${Variables:E1_20_4_4_km} + (E1_20_4_4 * C11215 * C00342))</v>
      </c>
      <c r="K156" s="37" t="str">
        <f t="shared" si="8"/>
        <v>r155: C11215 + C00342 -&gt; C06697 + C00343 + C00001 | (${Variables:E1_20_4_4_kcat} * E1_20_4_4 * C11215 * C00342)/(${Variables:E1_20_4_4_km} + (E1_20_4_4 * C11215 * C00342))</v>
      </c>
    </row>
    <row r="157" spans="1:11" ht="46.25" customHeight="1">
      <c r="A157" t="s">
        <v>693</v>
      </c>
      <c r="B157" t="s">
        <v>694</v>
      </c>
      <c r="C157" t="s">
        <v>12813</v>
      </c>
      <c r="D157" s="19">
        <v>156</v>
      </c>
      <c r="E157" s="19" t="str">
        <f t="shared" si="6"/>
        <v>E1_3_1_12</v>
      </c>
      <c r="F157" s="19" t="s">
        <v>13305</v>
      </c>
      <c r="G157" s="19" t="s">
        <v>14720</v>
      </c>
      <c r="H157" s="19" t="s">
        <v>13985</v>
      </c>
      <c r="I157" s="19" t="s">
        <v>15400</v>
      </c>
      <c r="J157" s="19" t="str">
        <f t="shared" si="7"/>
        <v>(${Variables:E1_3_1_12_kcat} * E1_3_1_12 * C00254 * C00003)/(${Variables:E1_3_1_12_km} + (E1_3_1_12 * C00254 * C00003))</v>
      </c>
      <c r="K157" s="37" t="str">
        <f t="shared" si="8"/>
        <v>r156: C00254 + C00003 -&gt; C01179 + C00011 + C00004 + C00080 | (${Variables:E1_3_1_12_kcat} * E1_3_1_12 * C00254 * C00003)/(${Variables:E1_3_1_12_km} + (E1_3_1_12 * C00254 * C00003))</v>
      </c>
    </row>
    <row r="158" spans="1:11" ht="46.25" customHeight="1">
      <c r="A158" t="s">
        <v>6643</v>
      </c>
      <c r="B158" t="s">
        <v>6644</v>
      </c>
      <c r="C158" t="s">
        <v>12814</v>
      </c>
      <c r="D158" s="19">
        <v>157</v>
      </c>
      <c r="E158" s="19" t="str">
        <f t="shared" si="6"/>
        <v>E1_3_1_25</v>
      </c>
      <c r="F158" s="19" t="s">
        <v>13306</v>
      </c>
      <c r="G158" s="19" t="s">
        <v>14721</v>
      </c>
      <c r="H158" s="19" t="s">
        <v>13986</v>
      </c>
      <c r="I158" s="19" t="s">
        <v>15401</v>
      </c>
      <c r="J158" s="19" t="str">
        <f t="shared" si="7"/>
        <v>(${Variables:E1_3_1_25_kcat} * E1_3_1_25 * C06321 * C00003)/(${Variables:E1_3_1_25_km} + (E1_3_1_25 * C06321 * C00003))</v>
      </c>
      <c r="K158" s="37" t="str">
        <f t="shared" si="8"/>
        <v>r157: C06321 + C00003 -&gt; C00090 + C00004 + C00011 + C00080 | (${Variables:E1_3_1_25_kcat} * E1_3_1_25 * C06321 * C00003)/(${Variables:E1_3_1_25_km} + (E1_3_1_25 * C06321 * C00003))</v>
      </c>
    </row>
    <row r="159" spans="1:11" ht="46.25" customHeight="1">
      <c r="A159" t="s">
        <v>6643</v>
      </c>
      <c r="B159" t="s">
        <v>6644</v>
      </c>
      <c r="C159" t="s">
        <v>12814</v>
      </c>
      <c r="D159" s="19">
        <v>158</v>
      </c>
      <c r="E159" s="19" t="str">
        <f t="shared" si="6"/>
        <v>E1_3_1_25</v>
      </c>
      <c r="F159" s="19" t="s">
        <v>13307</v>
      </c>
      <c r="G159" s="19" t="s">
        <v>14722</v>
      </c>
      <c r="H159" s="19" t="s">
        <v>13987</v>
      </c>
      <c r="I159" s="19" t="s">
        <v>15402</v>
      </c>
      <c r="J159" s="19" t="str">
        <f t="shared" si="7"/>
        <v>(${Variables:E1_3_1_25_kcat} * E1_3_1_25 * C16478 * C00003)/(${Variables:E1_3_1_25_km} + (E1_3_1_25 * C16478 * C00003))</v>
      </c>
      <c r="K159" s="37" t="str">
        <f t="shared" si="8"/>
        <v>r158: C16478 + C00003 -&gt; C16472 + C00004 + C00011 + C00080 | (${Variables:E1_3_1_25_kcat} * E1_3_1_25 * C16478 * C00003)/(${Variables:E1_3_1_25_km} + (E1_3_1_25 * C16478 * C00003))</v>
      </c>
    </row>
    <row r="160" spans="1:11" ht="46.25" customHeight="1">
      <c r="A160" t="s">
        <v>6643</v>
      </c>
      <c r="B160" t="s">
        <v>6644</v>
      </c>
      <c r="C160" t="s">
        <v>12814</v>
      </c>
      <c r="D160" s="19">
        <v>159</v>
      </c>
      <c r="E160" s="19" t="str">
        <f t="shared" si="6"/>
        <v>E1_3_1_25</v>
      </c>
      <c r="F160" s="19" t="s">
        <v>13308</v>
      </c>
      <c r="G160" s="19" t="s">
        <v>14723</v>
      </c>
      <c r="H160" s="19" t="s">
        <v>13988</v>
      </c>
      <c r="I160" s="19" t="s">
        <v>15403</v>
      </c>
      <c r="J160" s="19" t="str">
        <f t="shared" si="7"/>
        <v>(${Variables:E1_3_1_25_kcat} * E1_3_1_25 * C16479 * C00003)/(${Variables:E1_3_1_25_km} + (E1_3_1_25 * C16479 * C00003))</v>
      </c>
      <c r="K160" s="37" t="str">
        <f t="shared" si="8"/>
        <v>r159: C16479 + C00003 -&gt; C16473 + C00004 + C00011 + C00080 | (${Variables:E1_3_1_25_kcat} * E1_3_1_25 * C16479 * C00003)/(${Variables:E1_3_1_25_km} + (E1_3_1_25 * C16479 * C00003))</v>
      </c>
    </row>
    <row r="161" spans="1:11" ht="46.25" customHeight="1">
      <c r="A161" t="s">
        <v>6643</v>
      </c>
      <c r="B161" t="s">
        <v>6644</v>
      </c>
      <c r="C161" t="s">
        <v>12814</v>
      </c>
      <c r="D161" s="19">
        <v>160</v>
      </c>
      <c r="E161" s="19" t="str">
        <f t="shared" si="6"/>
        <v>E1_3_1_25</v>
      </c>
      <c r="F161" s="19" t="s">
        <v>13309</v>
      </c>
      <c r="G161" s="19" t="s">
        <v>14724</v>
      </c>
      <c r="H161" s="19" t="s">
        <v>13988</v>
      </c>
      <c r="I161" s="19" t="s">
        <v>15403</v>
      </c>
      <c r="J161" s="19" t="str">
        <f t="shared" si="7"/>
        <v>(${Variables:E1_3_1_25_kcat} * E1_3_1_25 * C16480 * C00003 )/(${Variables:E1_3_1_25_km} + (E1_3_1_25 * C16480 * C00003 ))</v>
      </c>
      <c r="K161" s="37" t="str">
        <f t="shared" si="8"/>
        <v>r160: C16480 + C00003  -&gt; C16473 + C00004 + C00011 + C00080 | (${Variables:E1_3_1_25_kcat} * E1_3_1_25 * C16480 * C00003 )/(${Variables:E1_3_1_25_km} + (E1_3_1_25 * C16480 * C00003 ))</v>
      </c>
    </row>
    <row r="162" spans="1:11" ht="46.25" customHeight="1">
      <c r="A162" t="s">
        <v>1373</v>
      </c>
      <c r="B162" t="s">
        <v>1374</v>
      </c>
      <c r="C162" t="s">
        <v>12815</v>
      </c>
      <c r="D162" s="19">
        <v>161</v>
      </c>
      <c r="E162" s="19" t="str">
        <f t="shared" si="6"/>
        <v>E1_3_1_83</v>
      </c>
      <c r="F162" s="19" t="s">
        <v>13310</v>
      </c>
      <c r="G162" s="19" t="s">
        <v>14725</v>
      </c>
      <c r="H162" s="19" t="s">
        <v>13989</v>
      </c>
      <c r="I162" s="19" t="s">
        <v>15404</v>
      </c>
      <c r="J162" s="19" t="str">
        <f t="shared" si="7"/>
        <v>(${Variables:E1_3_1_83_kcat} * E1_3_1_83 * C00353 * C00080 * C00005)/(${Variables:E1_3_1_83_km} + (E1_3_1_83 * C00353 * C00080 * C00005))</v>
      </c>
      <c r="K162" s="37" t="str">
        <f t="shared" si="8"/>
        <v>r161: C00353 + C00080 + C00005 -&gt; C05427 + C00006 | (${Variables:E1_3_1_83_kcat} * E1_3_1_83 * C00353 * C00080 * C00005)/(${Variables:E1_3_1_83_km} + (E1_3_1_83 * C00353 * C00080 * C00005))</v>
      </c>
    </row>
    <row r="163" spans="1:11" ht="46.25" customHeight="1">
      <c r="A163" t="s">
        <v>1057</v>
      </c>
      <c r="B163" t="s">
        <v>1058</v>
      </c>
      <c r="C163" t="s">
        <v>12816</v>
      </c>
      <c r="D163" s="19">
        <v>162</v>
      </c>
      <c r="E163" s="19" t="str">
        <f t="shared" si="6"/>
        <v>E1_3_1_98</v>
      </c>
      <c r="F163" s="19" t="s">
        <v>13311</v>
      </c>
      <c r="G163" s="19" t="s">
        <v>14726</v>
      </c>
      <c r="H163" s="19" t="s">
        <v>13990</v>
      </c>
      <c r="I163" s="19" t="s">
        <v>15405</v>
      </c>
      <c r="J163" s="19" t="str">
        <f t="shared" si="7"/>
        <v>(${Variables:E1_3_1_98_kcat} * E1_3_1_98 * C01050 * C00006)/(${Variables:E1_3_1_98_km} + (E1_3_1_98 * C01050 * C00006))</v>
      </c>
      <c r="K163" s="37" t="str">
        <f t="shared" si="8"/>
        <v>r162: C01050 + C00006 -&gt; C04631 + C00005 + C00080 | (${Variables:E1_3_1_98_kcat} * E1_3_1_98 * C01050 * C00006)/(${Variables:E1_3_1_98_km} + (E1_3_1_98 * C01050 * C00006))</v>
      </c>
    </row>
    <row r="164" spans="1:11" ht="46.25" customHeight="1">
      <c r="A164" t="s">
        <v>1057</v>
      </c>
      <c r="B164" t="s">
        <v>1058</v>
      </c>
      <c r="C164" t="s">
        <v>12816</v>
      </c>
      <c r="D164" s="19">
        <v>163</v>
      </c>
      <c r="E164" s="19" t="str">
        <f t="shared" si="6"/>
        <v>E1_3_1_98</v>
      </c>
      <c r="F164" s="19" t="s">
        <v>13312</v>
      </c>
      <c r="G164" s="19" t="s">
        <v>14727</v>
      </c>
      <c r="H164" s="19" t="s">
        <v>13991</v>
      </c>
      <c r="I164" s="19" t="s">
        <v>15406</v>
      </c>
      <c r="J164" s="19" t="str">
        <f t="shared" si="7"/>
        <v>(${Variables:E1_3_1_98_kcat} * E1_3_1_98 * C01050 * C00003)/(${Variables:E1_3_1_98_km} + (E1_3_1_98 * C01050 * C00003))</v>
      </c>
      <c r="K164" s="37" t="str">
        <f t="shared" si="8"/>
        <v>r163: C01050 + C00003 -&gt; C04631 + C00004 + C00080 | (${Variables:E1_3_1_98_kcat} * E1_3_1_98 * C01050 * C00003)/(${Variables:E1_3_1_98_km} + (E1_3_1_98 * C01050 * C00003))</v>
      </c>
    </row>
    <row r="165" spans="1:11" ht="46.25" customHeight="1">
      <c r="A165" t="s">
        <v>1175</v>
      </c>
      <c r="B165" t="s">
        <v>1176</v>
      </c>
      <c r="C165" t="s">
        <v>12816</v>
      </c>
      <c r="D165" s="19">
        <v>164</v>
      </c>
      <c r="E165" s="19" t="str">
        <f t="shared" si="6"/>
        <v>E1_3_1_98</v>
      </c>
      <c r="F165" s="19" t="s">
        <v>13311</v>
      </c>
      <c r="G165" s="19" t="s">
        <v>14726</v>
      </c>
      <c r="H165" s="19" t="s">
        <v>13990</v>
      </c>
      <c r="I165" s="19" t="s">
        <v>15405</v>
      </c>
      <c r="J165" s="19" t="str">
        <f t="shared" si="7"/>
        <v>(${Variables:E1_3_1_98_kcat} * E1_3_1_98 * C01050 * C00006)/(${Variables:E1_3_1_98_km} + (E1_3_1_98 * C01050 * C00006))</v>
      </c>
      <c r="K165" s="37" t="str">
        <f t="shared" si="8"/>
        <v>r164: C01050 + C00006 -&gt; C04631 + C00005 + C00080 | (${Variables:E1_3_1_98_kcat} * E1_3_1_98 * C01050 * C00006)/(${Variables:E1_3_1_98_km} + (E1_3_1_98 * C01050 * C00006))</v>
      </c>
    </row>
    <row r="166" spans="1:11" ht="46.25" customHeight="1">
      <c r="A166" t="s">
        <v>1175</v>
      </c>
      <c r="B166" t="s">
        <v>1176</v>
      </c>
      <c r="C166" t="s">
        <v>12816</v>
      </c>
      <c r="D166" s="19">
        <v>165</v>
      </c>
      <c r="E166" s="19" t="str">
        <f t="shared" si="6"/>
        <v>E1_3_1_98</v>
      </c>
      <c r="F166" s="19" t="s">
        <v>13312</v>
      </c>
      <c r="G166" s="19" t="s">
        <v>14727</v>
      </c>
      <c r="H166" s="19" t="s">
        <v>13991</v>
      </c>
      <c r="I166" s="19" t="s">
        <v>15406</v>
      </c>
      <c r="J166" s="19" t="str">
        <f t="shared" si="7"/>
        <v>(${Variables:E1_3_1_98_kcat} * E1_3_1_98 * C01050 * C00003)/(${Variables:E1_3_1_98_km} + (E1_3_1_98 * C01050 * C00003))</v>
      </c>
      <c r="K166" s="37" t="str">
        <f t="shared" si="8"/>
        <v>r165: C01050 + C00003 -&gt; C04631 + C00004 + C00080 | (${Variables:E1_3_1_98_kcat} * E1_3_1_98 * C01050 * C00003)/(${Variables:E1_3_1_98_km} + (E1_3_1_98 * C01050 * C00003))</v>
      </c>
    </row>
    <row r="167" spans="1:11" ht="46.25" customHeight="1">
      <c r="A167" t="s">
        <v>1273</v>
      </c>
      <c r="B167" t="s">
        <v>1274</v>
      </c>
      <c r="C167" t="s">
        <v>12817</v>
      </c>
      <c r="D167" s="19">
        <v>166</v>
      </c>
      <c r="E167" s="19" t="str">
        <f t="shared" si="6"/>
        <v>E1_3_3_4</v>
      </c>
      <c r="F167" s="19" t="s">
        <v>13313</v>
      </c>
      <c r="G167" s="19" t="s">
        <v>14728</v>
      </c>
      <c r="H167" s="19" t="s">
        <v>13992</v>
      </c>
      <c r="I167" s="19" t="s">
        <v>15407</v>
      </c>
      <c r="J167" s="19" t="str">
        <f t="shared" si="7"/>
        <v>(${Variables:E1_3_3_4_kcat} * E1_3_3_4 * C01079 * C00007)/(${Variables:E1_3_3_4_km} + (E1_3_3_4 * C01079 * C00007))</v>
      </c>
      <c r="K167" s="37" t="str">
        <f t="shared" si="8"/>
        <v>r166: C01079 + C00007 -&gt; C02191 + C00027 | (${Variables:E1_3_3_4_kcat} * E1_3_3_4 * C01079 * C00007)/(${Variables:E1_3_3_4_km} + (E1_3_3_4 * C01079 * C00007))</v>
      </c>
    </row>
    <row r="168" spans="1:11" ht="46.25" customHeight="1">
      <c r="A168" t="s">
        <v>4282</v>
      </c>
      <c r="B168" t="s">
        <v>4283</v>
      </c>
      <c r="C168" t="s">
        <v>12818</v>
      </c>
      <c r="D168" s="19">
        <v>167</v>
      </c>
      <c r="E168" s="19" t="str">
        <f t="shared" si="6"/>
        <v>E1_3_5_2</v>
      </c>
      <c r="F168" s="19" t="s">
        <v>13314</v>
      </c>
      <c r="G168" s="19" t="s">
        <v>14729</v>
      </c>
      <c r="H168" s="19" t="s">
        <v>13993</v>
      </c>
      <c r="I168" s="19" t="s">
        <v>15408</v>
      </c>
      <c r="J168" s="19" t="str">
        <f t="shared" si="7"/>
        <v>(${Variables:E1_3_5_2_kcat} * E1_3_5_2 * C00337 * C15602)/(${Variables:E1_3_5_2_km} + (E1_3_5_2 * C00337 * C15602))</v>
      </c>
      <c r="K168" s="37" t="str">
        <f t="shared" si="8"/>
        <v>r167: C00337 + C15602 -&gt; C00295 + C15603 | (${Variables:E1_3_5_2_kcat} * E1_3_5_2 * C00337 * C15602)/(${Variables:E1_3_5_2_km} + (E1_3_5_2 * C00337 * C15602))</v>
      </c>
    </row>
    <row r="169" spans="1:11" ht="46.25" customHeight="1">
      <c r="A169" t="s">
        <v>5214</v>
      </c>
      <c r="B169" t="s">
        <v>5215</v>
      </c>
      <c r="C169" t="s">
        <v>12819</v>
      </c>
      <c r="D169" s="19">
        <v>168</v>
      </c>
      <c r="E169" s="19" t="str">
        <f t="shared" si="6"/>
        <v>E1_3_98_5</v>
      </c>
      <c r="F169" s="19" t="s">
        <v>13315</v>
      </c>
      <c r="G169" s="19" t="s">
        <v>14730</v>
      </c>
      <c r="H169" s="19" t="s">
        <v>13994</v>
      </c>
      <c r="I169" s="19" t="s">
        <v>15409</v>
      </c>
      <c r="J169" s="19" t="str">
        <f t="shared" si="7"/>
        <v>(${Variables:E1_3_98_5_kcat} * E1_3_98_5 * C21284 * C00027)/(${Variables:E1_3_98_5_km} + (E1_3_98_5 * C21284 * C00027))</v>
      </c>
      <c r="K169" s="37" t="str">
        <f t="shared" si="8"/>
        <v>r168: C21284 + C00027 -&gt; C00032 + C00011 + C00001 | (${Variables:E1_3_98_5_kcat} * E1_3_98_5 * C21284 * C00027)/(${Variables:E1_3_98_5_km} + (E1_3_98_5 * C21284 * C00027))</v>
      </c>
    </row>
    <row r="170" spans="1:11" ht="46.25" customHeight="1">
      <c r="A170" t="s">
        <v>5214</v>
      </c>
      <c r="B170" t="s">
        <v>5215</v>
      </c>
      <c r="C170" t="s">
        <v>12819</v>
      </c>
      <c r="D170" s="19">
        <v>169</v>
      </c>
      <c r="E170" s="19" t="str">
        <f t="shared" si="6"/>
        <v>E1_3_98_5</v>
      </c>
      <c r="F170" s="19" t="s">
        <v>13315</v>
      </c>
      <c r="G170" s="19" t="s">
        <v>14730</v>
      </c>
      <c r="H170" s="19" t="s">
        <v>13995</v>
      </c>
      <c r="I170" s="19" t="s">
        <v>15410</v>
      </c>
      <c r="J170" s="19" t="str">
        <f t="shared" si="7"/>
        <v>(${Variables:E1_3_98_5_kcat} * E1_3_98_5 * C21284 * C00027)/(${Variables:E1_3_98_5_km} + (E1_3_98_5 * C21284 * C00027))</v>
      </c>
      <c r="K170" s="37" t="str">
        <f t="shared" si="8"/>
        <v>r169: C21284 + C00027 -&gt; C22173 + C00011 + C00001 | (${Variables:E1_3_98_5_kcat} * E1_3_98_5 * C21284 * C00027)/(${Variables:E1_3_98_5_km} + (E1_3_98_5 * C21284 * C00027))</v>
      </c>
    </row>
    <row r="171" spans="1:11" ht="46.25" customHeight="1">
      <c r="A171" t="s">
        <v>5214</v>
      </c>
      <c r="B171" t="s">
        <v>5215</v>
      </c>
      <c r="C171" t="s">
        <v>12819</v>
      </c>
      <c r="D171" s="19">
        <v>170</v>
      </c>
      <c r="E171" s="19" t="str">
        <f t="shared" si="6"/>
        <v>E1_3_98_5</v>
      </c>
      <c r="F171" s="19" t="s">
        <v>13316</v>
      </c>
      <c r="G171" s="19" t="s">
        <v>14731</v>
      </c>
      <c r="H171" s="19" t="s">
        <v>13994</v>
      </c>
      <c r="I171" s="19" t="s">
        <v>15409</v>
      </c>
      <c r="J171" s="19" t="str">
        <f t="shared" si="7"/>
        <v>(${Variables:E1_3_98_5_kcat} * E1_3_98_5 * C22173 * C00027)/(${Variables:E1_3_98_5_km} + (E1_3_98_5 * C22173 * C00027))</v>
      </c>
      <c r="K171" s="37" t="str">
        <f t="shared" si="8"/>
        <v>r170: C22173 + C00027 -&gt; C00032 + C00011 + C00001 | (${Variables:E1_3_98_5_kcat} * E1_3_98_5 * C22173 * C00027)/(${Variables:E1_3_98_5_km} + (E1_3_98_5 * C22173 * C00027))</v>
      </c>
    </row>
    <row r="172" spans="1:11" ht="46.25" customHeight="1">
      <c r="A172" t="s">
        <v>567</v>
      </c>
      <c r="B172" t="s">
        <v>568</v>
      </c>
      <c r="C172" t="s">
        <v>12820</v>
      </c>
      <c r="D172" s="19">
        <v>171</v>
      </c>
      <c r="E172" s="19" t="str">
        <f t="shared" si="6"/>
        <v>E1_4_1_13</v>
      </c>
      <c r="F172" s="19" t="s">
        <v>13317</v>
      </c>
      <c r="G172" s="19" t="s">
        <v>14732</v>
      </c>
      <c r="H172" s="19" t="s">
        <v>13996</v>
      </c>
      <c r="I172" s="19" t="s">
        <v>15411</v>
      </c>
      <c r="J172" s="19" t="str">
        <f t="shared" si="7"/>
        <v>(${Variables:E1_4_1_13_kcat} * E1_4_1_13 * C00025 * C00006)/(${Variables:E1_4_1_13_km} + (E1_4_1_13 * C00025 * C00006))</v>
      </c>
      <c r="K172" s="37" t="str">
        <f t="shared" si="8"/>
        <v>r171: C00025 + C00006 -&gt; C00064 + C00026 + C00005 + C00080 | (${Variables:E1_4_1_13_kcat} * E1_4_1_13 * C00025 * C00006)/(${Variables:E1_4_1_13_km} + (E1_4_1_13 * C00025 * C00006))</v>
      </c>
    </row>
    <row r="173" spans="1:11" ht="46.25" customHeight="1">
      <c r="A173" t="s">
        <v>567</v>
      </c>
      <c r="B173" t="s">
        <v>568</v>
      </c>
      <c r="C173" t="s">
        <v>12820</v>
      </c>
      <c r="D173" s="19">
        <v>172</v>
      </c>
      <c r="E173" s="19" t="str">
        <f t="shared" si="6"/>
        <v>E1_4_1_13</v>
      </c>
      <c r="F173" s="19" t="s">
        <v>13318</v>
      </c>
      <c r="G173" s="19" t="s">
        <v>14733</v>
      </c>
      <c r="H173" s="19" t="s">
        <v>13997</v>
      </c>
      <c r="I173" s="19" t="s">
        <v>15412</v>
      </c>
      <c r="J173" s="19" t="str">
        <f t="shared" si="7"/>
        <v>(${Variables:E1_4_1_13_kcat} * E1_4_1_13 * C00025 * C00006 * C00001)/(${Variables:E1_4_1_13_km} + (E1_4_1_13 * C00025 * C00006 * C00001))</v>
      </c>
      <c r="K173" s="37" t="str">
        <f t="shared" si="8"/>
        <v>r172: C00025 + C00006 + C00001 -&gt; C00026 + C00014 + C00005 + C00080 | (${Variables:E1_4_1_13_kcat} * E1_4_1_13 * C00025 * C00006 * C00001)/(${Variables:E1_4_1_13_km} + (E1_4_1_13 * C00025 * C00006 * C00001))</v>
      </c>
    </row>
    <row r="174" spans="1:11" ht="46.25" customHeight="1">
      <c r="A174" t="s">
        <v>567</v>
      </c>
      <c r="B174" t="s">
        <v>568</v>
      </c>
      <c r="C174" t="s">
        <v>12820</v>
      </c>
      <c r="D174" s="19">
        <v>173</v>
      </c>
      <c r="E174" s="19" t="str">
        <f t="shared" si="6"/>
        <v>E1_4_1_13</v>
      </c>
      <c r="F174" s="19" t="s">
        <v>13319</v>
      </c>
      <c r="G174" s="19" t="s">
        <v>14734</v>
      </c>
      <c r="H174" s="19" t="s">
        <v>13998</v>
      </c>
      <c r="I174" s="19" t="s">
        <v>15413</v>
      </c>
      <c r="J174" s="19" t="str">
        <f t="shared" si="7"/>
        <v>(${Variables:E1_4_1_13_kcat} * E1_4_1_13 * C00064 * C00001)/(${Variables:E1_4_1_13_km} + (E1_4_1_13 * C00064 * C00001))</v>
      </c>
      <c r="K174" s="37" t="str">
        <f t="shared" si="8"/>
        <v>r173: C00064 + C00001 -&gt; C00025 + C00014 | (${Variables:E1_4_1_13_kcat} * E1_4_1_13 * C00064 * C00001)/(${Variables:E1_4_1_13_km} + (E1_4_1_13 * C00064 * C00001))</v>
      </c>
    </row>
    <row r="175" spans="1:11" ht="46.25" customHeight="1">
      <c r="A175" t="s">
        <v>7207</v>
      </c>
      <c r="B175" t="s">
        <v>7208</v>
      </c>
      <c r="C175" t="s">
        <v>12821</v>
      </c>
      <c r="D175" s="19">
        <v>174</v>
      </c>
      <c r="E175" s="19" t="str">
        <f t="shared" si="6"/>
        <v>E1_4_1_16</v>
      </c>
      <c r="F175" s="19" t="s">
        <v>13320</v>
      </c>
      <c r="G175" s="19" t="s">
        <v>14735</v>
      </c>
      <c r="H175" s="19" t="s">
        <v>13999</v>
      </c>
      <c r="I175" s="19" t="s">
        <v>15414</v>
      </c>
      <c r="J175" s="19" t="str">
        <f t="shared" si="7"/>
        <v>(${Variables:E1_4_1_16_kcat} * E1_4_1_16 * C00680 * C00006 * C00001)/(${Variables:E1_4_1_16_km} + (E1_4_1_16 * C00680 * C00006 * C00001))</v>
      </c>
      <c r="K175" s="37" t="str">
        <f t="shared" si="8"/>
        <v>r174: C00680 + C00006 + C00001 -&gt; C03871 + C00014 + C00005 + C00080 | (${Variables:E1_4_1_16_kcat} * E1_4_1_16 * C00680 * C00006 * C00001)/(${Variables:E1_4_1_16_km} + (E1_4_1_16 * C00680 * C00006 * C00001))</v>
      </c>
    </row>
    <row r="176" spans="1:11" ht="46.25" customHeight="1">
      <c r="A176" t="s">
        <v>5732</v>
      </c>
      <c r="B176" t="s">
        <v>5733</v>
      </c>
      <c r="C176" t="s">
        <v>12822</v>
      </c>
      <c r="D176" s="19">
        <v>175</v>
      </c>
      <c r="E176" s="19" t="str">
        <f t="shared" si="6"/>
        <v>E1_4_1_4</v>
      </c>
      <c r="F176" s="19" t="s">
        <v>13318</v>
      </c>
      <c r="G176" s="19" t="s">
        <v>14733</v>
      </c>
      <c r="H176" s="19" t="s">
        <v>13997</v>
      </c>
      <c r="I176" s="19" t="s">
        <v>15412</v>
      </c>
      <c r="J176" s="19" t="str">
        <f t="shared" si="7"/>
        <v>(${Variables:E1_4_1_4_kcat} * E1_4_1_4 * C00025 * C00006 * C00001)/(${Variables:E1_4_1_4_km} + (E1_4_1_4 * C00025 * C00006 * C00001))</v>
      </c>
      <c r="K176" s="37" t="str">
        <f t="shared" si="8"/>
        <v>r175: C00025 + C00006 + C00001 -&gt; C00026 + C00014 + C00005 + C00080 | (${Variables:E1_4_1_4_kcat} * E1_4_1_4 * C00025 * C00006 * C00001)/(${Variables:E1_4_1_4_km} + (E1_4_1_4 * C00025 * C00006 * C00001))</v>
      </c>
    </row>
    <row r="177" spans="1:11" ht="46.25" customHeight="1">
      <c r="A177" t="s">
        <v>5732</v>
      </c>
      <c r="B177" t="s">
        <v>5733</v>
      </c>
      <c r="C177" t="s">
        <v>12822</v>
      </c>
      <c r="D177" s="19">
        <v>176</v>
      </c>
      <c r="E177" s="19" t="str">
        <f t="shared" si="6"/>
        <v>E1_4_1_4</v>
      </c>
      <c r="F177" s="19" t="s">
        <v>13321</v>
      </c>
      <c r="G177" s="19" t="s">
        <v>14736</v>
      </c>
      <c r="H177" s="19" t="s">
        <v>14000</v>
      </c>
      <c r="I177" s="19" t="s">
        <v>15415</v>
      </c>
      <c r="J177" s="19" t="str">
        <f t="shared" si="7"/>
        <v>(${Variables:E1_4_1_4_kcat} * E1_4_1_4 * C05167 * C00001 * C00003)/(${Variables:E1_4_1_4_km} + (E1_4_1_4 * C05167 * C00001 * C00003))</v>
      </c>
      <c r="K177" s="37" t="str">
        <f t="shared" si="8"/>
        <v>r176: C05167 + C00001 + C00003 -&gt; C00161 + C00014 + C00004 + C00080 | (${Variables:E1_4_1_4_kcat} * E1_4_1_4 * C05167 * C00001 * C00003)/(${Variables:E1_4_1_4_km} + (E1_4_1_4 * C05167 * C00001 * C00003))</v>
      </c>
    </row>
    <row r="178" spans="1:11" ht="46.25" customHeight="1">
      <c r="A178" t="s">
        <v>5732</v>
      </c>
      <c r="B178" t="s">
        <v>5733</v>
      </c>
      <c r="C178" t="s">
        <v>12822</v>
      </c>
      <c r="D178" s="19">
        <v>177</v>
      </c>
      <c r="E178" s="19" t="str">
        <f t="shared" si="6"/>
        <v>E1_4_1_4</v>
      </c>
      <c r="F178" s="19" t="s">
        <v>13322</v>
      </c>
      <c r="G178" s="19" t="s">
        <v>14737</v>
      </c>
      <c r="H178" s="19" t="s">
        <v>14001</v>
      </c>
      <c r="I178" s="19" t="s">
        <v>15416</v>
      </c>
      <c r="J178" s="19" t="str">
        <f t="shared" si="7"/>
        <v>(${Variables:E1_4_1_4_kcat} * E1_4_1_4 * C05167 * C00001 * C00006)/(${Variables:E1_4_1_4_km} + (E1_4_1_4 * C05167 * C00001 * C00006))</v>
      </c>
      <c r="K178" s="37" t="str">
        <f t="shared" si="8"/>
        <v>r177: C05167 + C00001 + C00006 -&gt; C00161 + C00014 + C00005 + C00080 | (${Variables:E1_4_1_4_kcat} * E1_4_1_4 * C05167 * C00001 * C00006)/(${Variables:E1_4_1_4_km} + (E1_4_1_4 * C05167 * C00001 * C00006))</v>
      </c>
    </row>
    <row r="179" spans="1:11" ht="46.25" customHeight="1">
      <c r="A179" t="s">
        <v>5625</v>
      </c>
      <c r="B179" t="s">
        <v>5626</v>
      </c>
      <c r="C179" t="s">
        <v>12823</v>
      </c>
      <c r="D179" s="19">
        <v>178</v>
      </c>
      <c r="E179" s="19" t="str">
        <f t="shared" si="6"/>
        <v>E1_4_3_19</v>
      </c>
      <c r="F179" s="19" t="s">
        <v>13323</v>
      </c>
      <c r="G179" s="19" t="s">
        <v>14738</v>
      </c>
      <c r="H179" s="19" t="s">
        <v>14002</v>
      </c>
      <c r="I179" s="19" t="s">
        <v>15417</v>
      </c>
      <c r="J179" s="19" t="str">
        <f t="shared" si="7"/>
        <v>(${Variables:E1_4_3_19_kcat} * E1_4_3_19 * C00037 * C00001 * C00007)/(${Variables:E1_4_3_19_km} + (E1_4_3_19 * C00037 * C00001 * C00007))</v>
      </c>
      <c r="K179" s="37" t="str">
        <f t="shared" si="8"/>
        <v>r178: C00037 + C00001 + C00007 -&gt; C00048 + C00014 + C00027 | (${Variables:E1_4_3_19_kcat} * E1_4_3_19 * C00037 * C00001 * C00007)/(${Variables:E1_4_3_19_km} + (E1_4_3_19 * C00037 * C00001 * C00007))</v>
      </c>
    </row>
    <row r="180" spans="1:11" ht="46.25" customHeight="1">
      <c r="A180" t="s">
        <v>5625</v>
      </c>
      <c r="B180" t="s">
        <v>5626</v>
      </c>
      <c r="C180" t="s">
        <v>12823</v>
      </c>
      <c r="D180" s="19">
        <v>179</v>
      </c>
      <c r="E180" s="19" t="str">
        <f t="shared" si="6"/>
        <v>E1_4_3_19</v>
      </c>
      <c r="F180" s="19" t="s">
        <v>13324</v>
      </c>
      <c r="G180" s="19" t="s">
        <v>14739</v>
      </c>
      <c r="H180" s="19" t="s">
        <v>14003</v>
      </c>
      <c r="I180" s="19" t="s">
        <v>15418</v>
      </c>
      <c r="J180" s="19" t="str">
        <f t="shared" si="7"/>
        <v>(${Variables:E1_4_3_19_kcat} * E1_4_3_19 * C00037 * C00007)/(${Variables:E1_4_3_19_km} + (E1_4_3_19 * C00037 * C00007))</v>
      </c>
      <c r="K180" s="37" t="str">
        <f t="shared" si="8"/>
        <v>r179: C00037 + C00007 -&gt; C15809 + C00027 | (${Variables:E1_4_3_19_kcat} * E1_4_3_19 * C00037 * C00007)/(${Variables:E1_4_3_19_km} + (E1_4_3_19 * C00037 * C00007))</v>
      </c>
    </row>
    <row r="181" spans="1:11" ht="46.25" customHeight="1">
      <c r="A181" t="s">
        <v>5625</v>
      </c>
      <c r="B181" t="s">
        <v>5626</v>
      </c>
      <c r="C181" t="s">
        <v>12823</v>
      </c>
      <c r="D181" s="19">
        <v>180</v>
      </c>
      <c r="E181" s="19" t="str">
        <f t="shared" si="6"/>
        <v>E1_4_3_19</v>
      </c>
      <c r="F181" s="19" t="s">
        <v>13325</v>
      </c>
      <c r="G181" s="19" t="s">
        <v>14740</v>
      </c>
      <c r="H181" s="19" t="s">
        <v>14004</v>
      </c>
      <c r="I181" s="19" t="s">
        <v>15419</v>
      </c>
      <c r="J181" s="19" t="str">
        <f t="shared" si="7"/>
        <v>(${Variables:E1_4_3_19_kcat} * E1_4_3_19 * C15809 * C00001)/(${Variables:E1_4_3_19_km} + (E1_4_3_19 * C15809 * C00001))</v>
      </c>
      <c r="K181" s="37" t="str">
        <f t="shared" si="8"/>
        <v>r180: C15809 + C00001 -&gt; C00048 + C00014 | (${Variables:E1_4_3_19_kcat} * E1_4_3_19 * C15809 * C00001)/(${Variables:E1_4_3_19_km} + (E1_4_3_19 * C15809 * C00001))</v>
      </c>
    </row>
    <row r="182" spans="1:11" ht="46.25" customHeight="1">
      <c r="A182" t="s">
        <v>5625</v>
      </c>
      <c r="B182" t="s">
        <v>5626</v>
      </c>
      <c r="C182" t="s">
        <v>12823</v>
      </c>
      <c r="D182" s="19">
        <v>181</v>
      </c>
      <c r="E182" s="19" t="str">
        <f t="shared" si="6"/>
        <v>E1_4_3_19</v>
      </c>
      <c r="F182" s="19" t="s">
        <v>13326</v>
      </c>
      <c r="G182" s="19" t="s">
        <v>14741</v>
      </c>
      <c r="H182" s="19" t="s">
        <v>14005</v>
      </c>
      <c r="I182" s="19" t="s">
        <v>15420</v>
      </c>
      <c r="J182" s="19" t="str">
        <f t="shared" si="7"/>
        <v>(${Variables:E1_4_3_19_kcat} * E1_4_3_19 * C00133 * C00001 * C00007)/(${Variables:E1_4_3_19_km} + (E1_4_3_19 * C00133 * C00001 * C00007))</v>
      </c>
      <c r="K182" s="37" t="str">
        <f t="shared" si="8"/>
        <v>r181: C00133 + C00001 + C00007 -&gt; C00022 + C00014 + C00027 | (${Variables:E1_4_3_19_kcat} * E1_4_3_19 * C00133 * C00001 * C00007)/(${Variables:E1_4_3_19_km} + (E1_4_3_19 * C00133 * C00001 * C00007))</v>
      </c>
    </row>
    <row r="183" spans="1:11" ht="46.25" customHeight="1">
      <c r="A183" t="s">
        <v>5625</v>
      </c>
      <c r="B183" t="s">
        <v>5626</v>
      </c>
      <c r="C183" t="s">
        <v>12823</v>
      </c>
      <c r="D183" s="19">
        <v>182</v>
      </c>
      <c r="E183" s="19" t="str">
        <f t="shared" si="6"/>
        <v>E1_4_3_19</v>
      </c>
      <c r="F183" s="19" t="s">
        <v>13327</v>
      </c>
      <c r="G183" s="19" t="s">
        <v>14742</v>
      </c>
      <c r="H183" s="19" t="s">
        <v>14006</v>
      </c>
      <c r="I183" s="19" t="s">
        <v>15421</v>
      </c>
      <c r="J183" s="19" t="str">
        <f t="shared" si="7"/>
        <v>(${Variables:E1_4_3_19_kcat} * E1_4_3_19 * C00213 * C00001 * C00007)/(${Variables:E1_4_3_19_km} + (E1_4_3_19 * C00213 * C00001 * C00007))</v>
      </c>
      <c r="K183" s="37" t="str">
        <f t="shared" si="8"/>
        <v>r182: C00213 + C00001 + C00007 -&gt; C00048 + C00218 + C00027 | (${Variables:E1_4_3_19_kcat} * E1_4_3_19 * C00213 * C00001 * C00007)/(${Variables:E1_4_3_19_km} + (E1_4_3_19 * C00213 * C00001 * C00007))</v>
      </c>
    </row>
    <row r="184" spans="1:11" ht="46.25" customHeight="1">
      <c r="A184" t="s">
        <v>5625</v>
      </c>
      <c r="B184" t="s">
        <v>5626</v>
      </c>
      <c r="C184" t="s">
        <v>12823</v>
      </c>
      <c r="D184" s="19">
        <v>183</v>
      </c>
      <c r="E184" s="19" t="str">
        <f t="shared" si="6"/>
        <v>E1_4_3_19</v>
      </c>
      <c r="F184" s="19" t="s">
        <v>13328</v>
      </c>
      <c r="G184" s="19" t="s">
        <v>14743</v>
      </c>
      <c r="H184" s="19" t="s">
        <v>14007</v>
      </c>
      <c r="I184" s="19" t="s">
        <v>15422</v>
      </c>
      <c r="J184" s="19" t="str">
        <f t="shared" si="7"/>
        <v>(${Variables:E1_4_3_19_kcat} * E1_4_3_19 * C11735 * C00001 * C00007)/(${Variables:E1_4_3_19_km} + (E1_4_3_19 * C11735 * C00001 * C00007))</v>
      </c>
      <c r="K184" s="37" t="str">
        <f t="shared" si="8"/>
        <v>r183: C11735 + C00001 + C00007 -&gt; C00048 + C00797 + C00027 | (${Variables:E1_4_3_19_kcat} * E1_4_3_19 * C11735 * C00001 * C00007)/(${Variables:E1_4_3_19_km} + (E1_4_3_19 * C11735 * C00001 * C00007))</v>
      </c>
    </row>
    <row r="185" spans="1:11" ht="46.25" customHeight="1">
      <c r="A185" t="s">
        <v>1206</v>
      </c>
      <c r="B185" t="s">
        <v>1207</v>
      </c>
      <c r="C185" t="s">
        <v>16018</v>
      </c>
      <c r="D185" s="19">
        <v>184</v>
      </c>
      <c r="E185" s="19" t="str">
        <f t="shared" si="6"/>
        <v>E1_5_1_2</v>
      </c>
      <c r="F185" s="19" t="s">
        <v>13329</v>
      </c>
      <c r="G185" s="19" t="s">
        <v>14744</v>
      </c>
      <c r="H185" s="19" t="s">
        <v>14008</v>
      </c>
      <c r="I185" s="19" t="s">
        <v>15423</v>
      </c>
      <c r="J185" s="19" t="str">
        <f t="shared" si="7"/>
        <v>(${Variables:E1_5_1_2_kcat} * E1_5_1_2 * C00148 * C00003)/(${Variables:E1_5_1_2_km} + (E1_5_1_2 * C00148 * C00003))</v>
      </c>
      <c r="K185" s="37" t="str">
        <f t="shared" si="8"/>
        <v>r184: C00148 + C00003 -&gt; C03912 + C00004 + C00080 | (${Variables:E1_5_1_2_kcat} * E1_5_1_2 * C00148 * C00003)/(${Variables:E1_5_1_2_km} + (E1_5_1_2 * C00148 * C00003))</v>
      </c>
    </row>
    <row r="186" spans="1:11" ht="46.25" customHeight="1">
      <c r="A186" t="s">
        <v>1206</v>
      </c>
      <c r="B186" t="s">
        <v>1207</v>
      </c>
      <c r="C186" t="s">
        <v>16018</v>
      </c>
      <c r="D186" s="19">
        <v>185</v>
      </c>
      <c r="E186" s="19" t="str">
        <f t="shared" si="6"/>
        <v>E1_5_1_2</v>
      </c>
      <c r="F186" s="19" t="s">
        <v>13330</v>
      </c>
      <c r="G186" s="19" t="s">
        <v>14745</v>
      </c>
      <c r="H186" s="19" t="s">
        <v>14009</v>
      </c>
      <c r="I186" s="19" t="s">
        <v>15424</v>
      </c>
      <c r="J186" s="19" t="str">
        <f t="shared" si="7"/>
        <v>(${Variables:E1_5_1_2_kcat} * E1_5_1_2 * C00148 * C00006)/(${Variables:E1_5_1_2_km} + (E1_5_1_2 * C00148 * C00006))</v>
      </c>
      <c r="K186" s="37" t="str">
        <f t="shared" si="8"/>
        <v>r185: C00148 + C00006 -&gt; C03912 + C00005 + C00080 | (${Variables:E1_5_1_2_kcat} * E1_5_1_2 * C00148 * C00006)/(${Variables:E1_5_1_2_km} + (E1_5_1_2 * C00148 * C00006))</v>
      </c>
    </row>
    <row r="187" spans="1:11" ht="46.25" customHeight="1">
      <c r="A187" t="s">
        <v>1206</v>
      </c>
      <c r="B187" t="s">
        <v>1207</v>
      </c>
      <c r="C187" t="s">
        <v>16018</v>
      </c>
      <c r="D187" s="19">
        <v>186</v>
      </c>
      <c r="E187" s="19" t="str">
        <f t="shared" si="6"/>
        <v>E1_5_1_2</v>
      </c>
      <c r="F187" s="19" t="s">
        <v>13331</v>
      </c>
      <c r="G187" s="19" t="s">
        <v>14746</v>
      </c>
      <c r="H187" s="19" t="s">
        <v>14010</v>
      </c>
      <c r="I187" s="19" t="s">
        <v>15425</v>
      </c>
      <c r="J187" s="19" t="str">
        <f t="shared" si="7"/>
        <v>(${Variables:E1_5_1_2_kcat} * E1_5_1_2 * C01157 * C00003)/(${Variables:E1_5_1_2_km} + (E1_5_1_2 * C01157 * C00003))</v>
      </c>
      <c r="K187" s="37" t="str">
        <f t="shared" si="8"/>
        <v>r186: C01157 + C00003 -&gt; C04281 + C00004 + C00080 | (${Variables:E1_5_1_2_kcat} * E1_5_1_2 * C01157 * C00003)/(${Variables:E1_5_1_2_km} + (E1_5_1_2 * C01157 * C00003))</v>
      </c>
    </row>
    <row r="188" spans="1:11" ht="46.25" customHeight="1">
      <c r="A188" t="s">
        <v>1206</v>
      </c>
      <c r="B188" t="s">
        <v>1207</v>
      </c>
      <c r="C188" t="s">
        <v>16018</v>
      </c>
      <c r="D188" s="19">
        <v>187</v>
      </c>
      <c r="E188" s="19" t="str">
        <f t="shared" si="6"/>
        <v>E1_5_1_2</v>
      </c>
      <c r="F188" s="19" t="s">
        <v>13332</v>
      </c>
      <c r="G188" s="19" t="s">
        <v>14747</v>
      </c>
      <c r="H188" s="19" t="s">
        <v>14011</v>
      </c>
      <c r="I188" s="19" t="s">
        <v>15426</v>
      </c>
      <c r="J188" s="19" t="str">
        <f t="shared" si="7"/>
        <v>(${Variables:E1_5_1_2_kcat} * E1_5_1_2 * C01157 * C00006)/(${Variables:E1_5_1_2_km} + (E1_5_1_2 * C01157 * C00006))</v>
      </c>
      <c r="K188" s="37" t="str">
        <f t="shared" si="8"/>
        <v>r187: C01157 + C00006 -&gt; C04281 + C00005 + C00080 | (${Variables:E1_5_1_2_kcat} * E1_5_1_2 * C01157 * C00006)/(${Variables:E1_5_1_2_km} + (E1_5_1_2 * C01157 * C00006))</v>
      </c>
    </row>
    <row r="189" spans="1:11" ht="46.25" customHeight="1">
      <c r="A189" t="s">
        <v>5991</v>
      </c>
      <c r="B189" t="s">
        <v>5992</v>
      </c>
      <c r="C189" t="s">
        <v>12824</v>
      </c>
      <c r="D189" s="19">
        <v>188</v>
      </c>
      <c r="E189" s="19" t="str">
        <f t="shared" si="6"/>
        <v>E1_5_1_20</v>
      </c>
      <c r="F189" s="19" t="s">
        <v>13333</v>
      </c>
      <c r="G189" s="19" t="s">
        <v>14748</v>
      </c>
      <c r="H189" s="19" t="s">
        <v>14012</v>
      </c>
      <c r="I189" s="19" t="s">
        <v>15427</v>
      </c>
      <c r="J189" s="19" t="str">
        <f t="shared" si="7"/>
        <v>(${Variables:E1_5_1_20_kcat} * E1_5_1_20 * C00440 * C00006)/(${Variables:E1_5_1_20_km} + (E1_5_1_20 * C00440 * C00006))</v>
      </c>
      <c r="K189" s="37" t="str">
        <f t="shared" si="8"/>
        <v>r188: C00440 + C00006 -&gt; C00143 + C00005 + C00080 | (${Variables:E1_5_1_20_kcat} * E1_5_1_20 * C00440 * C00006)/(${Variables:E1_5_1_20_km} + (E1_5_1_20 * C00440 * C00006))</v>
      </c>
    </row>
    <row r="190" spans="1:11" ht="46.25" customHeight="1">
      <c r="A190" t="s">
        <v>5991</v>
      </c>
      <c r="B190" t="s">
        <v>5992</v>
      </c>
      <c r="C190" t="s">
        <v>12824</v>
      </c>
      <c r="D190" s="19">
        <v>189</v>
      </c>
      <c r="E190" s="19" t="str">
        <f t="shared" si="6"/>
        <v>E1_5_1_20</v>
      </c>
      <c r="F190" s="19" t="s">
        <v>13334</v>
      </c>
      <c r="G190" s="19" t="s">
        <v>14749</v>
      </c>
      <c r="H190" s="19" t="s">
        <v>14013</v>
      </c>
      <c r="I190" s="19" t="s">
        <v>15428</v>
      </c>
      <c r="J190" s="19" t="str">
        <f t="shared" si="7"/>
        <v>(${Variables:E1_5_1_20_kcat} * E1_5_1_20 * C00440 * C00003)/(${Variables:E1_5_1_20_km} + (E1_5_1_20 * C00440 * C00003))</v>
      </c>
      <c r="K190" s="37" t="str">
        <f t="shared" si="8"/>
        <v>r189: C00440 + C00003 -&gt; C00143 + C00004 + C00080 | (${Variables:E1_5_1_20_kcat} * E1_5_1_20 * C00440 * C00003)/(${Variables:E1_5_1_20_km} + (E1_5_1_20 * C00440 * C00003))</v>
      </c>
    </row>
    <row r="191" spans="1:11" ht="46.25" customHeight="1">
      <c r="A191" t="s">
        <v>2083</v>
      </c>
      <c r="B191" t="s">
        <v>2084</v>
      </c>
      <c r="C191" t="s">
        <v>12825</v>
      </c>
      <c r="D191" s="19">
        <v>190</v>
      </c>
      <c r="E191" s="19" t="str">
        <f t="shared" si="6"/>
        <v>E1_5_1_3</v>
      </c>
      <c r="F191" s="19" t="s">
        <v>13335</v>
      </c>
      <c r="G191" s="19" t="s">
        <v>14750</v>
      </c>
      <c r="H191" s="19" t="s">
        <v>14014</v>
      </c>
      <c r="I191" s="19" t="s">
        <v>15429</v>
      </c>
      <c r="J191" s="19" t="str">
        <f t="shared" si="7"/>
        <v>(${Variables:E1_5_1_3_kcat} * E1_5_1_3 * C00101 * C00006)/(${Variables:E1_5_1_3_km} + (E1_5_1_3 * C00101 * C00006))</v>
      </c>
      <c r="K191" s="37" t="str">
        <f t="shared" si="8"/>
        <v>r190: C00101 + C00006 -&gt; C00415 + C00005 + C00080 | (${Variables:E1_5_1_3_kcat} * E1_5_1_3 * C00101 * C00006)/(${Variables:E1_5_1_3_km} + (E1_5_1_3 * C00101 * C00006))</v>
      </c>
    </row>
    <row r="192" spans="1:11" ht="46.25" customHeight="1">
      <c r="A192" t="s">
        <v>2083</v>
      </c>
      <c r="B192" t="s">
        <v>2084</v>
      </c>
      <c r="C192" t="s">
        <v>12825</v>
      </c>
      <c r="D192" s="19">
        <v>191</v>
      </c>
      <c r="E192" s="19" t="str">
        <f t="shared" si="6"/>
        <v>E1_5_1_3</v>
      </c>
      <c r="F192" s="19" t="s">
        <v>13336</v>
      </c>
      <c r="G192" s="19" t="s">
        <v>14751</v>
      </c>
      <c r="H192" s="19" t="s">
        <v>14015</v>
      </c>
      <c r="I192" s="19" t="s">
        <v>15430</v>
      </c>
      <c r="J192" s="19" t="str">
        <f t="shared" si="7"/>
        <v>(${Variables:E1_5_1_3_kcat} * E1_5_1_3 * C00101 * C00003)/(${Variables:E1_5_1_3_km} + (E1_5_1_3 * C00101 * C00003))</v>
      </c>
      <c r="K192" s="37" t="str">
        <f t="shared" si="8"/>
        <v>r191: C00101 + C00003 -&gt; C00415 + C00004 + C00080 | (${Variables:E1_5_1_3_kcat} * E1_5_1_3 * C00101 * C00003)/(${Variables:E1_5_1_3_km} + (E1_5_1_3 * C00101 * C00003))</v>
      </c>
    </row>
    <row r="193" spans="1:11" ht="46.25" customHeight="1">
      <c r="A193" t="s">
        <v>2083</v>
      </c>
      <c r="B193" t="s">
        <v>2084</v>
      </c>
      <c r="C193" t="s">
        <v>12825</v>
      </c>
      <c r="D193" s="19">
        <v>192</v>
      </c>
      <c r="E193" s="19" t="str">
        <f t="shared" si="6"/>
        <v>E1_5_1_3</v>
      </c>
      <c r="F193" s="19" t="s">
        <v>13336</v>
      </c>
      <c r="G193" s="19" t="s">
        <v>14751</v>
      </c>
      <c r="H193" s="19" t="s">
        <v>14016</v>
      </c>
      <c r="I193" s="19" t="s">
        <v>15431</v>
      </c>
      <c r="J193" s="19" t="str">
        <f t="shared" si="7"/>
        <v>(${Variables:E1_5_1_3_kcat} * E1_5_1_3 * C00101 * C00003)/(${Variables:E1_5_1_3_km} + (E1_5_1_3 * C00101 * C00003))</v>
      </c>
      <c r="K193" s="37" t="str">
        <f t="shared" si="8"/>
        <v>r192: C00101 + C00003 -&gt; C00504 + C00004 + C00080 | (${Variables:E1_5_1_3_kcat} * E1_5_1_3 * C00101 * C00003)/(${Variables:E1_5_1_3_km} + (E1_5_1_3 * C00101 * C00003))</v>
      </c>
    </row>
    <row r="194" spans="1:11" ht="46.25" customHeight="1">
      <c r="A194" t="s">
        <v>2083</v>
      </c>
      <c r="B194" t="s">
        <v>2084</v>
      </c>
      <c r="C194" t="s">
        <v>12825</v>
      </c>
      <c r="D194" s="19">
        <v>193</v>
      </c>
      <c r="E194" s="19" t="str">
        <f t="shared" ref="E194:E257" si="9">CONCATENATE("E",C194)</f>
        <v>E1_5_1_3</v>
      </c>
      <c r="F194" s="19" t="s">
        <v>13335</v>
      </c>
      <c r="G194" s="19" t="s">
        <v>14750</v>
      </c>
      <c r="H194" s="19" t="s">
        <v>14017</v>
      </c>
      <c r="I194" s="19" t="s">
        <v>15432</v>
      </c>
      <c r="J194" s="19" t="str">
        <f t="shared" si="7"/>
        <v>(${Variables:E1_5_1_3_kcat} * E1_5_1_3 * C00101 * C00006)/(${Variables:E1_5_1_3_km} + (E1_5_1_3 * C00101 * C00006))</v>
      </c>
      <c r="K194" s="37" t="str">
        <f t="shared" si="8"/>
        <v>r193: C00101 + C00006 -&gt; C00504 + C00005 + C00080 | (${Variables:E1_5_1_3_kcat} * E1_5_1_3 * C00101 * C00006)/(${Variables:E1_5_1_3_km} + (E1_5_1_3 * C00101 * C00006))</v>
      </c>
    </row>
    <row r="195" spans="1:11" ht="46.25" customHeight="1">
      <c r="A195" t="s">
        <v>2083</v>
      </c>
      <c r="B195" t="s">
        <v>2084</v>
      </c>
      <c r="C195" t="s">
        <v>12825</v>
      </c>
      <c r="D195" s="19">
        <v>194</v>
      </c>
      <c r="E195" s="19" t="str">
        <f t="shared" si="9"/>
        <v>E1_5_1_3</v>
      </c>
      <c r="F195" s="19" t="s">
        <v>13337</v>
      </c>
      <c r="G195" s="19" t="s">
        <v>14752</v>
      </c>
      <c r="H195" s="19" t="s">
        <v>14016</v>
      </c>
      <c r="I195" s="19" t="s">
        <v>15431</v>
      </c>
      <c r="J195" s="19" t="str">
        <f t="shared" ref="J195:J258" si="10">CONCATENATE("(${Variables:",E195,"_kcat","} * ",E195," * ",G195,")","/(${Variables:",E195,"_km","} + (",E195," * ",G195,"))")</f>
        <v>(${Variables:E1_5_1_3_kcat} * E1_5_1_3 * C00415 * C00003)/(${Variables:E1_5_1_3_km} + (E1_5_1_3 * C00415 * C00003))</v>
      </c>
      <c r="K195" s="37" t="str">
        <f t="shared" ref="K195:K258" si="11">CONCATENATE("r",D195,": ",F195," -&gt; ",H195," | ",J195)</f>
        <v>r194: C00415 + C00003 -&gt; C00504 + C00004 + C00080 | (${Variables:E1_5_1_3_kcat} * E1_5_1_3 * C00415 * C00003)/(${Variables:E1_5_1_3_km} + (E1_5_1_3 * C00415 * C00003))</v>
      </c>
    </row>
    <row r="196" spans="1:11" ht="46.25" customHeight="1">
      <c r="A196" t="s">
        <v>2083</v>
      </c>
      <c r="B196" t="s">
        <v>2084</v>
      </c>
      <c r="C196" t="s">
        <v>12825</v>
      </c>
      <c r="D196" s="19">
        <v>195</v>
      </c>
      <c r="E196" s="19" t="str">
        <f t="shared" si="9"/>
        <v>E1_5_1_3</v>
      </c>
      <c r="F196" s="19" t="s">
        <v>13338</v>
      </c>
      <c r="G196" s="19" t="s">
        <v>14753</v>
      </c>
      <c r="H196" s="19" t="s">
        <v>14017</v>
      </c>
      <c r="I196" s="19" t="s">
        <v>15432</v>
      </c>
      <c r="J196" s="19" t="str">
        <f t="shared" si="10"/>
        <v>(${Variables:E1_5_1_3_kcat} * E1_5_1_3 * C00415 * C00006)/(${Variables:E1_5_1_3_km} + (E1_5_1_3 * C00415 * C00006))</v>
      </c>
      <c r="K196" s="37" t="str">
        <f t="shared" si="11"/>
        <v>r195: C00415 + C00006 -&gt; C00504 + C00005 + C00080 | (${Variables:E1_5_1_3_kcat} * E1_5_1_3 * C00415 * C00006)/(${Variables:E1_5_1_3_km} + (E1_5_1_3 * C00415 * C00006))</v>
      </c>
    </row>
    <row r="197" spans="1:11" ht="46.25" customHeight="1">
      <c r="A197" t="s">
        <v>2083</v>
      </c>
      <c r="B197" t="s">
        <v>2084</v>
      </c>
      <c r="C197" t="s">
        <v>12825</v>
      </c>
      <c r="D197" s="19">
        <v>196</v>
      </c>
      <c r="E197" s="19" t="str">
        <f t="shared" si="9"/>
        <v>E1_5_1_3</v>
      </c>
      <c r="F197" s="19" t="s">
        <v>13339</v>
      </c>
      <c r="G197" s="19" t="s">
        <v>14754</v>
      </c>
      <c r="H197" s="19" t="s">
        <v>14018</v>
      </c>
      <c r="I197" s="19" t="s">
        <v>15433</v>
      </c>
      <c r="J197" s="19" t="str">
        <f t="shared" si="10"/>
        <v>(${Variables:E1_5_1_3_kcat} * E1_5_1_3 * C00272 * C00006)/(${Variables:E1_5_1_3_km} + (E1_5_1_3 * C00272 * C00006))</v>
      </c>
      <c r="K197" s="37" t="str">
        <f t="shared" si="11"/>
        <v>r196: C00272 + C00006 -&gt; C02953 + C00005 + C00080 | (${Variables:E1_5_1_3_kcat} * E1_5_1_3 * C00272 * C00006)/(${Variables:E1_5_1_3_km} + (E1_5_1_3 * C00272 * C00006))</v>
      </c>
    </row>
    <row r="198" spans="1:11" ht="46.25" customHeight="1">
      <c r="A198" t="s">
        <v>2439</v>
      </c>
      <c r="B198" t="s">
        <v>2440</v>
      </c>
      <c r="C198" t="s">
        <v>12825</v>
      </c>
      <c r="D198" s="19">
        <v>197</v>
      </c>
      <c r="E198" s="19" t="str">
        <f t="shared" si="9"/>
        <v>E1_5_1_3</v>
      </c>
      <c r="F198" s="19" t="s">
        <v>13335</v>
      </c>
      <c r="G198" s="19" t="s">
        <v>14750</v>
      </c>
      <c r="H198" s="19" t="s">
        <v>14014</v>
      </c>
      <c r="I198" s="19" t="s">
        <v>15429</v>
      </c>
      <c r="J198" s="19" t="str">
        <f t="shared" si="10"/>
        <v>(${Variables:E1_5_1_3_kcat} * E1_5_1_3 * C00101 * C00006)/(${Variables:E1_5_1_3_km} + (E1_5_1_3 * C00101 * C00006))</v>
      </c>
      <c r="K198" s="37" t="str">
        <f t="shared" si="11"/>
        <v>r197: C00101 + C00006 -&gt; C00415 + C00005 + C00080 | (${Variables:E1_5_1_3_kcat} * E1_5_1_3 * C00101 * C00006)/(${Variables:E1_5_1_3_km} + (E1_5_1_3 * C00101 * C00006))</v>
      </c>
    </row>
    <row r="199" spans="1:11" ht="46.25" customHeight="1">
      <c r="A199" t="s">
        <v>2439</v>
      </c>
      <c r="B199" t="s">
        <v>2440</v>
      </c>
      <c r="C199" t="s">
        <v>12825</v>
      </c>
      <c r="D199" s="19">
        <v>198</v>
      </c>
      <c r="E199" s="19" t="str">
        <f t="shared" si="9"/>
        <v>E1_5_1_3</v>
      </c>
      <c r="F199" s="19" t="s">
        <v>13336</v>
      </c>
      <c r="G199" s="19" t="s">
        <v>14751</v>
      </c>
      <c r="H199" s="19" t="s">
        <v>14015</v>
      </c>
      <c r="I199" s="19" t="s">
        <v>15430</v>
      </c>
      <c r="J199" s="19" t="str">
        <f t="shared" si="10"/>
        <v>(${Variables:E1_5_1_3_kcat} * E1_5_1_3 * C00101 * C00003)/(${Variables:E1_5_1_3_km} + (E1_5_1_3 * C00101 * C00003))</v>
      </c>
      <c r="K199" s="37" t="str">
        <f t="shared" si="11"/>
        <v>r198: C00101 + C00003 -&gt; C00415 + C00004 + C00080 | (${Variables:E1_5_1_3_kcat} * E1_5_1_3 * C00101 * C00003)/(${Variables:E1_5_1_3_km} + (E1_5_1_3 * C00101 * C00003))</v>
      </c>
    </row>
    <row r="200" spans="1:11" ht="46.25" customHeight="1">
      <c r="A200" t="s">
        <v>2439</v>
      </c>
      <c r="B200" t="s">
        <v>2440</v>
      </c>
      <c r="C200" t="s">
        <v>12825</v>
      </c>
      <c r="D200" s="19">
        <v>199</v>
      </c>
      <c r="E200" s="19" t="str">
        <f t="shared" si="9"/>
        <v>E1_5_1_3</v>
      </c>
      <c r="F200" s="19" t="s">
        <v>13336</v>
      </c>
      <c r="G200" s="19" t="s">
        <v>14751</v>
      </c>
      <c r="H200" s="19" t="s">
        <v>14016</v>
      </c>
      <c r="I200" s="19" t="s">
        <v>15431</v>
      </c>
      <c r="J200" s="19" t="str">
        <f t="shared" si="10"/>
        <v>(${Variables:E1_5_1_3_kcat} * E1_5_1_3 * C00101 * C00003)/(${Variables:E1_5_1_3_km} + (E1_5_1_3 * C00101 * C00003))</v>
      </c>
      <c r="K200" s="37" t="str">
        <f t="shared" si="11"/>
        <v>r199: C00101 + C00003 -&gt; C00504 + C00004 + C00080 | (${Variables:E1_5_1_3_kcat} * E1_5_1_3 * C00101 * C00003)/(${Variables:E1_5_1_3_km} + (E1_5_1_3 * C00101 * C00003))</v>
      </c>
    </row>
    <row r="201" spans="1:11" ht="46.25" customHeight="1">
      <c r="A201" t="s">
        <v>2439</v>
      </c>
      <c r="B201" t="s">
        <v>2440</v>
      </c>
      <c r="C201" t="s">
        <v>12825</v>
      </c>
      <c r="D201" s="19">
        <v>200</v>
      </c>
      <c r="E201" s="19" t="str">
        <f t="shared" si="9"/>
        <v>E1_5_1_3</v>
      </c>
      <c r="F201" s="19" t="s">
        <v>13335</v>
      </c>
      <c r="G201" s="19" t="s">
        <v>14750</v>
      </c>
      <c r="H201" s="19" t="s">
        <v>14017</v>
      </c>
      <c r="I201" s="19" t="s">
        <v>15432</v>
      </c>
      <c r="J201" s="19" t="str">
        <f t="shared" si="10"/>
        <v>(${Variables:E1_5_1_3_kcat} * E1_5_1_3 * C00101 * C00006)/(${Variables:E1_5_1_3_km} + (E1_5_1_3 * C00101 * C00006))</v>
      </c>
      <c r="K201" s="37" t="str">
        <f t="shared" si="11"/>
        <v>r200: C00101 + C00006 -&gt; C00504 + C00005 + C00080 | (${Variables:E1_5_1_3_kcat} * E1_5_1_3 * C00101 * C00006)/(${Variables:E1_5_1_3_km} + (E1_5_1_3 * C00101 * C00006))</v>
      </c>
    </row>
    <row r="202" spans="1:11" ht="46.25" customHeight="1">
      <c r="A202" t="s">
        <v>2439</v>
      </c>
      <c r="B202" t="s">
        <v>2440</v>
      </c>
      <c r="C202" t="s">
        <v>12825</v>
      </c>
      <c r="D202" s="19">
        <v>201</v>
      </c>
      <c r="E202" s="19" t="str">
        <f t="shared" si="9"/>
        <v>E1_5_1_3</v>
      </c>
      <c r="F202" s="19" t="s">
        <v>13337</v>
      </c>
      <c r="G202" s="19" t="s">
        <v>14752</v>
      </c>
      <c r="H202" s="19" t="s">
        <v>14016</v>
      </c>
      <c r="I202" s="19" t="s">
        <v>15431</v>
      </c>
      <c r="J202" s="19" t="str">
        <f t="shared" si="10"/>
        <v>(${Variables:E1_5_1_3_kcat} * E1_5_1_3 * C00415 * C00003)/(${Variables:E1_5_1_3_km} + (E1_5_1_3 * C00415 * C00003))</v>
      </c>
      <c r="K202" s="37" t="str">
        <f t="shared" si="11"/>
        <v>r201: C00415 + C00003 -&gt; C00504 + C00004 + C00080 | (${Variables:E1_5_1_3_kcat} * E1_5_1_3 * C00415 * C00003)/(${Variables:E1_5_1_3_km} + (E1_5_1_3 * C00415 * C00003))</v>
      </c>
    </row>
    <row r="203" spans="1:11" ht="46.25" customHeight="1">
      <c r="A203" t="s">
        <v>2439</v>
      </c>
      <c r="B203" t="s">
        <v>2440</v>
      </c>
      <c r="C203" t="s">
        <v>12825</v>
      </c>
      <c r="D203" s="19">
        <v>202</v>
      </c>
      <c r="E203" s="19" t="str">
        <f t="shared" si="9"/>
        <v>E1_5_1_3</v>
      </c>
      <c r="F203" s="19" t="s">
        <v>13338</v>
      </c>
      <c r="G203" s="19" t="s">
        <v>14753</v>
      </c>
      <c r="H203" s="19" t="s">
        <v>14017</v>
      </c>
      <c r="I203" s="19" t="s">
        <v>15432</v>
      </c>
      <c r="J203" s="19" t="str">
        <f t="shared" si="10"/>
        <v>(${Variables:E1_5_1_3_kcat} * E1_5_1_3 * C00415 * C00006)/(${Variables:E1_5_1_3_km} + (E1_5_1_3 * C00415 * C00006))</v>
      </c>
      <c r="K203" s="37" t="str">
        <f t="shared" si="11"/>
        <v>r202: C00415 + C00006 -&gt; C00504 + C00005 + C00080 | (${Variables:E1_5_1_3_kcat} * E1_5_1_3 * C00415 * C00006)/(${Variables:E1_5_1_3_km} + (E1_5_1_3 * C00415 * C00006))</v>
      </c>
    </row>
    <row r="204" spans="1:11" ht="46.25" customHeight="1">
      <c r="A204" t="s">
        <v>2439</v>
      </c>
      <c r="B204" t="s">
        <v>2440</v>
      </c>
      <c r="C204" t="s">
        <v>12825</v>
      </c>
      <c r="D204" s="19">
        <v>203</v>
      </c>
      <c r="E204" s="19" t="str">
        <f t="shared" si="9"/>
        <v>E1_5_1_3</v>
      </c>
      <c r="F204" s="19" t="s">
        <v>13339</v>
      </c>
      <c r="G204" s="19" t="s">
        <v>14754</v>
      </c>
      <c r="H204" s="19" t="s">
        <v>14018</v>
      </c>
      <c r="I204" s="19" t="s">
        <v>15433</v>
      </c>
      <c r="J204" s="19" t="str">
        <f t="shared" si="10"/>
        <v>(${Variables:E1_5_1_3_kcat} * E1_5_1_3 * C00272 * C00006)/(${Variables:E1_5_1_3_km} + (E1_5_1_3 * C00272 * C00006))</v>
      </c>
      <c r="K204" s="37" t="str">
        <f t="shared" si="11"/>
        <v>r203: C00272 + C00006 -&gt; C02953 + C00005 + C00080 | (${Variables:E1_5_1_3_kcat} * E1_5_1_3 * C00272 * C00006)/(${Variables:E1_5_1_3_km} + (E1_5_1_3 * C00272 * C00006))</v>
      </c>
    </row>
    <row r="205" spans="1:11" ht="46.25" customHeight="1">
      <c r="A205" t="s">
        <v>3869</v>
      </c>
      <c r="B205" t="s">
        <v>3870</v>
      </c>
      <c r="C205" t="s">
        <v>12826</v>
      </c>
      <c r="D205" s="19">
        <v>204</v>
      </c>
      <c r="E205" s="19" t="str">
        <f t="shared" si="9"/>
        <v>E1_6_5_2</v>
      </c>
      <c r="F205" s="19" t="s">
        <v>13340</v>
      </c>
      <c r="G205" s="19" t="s">
        <v>14755</v>
      </c>
      <c r="H205" s="19" t="s">
        <v>14019</v>
      </c>
      <c r="I205" s="19" t="s">
        <v>15434</v>
      </c>
      <c r="J205" s="19" t="str">
        <f t="shared" si="10"/>
        <v>(${Variables:E1_6_5_2_kcat} * E1_6_5_2 * C00004 * C00080 * C15602)/(${Variables:E1_6_5_2_km} + (E1_6_5_2 * C00004 * C00080 * C15602))</v>
      </c>
      <c r="K205" s="37" t="str">
        <f t="shared" si="11"/>
        <v>r204: C00004 + C00080 + C15602 -&gt; C00003 + C15603 | (${Variables:E1_6_5_2_kcat} * E1_6_5_2 * C00004 * C00080 * C15602)/(${Variables:E1_6_5_2_km} + (E1_6_5_2 * C00004 * C00080 * C15602))</v>
      </c>
    </row>
    <row r="206" spans="1:11" ht="46.25" customHeight="1">
      <c r="A206" t="s">
        <v>3869</v>
      </c>
      <c r="B206" t="s">
        <v>3870</v>
      </c>
      <c r="C206" t="s">
        <v>12826</v>
      </c>
      <c r="D206" s="19">
        <v>205</v>
      </c>
      <c r="E206" s="19" t="str">
        <f t="shared" si="9"/>
        <v>E1_6_5_2</v>
      </c>
      <c r="F206" s="19" t="s">
        <v>13341</v>
      </c>
      <c r="G206" s="19" t="s">
        <v>14756</v>
      </c>
      <c r="H206" s="19" t="s">
        <v>14020</v>
      </c>
      <c r="I206" s="19" t="s">
        <v>15435</v>
      </c>
      <c r="J206" s="19" t="str">
        <f t="shared" si="10"/>
        <v>(${Variables:E1_6_5_2_kcat} * E1_6_5_2 * C00828 * C00080 * C00004)/(${Variables:E1_6_5_2_km} + (E1_6_5_2 * C00828 * C00080 * C00004))</v>
      </c>
      <c r="K206" s="37" t="str">
        <f t="shared" si="11"/>
        <v>r205: C00828 + C00080 + C00004 -&gt; C05819 + C00003 | (${Variables:E1_6_5_2_kcat} * E1_6_5_2 * C00828 * C00080 * C00004)/(${Variables:E1_6_5_2_km} + (E1_6_5_2 * C00828 * C00080 * C00004))</v>
      </c>
    </row>
    <row r="207" spans="1:11" ht="46.25" customHeight="1">
      <c r="A207" t="s">
        <v>3869</v>
      </c>
      <c r="B207" t="s">
        <v>3870</v>
      </c>
      <c r="C207" t="s">
        <v>12826</v>
      </c>
      <c r="D207" s="19">
        <v>206</v>
      </c>
      <c r="E207" s="19" t="str">
        <f t="shared" si="9"/>
        <v>E1_6_5_2</v>
      </c>
      <c r="F207" s="19" t="s">
        <v>13342</v>
      </c>
      <c r="G207" s="19" t="s">
        <v>14757</v>
      </c>
      <c r="H207" s="19" t="s">
        <v>14021</v>
      </c>
      <c r="I207" s="19" t="s">
        <v>15436</v>
      </c>
      <c r="J207" s="19" t="str">
        <f t="shared" si="10"/>
        <v>(${Variables:E1_6_5_2_kcat} * E1_6_5_2 * C01628 * C00004 * C00080)/(${Variables:E1_6_5_2_km} + (E1_6_5_2 * C01628 * C00004 * C00080))</v>
      </c>
      <c r="K207" s="37" t="str">
        <f t="shared" si="11"/>
        <v>r206: C01628 + C00004 + C00080 -&gt; C05850 + C00003 | (${Variables:E1_6_5_2_kcat} * E1_6_5_2 * C01628 * C00004 * C00080)/(${Variables:E1_6_5_2_km} + (E1_6_5_2 * C01628 * C00004 * C00080))</v>
      </c>
    </row>
    <row r="208" spans="1:11" ht="46.25" customHeight="1">
      <c r="A208" t="s">
        <v>3869</v>
      </c>
      <c r="B208" t="s">
        <v>3870</v>
      </c>
      <c r="C208" t="s">
        <v>12826</v>
      </c>
      <c r="D208" s="19">
        <v>207</v>
      </c>
      <c r="E208" s="19" t="str">
        <f t="shared" si="9"/>
        <v>E1_6_5_2</v>
      </c>
      <c r="F208" s="19" t="s">
        <v>13343</v>
      </c>
      <c r="G208" s="19" t="s">
        <v>14758</v>
      </c>
      <c r="H208" s="19" t="s">
        <v>14022</v>
      </c>
      <c r="I208" s="19" t="s">
        <v>15437</v>
      </c>
      <c r="J208" s="19" t="str">
        <f t="shared" si="10"/>
        <v>(${Variables:E1_6_5_2_kcat} * E1_6_5_2 * C02059 * C00004 * C00080)/(${Variables:E1_6_5_2_km} + (E1_6_5_2 * C02059 * C00004 * C00080))</v>
      </c>
      <c r="K208" s="37" t="str">
        <f t="shared" si="11"/>
        <v>r207: C02059 + C00004 + C00080 -&gt; C03313 + C00003 | (${Variables:E1_6_5_2_kcat} * E1_6_5_2 * C02059 * C00004 * C00080)/(${Variables:E1_6_5_2_km} + (E1_6_5_2 * C02059 * C00004 * C00080))</v>
      </c>
    </row>
    <row r="209" spans="1:11" ht="46.25" customHeight="1">
      <c r="A209" t="s">
        <v>3869</v>
      </c>
      <c r="B209" t="s">
        <v>3870</v>
      </c>
      <c r="C209" t="s">
        <v>12826</v>
      </c>
      <c r="D209" s="19">
        <v>208</v>
      </c>
      <c r="E209" s="19" t="str">
        <f t="shared" si="9"/>
        <v>E1_6_5_2</v>
      </c>
      <c r="F209" s="19" t="s">
        <v>13344</v>
      </c>
      <c r="G209" s="19" t="s">
        <v>14759</v>
      </c>
      <c r="H209" s="19" t="s">
        <v>14023</v>
      </c>
      <c r="I209" s="19" t="s">
        <v>15438</v>
      </c>
      <c r="J209" s="19" t="str">
        <f t="shared" si="10"/>
        <v>(${Variables:E1_6_5_2_kcat} * E1_6_5_2 * C00005 * C00080 * C15602)/(${Variables:E1_6_5_2_km} + (E1_6_5_2 * C00005 * C00080 * C15602))</v>
      </c>
      <c r="K209" s="37" t="str">
        <f t="shared" si="11"/>
        <v>r208: C00005 + C00080 + C15602 -&gt; C00006 + C15603 | (${Variables:E1_6_5_2_kcat} * E1_6_5_2 * C00005 * C00080 * C15602)/(${Variables:E1_6_5_2_km} + (E1_6_5_2 * C00005 * C00080 * C15602))</v>
      </c>
    </row>
    <row r="210" spans="1:11" ht="46.25" customHeight="1">
      <c r="A210" t="s">
        <v>618</v>
      </c>
      <c r="B210" t="s">
        <v>619</v>
      </c>
      <c r="C210" t="s">
        <v>12827</v>
      </c>
      <c r="D210" s="19">
        <v>209</v>
      </c>
      <c r="E210" s="19" t="str">
        <f t="shared" si="9"/>
        <v>E1_6_5_5</v>
      </c>
      <c r="F210" s="19" t="s">
        <v>13345</v>
      </c>
      <c r="G210" s="19" t="s">
        <v>14760</v>
      </c>
      <c r="H210" s="19" t="s">
        <v>14024</v>
      </c>
      <c r="I210" s="19" t="s">
        <v>15439</v>
      </c>
      <c r="J210" s="19" t="str">
        <f t="shared" si="10"/>
        <v>(${Variables:E1_6_5_5_kcat} * E1_6_5_5 * C15602 * C00005 * C00080)/(${Variables:E1_6_5_5_km} + (E1_6_5_5 * C15602 * C00005 * C00080))</v>
      </c>
      <c r="K210" s="37" t="str">
        <f t="shared" si="11"/>
        <v>r209: C15602 + C00005 + C00080 -&gt; C05309 + C00006 | (${Variables:E1_6_5_5_kcat} * E1_6_5_5 * C15602 * C00005 * C00080)/(${Variables:E1_6_5_5_km} + (E1_6_5_5 * C15602 * C00005 * C00080))</v>
      </c>
    </row>
    <row r="211" spans="1:11" ht="46.25" customHeight="1">
      <c r="A211" t="s">
        <v>5525</v>
      </c>
      <c r="B211" t="s">
        <v>5526</v>
      </c>
      <c r="C211" t="s">
        <v>12828</v>
      </c>
      <c r="D211" s="19">
        <v>210</v>
      </c>
      <c r="E211" s="19" t="str">
        <f t="shared" si="9"/>
        <v>E1_8_1_15</v>
      </c>
      <c r="F211" s="19" t="s">
        <v>13346</v>
      </c>
      <c r="G211" s="19" t="s">
        <v>14761</v>
      </c>
      <c r="H211" s="19" t="s">
        <v>14025</v>
      </c>
      <c r="I211" s="19" t="s">
        <v>15440</v>
      </c>
      <c r="J211" s="19" t="str">
        <f t="shared" si="10"/>
        <v>(${Variables:E1_8_1_15_kcat} * E1_8_1_15 * C06717 * C00003)/(${Variables:E1_8_1_15_km} + (E1_8_1_15 * C06717 * C00003))</v>
      </c>
      <c r="K211" s="37" t="str">
        <f t="shared" si="11"/>
        <v>r210: C06717 + C00003 -&gt; C11502 + C00004 + C00080 | (${Variables:E1_8_1_15_kcat} * E1_8_1_15 * C06717 * C00003)/(${Variables:E1_8_1_15_km} + (E1_8_1_15 * C06717 * C00003))</v>
      </c>
    </row>
    <row r="212" spans="1:11" ht="46.25" customHeight="1">
      <c r="A212" t="s">
        <v>5525</v>
      </c>
      <c r="B212" t="s">
        <v>5526</v>
      </c>
      <c r="C212" t="s">
        <v>12828</v>
      </c>
      <c r="D212" s="19">
        <v>211</v>
      </c>
      <c r="E212" s="19" t="str">
        <f t="shared" si="9"/>
        <v>E1_8_1_15</v>
      </c>
      <c r="F212" s="19" t="s">
        <v>13347</v>
      </c>
      <c r="G212" s="19" t="s">
        <v>14762</v>
      </c>
      <c r="H212" s="19" t="s">
        <v>14026</v>
      </c>
      <c r="I212" s="19" t="s">
        <v>15441</v>
      </c>
      <c r="J212" s="19" t="str">
        <f t="shared" si="10"/>
        <v>(${Variables:E1_8_1_15_kcat} * E1_8_1_15 * C06717 * C00006)/(${Variables:E1_8_1_15_km} + (E1_8_1_15 * C06717 * C00006))</v>
      </c>
      <c r="K212" s="37" t="str">
        <f t="shared" si="11"/>
        <v>r211: C06717 + C00006 -&gt; C11502 + C00005 + C00080 | (${Variables:E1_8_1_15_kcat} * E1_8_1_15 * C06717 * C00006)/(${Variables:E1_8_1_15_km} + (E1_8_1_15 * C06717 * C00006))</v>
      </c>
    </row>
    <row r="213" spans="1:11" ht="46.25" customHeight="1">
      <c r="A213" t="s">
        <v>5525</v>
      </c>
      <c r="B213" t="s">
        <v>5526</v>
      </c>
      <c r="C213" t="s">
        <v>12828</v>
      </c>
      <c r="D213" s="19">
        <v>212</v>
      </c>
      <c r="E213" s="19" t="str">
        <f t="shared" si="9"/>
        <v>E1_8_1_15</v>
      </c>
      <c r="F213" s="19" t="s">
        <v>13348</v>
      </c>
      <c r="G213" s="19" t="s">
        <v>14763</v>
      </c>
      <c r="H213" s="19" t="s">
        <v>14027</v>
      </c>
      <c r="I213" s="19" t="s">
        <v>15442</v>
      </c>
      <c r="J213" s="19" t="str">
        <f t="shared" si="10"/>
        <v>(${Variables:E1_8_1_15_kcat} * E1_8_1_15 * G11174 * C00003)/(${Variables:E1_8_1_15_km} + (E1_8_1_15 * G11174 * C00003))</v>
      </c>
      <c r="K213" s="37" t="str">
        <f t="shared" si="11"/>
        <v>r212: G11174 + C00003 -&gt; G11175 + C00004 + C00080 | (${Variables:E1_8_1_15_kcat} * E1_8_1_15 * G11174 * C00003)/(${Variables:E1_8_1_15_km} + (E1_8_1_15 * G11174 * C00003))</v>
      </c>
    </row>
    <row r="214" spans="1:11" ht="46.25" customHeight="1">
      <c r="A214" t="s">
        <v>5525</v>
      </c>
      <c r="B214" t="s">
        <v>5526</v>
      </c>
      <c r="C214" t="s">
        <v>12828</v>
      </c>
      <c r="D214" s="19">
        <v>213</v>
      </c>
      <c r="E214" s="19" t="str">
        <f t="shared" si="9"/>
        <v>E1_8_1_15</v>
      </c>
      <c r="F214" s="19" t="s">
        <v>13349</v>
      </c>
      <c r="G214" s="19" t="s">
        <v>14764</v>
      </c>
      <c r="H214" s="19" t="s">
        <v>14028</v>
      </c>
      <c r="I214" s="19" t="s">
        <v>15443</v>
      </c>
      <c r="J214" s="19" t="str">
        <f t="shared" si="10"/>
        <v>(${Variables:E1_8_1_15_kcat} * E1_8_1_15 * G11174 * C00006)/(${Variables:E1_8_1_15_km} + (E1_8_1_15 * G11174 * C00006))</v>
      </c>
      <c r="K214" s="37" t="str">
        <f t="shared" si="11"/>
        <v>r213: G11174 + C00006 -&gt; G11175 + C00005 + C00080 | (${Variables:E1_8_1_15_kcat} * E1_8_1_15 * G11174 * C00006)/(${Variables:E1_8_1_15_km} + (E1_8_1_15 * G11174 * C00006))</v>
      </c>
    </row>
    <row r="215" spans="1:11" ht="46.25" customHeight="1">
      <c r="A215" t="s">
        <v>1088</v>
      </c>
      <c r="B215" t="s">
        <v>1089</v>
      </c>
      <c r="C215" t="s">
        <v>12829</v>
      </c>
      <c r="D215" s="19">
        <v>214</v>
      </c>
      <c r="E215" s="19" t="str">
        <f t="shared" si="9"/>
        <v>E1_8_1_4</v>
      </c>
      <c r="F215" s="19" t="s">
        <v>13350</v>
      </c>
      <c r="G215" s="19" t="s">
        <v>14765</v>
      </c>
      <c r="H215" s="19" t="s">
        <v>14029</v>
      </c>
      <c r="I215" s="19" t="s">
        <v>15444</v>
      </c>
      <c r="J215" s="19" t="str">
        <f t="shared" si="10"/>
        <v>(${Variables:E1_8_1_4_kcat} * E1_8_1_4 * C16832 * C00003)/(${Variables:E1_8_1_4_km} + (E1_8_1_4 * C16832 * C00003))</v>
      </c>
      <c r="K215" s="37" t="str">
        <f t="shared" si="11"/>
        <v>r214: C16832 + C00003 -&gt; C16237 + C00004 + C00080 | (${Variables:E1_8_1_4_kcat} * E1_8_1_4 * C16832 * C00003)/(${Variables:E1_8_1_4_km} + (E1_8_1_4 * C16832 * C00003))</v>
      </c>
    </row>
    <row r="216" spans="1:11" ht="46.25" customHeight="1">
      <c r="A216" t="s">
        <v>1088</v>
      </c>
      <c r="B216" t="s">
        <v>1089</v>
      </c>
      <c r="C216" t="s">
        <v>12829</v>
      </c>
      <c r="D216" s="19">
        <v>215</v>
      </c>
      <c r="E216" s="19" t="str">
        <f t="shared" si="9"/>
        <v>E1_8_1_4</v>
      </c>
      <c r="F216" s="19" t="s">
        <v>13351</v>
      </c>
      <c r="G216" s="19" t="s">
        <v>14766</v>
      </c>
      <c r="H216" s="19" t="s">
        <v>14030</v>
      </c>
      <c r="I216" s="19" t="s">
        <v>15445</v>
      </c>
      <c r="J216" s="19" t="str">
        <f t="shared" si="10"/>
        <v>(${Variables:E1_8_1_4_kcat} * E1_8_1_4 * C02972 * C00003)/(${Variables:E1_8_1_4_km} + (E1_8_1_4 * C02972 * C00003))</v>
      </c>
      <c r="K216" s="37" t="str">
        <f t="shared" si="11"/>
        <v>r215: C02972 + C00003 -&gt; C02051 + C00004 + C00080 | (${Variables:E1_8_1_4_kcat} * E1_8_1_4 * C02972 * C00003)/(${Variables:E1_8_1_4_km} + (E1_8_1_4 * C02972 * C00003))</v>
      </c>
    </row>
    <row r="217" spans="1:11" ht="46.25" customHeight="1">
      <c r="A217" t="s">
        <v>1088</v>
      </c>
      <c r="B217" t="s">
        <v>1089</v>
      </c>
      <c r="C217" t="s">
        <v>12829</v>
      </c>
      <c r="D217" s="19">
        <v>216</v>
      </c>
      <c r="E217" s="19" t="str">
        <f t="shared" si="9"/>
        <v>E1_8_1_4</v>
      </c>
      <c r="F217" s="19" t="s">
        <v>13352</v>
      </c>
      <c r="G217" s="19" t="s">
        <v>14767</v>
      </c>
      <c r="H217" s="19" t="s">
        <v>14031</v>
      </c>
      <c r="I217" s="19" t="s">
        <v>15446</v>
      </c>
      <c r="J217" s="19" t="str">
        <f t="shared" si="10"/>
        <v>(${Variables:E1_8_1_4_kcat} * E1_8_1_4 * C15973 * C00003)/(${Variables:E1_8_1_4_km} + (E1_8_1_4 * C15973 * C00003))</v>
      </c>
      <c r="K217" s="37" t="str">
        <f t="shared" si="11"/>
        <v>r216: C15973 + C00003 -&gt; C15972 + C00004 + C00080 | (${Variables:E1_8_1_4_kcat} * E1_8_1_4 * C15973 * C00003)/(${Variables:E1_8_1_4_km} + (E1_8_1_4 * C15973 * C00003))</v>
      </c>
    </row>
    <row r="218" spans="1:11" ht="46.25" customHeight="1">
      <c r="A218" t="s">
        <v>1088</v>
      </c>
      <c r="B218" t="s">
        <v>1089</v>
      </c>
      <c r="C218" t="s">
        <v>12829</v>
      </c>
      <c r="D218" s="19">
        <v>217</v>
      </c>
      <c r="E218" s="19" t="str">
        <f t="shared" si="9"/>
        <v>E1_8_1_4</v>
      </c>
      <c r="F218" s="19" t="s">
        <v>13353</v>
      </c>
      <c r="G218" s="19" t="s">
        <v>14768</v>
      </c>
      <c r="H218" s="19" t="s">
        <v>14032</v>
      </c>
      <c r="I218" s="19" t="s">
        <v>15447</v>
      </c>
      <c r="J218" s="19" t="str">
        <f t="shared" si="10"/>
        <v>(${Variables:E1_8_1_4_kcat} * E1_8_1_4 * C00579 * C00003)/(${Variables:E1_8_1_4_km} + (E1_8_1_4 * C00579 * C00003))</v>
      </c>
      <c r="K218" s="37" t="str">
        <f t="shared" si="11"/>
        <v>r217: C00579 + C00003 -&gt; C00248 + C00004 + C00080 | (${Variables:E1_8_1_4_kcat} * E1_8_1_4 * C00579 * C00003)/(${Variables:E1_8_1_4_km} + (E1_8_1_4 * C00579 * C00003))</v>
      </c>
    </row>
    <row r="219" spans="1:11" ht="46.25" customHeight="1">
      <c r="A219" t="s">
        <v>8383</v>
      </c>
      <c r="B219" t="s">
        <v>8384</v>
      </c>
      <c r="C219" t="s">
        <v>12830</v>
      </c>
      <c r="D219" s="19">
        <v>218</v>
      </c>
      <c r="E219" s="19" t="str">
        <f t="shared" si="9"/>
        <v>E1_8_1_9</v>
      </c>
      <c r="F219" s="19" t="s">
        <v>13354</v>
      </c>
      <c r="G219" s="19" t="s">
        <v>14769</v>
      </c>
      <c r="H219" s="19" t="s">
        <v>14033</v>
      </c>
      <c r="I219" s="19" t="s">
        <v>15448</v>
      </c>
      <c r="J219" s="19" t="str">
        <f t="shared" si="10"/>
        <v>(${Variables:E1_8_1_9_kcat} * E1_8_1_9 * C00342 * C00006)/(${Variables:E1_8_1_9_km} + (E1_8_1_9 * C00342 * C00006))</v>
      </c>
      <c r="K219" s="37" t="str">
        <f t="shared" si="11"/>
        <v>r218: C00342 + C00006 -&gt; C00343 + C00005 + C00080 | (${Variables:E1_8_1_9_kcat} * E1_8_1_9 * C00342 * C00006)/(${Variables:E1_8_1_9_km} + (E1_8_1_9 * C00342 * C00006))</v>
      </c>
    </row>
    <row r="220" spans="1:11" ht="46.25" customHeight="1">
      <c r="A220" t="s">
        <v>8383</v>
      </c>
      <c r="B220" t="s">
        <v>8384</v>
      </c>
      <c r="C220" t="s">
        <v>12830</v>
      </c>
      <c r="D220" s="19">
        <v>219</v>
      </c>
      <c r="E220" s="19" t="str">
        <f t="shared" si="9"/>
        <v>E1_8_1_9</v>
      </c>
      <c r="F220" s="19" t="s">
        <v>13355</v>
      </c>
      <c r="G220" s="19" t="s">
        <v>14770</v>
      </c>
      <c r="H220" s="19" t="s">
        <v>14034</v>
      </c>
      <c r="I220" s="19" t="s">
        <v>15449</v>
      </c>
      <c r="J220" s="19" t="str">
        <f t="shared" si="10"/>
        <v>(${Variables:E1_8_1_9_kcat} * E1_8_1_9 * C00097 * C00051 * C00006)/(${Variables:E1_8_1_9_km} + (E1_8_1_9 * C00097 * C00051 * C00006))</v>
      </c>
      <c r="K220" s="37" t="str">
        <f t="shared" si="11"/>
        <v>r219: C00097 + C00051 + C00006 -&gt; C05526 + C00005 | (${Variables:E1_8_1_9_kcat} * E1_8_1_9 * C00097 * C00051 * C00006)/(${Variables:E1_8_1_9_km} + (E1_8_1_9 * C00097 * C00051 * C00006))</v>
      </c>
    </row>
    <row r="221" spans="1:11" ht="46.25" customHeight="1">
      <c r="A221" t="s">
        <v>8383</v>
      </c>
      <c r="B221" t="s">
        <v>8384</v>
      </c>
      <c r="C221" t="s">
        <v>12830</v>
      </c>
      <c r="D221" s="19">
        <v>220</v>
      </c>
      <c r="E221" s="19" t="str">
        <f t="shared" si="9"/>
        <v>E1_8_1_9</v>
      </c>
      <c r="F221" s="19" t="s">
        <v>13356</v>
      </c>
      <c r="G221" s="19" t="s">
        <v>14771</v>
      </c>
      <c r="H221" s="19" t="s">
        <v>14035</v>
      </c>
      <c r="I221" s="19" t="s">
        <v>15450</v>
      </c>
      <c r="J221" s="19" t="str">
        <f t="shared" si="10"/>
        <v>(${Variables:E1_8_1_9_kcat} * E1_8_1_9 * C01528 * C00006 * C00001)/(${Variables:E1_8_1_9_km} + (E1_8_1_9 * C01528 * C00006 * C00001))</v>
      </c>
      <c r="K221" s="37" t="str">
        <f t="shared" si="11"/>
        <v>r220: C01528 + C00006 + C00001 -&gt; C05684 + C00005 + C00080 | (${Variables:E1_8_1_9_kcat} * E1_8_1_9 * C01528 * C00006 * C00001)/(${Variables:E1_8_1_9_km} + (E1_8_1_9 * C01528 * C00006 * C00001))</v>
      </c>
    </row>
    <row r="222" spans="1:11" ht="46.25" customHeight="1">
      <c r="A222" t="s">
        <v>8383</v>
      </c>
      <c r="B222" t="s">
        <v>8384</v>
      </c>
      <c r="C222" t="s">
        <v>12830</v>
      </c>
      <c r="D222" s="19">
        <v>221</v>
      </c>
      <c r="E222" s="19" t="str">
        <f t="shared" si="9"/>
        <v>E1_8_1_9</v>
      </c>
      <c r="F222" s="19" t="s">
        <v>13357</v>
      </c>
      <c r="G222" s="19" t="s">
        <v>14772</v>
      </c>
      <c r="H222" s="19" t="s">
        <v>14036</v>
      </c>
      <c r="I222" s="19" t="s">
        <v>15451</v>
      </c>
      <c r="J222" s="19" t="str">
        <f t="shared" si="10"/>
        <v>(${Variables:E1_8_1_9_kcat} * E1_8_1_9 * C00005 * C00080 * C18902)/(${Variables:E1_8_1_9_km} + (E1_8_1_9 * C00005 * C00080 * C18902))</v>
      </c>
      <c r="K222" s="37" t="str">
        <f t="shared" si="11"/>
        <v>r221: C00005 + C00080 + C18902 -&gt; C00006 + C00001 + C05703 | (${Variables:E1_8_1_9_kcat} * E1_8_1_9 * C00005 * C00080 * C18902)/(${Variables:E1_8_1_9_km} + (E1_8_1_9 * C00005 * C00080 * C18902))</v>
      </c>
    </row>
    <row r="223" spans="1:11" ht="46.25" customHeight="1">
      <c r="A223" t="s">
        <v>7963</v>
      </c>
      <c r="B223" t="s">
        <v>7964</v>
      </c>
      <c r="C223" t="s">
        <v>12831</v>
      </c>
      <c r="D223" s="19">
        <v>222</v>
      </c>
      <c r="E223" s="19" t="str">
        <f t="shared" si="9"/>
        <v>E1_8_4_11</v>
      </c>
      <c r="F223" s="19" t="s">
        <v>13358</v>
      </c>
      <c r="G223" s="19" t="s">
        <v>14773</v>
      </c>
      <c r="H223" s="19" t="s">
        <v>14037</v>
      </c>
      <c r="I223" s="19" t="s">
        <v>15452</v>
      </c>
      <c r="J223" s="19" t="str">
        <f t="shared" si="10"/>
        <v>(${Variables:E1_8_4_11_kcat} * E1_8_4_11 * C03023 * C00343 * C00001)/(${Variables:E1_8_4_11_km} + (E1_8_4_11 * C03023 * C00343 * C00001))</v>
      </c>
      <c r="K223" s="37" t="str">
        <f t="shared" si="11"/>
        <v>r222: C03023 + C00343 + C00001 -&gt; C03895 + C00342 | (${Variables:E1_8_4_11_kcat} * E1_8_4_11 * C03023 * C00343 * C00001)/(${Variables:E1_8_4_11_km} + (E1_8_4_11 * C03023 * C00343 * C00001))</v>
      </c>
    </row>
    <row r="224" spans="1:11" ht="46.25" customHeight="1">
      <c r="A224" t="s">
        <v>7963</v>
      </c>
      <c r="B224" t="s">
        <v>7964</v>
      </c>
      <c r="C224" t="s">
        <v>12831</v>
      </c>
      <c r="D224" s="19">
        <v>223</v>
      </c>
      <c r="E224" s="19" t="str">
        <f t="shared" si="9"/>
        <v>E1_8_4_11</v>
      </c>
      <c r="F224" s="19" t="s">
        <v>13359</v>
      </c>
      <c r="G224" s="19" t="s">
        <v>14774</v>
      </c>
      <c r="H224" s="19" t="s">
        <v>14038</v>
      </c>
      <c r="I224" s="19" t="s">
        <v>15453</v>
      </c>
      <c r="J224" s="19" t="str">
        <f t="shared" si="10"/>
        <v>(${Variables:E1_8_4_11_kcat} * E1_8_4_11 * C00073 * C00343 * C00001)/(${Variables:E1_8_4_11_km} + (E1_8_4_11 * C00073 * C00343 * C00001))</v>
      </c>
      <c r="K224" s="37" t="str">
        <f t="shared" si="11"/>
        <v>r223: C00073 + C00343 + C00001 -&gt; C15999 + C00342 | (${Variables:E1_8_4_11_kcat} * E1_8_4_11 * C00073 * C00343 * C00001)/(${Variables:E1_8_4_11_km} + (E1_8_4_11 * C00073 * C00343 * C00001))</v>
      </c>
    </row>
    <row r="225" spans="1:11" ht="46.25" customHeight="1">
      <c r="A225" t="s">
        <v>5210</v>
      </c>
      <c r="B225" t="s">
        <v>5211</v>
      </c>
      <c r="C225" t="s">
        <v>12832</v>
      </c>
      <c r="D225" s="19">
        <v>224</v>
      </c>
      <c r="E225" s="19" t="str">
        <f t="shared" si="9"/>
        <v>E1_8_4_12</v>
      </c>
      <c r="F225" s="19" t="s">
        <v>13358</v>
      </c>
      <c r="G225" s="19" t="s">
        <v>14773</v>
      </c>
      <c r="H225" s="19" t="s">
        <v>14039</v>
      </c>
      <c r="I225" s="19" t="s">
        <v>15454</v>
      </c>
      <c r="J225" s="19" t="str">
        <f t="shared" si="10"/>
        <v>(${Variables:E1_8_4_12_kcat} * E1_8_4_12 * C03023 * C00343 * C00001)/(${Variables:E1_8_4_12_km} + (E1_8_4_12 * C03023 * C00343 * C00001))</v>
      </c>
      <c r="K225" s="37" t="str">
        <f t="shared" si="11"/>
        <v>r224: C03023 + C00343 + C00001 -&gt; C15653 + C00342 | (${Variables:E1_8_4_12_kcat} * E1_8_4_12 * C03023 * C00343 * C00001)/(${Variables:E1_8_4_12_km} + (E1_8_4_12 * C03023 * C00343 * C00001))</v>
      </c>
    </row>
    <row r="226" spans="1:11" ht="46.25" customHeight="1">
      <c r="A226" t="s">
        <v>7703</v>
      </c>
      <c r="B226" t="s">
        <v>7704</v>
      </c>
      <c r="C226" t="s">
        <v>12833</v>
      </c>
      <c r="D226" s="19">
        <v>225</v>
      </c>
      <c r="E226" s="19" t="str">
        <f t="shared" si="9"/>
        <v>E1_8_4_8</v>
      </c>
      <c r="F226" s="19" t="s">
        <v>13360</v>
      </c>
      <c r="G226" s="19" t="s">
        <v>14775</v>
      </c>
      <c r="H226" s="19" t="s">
        <v>14040</v>
      </c>
      <c r="I226" s="19" t="s">
        <v>15455</v>
      </c>
      <c r="J226" s="19" t="str">
        <f t="shared" si="10"/>
        <v>(${Variables:E1_8_4_8_kcat} * E1_8_4_8 * C00342 * C00053)/(${Variables:E1_8_4_8_km} + (E1_8_4_8 * C00342 * C00053))</v>
      </c>
      <c r="K226" s="37" t="str">
        <f t="shared" si="11"/>
        <v>r225: C00342 + C00053 -&gt; C00343 + C00094 + C00054 | (${Variables:E1_8_4_8_kcat} * E1_8_4_8 * C00342 * C00053)/(${Variables:E1_8_4_8_km} + (E1_8_4_8 * C00342 * C00053))</v>
      </c>
    </row>
    <row r="227" spans="1:11" ht="46.25" customHeight="1">
      <c r="A227" t="s">
        <v>4179</v>
      </c>
      <c r="B227" t="s">
        <v>4180</v>
      </c>
      <c r="C227" t="s">
        <v>12834</v>
      </c>
      <c r="D227" s="19">
        <v>226</v>
      </c>
      <c r="E227" s="19" t="str">
        <f t="shared" si="9"/>
        <v>E1_8_7_1</v>
      </c>
      <c r="F227" s="19" t="s">
        <v>13361</v>
      </c>
      <c r="G227" s="19" t="s">
        <v>14776</v>
      </c>
      <c r="H227" s="19" t="s">
        <v>14041</v>
      </c>
      <c r="I227" s="19" t="s">
        <v>15456</v>
      </c>
      <c r="J227" s="19" t="str">
        <f t="shared" si="10"/>
        <v>(${Variables:E1_8_7_1_kcat} * E1_8_7_1 * C00283 * C00139 * C00001)/(${Variables:E1_8_7_1_km} + (E1_8_7_1 * C00283 * C00139 * C00001))</v>
      </c>
      <c r="K227" s="37" t="str">
        <f t="shared" si="11"/>
        <v>r226: C00283 + C00139 + C00001 -&gt; C00094 + C00138 + C00080 | (${Variables:E1_8_7_1_kcat} * E1_8_7_1 * C00283 * C00139 * C00001)/(${Variables:E1_8_7_1_km} + (E1_8_7_1 * C00283 * C00139 * C00001))</v>
      </c>
    </row>
    <row r="228" spans="1:11" ht="46.25" customHeight="1">
      <c r="A228" t="s">
        <v>4179</v>
      </c>
      <c r="B228" t="s">
        <v>4180</v>
      </c>
      <c r="C228" t="s">
        <v>12834</v>
      </c>
      <c r="D228" s="19">
        <v>227</v>
      </c>
      <c r="E228" s="19" t="str">
        <f t="shared" si="9"/>
        <v>E1_8_7_1</v>
      </c>
      <c r="F228" s="19" t="s">
        <v>13362</v>
      </c>
      <c r="G228" s="19" t="s">
        <v>14777</v>
      </c>
      <c r="H228" s="19" t="s">
        <v>14042</v>
      </c>
      <c r="I228" s="19" t="s">
        <v>15457</v>
      </c>
      <c r="J228" s="19" t="str">
        <f t="shared" si="10"/>
        <v>(${Variables:E1_8_7_1_kcat} * E1_8_7_1 * C01528 * C00139 * C00001)/(${Variables:E1_8_7_1_km} + (E1_8_7_1 * C01528 * C00139 * C00001))</v>
      </c>
      <c r="K228" s="37" t="str">
        <f t="shared" si="11"/>
        <v>r227: C01528 + C00139 + C00001 -&gt; C05684 + C00138 + C00080 | (${Variables:E1_8_7_1_kcat} * E1_8_7_1 * C01528 * C00139 * C00001)/(${Variables:E1_8_7_1_km} + (E1_8_7_1 * C01528 * C00139 * C00001))</v>
      </c>
    </row>
    <row r="229" spans="1:11" ht="46.25" customHeight="1">
      <c r="A229" t="s">
        <v>1253</v>
      </c>
      <c r="B229" t="s">
        <v>1254</v>
      </c>
      <c r="C229" t="s">
        <v>12835</v>
      </c>
      <c r="D229" s="19">
        <v>228</v>
      </c>
      <c r="E229" s="19" t="str">
        <f t="shared" si="9"/>
        <v>E2_1_1_107</v>
      </c>
      <c r="F229" s="19" t="s">
        <v>13363</v>
      </c>
      <c r="G229" s="19" t="s">
        <v>14778</v>
      </c>
      <c r="H229" s="19" t="s">
        <v>14043</v>
      </c>
      <c r="I229" s="19" t="s">
        <v>15458</v>
      </c>
      <c r="J229" s="19" t="str">
        <f t="shared" si="10"/>
        <v>(${Variables:E2_1_1_107_kcat} * E2_1_1_107 * C00019 * C01051)/(${Variables:E2_1_1_107_km} + (E2_1_1_107 * C00019 * C01051))</v>
      </c>
      <c r="K229" s="37" t="str">
        <f t="shared" si="11"/>
        <v>r228: C00019 + C01051 -&gt; C00021 + C02463 | (${Variables:E2_1_1_107_kcat} * E2_1_1_107 * C00019 * C01051)/(${Variables:E2_1_1_107_km} + (E2_1_1_107 * C00019 * C01051))</v>
      </c>
    </row>
    <row r="230" spans="1:11" ht="46.25" customHeight="1">
      <c r="A230" t="s">
        <v>1253</v>
      </c>
      <c r="B230" t="s">
        <v>1254</v>
      </c>
      <c r="C230" t="s">
        <v>12835</v>
      </c>
      <c r="D230" s="19">
        <v>229</v>
      </c>
      <c r="E230" s="19" t="str">
        <f t="shared" si="9"/>
        <v>E2_1_1_107</v>
      </c>
      <c r="F230" s="19" t="s">
        <v>13363</v>
      </c>
      <c r="G230" s="19" t="s">
        <v>14778</v>
      </c>
      <c r="H230" s="19" t="s">
        <v>14044</v>
      </c>
      <c r="I230" s="19" t="s">
        <v>15459</v>
      </c>
      <c r="J230" s="19" t="str">
        <f t="shared" si="10"/>
        <v>(${Variables:E2_1_1_107_kcat} * E2_1_1_107 * C00019 * C01051)/(${Variables:E2_1_1_107_km} + (E2_1_1_107 * C00019 * C01051))</v>
      </c>
      <c r="K230" s="37" t="str">
        <f t="shared" si="11"/>
        <v>r229: C00019 + C01051 -&gt; C00021 + C15527 | (${Variables:E2_1_1_107_kcat} * E2_1_1_107 * C00019 * C01051)/(${Variables:E2_1_1_107_km} + (E2_1_1_107 * C00019 * C01051))</v>
      </c>
    </row>
    <row r="231" spans="1:11" ht="46.25" customHeight="1">
      <c r="A231" t="s">
        <v>1253</v>
      </c>
      <c r="B231" t="s">
        <v>1254</v>
      </c>
      <c r="C231" t="s">
        <v>12835</v>
      </c>
      <c r="D231" s="19">
        <v>230</v>
      </c>
      <c r="E231" s="19" t="str">
        <f t="shared" si="9"/>
        <v>E2_1_1_107</v>
      </c>
      <c r="F231" s="19" t="s">
        <v>13364</v>
      </c>
      <c r="G231" s="19" t="s">
        <v>14779</v>
      </c>
      <c r="H231" s="19" t="s">
        <v>14043</v>
      </c>
      <c r="I231" s="19" t="s">
        <v>15458</v>
      </c>
      <c r="J231" s="19" t="str">
        <f t="shared" si="10"/>
        <v>(${Variables:E2_1_1_107_kcat} * E2_1_1_107 * C00019 * C15527)/(${Variables:E2_1_1_107_km} + (E2_1_1_107 * C00019 * C15527))</v>
      </c>
      <c r="K231" s="37" t="str">
        <f t="shared" si="11"/>
        <v>r230: C00019 + C15527 -&gt; C00021 + C02463 | (${Variables:E2_1_1_107_kcat} * E2_1_1_107 * C00019 * C15527)/(${Variables:E2_1_1_107_km} + (E2_1_1_107 * C00019 * C15527))</v>
      </c>
    </row>
    <row r="232" spans="1:11" ht="46.25" customHeight="1">
      <c r="A232" t="s">
        <v>1253</v>
      </c>
      <c r="B232" t="s">
        <v>1254</v>
      </c>
      <c r="C232" t="s">
        <v>12835</v>
      </c>
      <c r="D232" s="19">
        <v>231</v>
      </c>
      <c r="E232" s="19" t="str">
        <f t="shared" si="9"/>
        <v>E2_1_1_107</v>
      </c>
      <c r="F232" s="19" t="s">
        <v>13365</v>
      </c>
      <c r="G232" s="19" t="s">
        <v>14780</v>
      </c>
      <c r="H232" s="19" t="s">
        <v>14045</v>
      </c>
      <c r="I232" s="19" t="s">
        <v>15460</v>
      </c>
      <c r="J232" s="19" t="str">
        <f t="shared" si="10"/>
        <v>(${Variables:E2_1_1_107_kcat} * E2_1_1_107 * C00019 * C02469)/(${Variables:E2_1_1_107_km} + (E2_1_1_107 * C00019 * C02469))</v>
      </c>
      <c r="K232" s="37" t="str">
        <f t="shared" si="11"/>
        <v>r231: C00019 + C02469 -&gt; C00021 + C05778 | (${Variables:E2_1_1_107_kcat} * E2_1_1_107 * C00019 * C02469)/(${Variables:E2_1_1_107_km} + (E2_1_1_107 * C00019 * C02469))</v>
      </c>
    </row>
    <row r="233" spans="1:11" ht="46.25" customHeight="1">
      <c r="A233" t="s">
        <v>5510</v>
      </c>
      <c r="B233" t="s">
        <v>5511</v>
      </c>
      <c r="C233" t="s">
        <v>12835</v>
      </c>
      <c r="D233" s="19">
        <v>232</v>
      </c>
      <c r="E233" s="19" t="str">
        <f t="shared" si="9"/>
        <v>E2_1_1_107</v>
      </c>
      <c r="F233" s="19" t="s">
        <v>13363</v>
      </c>
      <c r="G233" s="19" t="s">
        <v>14778</v>
      </c>
      <c r="H233" s="19" t="s">
        <v>14043</v>
      </c>
      <c r="I233" s="19" t="s">
        <v>15458</v>
      </c>
      <c r="J233" s="19" t="str">
        <f t="shared" si="10"/>
        <v>(${Variables:E2_1_1_107_kcat} * E2_1_1_107 * C00019 * C01051)/(${Variables:E2_1_1_107_km} + (E2_1_1_107 * C00019 * C01051))</v>
      </c>
      <c r="K233" s="37" t="str">
        <f t="shared" si="11"/>
        <v>r232: C00019 + C01051 -&gt; C00021 + C02463 | (${Variables:E2_1_1_107_kcat} * E2_1_1_107 * C00019 * C01051)/(${Variables:E2_1_1_107_km} + (E2_1_1_107 * C00019 * C01051))</v>
      </c>
    </row>
    <row r="234" spans="1:11" ht="46.25" customHeight="1">
      <c r="A234" t="s">
        <v>5510</v>
      </c>
      <c r="B234" t="s">
        <v>5511</v>
      </c>
      <c r="C234" t="s">
        <v>12835</v>
      </c>
      <c r="D234" s="19">
        <v>233</v>
      </c>
      <c r="E234" s="19" t="str">
        <f t="shared" si="9"/>
        <v>E2_1_1_107</v>
      </c>
      <c r="F234" s="19" t="s">
        <v>13363</v>
      </c>
      <c r="G234" s="19" t="s">
        <v>14778</v>
      </c>
      <c r="H234" s="19" t="s">
        <v>14044</v>
      </c>
      <c r="I234" s="19" t="s">
        <v>15459</v>
      </c>
      <c r="J234" s="19" t="str">
        <f t="shared" si="10"/>
        <v>(${Variables:E2_1_1_107_kcat} * E2_1_1_107 * C00019 * C01051)/(${Variables:E2_1_1_107_km} + (E2_1_1_107 * C00019 * C01051))</v>
      </c>
      <c r="K234" s="37" t="str">
        <f t="shared" si="11"/>
        <v>r233: C00019 + C01051 -&gt; C00021 + C15527 | (${Variables:E2_1_1_107_kcat} * E2_1_1_107 * C00019 * C01051)/(${Variables:E2_1_1_107_km} + (E2_1_1_107 * C00019 * C01051))</v>
      </c>
    </row>
    <row r="235" spans="1:11" ht="46.25" customHeight="1">
      <c r="A235" t="s">
        <v>5510</v>
      </c>
      <c r="B235" t="s">
        <v>5511</v>
      </c>
      <c r="C235" t="s">
        <v>12835</v>
      </c>
      <c r="D235" s="19">
        <v>234</v>
      </c>
      <c r="E235" s="19" t="str">
        <f t="shared" si="9"/>
        <v>E2_1_1_107</v>
      </c>
      <c r="F235" s="19" t="s">
        <v>13364</v>
      </c>
      <c r="G235" s="19" t="s">
        <v>14779</v>
      </c>
      <c r="H235" s="19" t="s">
        <v>14043</v>
      </c>
      <c r="I235" s="19" t="s">
        <v>15458</v>
      </c>
      <c r="J235" s="19" t="str">
        <f t="shared" si="10"/>
        <v>(${Variables:E2_1_1_107_kcat} * E2_1_1_107 * C00019 * C15527)/(${Variables:E2_1_1_107_km} + (E2_1_1_107 * C00019 * C15527))</v>
      </c>
      <c r="K235" s="37" t="str">
        <f t="shared" si="11"/>
        <v>r234: C00019 + C15527 -&gt; C00021 + C02463 | (${Variables:E2_1_1_107_kcat} * E2_1_1_107 * C00019 * C15527)/(${Variables:E2_1_1_107_km} + (E2_1_1_107 * C00019 * C15527))</v>
      </c>
    </row>
    <row r="236" spans="1:11" ht="46.25" customHeight="1">
      <c r="A236" t="s">
        <v>5510</v>
      </c>
      <c r="B236" t="s">
        <v>5511</v>
      </c>
      <c r="C236" t="s">
        <v>12835</v>
      </c>
      <c r="D236" s="19">
        <v>235</v>
      </c>
      <c r="E236" s="19" t="str">
        <f t="shared" si="9"/>
        <v>E2_1_1_107</v>
      </c>
      <c r="F236" s="19" t="s">
        <v>13365</v>
      </c>
      <c r="G236" s="19" t="s">
        <v>14780</v>
      </c>
      <c r="H236" s="19" t="s">
        <v>14045</v>
      </c>
      <c r="I236" s="19" t="s">
        <v>15460</v>
      </c>
      <c r="J236" s="19" t="str">
        <f t="shared" si="10"/>
        <v>(${Variables:E2_1_1_107_kcat} * E2_1_1_107 * C00019 * C02469)/(${Variables:E2_1_1_107_km} + (E2_1_1_107 * C00019 * C02469))</v>
      </c>
      <c r="K236" s="37" t="str">
        <f t="shared" si="11"/>
        <v>r235: C00019 + C02469 -&gt; C00021 + C05778 | (${Variables:E2_1_1_107_kcat} * E2_1_1_107 * C00019 * C02469)/(${Variables:E2_1_1_107_km} + (E2_1_1_107 * C00019 * C02469))</v>
      </c>
    </row>
    <row r="237" spans="1:11" ht="46.25" customHeight="1">
      <c r="A237" t="s">
        <v>4252</v>
      </c>
      <c r="B237" t="s">
        <v>4253</v>
      </c>
      <c r="C237" t="s">
        <v>12836</v>
      </c>
      <c r="D237" s="19">
        <v>236</v>
      </c>
      <c r="E237" s="19" t="str">
        <f t="shared" si="9"/>
        <v>E2_1_1_13</v>
      </c>
      <c r="F237" s="19" t="s">
        <v>13366</v>
      </c>
      <c r="G237" s="19" t="s">
        <v>14781</v>
      </c>
      <c r="H237" s="19" t="s">
        <v>14046</v>
      </c>
      <c r="I237" s="19" t="s">
        <v>15461</v>
      </c>
      <c r="J237" s="19" t="str">
        <f t="shared" si="10"/>
        <v>(${Variables:E2_1_1_13_kcat} * E2_1_1_13 * C00440 * C00155)/(${Variables:E2_1_1_13_km} + (E2_1_1_13 * C00440 * C00155))</v>
      </c>
      <c r="K237" s="37" t="str">
        <f t="shared" si="11"/>
        <v>r236: C00440 + C00155 -&gt; C00101 + C00073 | (${Variables:E2_1_1_13_kcat} * E2_1_1_13 * C00440 * C00155)/(${Variables:E2_1_1_13_km} + (E2_1_1_13 * C00440 * C00155))</v>
      </c>
    </row>
    <row r="238" spans="1:11" ht="46.25" customHeight="1">
      <c r="A238" t="s">
        <v>4252</v>
      </c>
      <c r="B238" t="s">
        <v>4253</v>
      </c>
      <c r="C238" t="s">
        <v>12836</v>
      </c>
      <c r="D238" s="19">
        <v>237</v>
      </c>
      <c r="E238" s="19" t="str">
        <f t="shared" si="9"/>
        <v>E2_1_1_13</v>
      </c>
      <c r="F238" s="19" t="s">
        <v>13367</v>
      </c>
      <c r="G238" s="19" t="s">
        <v>14782</v>
      </c>
      <c r="H238" s="19" t="s">
        <v>14047</v>
      </c>
      <c r="I238" s="19" t="s">
        <v>15462</v>
      </c>
      <c r="J238" s="19" t="str">
        <f t="shared" si="10"/>
        <v>(${Variables:E2_1_1_13_kcat} * E2_1_1_13 * C05698 * C04489)/(${Variables:E2_1_1_13_km} + (E2_1_1_13 * C05698 * C04489))</v>
      </c>
      <c r="K238" s="37" t="str">
        <f t="shared" si="11"/>
        <v>r237: C05698 + C04489 -&gt; C05335 + C04144 | (${Variables:E2_1_1_13_kcat} * E2_1_1_13 * C05698 * C04489)/(${Variables:E2_1_1_13_km} + (E2_1_1_13 * C05698 * C04489))</v>
      </c>
    </row>
    <row r="239" spans="1:11" ht="46.25" customHeight="1">
      <c r="A239" t="s">
        <v>3252</v>
      </c>
      <c r="B239" t="s">
        <v>3253</v>
      </c>
      <c r="C239" t="s">
        <v>12837</v>
      </c>
      <c r="D239" s="19">
        <v>238</v>
      </c>
      <c r="E239" s="19" t="str">
        <f t="shared" si="9"/>
        <v>E2_1_1_14</v>
      </c>
      <c r="F239" s="19" t="s">
        <v>13368</v>
      </c>
      <c r="G239" s="19" t="s">
        <v>14783</v>
      </c>
      <c r="H239" s="19" t="s">
        <v>14048</v>
      </c>
      <c r="I239" s="19" t="s">
        <v>15463</v>
      </c>
      <c r="J239" s="19" t="str">
        <f t="shared" si="10"/>
        <v>(${Variables:E2_1_1_14_kcat} * E2_1_1_14 * C04489 * C00155)/(${Variables:E2_1_1_14_km} + (E2_1_1_14 * C04489 * C00155))</v>
      </c>
      <c r="K239" s="37" t="str">
        <f t="shared" si="11"/>
        <v>r238: C04489 + C00155 -&gt; C04144 + C00073 | (${Variables:E2_1_1_14_kcat} * E2_1_1_14 * C04489 * C00155)/(${Variables:E2_1_1_14_km} + (E2_1_1_14 * C04489 * C00155))</v>
      </c>
    </row>
    <row r="240" spans="1:11" ht="46.25" customHeight="1">
      <c r="A240" t="s">
        <v>3252</v>
      </c>
      <c r="B240" t="s">
        <v>3253</v>
      </c>
      <c r="C240" t="s">
        <v>12837</v>
      </c>
      <c r="D240" s="19">
        <v>239</v>
      </c>
      <c r="E240" s="19" t="str">
        <f t="shared" si="9"/>
        <v>E2_1_1_14</v>
      </c>
      <c r="F240" s="19" t="s">
        <v>13367</v>
      </c>
      <c r="G240" s="19" t="s">
        <v>14782</v>
      </c>
      <c r="H240" s="19" t="s">
        <v>14047</v>
      </c>
      <c r="I240" s="19" t="s">
        <v>15462</v>
      </c>
      <c r="J240" s="19" t="str">
        <f t="shared" si="10"/>
        <v>(${Variables:E2_1_1_14_kcat} * E2_1_1_14 * C05698 * C04489)/(${Variables:E2_1_1_14_km} + (E2_1_1_14 * C05698 * C04489))</v>
      </c>
      <c r="K240" s="37" t="str">
        <f t="shared" si="11"/>
        <v>r239: C05698 + C04489 -&gt; C05335 + C04144 | (${Variables:E2_1_1_14_kcat} * E2_1_1_14 * C05698 * C04489)/(${Variables:E2_1_1_14_km} + (E2_1_1_14 * C05698 * C04489))</v>
      </c>
    </row>
    <row r="241" spans="1:11" ht="46.25" customHeight="1">
      <c r="A241" t="s">
        <v>5432</v>
      </c>
      <c r="B241" t="s">
        <v>5433</v>
      </c>
      <c r="C241" t="s">
        <v>16019</v>
      </c>
      <c r="D241" s="19">
        <v>240</v>
      </c>
      <c r="E241" s="19" t="str">
        <f t="shared" si="9"/>
        <v>E2_1_1_148</v>
      </c>
      <c r="F241" s="19" t="s">
        <v>13369</v>
      </c>
      <c r="G241" s="19" t="s">
        <v>14784</v>
      </c>
      <c r="H241" s="19" t="s">
        <v>14049</v>
      </c>
      <c r="I241" s="19" t="s">
        <v>15464</v>
      </c>
      <c r="J241" s="19" t="str">
        <f t="shared" si="10"/>
        <v>(${Variables:E2_1_1_148_kcat} * E2_1_1_148 * C00143 * C00365 * C00005 * C00080)/(${Variables:E2_1_1_148_km} + (E2_1_1_148 * C00143 * C00365 * C00005 * C00080))</v>
      </c>
      <c r="K241" s="37" t="str">
        <f t="shared" si="11"/>
        <v>r240: C00143 + C00365 + C00005 + C00080 -&gt; C00101 + C00364 + C00006 | (${Variables:E2_1_1_148_kcat} * E2_1_1_148 * C00143 * C00365 * C00005 * C00080)/(${Variables:E2_1_1_148_km} + (E2_1_1_148 * C00143 * C00365 * C00005 * C00080))</v>
      </c>
    </row>
    <row r="242" spans="1:11" ht="46.25" customHeight="1">
      <c r="A242" t="s">
        <v>1370</v>
      </c>
      <c r="B242" t="s">
        <v>1371</v>
      </c>
      <c r="C242" t="s">
        <v>12838</v>
      </c>
      <c r="D242" s="19">
        <v>241</v>
      </c>
      <c r="E242" s="19" t="str">
        <f t="shared" si="9"/>
        <v>E2_1_1_163</v>
      </c>
      <c r="F242" s="19" t="s">
        <v>13370</v>
      </c>
      <c r="G242" s="19" t="s">
        <v>14785</v>
      </c>
      <c r="H242" s="19" t="s">
        <v>14050</v>
      </c>
      <c r="I242" s="19" t="s">
        <v>15465</v>
      </c>
      <c r="J242" s="19" t="str">
        <f t="shared" si="10"/>
        <v>(${Variables:E2_1_1_163_kcat} * E2_1_1_163 * C19847 * C00019)/(${Variables:E2_1_1_163_km} + (E2_1_1_163 * C19847 * C00019))</v>
      </c>
      <c r="K242" s="37" t="str">
        <f t="shared" si="11"/>
        <v>r241: C19847 + C00019 -&gt; C05819 + C00021 | (${Variables:E2_1_1_163_kcat} * E2_1_1_163 * C19847 * C00019)/(${Variables:E2_1_1_163_km} + (E2_1_1_163 * C19847 * C00019))</v>
      </c>
    </row>
    <row r="243" spans="1:11" ht="46.25" customHeight="1">
      <c r="A243" t="s">
        <v>3758</v>
      </c>
      <c r="B243" t="s">
        <v>3759</v>
      </c>
      <c r="C243" t="s">
        <v>16020</v>
      </c>
      <c r="D243" s="19">
        <v>242</v>
      </c>
      <c r="E243" s="19" t="str">
        <f t="shared" si="9"/>
        <v>E2_1_1_171</v>
      </c>
      <c r="F243" s="19" t="s">
        <v>13371</v>
      </c>
      <c r="G243" s="19" t="s">
        <v>14786</v>
      </c>
      <c r="H243" s="19" t="s">
        <v>14051</v>
      </c>
      <c r="I243" s="19" t="s">
        <v>15466</v>
      </c>
      <c r="J243" s="19" t="str">
        <f t="shared" si="10"/>
        <v>(${Variables:E2_1_1_171_kcat} * E2_1_1_171 * C00019 * C00240)/(${Variables:E2_1_1_171_km} + (E2_1_1_171 * C00019 * C00240))</v>
      </c>
      <c r="K243" s="37" t="str">
        <f t="shared" si="11"/>
        <v>r242: C00019 + C00240 -&gt; C00021 + C04153 | (${Variables:E2_1_1_171_kcat} * E2_1_1_171 * C00019 * C00240)/(${Variables:E2_1_1_171_km} + (E2_1_1_171 * C00019 * C00240))</v>
      </c>
    </row>
    <row r="244" spans="1:11" ht="46.25" customHeight="1">
      <c r="A244" t="s">
        <v>2630</v>
      </c>
      <c r="B244" t="s">
        <v>2631</v>
      </c>
      <c r="C244" t="s">
        <v>12840</v>
      </c>
      <c r="D244" s="19">
        <v>243</v>
      </c>
      <c r="E244" s="19" t="str">
        <f t="shared" si="9"/>
        <v>E2_1_1_182</v>
      </c>
      <c r="F244" s="19" t="s">
        <v>13372</v>
      </c>
      <c r="G244" s="19" t="s">
        <v>14787</v>
      </c>
      <c r="H244" s="19" t="s">
        <v>14052</v>
      </c>
      <c r="I244" s="19" t="s">
        <v>15467</v>
      </c>
      <c r="J244" s="19" t="str">
        <f t="shared" si="10"/>
        <v>(${Variables:E2_1_1_182_kcat} * E2_1_1_182 * C00019 * C20648)/(${Variables:E2_1_1_182_km} + (E2_1_1_182 * C00019 * C20648))</v>
      </c>
      <c r="K244" s="37" t="str">
        <f t="shared" si="11"/>
        <v>r243: C00019 + C20648 -&gt; C00021 + C20796 | (${Variables:E2_1_1_182_kcat} * E2_1_1_182 * C00019 * C20648)/(${Variables:E2_1_1_182_km} + (E2_1_1_182 * C00019 * C20648))</v>
      </c>
    </row>
    <row r="245" spans="1:11" ht="46.25" customHeight="1">
      <c r="A245" t="s">
        <v>5653</v>
      </c>
      <c r="B245" t="s">
        <v>5654</v>
      </c>
      <c r="C245" t="s">
        <v>16021</v>
      </c>
      <c r="D245" s="19">
        <v>244</v>
      </c>
      <c r="E245" s="19" t="str">
        <f t="shared" si="9"/>
        <v>E2_1_1_228</v>
      </c>
      <c r="F245" s="19" t="s">
        <v>13373</v>
      </c>
      <c r="G245" s="19" t="s">
        <v>14788</v>
      </c>
      <c r="H245" s="19" t="s">
        <v>14053</v>
      </c>
      <c r="I245" s="19" t="s">
        <v>15468</v>
      </c>
      <c r="J245" s="19" t="str">
        <f t="shared" si="10"/>
        <v>(${Variables:E2_1_1_228_kcat} * E2_1_1_228 * C00019 * C01977)/(${Variables:E2_1_1_228_km} + (E2_1_1_228 * C00019 * C01977))</v>
      </c>
      <c r="K245" s="37" t="str">
        <f t="shared" si="11"/>
        <v>r244: C00019 + C01977 -&gt; C00021 + C04157 | (${Variables:E2_1_1_228_kcat} * E2_1_1_228 * C00019 * C01977)/(${Variables:E2_1_1_228_km} + (E2_1_1_228 * C00019 * C01977))</v>
      </c>
    </row>
    <row r="246" spans="1:11" ht="46.25" customHeight="1">
      <c r="A246" t="s">
        <v>3422</v>
      </c>
      <c r="B246" t="s">
        <v>3423</v>
      </c>
      <c r="C246" t="s">
        <v>12846</v>
      </c>
      <c r="D246" s="19">
        <v>245</v>
      </c>
      <c r="E246" s="19" t="str">
        <f t="shared" si="9"/>
        <v>E2_1_1_297</v>
      </c>
      <c r="F246" s="19" t="s">
        <v>13374</v>
      </c>
      <c r="G246" s="19" t="s">
        <v>14789</v>
      </c>
      <c r="H246" s="19" t="s">
        <v>14054</v>
      </c>
      <c r="I246" s="19" t="s">
        <v>15469</v>
      </c>
      <c r="J246" s="19" t="str">
        <f t="shared" si="10"/>
        <v>(${Variables:E2_1_1_297_kcat} * E2_1_1_297 * C02583 * C00019)/(${Variables:E2_1_1_297_km} + (E2_1_1_297 * C02583 * C00019))</v>
      </c>
      <c r="K246" s="37" t="str">
        <f t="shared" si="11"/>
        <v>r245: C02583 + C00019 -&gt; C20858 + C00021 | (${Variables:E2_1_1_297_kcat} * E2_1_1_297 * C02583 * C00019)/(${Variables:E2_1_1_297_km} + (E2_1_1_297 * C02583 * C00019))</v>
      </c>
    </row>
    <row r="247" spans="1:11" ht="46.25" customHeight="1">
      <c r="A247" t="s">
        <v>7824</v>
      </c>
      <c r="B247" t="s">
        <v>7825</v>
      </c>
      <c r="C247" t="s">
        <v>16022</v>
      </c>
      <c r="D247" s="19">
        <v>246</v>
      </c>
      <c r="E247" s="19" t="str">
        <f t="shared" si="9"/>
        <v>E2_1_1_33</v>
      </c>
      <c r="F247" s="19" t="s">
        <v>13373</v>
      </c>
      <c r="G247" s="19" t="s">
        <v>14788</v>
      </c>
      <c r="H247" s="19" t="s">
        <v>14055</v>
      </c>
      <c r="I247" s="19" t="s">
        <v>15470</v>
      </c>
      <c r="J247" s="19" t="str">
        <f t="shared" si="10"/>
        <v>(${Variables:E2_1_1_33_kcat} * E2_1_1_33 * C00019 * C01977)/(${Variables:E2_1_1_33_km} + (E2_1_1_33 * C00019 * C01977))</v>
      </c>
      <c r="K247" s="37" t="str">
        <f t="shared" si="11"/>
        <v>r246: C00019 + C01977 -&gt; C00021 + C04160 | (${Variables:E2_1_1_33_kcat} * E2_1_1_33 * C00019 * C01977)/(${Variables:E2_1_1_33_km} + (E2_1_1_33 * C00019 * C01977))</v>
      </c>
    </row>
    <row r="248" spans="1:11" ht="46.25" customHeight="1">
      <c r="A248" t="s">
        <v>4963</v>
      </c>
      <c r="B248" t="s">
        <v>4964</v>
      </c>
      <c r="C248" t="s">
        <v>16023</v>
      </c>
      <c r="D248" s="19">
        <v>247</v>
      </c>
      <c r="E248" s="19" t="str">
        <f t="shared" si="9"/>
        <v>E2_1_1_37</v>
      </c>
      <c r="F248" s="19" t="s">
        <v>13375</v>
      </c>
      <c r="G248" s="19" t="s">
        <v>14790</v>
      </c>
      <c r="H248" s="19" t="s">
        <v>14056</v>
      </c>
      <c r="I248" s="19" t="s">
        <v>15471</v>
      </c>
      <c r="J248" s="19" t="str">
        <f t="shared" si="10"/>
        <v>(${Variables:E2_1_1_37_kcat} * E2_1_1_37 * C00019 * C00039)/(${Variables:E2_1_1_37_km} + (E2_1_1_37 * C00019 * C00039))</v>
      </c>
      <c r="K248" s="37" t="str">
        <f t="shared" si="11"/>
        <v>r247: C00019 + C00039 -&gt; C00021 + C02967 | (${Variables:E2_1_1_37_kcat} * E2_1_1_37 * C00019 * C00039)/(${Variables:E2_1_1_37_km} + (E2_1_1_37 * C00019 * C00039))</v>
      </c>
    </row>
    <row r="249" spans="1:11" ht="46.25" customHeight="1">
      <c r="A249" t="s">
        <v>4963</v>
      </c>
      <c r="B249" t="s">
        <v>4964</v>
      </c>
      <c r="C249" t="s">
        <v>16023</v>
      </c>
      <c r="D249" s="19">
        <v>248</v>
      </c>
      <c r="E249" s="19" t="str">
        <f t="shared" si="9"/>
        <v>E2_1_1_37</v>
      </c>
      <c r="F249" s="19" t="s">
        <v>13376</v>
      </c>
      <c r="G249" s="19" t="s">
        <v>14791</v>
      </c>
      <c r="H249" s="19" t="s">
        <v>14056</v>
      </c>
      <c r="I249" s="19" t="s">
        <v>15471</v>
      </c>
      <c r="J249" s="19" t="str">
        <f t="shared" si="10"/>
        <v>(${Variables:E2_1_1_37_kcat} * E2_1_1_37 * C00019 * C00856)/(${Variables:E2_1_1_37_km} + (E2_1_1_37 * C00019 * C00856))</v>
      </c>
      <c r="K249" s="37" t="str">
        <f t="shared" si="11"/>
        <v>r248: C00019 + C00856 -&gt; C00021 + C02967 | (${Variables:E2_1_1_37_kcat} * E2_1_1_37 * C00019 * C00856)/(${Variables:E2_1_1_37_km} + (E2_1_1_37 * C00019 * C00856))</v>
      </c>
    </row>
    <row r="250" spans="1:11" ht="46.25" customHeight="1">
      <c r="A250" t="s">
        <v>2442</v>
      </c>
      <c r="B250" t="s">
        <v>2443</v>
      </c>
      <c r="C250" t="s">
        <v>16024</v>
      </c>
      <c r="D250" s="19">
        <v>249</v>
      </c>
      <c r="E250" s="19" t="str">
        <f t="shared" si="9"/>
        <v>E2_1_1_45</v>
      </c>
      <c r="F250" s="19" t="s">
        <v>13377</v>
      </c>
      <c r="G250" s="19" t="s">
        <v>14792</v>
      </c>
      <c r="H250" s="19" t="s">
        <v>14057</v>
      </c>
      <c r="I250" s="19" t="s">
        <v>15472</v>
      </c>
      <c r="J250" s="19" t="str">
        <f t="shared" si="10"/>
        <v>(${Variables:E2_1_1_45_kcat} * E2_1_1_45 * C00365 * C00143)/(${Variables:E2_1_1_45_km} + (E2_1_1_45 * C00365 * C00143))</v>
      </c>
      <c r="K250" s="37" t="str">
        <f t="shared" si="11"/>
        <v>r249: C00365 + C00143 -&gt; C00415 + C00364 | (${Variables:E2_1_1_45_kcat} * E2_1_1_45 * C00365 * C00143)/(${Variables:E2_1_1_45_km} + (E2_1_1_45 * C00365 * C00143))</v>
      </c>
    </row>
    <row r="251" spans="1:11" ht="46.25" customHeight="1">
      <c r="A251" t="s">
        <v>472</v>
      </c>
      <c r="B251" t="s">
        <v>473</v>
      </c>
      <c r="C251" t="s">
        <v>12847</v>
      </c>
      <c r="D251" s="19">
        <v>250</v>
      </c>
      <c r="E251" s="19" t="str">
        <f t="shared" si="9"/>
        <v>E2_1_1_63</v>
      </c>
      <c r="F251" s="19" t="s">
        <v>13378</v>
      </c>
      <c r="G251" s="19" t="s">
        <v>14793</v>
      </c>
      <c r="H251" s="19" t="s">
        <v>14058</v>
      </c>
      <c r="I251" s="19" t="s">
        <v>15473</v>
      </c>
      <c r="J251" s="19" t="str">
        <f t="shared" si="10"/>
        <v>(${Variables:E2_1_1_63_kcat} * E2_1_1_63 * C04250 * C02743)/(${Variables:E2_1_1_63_km} + (E2_1_1_63 * C04250 * C02743))</v>
      </c>
      <c r="K251" s="37" t="str">
        <f t="shared" si="11"/>
        <v>r250: C04250 + C02743 -&gt; C03800 + C11475 | (${Variables:E2_1_1_63_kcat} * E2_1_1_63 * C04250 * C02743)/(${Variables:E2_1_1_63_km} + (E2_1_1_63 * C04250 * C02743))</v>
      </c>
    </row>
    <row r="252" spans="1:11" ht="46.25" customHeight="1">
      <c r="A252" t="s">
        <v>8167</v>
      </c>
      <c r="B252" t="s">
        <v>8168</v>
      </c>
      <c r="C252" t="s">
        <v>12847</v>
      </c>
      <c r="D252" s="19">
        <v>251</v>
      </c>
      <c r="E252" s="19" t="str">
        <f t="shared" si="9"/>
        <v>E2_1_1_63</v>
      </c>
      <c r="F252" s="19" t="s">
        <v>13378</v>
      </c>
      <c r="G252" s="19" t="s">
        <v>14793</v>
      </c>
      <c r="H252" s="19" t="s">
        <v>14058</v>
      </c>
      <c r="I252" s="19" t="s">
        <v>15473</v>
      </c>
      <c r="J252" s="19" t="str">
        <f t="shared" si="10"/>
        <v>(${Variables:E2_1_1_63_kcat} * E2_1_1_63 * C04250 * C02743)/(${Variables:E2_1_1_63_km} + (E2_1_1_63 * C04250 * C02743))</v>
      </c>
      <c r="K252" s="37" t="str">
        <f t="shared" si="11"/>
        <v>r251: C04250 + C02743 -&gt; C03800 + C11475 | (${Variables:E2_1_1_63_kcat} * E2_1_1_63 * C04250 * C02743)/(${Variables:E2_1_1_63_km} + (E2_1_1_63 * C04250 * C02743))</v>
      </c>
    </row>
    <row r="253" spans="1:11" ht="46.25" customHeight="1">
      <c r="A253" t="s">
        <v>8337</v>
      </c>
      <c r="B253" t="s">
        <v>8338</v>
      </c>
      <c r="C253" t="s">
        <v>12847</v>
      </c>
      <c r="D253" s="19">
        <v>252</v>
      </c>
      <c r="E253" s="19" t="str">
        <f t="shared" si="9"/>
        <v>E2_1_1_63</v>
      </c>
      <c r="F253" s="19" t="s">
        <v>13378</v>
      </c>
      <c r="G253" s="19" t="s">
        <v>14793</v>
      </c>
      <c r="H253" s="19" t="s">
        <v>14058</v>
      </c>
      <c r="I253" s="19" t="s">
        <v>15473</v>
      </c>
      <c r="J253" s="19" t="str">
        <f t="shared" si="10"/>
        <v>(${Variables:E2_1_1_63_kcat} * E2_1_1_63 * C04250 * C02743)/(${Variables:E2_1_1_63_km} + (E2_1_1_63 * C04250 * C02743))</v>
      </c>
      <c r="K253" s="37" t="str">
        <f t="shared" si="11"/>
        <v>r252: C04250 + C02743 -&gt; C03800 + C11475 | (${Variables:E2_1_1_63_kcat} * E2_1_1_63 * C04250 * C02743)/(${Variables:E2_1_1_63_km} + (E2_1_1_63 * C04250 * C02743))</v>
      </c>
    </row>
    <row r="254" spans="1:11" ht="46.25" customHeight="1">
      <c r="A254" t="s">
        <v>2864</v>
      </c>
      <c r="B254" t="s">
        <v>2865</v>
      </c>
      <c r="C254" t="s">
        <v>12848</v>
      </c>
      <c r="D254" s="19">
        <v>253</v>
      </c>
      <c r="E254" s="19" t="str">
        <f t="shared" si="9"/>
        <v>E2_1_2_1</v>
      </c>
      <c r="F254" s="19" t="s">
        <v>13379</v>
      </c>
      <c r="G254" s="19" t="s">
        <v>14794</v>
      </c>
      <c r="H254" s="19" t="s">
        <v>14059</v>
      </c>
      <c r="I254" s="19" t="s">
        <v>15474</v>
      </c>
      <c r="J254" s="19" t="str">
        <f t="shared" si="10"/>
        <v>(${Variables:E2_1_2_1_kcat} * E2_1_2_1 * C00143 * C00037 * C00001)/(${Variables:E2_1_2_1_km} + (E2_1_2_1 * C00143 * C00037 * C00001))</v>
      </c>
      <c r="K254" s="37" t="str">
        <f t="shared" si="11"/>
        <v>r253: C00143 + C00037 + C00001 -&gt; C00101 + C00065 | (${Variables:E2_1_2_1_kcat} * E2_1_2_1 * C00143 * C00037 * C00001)/(${Variables:E2_1_2_1_km} + (E2_1_2_1 * C00143 * C00037 * C00001))</v>
      </c>
    </row>
    <row r="255" spans="1:11" ht="46.25" customHeight="1">
      <c r="A255" t="s">
        <v>2864</v>
      </c>
      <c r="B255" t="s">
        <v>2865</v>
      </c>
      <c r="C255" t="s">
        <v>12848</v>
      </c>
      <c r="D255" s="19">
        <v>254</v>
      </c>
      <c r="E255" s="19" t="str">
        <f t="shared" si="9"/>
        <v>E2_1_2_1</v>
      </c>
      <c r="F255" s="19" t="s">
        <v>13380</v>
      </c>
      <c r="G255" s="19" t="s">
        <v>14795</v>
      </c>
      <c r="H255" s="19" t="s">
        <v>14060</v>
      </c>
      <c r="I255" s="19" t="s">
        <v>15475</v>
      </c>
      <c r="J255" s="19" t="str">
        <f t="shared" si="10"/>
        <v>(${Variables:E2_1_2_1_kcat} * E2_1_2_1 * C00065 * C01217)/(${Variables:E2_1_2_1_km} + (E2_1_2_1 * C00065 * C01217))</v>
      </c>
      <c r="K255" s="37" t="str">
        <f t="shared" si="11"/>
        <v>r254: C00065 + C01217 -&gt; C04377 + C00037 + C00001 | (${Variables:E2_1_2_1_kcat} * E2_1_2_1 * C00065 * C01217)/(${Variables:E2_1_2_1_km} + (E2_1_2_1 * C00065 * C01217))</v>
      </c>
    </row>
    <row r="256" spans="1:11" ht="46.25" customHeight="1">
      <c r="A256" t="s">
        <v>380</v>
      </c>
      <c r="B256" t="s">
        <v>381</v>
      </c>
      <c r="C256" t="s">
        <v>12849</v>
      </c>
      <c r="D256" s="19">
        <v>255</v>
      </c>
      <c r="E256" s="19" t="str">
        <f t="shared" si="9"/>
        <v>E2_1_2_11</v>
      </c>
      <c r="F256" s="19" t="s">
        <v>13381</v>
      </c>
      <c r="G256" s="19" t="s">
        <v>14796</v>
      </c>
      <c r="H256" s="19" t="s">
        <v>14061</v>
      </c>
      <c r="I256" s="19" t="s">
        <v>15476</v>
      </c>
      <c r="J256" s="19" t="str">
        <f t="shared" si="10"/>
        <v>(${Variables:E2_1_2_11_kcat} * E2_1_2_11 * C00143 * C00141 * C00001)/(${Variables:E2_1_2_11_km} + (E2_1_2_11 * C00143 * C00141 * C00001))</v>
      </c>
      <c r="K256" s="37" t="str">
        <f t="shared" si="11"/>
        <v>r255: C00143 + C00141 + C00001 -&gt; C00101 + C00966 | (${Variables:E2_1_2_11_kcat} * E2_1_2_11 * C00143 * C00141 * C00001)/(${Variables:E2_1_2_11_km} + (E2_1_2_11 * C00143 * C00141 * C00001))</v>
      </c>
    </row>
    <row r="257" spans="1:11" ht="46.25" customHeight="1">
      <c r="A257" t="s">
        <v>380</v>
      </c>
      <c r="B257" t="s">
        <v>381</v>
      </c>
      <c r="C257" t="s">
        <v>12849</v>
      </c>
      <c r="D257" s="19">
        <v>256</v>
      </c>
      <c r="E257" s="19" t="str">
        <f t="shared" si="9"/>
        <v>E2_1_2_11</v>
      </c>
      <c r="F257" s="19" t="s">
        <v>10438</v>
      </c>
      <c r="G257" s="19" t="s">
        <v>10438</v>
      </c>
      <c r="H257" s="19" t="s">
        <v>14062</v>
      </c>
      <c r="I257" s="19" t="s">
        <v>15477</v>
      </c>
      <c r="J257" s="19" t="str">
        <f t="shared" si="10"/>
        <v>(${Variables:E2_1_2_11_kcat} * E2_1_2_11 * C00966)/(${Variables:E2_1_2_11_km} + (E2_1_2_11 * C00966))</v>
      </c>
      <c r="K257" s="37" t="str">
        <f t="shared" si="11"/>
        <v>r256: C00966 -&gt; C00141 + C00067 | (${Variables:E2_1_2_11_kcat} * E2_1_2_11 * C00966)/(${Variables:E2_1_2_11_km} + (E2_1_2_11 * C00966))</v>
      </c>
    </row>
    <row r="258" spans="1:11" ht="46.25" customHeight="1">
      <c r="A258" t="s">
        <v>2490</v>
      </c>
      <c r="B258" t="s">
        <v>2491</v>
      </c>
      <c r="C258" t="s">
        <v>12850</v>
      </c>
      <c r="D258" s="19">
        <v>257</v>
      </c>
      <c r="E258" s="19" t="str">
        <f t="shared" ref="E258:E321" si="12">CONCATENATE("E",C258)</f>
        <v>E2_1_2_2</v>
      </c>
      <c r="F258" s="19" t="s">
        <v>13382</v>
      </c>
      <c r="G258" s="19" t="s">
        <v>14797</v>
      </c>
      <c r="H258" s="19" t="s">
        <v>14063</v>
      </c>
      <c r="I258" s="19" t="s">
        <v>15478</v>
      </c>
      <c r="J258" s="19" t="str">
        <f t="shared" si="10"/>
        <v>(${Variables:E2_1_2_2_kcat} * E2_1_2_2 * C00234 * C03838)/(${Variables:E2_1_2_2_km} + (E2_1_2_2 * C00234 * C03838))</v>
      </c>
      <c r="K258" s="37" t="str">
        <f t="shared" si="11"/>
        <v>r257: C00234 + C03838 -&gt; C00101 + C04376 | (${Variables:E2_1_2_2_kcat} * E2_1_2_2 * C00234 * C03838)/(${Variables:E2_1_2_2_km} + (E2_1_2_2 * C00234 * C03838))</v>
      </c>
    </row>
    <row r="259" spans="1:11" ht="46.25" customHeight="1">
      <c r="A259" t="s">
        <v>2490</v>
      </c>
      <c r="B259" t="s">
        <v>2491</v>
      </c>
      <c r="C259" t="s">
        <v>12850</v>
      </c>
      <c r="D259" s="19">
        <v>258</v>
      </c>
      <c r="E259" s="19" t="str">
        <f t="shared" si="12"/>
        <v>E2_1_2_2</v>
      </c>
      <c r="F259" s="19" t="s">
        <v>13383</v>
      </c>
      <c r="G259" s="19" t="s">
        <v>14798</v>
      </c>
      <c r="H259" s="19" t="s">
        <v>14064</v>
      </c>
      <c r="I259" s="19" t="s">
        <v>15479</v>
      </c>
      <c r="J259" s="19" t="str">
        <f t="shared" ref="J259:J322" si="13">CONCATENATE("(${Variables:",E259,"_kcat","} * ",E259," * ",G259,")","/(${Variables:",E259,"_km","} + (",E259," * ",G259,"))")</f>
        <v>(${Variables:E2_1_2_2_kcat} * E2_1_2_2 * C03838 * C00445 * C00001)/(${Variables:E2_1_2_2_km} + (E2_1_2_2 * C03838 * C00445 * C00001))</v>
      </c>
      <c r="K259" s="37" t="str">
        <f t="shared" ref="K259:K322" si="14">CONCATENATE("r",D259,": ",F259," -&gt; ",H259," | ",J259)</f>
        <v>r258: C03838 + C00445 + C00001 -&gt; C04376 + C00101 | (${Variables:E2_1_2_2_kcat} * E2_1_2_2 * C03838 * C00445 * C00001)/(${Variables:E2_1_2_2_km} + (E2_1_2_2 * C03838 * C00445 * C00001))</v>
      </c>
    </row>
    <row r="260" spans="1:11" ht="46.25" customHeight="1">
      <c r="A260" t="s">
        <v>2494</v>
      </c>
      <c r="B260" t="s">
        <v>2495</v>
      </c>
      <c r="C260" t="s">
        <v>12851</v>
      </c>
      <c r="D260" s="19">
        <v>259</v>
      </c>
      <c r="E260" s="19" t="str">
        <f t="shared" si="12"/>
        <v>E2_1_2_3</v>
      </c>
      <c r="F260" s="19" t="s">
        <v>13384</v>
      </c>
      <c r="G260" s="19" t="s">
        <v>14799</v>
      </c>
      <c r="H260" s="19" t="s">
        <v>14065</v>
      </c>
      <c r="I260" s="19" t="s">
        <v>15480</v>
      </c>
      <c r="J260" s="19" t="str">
        <f t="shared" si="13"/>
        <v>(${Variables:E2_1_2_3_kcat} * E2_1_2_3 * C00234 * C04677)/(${Variables:E2_1_2_3_km} + (E2_1_2_3 * C00234 * C04677))</v>
      </c>
      <c r="K260" s="37" t="str">
        <f t="shared" si="14"/>
        <v>r259: C00234 + C04677 -&gt; C00101 + C04734 | (${Variables:E2_1_2_3_kcat} * E2_1_2_3 * C00234 * C04677)/(${Variables:E2_1_2_3_km} + (E2_1_2_3 * C00234 * C04677))</v>
      </c>
    </row>
    <row r="261" spans="1:11" ht="46.25" customHeight="1">
      <c r="A261" t="s">
        <v>4521</v>
      </c>
      <c r="B261" t="s">
        <v>4522</v>
      </c>
      <c r="C261" t="s">
        <v>12852</v>
      </c>
      <c r="D261" s="19">
        <v>260</v>
      </c>
      <c r="E261" s="19" t="str">
        <f t="shared" si="12"/>
        <v>E2_1_2_9</v>
      </c>
      <c r="F261" s="19" t="s">
        <v>13385</v>
      </c>
      <c r="G261" s="19" t="s">
        <v>14800</v>
      </c>
      <c r="H261" s="19" t="s">
        <v>14066</v>
      </c>
      <c r="I261" s="19" t="s">
        <v>15481</v>
      </c>
      <c r="J261" s="19" t="str">
        <f t="shared" si="13"/>
        <v>(${Variables:E2_1_2_9_kcat} * E2_1_2_9 * C02430 * C00234)/(${Variables:E2_1_2_9_km} + (E2_1_2_9 * C02430 * C00234))</v>
      </c>
      <c r="K261" s="37" t="str">
        <f t="shared" si="14"/>
        <v>r260: C02430 + C00234 -&gt; C00101 + C03294 | (${Variables:E2_1_2_9_kcat} * E2_1_2_9 * C02430 * C00234)/(${Variables:E2_1_2_9_km} + (E2_1_2_9 * C02430 * C00234))</v>
      </c>
    </row>
    <row r="262" spans="1:11" ht="46.25" customHeight="1">
      <c r="A262" t="s">
        <v>2409</v>
      </c>
      <c r="B262" t="s">
        <v>2410</v>
      </c>
      <c r="C262" t="s">
        <v>12853</v>
      </c>
      <c r="D262" s="19">
        <v>261</v>
      </c>
      <c r="E262" s="19" t="str">
        <f t="shared" si="12"/>
        <v>E2_1_3_15</v>
      </c>
      <c r="F262" s="19" t="s">
        <v>13386</v>
      </c>
      <c r="G262" s="19" t="s">
        <v>14801</v>
      </c>
      <c r="H262" s="19" t="s">
        <v>14067</v>
      </c>
      <c r="I262" s="19" t="s">
        <v>15482</v>
      </c>
      <c r="J262" s="19" t="str">
        <f t="shared" si="13"/>
        <v>(${Variables:E2_1_3_15_kcat} * E2_1_3_15 * C00024 * C04419)/(${Variables:E2_1_3_15_km} + (E2_1_3_15 * C00024 * C04419))</v>
      </c>
      <c r="K262" s="37" t="str">
        <f t="shared" si="14"/>
        <v>r261: C00024 + C04419 -&gt; C00083 + C06250 | (${Variables:E2_1_3_15_kcat} * E2_1_3_15 * C00024 * C04419)/(${Variables:E2_1_3_15_km} + (E2_1_3_15 * C00024 * C04419))</v>
      </c>
    </row>
    <row r="263" spans="1:11" ht="46.25" customHeight="1">
      <c r="A263" t="s">
        <v>4566</v>
      </c>
      <c r="B263" t="s">
        <v>4567</v>
      </c>
      <c r="C263" t="s">
        <v>12854</v>
      </c>
      <c r="D263" s="19">
        <v>262</v>
      </c>
      <c r="E263" s="19" t="str">
        <f t="shared" si="12"/>
        <v>E2_1_3_2</v>
      </c>
      <c r="F263" s="19" t="s">
        <v>13387</v>
      </c>
      <c r="G263" s="19" t="s">
        <v>14802</v>
      </c>
      <c r="H263" s="19" t="s">
        <v>14068</v>
      </c>
      <c r="I263" s="19" t="s">
        <v>15483</v>
      </c>
      <c r="J263" s="19" t="str">
        <f t="shared" si="13"/>
        <v>(${Variables:E2_1_3_2_kcat} * E2_1_3_2 * C00169 * C00049)/(${Variables:E2_1_3_2_km} + (E2_1_3_2 * C00169 * C00049))</v>
      </c>
      <c r="K263" s="37" t="str">
        <f t="shared" si="14"/>
        <v>r262: C00169 + C00049 -&gt; C00009 + C00438 | (${Variables:E2_1_3_2_kcat} * E2_1_3_2 * C00169 * C00049)/(${Variables:E2_1_3_2_km} + (E2_1_3_2 * C00169 * C00049))</v>
      </c>
    </row>
    <row r="264" spans="1:11" ht="46.25" customHeight="1">
      <c r="A264" t="s">
        <v>2965</v>
      </c>
      <c r="B264" t="s">
        <v>2966</v>
      </c>
      <c r="C264" t="s">
        <v>12855</v>
      </c>
      <c r="D264" s="19">
        <v>263</v>
      </c>
      <c r="E264" s="19" t="str">
        <f t="shared" si="12"/>
        <v>E2_1_3_3</v>
      </c>
      <c r="F264" s="19" t="s">
        <v>13388</v>
      </c>
      <c r="G264" s="19" t="s">
        <v>14803</v>
      </c>
      <c r="H264" s="19" t="s">
        <v>14069</v>
      </c>
      <c r="I264" s="19" t="s">
        <v>15484</v>
      </c>
      <c r="J264" s="19" t="str">
        <f t="shared" si="13"/>
        <v>(${Variables:E2_1_3_3_kcat} * E2_1_3_3 * C00169 * C00077)/(${Variables:E2_1_3_3_km} + (E2_1_3_3 * C00169 * C00077))</v>
      </c>
      <c r="K264" s="37" t="str">
        <f t="shared" si="14"/>
        <v>r263: C00169 + C00077 -&gt; C00009 + C00327 | (${Variables:E2_1_3_3_kcat} * E2_1_3_3 * C00169 * C00077)/(${Variables:E2_1_3_3_km} + (E2_1_3_3 * C00169 * C00077))</v>
      </c>
    </row>
    <row r="265" spans="1:11" ht="46.25" customHeight="1">
      <c r="A265" t="s">
        <v>3945</v>
      </c>
      <c r="B265" t="s">
        <v>3946</v>
      </c>
      <c r="C265" t="s">
        <v>12855</v>
      </c>
      <c r="D265" s="19">
        <v>264</v>
      </c>
      <c r="E265" s="19" t="str">
        <f t="shared" si="12"/>
        <v>E2_1_3_3</v>
      </c>
      <c r="F265" s="19" t="s">
        <v>13388</v>
      </c>
      <c r="G265" s="19" t="s">
        <v>14803</v>
      </c>
      <c r="H265" s="19" t="s">
        <v>14069</v>
      </c>
      <c r="I265" s="19" t="s">
        <v>15484</v>
      </c>
      <c r="J265" s="19" t="str">
        <f t="shared" si="13"/>
        <v>(${Variables:E2_1_3_3_kcat} * E2_1_3_3 * C00169 * C00077)/(${Variables:E2_1_3_3_km} + (E2_1_3_3 * C00169 * C00077))</v>
      </c>
      <c r="K265" s="37" t="str">
        <f t="shared" si="14"/>
        <v>r264: C00169 + C00077 -&gt; C00009 + C00327 | (${Variables:E2_1_3_3_kcat} * E2_1_3_3 * C00169 * C00077)/(${Variables:E2_1_3_3_km} + (E2_1_3_3 * C00169 * C00077))</v>
      </c>
    </row>
    <row r="266" spans="1:11" ht="46.25" customHeight="1">
      <c r="A266" t="s">
        <v>4432</v>
      </c>
      <c r="B266" t="s">
        <v>4433</v>
      </c>
      <c r="C266" t="s">
        <v>12856</v>
      </c>
      <c r="D266" s="19">
        <v>265</v>
      </c>
      <c r="E266" s="19" t="str">
        <f t="shared" si="12"/>
        <v>E2_2_1_1</v>
      </c>
      <c r="F266" s="19" t="s">
        <v>13389</v>
      </c>
      <c r="G266" s="19" t="s">
        <v>14804</v>
      </c>
      <c r="H266" s="19" t="s">
        <v>14070</v>
      </c>
      <c r="I266" s="19" t="s">
        <v>15485</v>
      </c>
      <c r="J266" s="19" t="str">
        <f t="shared" si="13"/>
        <v>(${Variables:E2_2_1_1_kcat} * E2_2_1_1 * C05382 * C00118)/(${Variables:E2_2_1_1_km} + (E2_2_1_1 * C05382 * C00118))</v>
      </c>
      <c r="K266" s="37" t="str">
        <f t="shared" si="14"/>
        <v>r265: C05382 + C00118 -&gt; C00117 + C00231 | (${Variables:E2_2_1_1_kcat} * E2_2_1_1 * C05382 * C00118)/(${Variables:E2_2_1_1_km} + (E2_2_1_1 * C05382 * C00118))</v>
      </c>
    </row>
    <row r="267" spans="1:11" ht="46.25" customHeight="1">
      <c r="A267" t="s">
        <v>4432</v>
      </c>
      <c r="B267" t="s">
        <v>4433</v>
      </c>
      <c r="C267" t="s">
        <v>12856</v>
      </c>
      <c r="D267" s="19">
        <v>266</v>
      </c>
      <c r="E267" s="19" t="str">
        <f t="shared" si="12"/>
        <v>E2_2_1_1</v>
      </c>
      <c r="F267" s="19" t="s">
        <v>13390</v>
      </c>
      <c r="G267" s="19" t="s">
        <v>14805</v>
      </c>
      <c r="H267" s="19" t="s">
        <v>14071</v>
      </c>
      <c r="I267" s="19" t="s">
        <v>15486</v>
      </c>
      <c r="J267" s="19" t="str">
        <f t="shared" si="13"/>
        <v>(${Variables:E2_2_1_1_kcat} * E2_2_1_1 * C00085 * C00118)/(${Variables:E2_2_1_1_km} + (E2_2_1_1 * C00085 * C00118))</v>
      </c>
      <c r="K267" s="37" t="str">
        <f t="shared" si="14"/>
        <v>r266: C00085 + C00118 -&gt; C00279 + C00231 | (${Variables:E2_2_1_1_kcat} * E2_2_1_1 * C00085 * C00118)/(${Variables:E2_2_1_1_km} + (E2_2_1_1 * C00085 * C00118))</v>
      </c>
    </row>
    <row r="268" spans="1:11" ht="46.25" customHeight="1">
      <c r="A268" t="s">
        <v>4432</v>
      </c>
      <c r="B268" t="s">
        <v>4433</v>
      </c>
      <c r="C268" t="s">
        <v>12856</v>
      </c>
      <c r="D268" s="19">
        <v>267</v>
      </c>
      <c r="E268" s="19" t="str">
        <f t="shared" si="12"/>
        <v>E2_2_1_1</v>
      </c>
      <c r="F268" s="19" t="s">
        <v>13391</v>
      </c>
      <c r="G268" s="19" t="s">
        <v>14806</v>
      </c>
      <c r="H268" s="19" t="s">
        <v>14071</v>
      </c>
      <c r="I268" s="19" t="s">
        <v>15486</v>
      </c>
      <c r="J268" s="19" t="str">
        <f t="shared" si="13"/>
        <v>(${Variables:E2_2_1_1_kcat} * E2_2_1_1 * C05345 * C00118)/(${Variables:E2_2_1_1_km} + (E2_2_1_1 * C05345 * C00118))</v>
      </c>
      <c r="K268" s="37" t="str">
        <f t="shared" si="14"/>
        <v>r267: C05345 + C00118 -&gt; C00279 + C00231 | (${Variables:E2_2_1_1_kcat} * E2_2_1_1 * C05345 * C00118)/(${Variables:E2_2_1_1_km} + (E2_2_1_1 * C05345 * C00118))</v>
      </c>
    </row>
    <row r="269" spans="1:11" ht="46.25" customHeight="1">
      <c r="A269" t="s">
        <v>4432</v>
      </c>
      <c r="B269" t="s">
        <v>4433</v>
      </c>
      <c r="C269" t="s">
        <v>12856</v>
      </c>
      <c r="D269" s="19">
        <v>268</v>
      </c>
      <c r="E269" s="19" t="str">
        <f t="shared" si="12"/>
        <v>E2_2_1_1</v>
      </c>
      <c r="F269" s="19" t="s">
        <v>13392</v>
      </c>
      <c r="G269" s="19" t="s">
        <v>14807</v>
      </c>
      <c r="H269" s="19" t="s">
        <v>14072</v>
      </c>
      <c r="I269" s="19" t="s">
        <v>15487</v>
      </c>
      <c r="J269" s="19" t="str">
        <f t="shared" si="13"/>
        <v>(${Variables:E2_2_1_1_kcat} * E2_2_1_1 * C12214 * C00117)/(${Variables:E2_2_1_1_km} + (E2_2_1_1 * C12214 * C00117))</v>
      </c>
      <c r="K269" s="37" t="str">
        <f t="shared" si="14"/>
        <v>r268: C12214 + C00117 -&gt; C12215 + C05382 | (${Variables:E2_2_1_1_kcat} * E2_2_1_1 * C12214 * C00117)/(${Variables:E2_2_1_1_km} + (E2_2_1_1 * C12214 * C00117))</v>
      </c>
    </row>
    <row r="270" spans="1:11" ht="46.25" customHeight="1">
      <c r="A270" t="s">
        <v>4432</v>
      </c>
      <c r="B270" t="s">
        <v>4433</v>
      </c>
      <c r="C270" t="s">
        <v>12856</v>
      </c>
      <c r="D270" s="19">
        <v>269</v>
      </c>
      <c r="E270" s="19" t="str">
        <f t="shared" si="12"/>
        <v>E2_2_1_1</v>
      </c>
      <c r="F270" s="19" t="s">
        <v>13393</v>
      </c>
      <c r="G270" s="19" t="s">
        <v>14808</v>
      </c>
      <c r="H270" s="19" t="s">
        <v>14073</v>
      </c>
      <c r="I270" s="19" t="s">
        <v>15488</v>
      </c>
      <c r="J270" s="19" t="str">
        <f t="shared" si="13"/>
        <v>(${Variables:E2_2_1_1_kcat} * E2_2_1_1 * C00231 * C00068)/(${Variables:E2_2_1_1_km} + (E2_2_1_1 * C00231 * C00068))</v>
      </c>
      <c r="K270" s="37" t="str">
        <f t="shared" si="14"/>
        <v>r269: C00231 + C00068 -&gt; C13378 + C00118 | (${Variables:E2_2_1_1_kcat} * E2_2_1_1 * C00231 * C00068)/(${Variables:E2_2_1_1_km} + (E2_2_1_1 * C00231 * C00068))</v>
      </c>
    </row>
    <row r="271" spans="1:11" ht="46.25" customHeight="1">
      <c r="A271" t="s">
        <v>4432</v>
      </c>
      <c r="B271" t="s">
        <v>4433</v>
      </c>
      <c r="C271" t="s">
        <v>12856</v>
      </c>
      <c r="D271" s="19">
        <v>270</v>
      </c>
      <c r="E271" s="19" t="str">
        <f t="shared" si="12"/>
        <v>E2_2_1_1</v>
      </c>
      <c r="F271" s="19" t="s">
        <v>13394</v>
      </c>
      <c r="G271" s="19" t="s">
        <v>14809</v>
      </c>
      <c r="H271" s="19" t="s">
        <v>14074</v>
      </c>
      <c r="I271" s="19" t="s">
        <v>15489</v>
      </c>
      <c r="J271" s="19" t="str">
        <f t="shared" si="13"/>
        <v>(${Variables:E2_2_1_1_kcat} * E2_2_1_1 * C05382 * C00068)/(${Variables:E2_2_1_1_km} + (E2_2_1_1 * C05382 * C00068))</v>
      </c>
      <c r="K271" s="37" t="str">
        <f t="shared" si="14"/>
        <v>r270: C05382 + C00068 -&gt; C13378 + C00117 | (${Variables:E2_2_1_1_kcat} * E2_2_1_1 * C05382 * C00068)/(${Variables:E2_2_1_1_km} + (E2_2_1_1 * C05382 * C00068))</v>
      </c>
    </row>
    <row r="272" spans="1:11" ht="46.25" customHeight="1">
      <c r="A272" t="s">
        <v>4436</v>
      </c>
      <c r="B272" t="s">
        <v>4437</v>
      </c>
      <c r="C272" t="s">
        <v>12857</v>
      </c>
      <c r="D272" s="19">
        <v>271</v>
      </c>
      <c r="E272" s="19" t="str">
        <f t="shared" si="12"/>
        <v>E2_2_1_2</v>
      </c>
      <c r="F272" s="19" t="s">
        <v>13389</v>
      </c>
      <c r="G272" s="19" t="s">
        <v>14804</v>
      </c>
      <c r="H272" s="19" t="s">
        <v>14075</v>
      </c>
      <c r="I272" s="19" t="s">
        <v>15490</v>
      </c>
      <c r="J272" s="19" t="str">
        <f t="shared" si="13"/>
        <v>(${Variables:E2_2_1_2_kcat} * E2_2_1_2 * C05382 * C00118)/(${Variables:E2_2_1_2_km} + (E2_2_1_2 * C05382 * C00118))</v>
      </c>
      <c r="K272" s="37" t="str">
        <f t="shared" si="14"/>
        <v>r271: C05382 + C00118 -&gt; C00279 + C00085 | (${Variables:E2_2_1_2_kcat} * E2_2_1_2 * C05382 * C00118)/(${Variables:E2_2_1_2_km} + (E2_2_1_2 * C05382 * C00118))</v>
      </c>
    </row>
    <row r="273" spans="1:11" ht="46.25" customHeight="1">
      <c r="A273" t="s">
        <v>4436</v>
      </c>
      <c r="B273" t="s">
        <v>4437</v>
      </c>
      <c r="C273" t="s">
        <v>12857</v>
      </c>
      <c r="D273" s="19">
        <v>272</v>
      </c>
      <c r="E273" s="19" t="str">
        <f t="shared" si="12"/>
        <v>E2_2_1_2</v>
      </c>
      <c r="F273" s="19" t="s">
        <v>13389</v>
      </c>
      <c r="G273" s="19" t="s">
        <v>14804</v>
      </c>
      <c r="H273" s="19" t="s">
        <v>14076</v>
      </c>
      <c r="I273" s="19" t="s">
        <v>15491</v>
      </c>
      <c r="J273" s="19" t="str">
        <f t="shared" si="13"/>
        <v>(${Variables:E2_2_1_2_kcat} * E2_2_1_2 * C05382 * C00118)/(${Variables:E2_2_1_2_km} + (E2_2_1_2 * C05382 * C00118))</v>
      </c>
      <c r="K273" s="37" t="str">
        <f t="shared" si="14"/>
        <v>r272: C05382 + C00118 -&gt; C00279 + C05345 | (${Variables:E2_2_1_2_kcat} * E2_2_1_2 * C05382 * C00118)/(${Variables:E2_2_1_2_km} + (E2_2_1_2 * C05382 * C00118))</v>
      </c>
    </row>
    <row r="274" spans="1:11" ht="46.25" customHeight="1">
      <c r="A274" t="s">
        <v>3615</v>
      </c>
      <c r="B274" t="s">
        <v>3616</v>
      </c>
      <c r="C274" t="s">
        <v>12858</v>
      </c>
      <c r="D274" s="19">
        <v>273</v>
      </c>
      <c r="E274" s="19" t="str">
        <f t="shared" si="12"/>
        <v>E2_2_1_6</v>
      </c>
      <c r="F274" s="19" t="s">
        <v>13395</v>
      </c>
      <c r="G274" s="19" t="s">
        <v>14810</v>
      </c>
      <c r="H274" s="19" t="s">
        <v>9840</v>
      </c>
      <c r="I274" s="19" t="s">
        <v>9840</v>
      </c>
      <c r="J274" s="19" t="str">
        <f t="shared" si="13"/>
        <v>(${Variables:E2_2_1_6_kcat} * E2_2_1_6 * C00900 * C00011)/(${Variables:E2_2_1_6_km} + (E2_2_1_6 * C00900 * C00011))</v>
      </c>
      <c r="K274" s="37" t="str">
        <f t="shared" si="14"/>
        <v>r273: C00900 + C00011 -&gt; C00022 | (${Variables:E2_2_1_6_kcat} * E2_2_1_6 * C00900 * C00011)/(${Variables:E2_2_1_6_km} + (E2_2_1_6 * C00900 * C00011))</v>
      </c>
    </row>
    <row r="275" spans="1:11" ht="46.25" customHeight="1">
      <c r="A275" t="s">
        <v>3615</v>
      </c>
      <c r="B275" t="s">
        <v>3616</v>
      </c>
      <c r="C275" t="s">
        <v>12858</v>
      </c>
      <c r="D275" s="19">
        <v>274</v>
      </c>
      <c r="E275" s="19" t="str">
        <f t="shared" si="12"/>
        <v>E2_2_1_6</v>
      </c>
      <c r="F275" s="19" t="s">
        <v>13396</v>
      </c>
      <c r="G275" s="19" t="s">
        <v>14811</v>
      </c>
      <c r="H275" s="19" t="s">
        <v>9840</v>
      </c>
      <c r="I275" s="19" t="s">
        <v>9840</v>
      </c>
      <c r="J275" s="19" t="str">
        <f t="shared" si="13"/>
        <v>(${Variables:E2_2_1_6_kcat} * E2_2_1_6 * C06010 * C00011)/(${Variables:E2_2_1_6_km} + (E2_2_1_6 * C06010 * C00011))</v>
      </c>
      <c r="K275" s="37" t="str">
        <f t="shared" si="14"/>
        <v>r274: C06010 + C00011 -&gt; C00022 | (${Variables:E2_2_1_6_kcat} * E2_2_1_6 * C06010 * C00011)/(${Variables:E2_2_1_6_km} + (E2_2_1_6 * C06010 * C00011))</v>
      </c>
    </row>
    <row r="276" spans="1:11" ht="46.25" customHeight="1">
      <c r="A276" t="s">
        <v>3615</v>
      </c>
      <c r="B276" t="s">
        <v>3616</v>
      </c>
      <c r="C276" t="s">
        <v>12858</v>
      </c>
      <c r="D276" s="19">
        <v>275</v>
      </c>
      <c r="E276" s="19" t="str">
        <f t="shared" si="12"/>
        <v>E2_2_1_6</v>
      </c>
      <c r="F276" s="19" t="s">
        <v>13301</v>
      </c>
      <c r="G276" s="19" t="s">
        <v>14716</v>
      </c>
      <c r="H276" s="19" t="s">
        <v>13981</v>
      </c>
      <c r="I276" s="19" t="s">
        <v>15396</v>
      </c>
      <c r="J276" s="19" t="str">
        <f t="shared" si="13"/>
        <v>(${Variables:E2_2_1_6_kcat} * E2_2_1_6 * C00022 * C00068)/(${Variables:E2_2_1_6_km} + (E2_2_1_6 * C00022 * C00068))</v>
      </c>
      <c r="K276" s="37" t="str">
        <f t="shared" si="14"/>
        <v>r275: C00022 + C00068 -&gt; C05125 + C00011 | (${Variables:E2_2_1_6_kcat} * E2_2_1_6 * C00022 * C00068)/(${Variables:E2_2_1_6_km} + (E2_2_1_6 * C00022 * C00068))</v>
      </c>
    </row>
    <row r="277" spans="1:11" ht="46.25" customHeight="1">
      <c r="A277" t="s">
        <v>3615</v>
      </c>
      <c r="B277" t="s">
        <v>3616</v>
      </c>
      <c r="C277" t="s">
        <v>12858</v>
      </c>
      <c r="D277" s="19">
        <v>276</v>
      </c>
      <c r="E277" s="19" t="str">
        <f t="shared" si="12"/>
        <v>E2_2_1_6</v>
      </c>
      <c r="F277" s="19" t="s">
        <v>13397</v>
      </c>
      <c r="G277" s="19" t="s">
        <v>14812</v>
      </c>
      <c r="H277" s="19" t="s">
        <v>14077</v>
      </c>
      <c r="I277" s="19" t="s">
        <v>15492</v>
      </c>
      <c r="J277" s="19" t="str">
        <f t="shared" si="13"/>
        <v>(${Variables:E2_2_1_6_kcat} * E2_2_1_6 * C00900 * C00068)/(${Variables:E2_2_1_6_km} + (E2_2_1_6 * C00900 * C00068))</v>
      </c>
      <c r="K277" s="37" t="str">
        <f t="shared" si="14"/>
        <v>r276: C00900 + C00068 -&gt; C05125 + C00022 | (${Variables:E2_2_1_6_kcat} * E2_2_1_6 * C00900 * C00068)/(${Variables:E2_2_1_6_km} + (E2_2_1_6 * C00900 * C00068))</v>
      </c>
    </row>
    <row r="278" spans="1:11" ht="46.25" customHeight="1">
      <c r="A278" t="s">
        <v>3615</v>
      </c>
      <c r="B278" t="s">
        <v>3616</v>
      </c>
      <c r="C278" t="s">
        <v>12858</v>
      </c>
      <c r="D278" s="19">
        <v>277</v>
      </c>
      <c r="E278" s="19" t="str">
        <f t="shared" si="12"/>
        <v>E2_2_1_6</v>
      </c>
      <c r="F278" s="19" t="s">
        <v>13398</v>
      </c>
      <c r="G278" s="19" t="s">
        <v>14813</v>
      </c>
      <c r="H278" s="19" t="s">
        <v>14077</v>
      </c>
      <c r="I278" s="19" t="s">
        <v>15492</v>
      </c>
      <c r="J278" s="19" t="str">
        <f t="shared" si="13"/>
        <v>(${Variables:E2_2_1_6_kcat} * E2_2_1_6 * C06010 * C00068)/(${Variables:E2_2_1_6_km} + (E2_2_1_6 * C06010 * C00068))</v>
      </c>
      <c r="K278" s="37" t="str">
        <f t="shared" si="14"/>
        <v>r277: C06010 + C00068 -&gt; C05125 + C00022 | (${Variables:E2_2_1_6_kcat} * E2_2_1_6 * C06010 * C00068)/(${Variables:E2_2_1_6_km} + (E2_2_1_6 * C06010 * C00068))</v>
      </c>
    </row>
    <row r="279" spans="1:11" ht="46.25" customHeight="1">
      <c r="A279" t="s">
        <v>3615</v>
      </c>
      <c r="B279" t="s">
        <v>3616</v>
      </c>
      <c r="C279" t="s">
        <v>12858</v>
      </c>
      <c r="D279" s="19">
        <v>278</v>
      </c>
      <c r="E279" s="19" t="str">
        <f t="shared" si="12"/>
        <v>E2_2_1_6</v>
      </c>
      <c r="F279" s="19" t="s">
        <v>13399</v>
      </c>
      <c r="G279" s="19" t="s">
        <v>14814</v>
      </c>
      <c r="H279" s="19" t="s">
        <v>14078</v>
      </c>
      <c r="I279" s="19" t="s">
        <v>15493</v>
      </c>
      <c r="J279" s="19" t="str">
        <f t="shared" si="13"/>
        <v>(${Variables:E2_2_1_6_kcat} * E2_2_1_6 * C00109 * C05125)/(${Variables:E2_2_1_6_km} + (E2_2_1_6 * C00109 * C05125))</v>
      </c>
      <c r="K279" s="37" t="str">
        <f t="shared" si="14"/>
        <v>r278: C00109 + C05125 -&gt; C06006 + C00068 | (${Variables:E2_2_1_6_kcat} * E2_2_1_6 * C00109 * C05125)/(${Variables:E2_2_1_6_km} + (E2_2_1_6 * C00109 * C05125))</v>
      </c>
    </row>
    <row r="280" spans="1:11" ht="46.25" customHeight="1">
      <c r="A280" t="s">
        <v>3615</v>
      </c>
      <c r="B280" t="s">
        <v>3616</v>
      </c>
      <c r="C280" t="s">
        <v>12858</v>
      </c>
      <c r="D280" s="19">
        <v>279</v>
      </c>
      <c r="E280" s="19" t="str">
        <f t="shared" si="12"/>
        <v>E2_2_1_6</v>
      </c>
      <c r="F280" s="19" t="s">
        <v>13400</v>
      </c>
      <c r="G280" s="19" t="s">
        <v>14815</v>
      </c>
      <c r="H280" s="19" t="s">
        <v>14079</v>
      </c>
      <c r="I280" s="19" t="s">
        <v>15494</v>
      </c>
      <c r="J280" s="19" t="str">
        <f t="shared" si="13"/>
        <v>(${Variables:E2_2_1_6_kcat} * E2_2_1_6 * C00022 * C00109)/(${Variables:E2_2_1_6_km} + (E2_2_1_6 * C00022 * C00109))</v>
      </c>
      <c r="K280" s="37" t="str">
        <f t="shared" si="14"/>
        <v>r279: C00022 + C00109 -&gt; C06006 + C00011 | (${Variables:E2_2_1_6_kcat} * E2_2_1_6 * C00022 * C00109)/(${Variables:E2_2_1_6_km} + (E2_2_1_6 * C00022 * C00109))</v>
      </c>
    </row>
    <row r="281" spans="1:11" ht="46.25" customHeight="1">
      <c r="A281" t="s">
        <v>5224</v>
      </c>
      <c r="B281" t="s">
        <v>5225</v>
      </c>
      <c r="C281" t="s">
        <v>12859</v>
      </c>
      <c r="D281" s="19">
        <v>280</v>
      </c>
      <c r="E281" s="19" t="str">
        <f t="shared" si="12"/>
        <v>E2_2_1_7</v>
      </c>
      <c r="F281" s="19" t="s">
        <v>13401</v>
      </c>
      <c r="G281" s="19" t="s">
        <v>14816</v>
      </c>
      <c r="H281" s="19" t="s">
        <v>14080</v>
      </c>
      <c r="I281" s="19" t="s">
        <v>15495</v>
      </c>
      <c r="J281" s="19" t="str">
        <f t="shared" si="13"/>
        <v>(${Variables:E2_2_1_7_kcat} * E2_2_1_7 * C00022 * C00118)/(${Variables:E2_2_1_7_km} + (E2_2_1_7 * C00022 * C00118))</v>
      </c>
      <c r="K281" s="37" t="str">
        <f t="shared" si="14"/>
        <v>r280: C00022 + C00118 -&gt; C11437 + C00011 | (${Variables:E2_2_1_7_kcat} * E2_2_1_7 * C00022 * C00118)/(${Variables:E2_2_1_7_km} + (E2_2_1_7 * C00022 * C00118))</v>
      </c>
    </row>
    <row r="282" spans="1:11" ht="46.25" customHeight="1">
      <c r="A282" t="s">
        <v>1358</v>
      </c>
      <c r="B282" t="s">
        <v>1359</v>
      </c>
      <c r="C282" t="s">
        <v>12860</v>
      </c>
      <c r="D282" s="19">
        <v>281</v>
      </c>
      <c r="E282" s="19" t="str">
        <f t="shared" si="12"/>
        <v>E2_2_1_9</v>
      </c>
      <c r="F282" s="19" t="s">
        <v>13402</v>
      </c>
      <c r="G282" s="19" t="s">
        <v>14817</v>
      </c>
      <c r="H282" s="19" t="s">
        <v>14081</v>
      </c>
      <c r="I282" s="19" t="s">
        <v>15496</v>
      </c>
      <c r="J282" s="19" t="str">
        <f t="shared" si="13"/>
        <v>(${Variables:E2_2_1_9_kcat} * E2_2_1_9 * C00885 * C00026)/(${Variables:E2_2_1_9_km} + (E2_2_1_9 * C00885 * C00026))</v>
      </c>
      <c r="K282" s="37" t="str">
        <f t="shared" si="14"/>
        <v>r281: C00885 + C00026 -&gt; C16519 + C00011 | (${Variables:E2_2_1_9_kcat} * E2_2_1_9 * C00885 * C00026)/(${Variables:E2_2_1_9_km} + (E2_2_1_9 * C00885 * C00026))</v>
      </c>
    </row>
    <row r="283" spans="1:11" ht="46.25" customHeight="1">
      <c r="A283" t="s">
        <v>3935</v>
      </c>
      <c r="B283" t="s">
        <v>3936</v>
      </c>
      <c r="C283" t="s">
        <v>12861</v>
      </c>
      <c r="D283" s="19">
        <v>282</v>
      </c>
      <c r="E283" s="19" t="str">
        <f t="shared" si="12"/>
        <v>E2_3_1_1</v>
      </c>
      <c r="F283" s="19" t="s">
        <v>13403</v>
      </c>
      <c r="G283" s="19" t="s">
        <v>14818</v>
      </c>
      <c r="H283" s="19" t="s">
        <v>14082</v>
      </c>
      <c r="I283" s="19" t="s">
        <v>15497</v>
      </c>
      <c r="J283" s="19" t="str">
        <f t="shared" si="13"/>
        <v>(${Variables:E2_3_1_1_kcat} * E2_3_1_1 * C00024 * C00025)/(${Variables:E2_3_1_1_km} + (E2_3_1_1 * C00024 * C00025))</v>
      </c>
      <c r="K283" s="37" t="str">
        <f t="shared" si="14"/>
        <v>r282: C00024 + C00025 -&gt; C00010 + C00624 | (${Variables:E2_3_1_1_kcat} * E2_3_1_1 * C00024 * C00025)/(${Variables:E2_3_1_1_km} + (E2_3_1_1 * C00024 * C00025))</v>
      </c>
    </row>
    <row r="284" spans="1:11" ht="46.25" customHeight="1">
      <c r="A284" t="s">
        <v>7519</v>
      </c>
      <c r="B284" t="s">
        <v>7520</v>
      </c>
      <c r="C284" t="s">
        <v>12861</v>
      </c>
      <c r="D284" s="19">
        <v>283</v>
      </c>
      <c r="E284" s="19" t="str">
        <f t="shared" si="12"/>
        <v>E2_3_1_1</v>
      </c>
      <c r="F284" s="19" t="s">
        <v>13403</v>
      </c>
      <c r="G284" s="19" t="s">
        <v>14818</v>
      </c>
      <c r="H284" s="19" t="s">
        <v>14082</v>
      </c>
      <c r="I284" s="19" t="s">
        <v>15497</v>
      </c>
      <c r="J284" s="19" t="str">
        <f t="shared" si="13"/>
        <v>(${Variables:E2_3_1_1_kcat} * E2_3_1_1 * C00024 * C00025)/(${Variables:E2_3_1_1_km} + (E2_3_1_1 * C00024 * C00025))</v>
      </c>
      <c r="K284" s="37" t="str">
        <f t="shared" si="14"/>
        <v>r283: C00024 + C00025 -&gt; C00010 + C00624 | (${Variables:E2_3_1_1_kcat} * E2_3_1_1 * C00024 * C00025)/(${Variables:E2_3_1_1_km} + (E2_3_1_1 * C00024 * C00025))</v>
      </c>
    </row>
    <row r="285" spans="1:11" ht="46.25" customHeight="1">
      <c r="A285" t="s">
        <v>3154</v>
      </c>
      <c r="B285" t="s">
        <v>3155</v>
      </c>
      <c r="C285" t="s">
        <v>12862</v>
      </c>
      <c r="D285" s="19">
        <v>284</v>
      </c>
      <c r="E285" s="19" t="str">
        <f t="shared" si="12"/>
        <v>E2_3_1_117</v>
      </c>
      <c r="F285" s="19" t="s">
        <v>13404</v>
      </c>
      <c r="G285" s="19" t="s">
        <v>14819</v>
      </c>
      <c r="H285" s="19" t="s">
        <v>14083</v>
      </c>
      <c r="I285" s="19" t="s">
        <v>15498</v>
      </c>
      <c r="J285" s="19" t="str">
        <f t="shared" si="13"/>
        <v>(${Variables:E2_3_1_117_kcat} * E2_3_1_117 * C00091 * C03972 * C00001)/(${Variables:E2_3_1_117_km} + (E2_3_1_117 * C00091 * C03972 * C00001))</v>
      </c>
      <c r="K285" s="37" t="str">
        <f t="shared" si="14"/>
        <v>r284: C00091 + C03972 + C00001 -&gt; C00010 + C04462 | (${Variables:E2_3_1_117_kcat} * E2_3_1_117 * C00091 * C03972 * C00001)/(${Variables:E2_3_1_117_km} + (E2_3_1_117 * C00091 * C03972 * C00001))</v>
      </c>
    </row>
    <row r="286" spans="1:11" ht="46.25" customHeight="1">
      <c r="A286" t="s">
        <v>6098</v>
      </c>
      <c r="B286" t="s">
        <v>6099</v>
      </c>
      <c r="C286" t="s">
        <v>12863</v>
      </c>
      <c r="D286" s="19">
        <v>285</v>
      </c>
      <c r="E286" s="19" t="str">
        <f t="shared" si="12"/>
        <v>E2_3_1_181</v>
      </c>
      <c r="F286" s="19" t="s">
        <v>13405</v>
      </c>
      <c r="G286" s="19" t="s">
        <v>14820</v>
      </c>
      <c r="H286" s="19" t="s">
        <v>14084</v>
      </c>
      <c r="I286" s="19" t="s">
        <v>15499</v>
      </c>
      <c r="J286" s="19" t="str">
        <f t="shared" si="13"/>
        <v>(${Variables:E2_3_1_181_kcat} * E2_3_1_181 * C05752 * C16240)/(${Variables:E2_3_1_181_km} + (E2_3_1_181 * C05752 * C16240))</v>
      </c>
      <c r="K286" s="37" t="str">
        <f t="shared" si="14"/>
        <v>r285: C05752 + C16240 -&gt; C16236 + C00229 | (${Variables:E2_3_1_181_kcat} * E2_3_1_181 * C05752 * C16240)/(${Variables:E2_3_1_181_km} + (E2_3_1_181 * C05752 * C16240))</v>
      </c>
    </row>
    <row r="287" spans="1:11" ht="46.25" customHeight="1">
      <c r="A287" t="s">
        <v>6098</v>
      </c>
      <c r="B287" t="s">
        <v>6099</v>
      </c>
      <c r="C287" t="s">
        <v>12863</v>
      </c>
      <c r="D287" s="19">
        <v>286</v>
      </c>
      <c r="E287" s="19" t="str">
        <f t="shared" si="12"/>
        <v>E2_3_1_181</v>
      </c>
      <c r="F287" s="19" t="s">
        <v>13406</v>
      </c>
      <c r="G287" s="19" t="s">
        <v>14821</v>
      </c>
      <c r="H287" s="19" t="s">
        <v>14085</v>
      </c>
      <c r="I287" s="19" t="s">
        <v>15500</v>
      </c>
      <c r="J287" s="19" t="str">
        <f t="shared" si="13"/>
        <v>(${Variables:E2_3_1_181_kcat} * E2_3_1_181 * C05752 * C22158)/(${Variables:E2_3_1_181_km} + (E2_3_1_181 * C05752 * C22158))</v>
      </c>
      <c r="K287" s="37" t="str">
        <f t="shared" si="14"/>
        <v>r286: C05752 + C22158 -&gt; C22160 + C00229 | (${Variables:E2_3_1_181_kcat} * E2_3_1_181 * C05752 * C22158)/(${Variables:E2_3_1_181_km} + (E2_3_1_181 * C05752 * C22158))</v>
      </c>
    </row>
    <row r="288" spans="1:11" ht="46.25" customHeight="1">
      <c r="A288" t="s">
        <v>6098</v>
      </c>
      <c r="B288" t="s">
        <v>6099</v>
      </c>
      <c r="C288" t="s">
        <v>12863</v>
      </c>
      <c r="D288" s="19">
        <v>287</v>
      </c>
      <c r="E288" s="19" t="str">
        <f t="shared" si="12"/>
        <v>E2_3_1_181</v>
      </c>
      <c r="F288" s="19" t="s">
        <v>13407</v>
      </c>
      <c r="G288" s="19" t="s">
        <v>14822</v>
      </c>
      <c r="H288" s="19" t="s">
        <v>14086</v>
      </c>
      <c r="I288" s="19" t="s">
        <v>15501</v>
      </c>
      <c r="J288" s="19" t="str">
        <f t="shared" si="13"/>
        <v>(${Variables:E2_3_1_181_kcat} * E2_3_1_181 * C05752 * C22157)/(${Variables:E2_3_1_181_km} + (E2_3_1_181 * C05752 * C22157))</v>
      </c>
      <c r="K288" s="37" t="str">
        <f t="shared" si="14"/>
        <v>r287: C05752 + C22157 -&gt; C22159 + C00229 | (${Variables:E2_3_1_181_kcat} * E2_3_1_181 * C05752 * C22157)/(${Variables:E2_3_1_181_km} + (E2_3_1_181 * C05752 * C22157))</v>
      </c>
    </row>
    <row r="289" spans="1:11" ht="46.25" customHeight="1">
      <c r="A289" t="s">
        <v>6098</v>
      </c>
      <c r="B289" t="s">
        <v>6099</v>
      </c>
      <c r="C289" t="s">
        <v>12863</v>
      </c>
      <c r="D289" s="19">
        <v>288</v>
      </c>
      <c r="E289" s="19" t="str">
        <f t="shared" si="12"/>
        <v>E2_3_1_181</v>
      </c>
      <c r="F289" s="19" t="s">
        <v>13408</v>
      </c>
      <c r="G289" s="19" t="s">
        <v>14823</v>
      </c>
      <c r="H289" s="19" t="s">
        <v>14087</v>
      </c>
      <c r="I289" s="19" t="s">
        <v>15502</v>
      </c>
      <c r="J289" s="19" t="str">
        <f t="shared" si="13"/>
        <v>(${Variables:E2_3_1_181_kcat} * E2_3_1_181 * C16239 * C16240)/(${Variables:E2_3_1_181_km} + (E2_3_1_181 * C16239 * C16240))</v>
      </c>
      <c r="K289" s="37" t="str">
        <f t="shared" si="14"/>
        <v>r288: C16239 + C16240 -&gt; C16237 + C00229 | (${Variables:E2_3_1_181_kcat} * E2_3_1_181 * C16239 * C16240)/(${Variables:E2_3_1_181_km} + (E2_3_1_181 * C16239 * C16240))</v>
      </c>
    </row>
    <row r="290" spans="1:11" ht="46.25" customHeight="1">
      <c r="A290" t="s">
        <v>7092</v>
      </c>
      <c r="B290" t="s">
        <v>7093</v>
      </c>
      <c r="C290" t="s">
        <v>12864</v>
      </c>
      <c r="D290" s="19">
        <v>289</v>
      </c>
      <c r="E290" s="19" t="str">
        <f t="shared" si="12"/>
        <v>E2_3_1_189</v>
      </c>
      <c r="F290" s="19" t="s">
        <v>13409</v>
      </c>
      <c r="G290" s="19" t="s">
        <v>14824</v>
      </c>
      <c r="H290" s="19" t="s">
        <v>14088</v>
      </c>
      <c r="I290" s="19" t="s">
        <v>15503</v>
      </c>
      <c r="J290" s="19" t="str">
        <f t="shared" si="13"/>
        <v>(${Variables:E2_3_1_189_kcat} * E2_3_1_189 * C19703 * C00024)/(${Variables:E2_3_1_189_km} + (E2_3_1_189 * C19703 * C00024))</v>
      </c>
      <c r="K290" s="37" t="str">
        <f t="shared" si="14"/>
        <v>r289: C19703 + C00024 -&gt; C06717 + C00010 | (${Variables:E2_3_1_189_kcat} * E2_3_1_189 * C19703 * C00024)/(${Variables:E2_3_1_189_km} + (E2_3_1_189 * C19703 * C00024))</v>
      </c>
    </row>
    <row r="291" spans="1:11" ht="46.25" customHeight="1">
      <c r="A291" t="s">
        <v>1735</v>
      </c>
      <c r="B291" t="s">
        <v>1736</v>
      </c>
      <c r="C291" t="s">
        <v>12865</v>
      </c>
      <c r="D291" s="19">
        <v>290</v>
      </c>
      <c r="E291" s="19" t="str">
        <f t="shared" si="12"/>
        <v>E2_3_1_234</v>
      </c>
      <c r="F291" s="19" t="s">
        <v>13410</v>
      </c>
      <c r="G291" s="19" t="s">
        <v>14825</v>
      </c>
      <c r="H291" s="19" t="s">
        <v>14089</v>
      </c>
      <c r="I291" s="19" t="s">
        <v>15504</v>
      </c>
      <c r="J291" s="19" t="str">
        <f t="shared" si="13"/>
        <v>(${Variables:E2_3_1_234_kcat} * E2_3_1_234 * C20641 * C17324)/(${Variables:E2_3_1_234_km} + (E2_3_1_234 * C20641 * C17324))</v>
      </c>
      <c r="K291" s="37" t="str">
        <f t="shared" si="14"/>
        <v>r290: C20641 + C17324 -&gt; C00020 + C20751 | (${Variables:E2_3_1_234_kcat} * E2_3_1_234 * C20641 * C17324)/(${Variables:E2_3_1_234_km} + (E2_3_1_234 * C20641 * C17324))</v>
      </c>
    </row>
    <row r="292" spans="1:11" ht="46.25" customHeight="1">
      <c r="A292" t="s">
        <v>1743</v>
      </c>
      <c r="B292" t="s">
        <v>1744</v>
      </c>
      <c r="C292" t="s">
        <v>12865</v>
      </c>
      <c r="D292" s="19">
        <v>291</v>
      </c>
      <c r="E292" s="19" t="str">
        <f t="shared" si="12"/>
        <v>E2_3_1_234</v>
      </c>
      <c r="F292" s="19" t="s">
        <v>13410</v>
      </c>
      <c r="G292" s="19" t="s">
        <v>14825</v>
      </c>
      <c r="H292" s="19" t="s">
        <v>14089</v>
      </c>
      <c r="I292" s="19" t="s">
        <v>15504</v>
      </c>
      <c r="J292" s="19" t="str">
        <f t="shared" si="13"/>
        <v>(${Variables:E2_3_1_234_kcat} * E2_3_1_234 * C20641 * C17324)/(${Variables:E2_3_1_234_km} + (E2_3_1_234 * C20641 * C17324))</v>
      </c>
      <c r="K292" s="37" t="str">
        <f t="shared" si="14"/>
        <v>r291: C20641 + C17324 -&gt; C00020 + C20751 | (${Variables:E2_3_1_234_kcat} * E2_3_1_234 * C20641 * C17324)/(${Variables:E2_3_1_234_km} + (E2_3_1_234 * C20641 * C17324))</v>
      </c>
    </row>
    <row r="293" spans="1:11" ht="46.25" customHeight="1">
      <c r="A293" t="s">
        <v>1739</v>
      </c>
      <c r="B293" t="s">
        <v>1740</v>
      </c>
      <c r="C293" t="s">
        <v>16025</v>
      </c>
      <c r="D293" s="19">
        <v>292</v>
      </c>
      <c r="E293" s="19" t="str">
        <f t="shared" si="12"/>
        <v>E2_3_1_266</v>
      </c>
      <c r="F293" s="19" t="s">
        <v>13411</v>
      </c>
      <c r="G293" s="19" t="s">
        <v>14826</v>
      </c>
      <c r="H293" s="19" t="s">
        <v>14090</v>
      </c>
      <c r="I293" s="19" t="s">
        <v>15505</v>
      </c>
      <c r="J293" s="19" t="str">
        <f t="shared" si="13"/>
        <v>(${Variables:E2_3_1_266_kcat} * E2_3_1_266 * C00024 * C03803)/(${Variables:E2_3_1_266_km} + (E2_3_1_266 * C00024 * C03803))</v>
      </c>
      <c r="K293" s="37" t="str">
        <f t="shared" si="14"/>
        <v>r292: C00024 + C03803 -&gt; C00010 + C04341 | (${Variables:E2_3_1_266_kcat} * E2_3_1_266 * C00024 * C03803)/(${Variables:E2_3_1_266_km} + (E2_3_1_266 * C00024 * C03803))</v>
      </c>
    </row>
    <row r="294" spans="1:11" ht="46.25" customHeight="1">
      <c r="A294" t="s">
        <v>276</v>
      </c>
      <c r="B294" t="s">
        <v>277</v>
      </c>
      <c r="C294" t="s">
        <v>12867</v>
      </c>
      <c r="D294" s="19">
        <v>293</v>
      </c>
      <c r="E294" s="19" t="str">
        <f t="shared" si="12"/>
        <v>E2_3_1_286</v>
      </c>
      <c r="F294" s="19" t="s">
        <v>13412</v>
      </c>
      <c r="G294" s="19" t="s">
        <v>14827</v>
      </c>
      <c r="H294" s="19" t="s">
        <v>14091</v>
      </c>
      <c r="I294" s="19" t="s">
        <v>15506</v>
      </c>
      <c r="J294" s="19" t="str">
        <f t="shared" si="13"/>
        <v>(${Variables:E2_3_1_286_kcat} * E2_3_1_286 * C00003 * C20743 * C00001)/(${Variables:E2_3_1_286_km} + (E2_3_1_286 * C00003 * C20743 * C00001))</v>
      </c>
      <c r="K294" s="37" t="str">
        <f t="shared" si="14"/>
        <v>r293: C00003 + C20743 + C00001 -&gt; C00153 + C02188 + C20658 + C00080 | (${Variables:E2_3_1_286_kcat} * E2_3_1_286 * C00003 * C20743 * C00001)/(${Variables:E2_3_1_286_km} + (E2_3_1_286 * C00003 * C20743 * C00001))</v>
      </c>
    </row>
    <row r="295" spans="1:11" ht="46.25" customHeight="1">
      <c r="A295" t="s">
        <v>276</v>
      </c>
      <c r="B295" t="s">
        <v>277</v>
      </c>
      <c r="C295" t="s">
        <v>12867</v>
      </c>
      <c r="D295" s="19">
        <v>294</v>
      </c>
      <c r="E295" s="19" t="str">
        <f t="shared" si="12"/>
        <v>E2_3_1_286</v>
      </c>
      <c r="F295" s="19" t="s">
        <v>13413</v>
      </c>
      <c r="G295" s="19" t="s">
        <v>14828</v>
      </c>
      <c r="H295" s="19" t="s">
        <v>14092</v>
      </c>
      <c r="I295" s="19" t="s">
        <v>15507</v>
      </c>
      <c r="J295" s="19" t="str">
        <f t="shared" si="13"/>
        <v>(${Variables:E2_3_1_286_kcat} * E2_3_1_286 * C00003 * C01997 * C00001)/(${Variables:E2_3_1_286_km} + (E2_3_1_286 * C00003 * C01997 * C00001))</v>
      </c>
      <c r="K295" s="37" t="str">
        <f t="shared" si="14"/>
        <v>r294: C00003 + C01997 + C00001 -&gt; C00153 + C02415 + C20658 + C00080 | (${Variables:E2_3_1_286_kcat} * E2_3_1_286 * C00003 * C01997 * C00001)/(${Variables:E2_3_1_286_km} + (E2_3_1_286 * C00003 * C01997 * C00001))</v>
      </c>
    </row>
    <row r="296" spans="1:11" ht="46.25" customHeight="1">
      <c r="A296" t="s">
        <v>1904</v>
      </c>
      <c r="B296" t="s">
        <v>1905</v>
      </c>
      <c r="C296" t="s">
        <v>12868</v>
      </c>
      <c r="D296" s="19">
        <v>295</v>
      </c>
      <c r="E296" s="19" t="str">
        <f t="shared" si="12"/>
        <v>E2_3_1_31</v>
      </c>
      <c r="F296" s="19" t="s">
        <v>13414</v>
      </c>
      <c r="G296" s="19" t="s">
        <v>14829</v>
      </c>
      <c r="H296" s="19" t="s">
        <v>14093</v>
      </c>
      <c r="I296" s="19" t="s">
        <v>15508</v>
      </c>
      <c r="J296" s="19" t="str">
        <f t="shared" si="13"/>
        <v>(${Variables:E2_3_1_31_kcat} * E2_3_1_31 * C00024 * C00263)/(${Variables:E2_3_1_31_km} + (E2_3_1_31 * C00024 * C00263))</v>
      </c>
      <c r="K296" s="37" t="str">
        <f t="shared" si="14"/>
        <v>r295: C00024 + C00263 -&gt; C00010 + C01077 | (${Variables:E2_3_1_31_kcat} * E2_3_1_31 * C00024 * C00263)/(${Variables:E2_3_1_31_km} + (E2_3_1_31 * C00024 * C00263))</v>
      </c>
    </row>
    <row r="297" spans="1:11" ht="46.25" customHeight="1">
      <c r="A297" t="s">
        <v>3935</v>
      </c>
      <c r="B297" t="s">
        <v>3936</v>
      </c>
      <c r="C297" t="s">
        <v>12869</v>
      </c>
      <c r="D297" s="19">
        <v>296</v>
      </c>
      <c r="E297" s="19" t="str">
        <f t="shared" si="12"/>
        <v>E2_3_1_35</v>
      </c>
      <c r="F297" s="19" t="s">
        <v>13415</v>
      </c>
      <c r="G297" s="19" t="s">
        <v>14830</v>
      </c>
      <c r="H297" s="19" t="s">
        <v>14094</v>
      </c>
      <c r="I297" s="19" t="s">
        <v>15509</v>
      </c>
      <c r="J297" s="19" t="str">
        <f t="shared" si="13"/>
        <v>(${Variables:E2_3_1_35_kcat} * E2_3_1_35 * C00437 * C00025)/(${Variables:E2_3_1_35_km} + (E2_3_1_35 * C00437 * C00025))</v>
      </c>
      <c r="K297" s="37" t="str">
        <f t="shared" si="14"/>
        <v>r296: C00437 + C00025 -&gt; C00077 + C00624 | (${Variables:E2_3_1_35_kcat} * E2_3_1_35 * C00437 * C00025)/(${Variables:E2_3_1_35_km} + (E2_3_1_35 * C00437 * C00025))</v>
      </c>
    </row>
    <row r="298" spans="1:11" ht="46.25" customHeight="1">
      <c r="A298" t="s">
        <v>7555</v>
      </c>
      <c r="B298" t="s">
        <v>7556</v>
      </c>
      <c r="C298" t="s">
        <v>12870</v>
      </c>
      <c r="D298" s="19">
        <v>297</v>
      </c>
      <c r="E298" s="19" t="str">
        <f t="shared" si="12"/>
        <v>E2_3_1_8</v>
      </c>
      <c r="F298" s="19" t="s">
        <v>13416</v>
      </c>
      <c r="G298" s="19" t="s">
        <v>14831</v>
      </c>
      <c r="H298" s="19" t="s">
        <v>14095</v>
      </c>
      <c r="I298" s="19" t="s">
        <v>15510</v>
      </c>
      <c r="J298" s="19" t="str">
        <f t="shared" si="13"/>
        <v>(${Variables:E2_3_1_8_kcat} * E2_3_1_8 * C00024 * C00009)/(${Variables:E2_3_1_8_km} + (E2_3_1_8 * C00024 * C00009))</v>
      </c>
      <c r="K298" s="37" t="str">
        <f t="shared" si="14"/>
        <v>r297: C00024 + C00009 -&gt; C00010 + C00227 | (${Variables:E2_3_1_8_kcat} * E2_3_1_8 * C00024 * C00009)/(${Variables:E2_3_1_8_km} + (E2_3_1_8 * C00024 * C00009))</v>
      </c>
    </row>
    <row r="299" spans="1:11" ht="46.25" customHeight="1">
      <c r="A299" t="s">
        <v>7555</v>
      </c>
      <c r="B299" t="s">
        <v>7556</v>
      </c>
      <c r="C299" t="s">
        <v>12870</v>
      </c>
      <c r="D299" s="19">
        <v>298</v>
      </c>
      <c r="E299" s="19" t="str">
        <f t="shared" si="12"/>
        <v>E2_3_1_8</v>
      </c>
      <c r="F299" s="19" t="s">
        <v>13417</v>
      </c>
      <c r="G299" s="19" t="s">
        <v>14832</v>
      </c>
      <c r="H299" s="19" t="s">
        <v>14096</v>
      </c>
      <c r="I299" s="19" t="s">
        <v>15511</v>
      </c>
      <c r="J299" s="19" t="str">
        <f t="shared" si="13"/>
        <v>(${Variables:E2_3_1_8_kcat} * E2_3_1_8 * C00100 * C00009)/(${Variables:E2_3_1_8_km} + (E2_3_1_8 * C00100 * C00009))</v>
      </c>
      <c r="K299" s="37" t="str">
        <f t="shared" si="14"/>
        <v>r298: C00100 + C00009 -&gt; C02876 + C00010 | (${Variables:E2_3_1_8_kcat} * E2_3_1_8 * C00100 * C00009)/(${Variables:E2_3_1_8_km} + (E2_3_1_8 * C00100 * C00009))</v>
      </c>
    </row>
    <row r="300" spans="1:11" ht="46.25" customHeight="1">
      <c r="A300" t="s">
        <v>2423</v>
      </c>
      <c r="B300" t="s">
        <v>2424</v>
      </c>
      <c r="C300" t="s">
        <v>12871</v>
      </c>
      <c r="D300" s="19">
        <v>299</v>
      </c>
      <c r="E300" s="19" t="str">
        <f t="shared" si="12"/>
        <v>E2_3_1_85</v>
      </c>
      <c r="F300" s="19" t="s">
        <v>13418</v>
      </c>
      <c r="G300" s="19" t="s">
        <v>14833</v>
      </c>
      <c r="H300" s="19" t="s">
        <v>14097</v>
      </c>
      <c r="I300" s="19" t="s">
        <v>15512</v>
      </c>
      <c r="J300" s="19" t="str">
        <f t="shared" si="13"/>
        <v>(${Variables:E2_3_1_85_kcat} * E2_3_1_85 * C00024 * C00083 * C00005 * C00080 )/(${Variables:E2_3_1_85_km} + (E2_3_1_85 * C00024 * C00083 * C00005 * C00080 ))</v>
      </c>
      <c r="K300" s="37" t="str">
        <f t="shared" si="14"/>
        <v>r299: C00024 + C00083 + C00005 + C00080  -&gt; C00638 + C00011 + C00006 + C00010 + C00001 | (${Variables:E2_3_1_85_kcat} * E2_3_1_85 * C00024 * C00083 * C00005 * C00080 )/(${Variables:E2_3_1_85_km} + (E2_3_1_85 * C00024 * C00083 * C00005 * C00080 ))</v>
      </c>
    </row>
    <row r="301" spans="1:11" ht="46.25" customHeight="1">
      <c r="A301" t="s">
        <v>2423</v>
      </c>
      <c r="B301" t="s">
        <v>2424</v>
      </c>
      <c r="C301" t="s">
        <v>12871</v>
      </c>
      <c r="D301" s="19">
        <v>300</v>
      </c>
      <c r="E301" s="19" t="str">
        <f t="shared" si="12"/>
        <v>E2_3_1_85</v>
      </c>
      <c r="F301" s="19" t="s">
        <v>13419</v>
      </c>
      <c r="G301" s="19" t="s">
        <v>14834</v>
      </c>
      <c r="H301" s="19" t="s">
        <v>14098</v>
      </c>
      <c r="I301" s="19" t="s">
        <v>15513</v>
      </c>
      <c r="J301" s="19" t="str">
        <f t="shared" si="13"/>
        <v>(${Variables:E2_3_1_85_kcat} * E2_3_1_85 * C00024 * C00229)/(${Variables:E2_3_1_85_km} + (E2_3_1_85 * C00024 * C00229))</v>
      </c>
      <c r="K301" s="37" t="str">
        <f t="shared" si="14"/>
        <v>r300: C00024 + C00229 -&gt; C00010 + C03939 | (${Variables:E2_3_1_85_kcat} * E2_3_1_85 * C00024 * C00229)/(${Variables:E2_3_1_85_km} + (E2_3_1_85 * C00024 * C00229))</v>
      </c>
    </row>
    <row r="302" spans="1:11" ht="46.25" customHeight="1">
      <c r="A302" t="s">
        <v>2423</v>
      </c>
      <c r="B302" t="s">
        <v>2424</v>
      </c>
      <c r="C302" t="s">
        <v>12871</v>
      </c>
      <c r="D302" s="19">
        <v>301</v>
      </c>
      <c r="E302" s="19" t="str">
        <f t="shared" si="12"/>
        <v>E2_3_1_85</v>
      </c>
      <c r="F302" s="19" t="s">
        <v>13420</v>
      </c>
      <c r="G302" s="19" t="s">
        <v>14835</v>
      </c>
      <c r="H302" s="19" t="s">
        <v>14099</v>
      </c>
      <c r="I302" s="19" t="s">
        <v>15514</v>
      </c>
      <c r="J302" s="19" t="str">
        <f t="shared" si="13"/>
        <v>(${Variables:E2_3_1_85_kcat} * E2_3_1_85 * C00083 * C00229)/(${Variables:E2_3_1_85_km} + (E2_3_1_85 * C00083 * C00229))</v>
      </c>
      <c r="K302" s="37" t="str">
        <f t="shared" si="14"/>
        <v>r301: C00083 + C00229 -&gt; C00010 + C01209 | (${Variables:E2_3_1_85_kcat} * E2_3_1_85 * C00083 * C00229)/(${Variables:E2_3_1_85_km} + (E2_3_1_85 * C00083 * C00229))</v>
      </c>
    </row>
    <row r="303" spans="1:11" ht="46.25" customHeight="1">
      <c r="A303" t="s">
        <v>2423</v>
      </c>
      <c r="B303" t="s">
        <v>2424</v>
      </c>
      <c r="C303" t="s">
        <v>12871</v>
      </c>
      <c r="D303" s="19">
        <v>302</v>
      </c>
      <c r="E303" s="19" t="str">
        <f t="shared" si="12"/>
        <v>E2_3_1_85</v>
      </c>
      <c r="F303" s="19" t="s">
        <v>13421</v>
      </c>
      <c r="G303" s="19" t="s">
        <v>14836</v>
      </c>
      <c r="H303" s="19" t="s">
        <v>14100</v>
      </c>
      <c r="I303" s="19" t="s">
        <v>15515</v>
      </c>
      <c r="J303" s="19" t="str">
        <f t="shared" si="13"/>
        <v>(${Variables:E2_3_1_85_kcat} * E2_3_1_85 * C05764 * C00001)/(${Variables:E2_3_1_85_km} + (E2_3_1_85 * C05764 * C00001))</v>
      </c>
      <c r="K303" s="37" t="str">
        <f t="shared" si="14"/>
        <v>r302: C05764 + C00001 -&gt; C00229 + C00249 | (${Variables:E2_3_1_85_kcat} * E2_3_1_85 * C05764 * C00001)/(${Variables:E2_3_1_85_km} + (E2_3_1_85 * C05764 * C00001))</v>
      </c>
    </row>
    <row r="304" spans="1:11" ht="46.25" customHeight="1">
      <c r="A304" t="s">
        <v>2423</v>
      </c>
      <c r="B304" t="s">
        <v>2424</v>
      </c>
      <c r="C304" t="s">
        <v>12871</v>
      </c>
      <c r="D304" s="19">
        <v>303</v>
      </c>
      <c r="E304" s="19" t="str">
        <f t="shared" si="12"/>
        <v>E2_3_1_85</v>
      </c>
      <c r="F304" s="19" t="s">
        <v>13422</v>
      </c>
      <c r="G304" s="19" t="s">
        <v>14837</v>
      </c>
      <c r="H304" s="19" t="s">
        <v>14101</v>
      </c>
      <c r="I304" s="19" t="s">
        <v>15516</v>
      </c>
      <c r="J304" s="19" t="str">
        <f t="shared" si="13"/>
        <v>(${Variables:E2_3_1_85_kcat} * E2_3_1_85 * C03939 * C01209)/(${Variables:E2_3_1_85_km} + (E2_3_1_85 * C03939 * C01209))</v>
      </c>
      <c r="K304" s="37" t="str">
        <f t="shared" si="14"/>
        <v>r303: C03939 + C01209 -&gt; C05744 + C00011 + C00229 | (${Variables:E2_3_1_85_kcat} * E2_3_1_85 * C03939 * C01209)/(${Variables:E2_3_1_85_km} + (E2_3_1_85 * C03939 * C01209))</v>
      </c>
    </row>
    <row r="305" spans="1:11" ht="46.25" customHeight="1">
      <c r="A305" t="s">
        <v>2423</v>
      </c>
      <c r="B305" t="s">
        <v>2424</v>
      </c>
      <c r="C305" t="s">
        <v>12871</v>
      </c>
      <c r="D305" s="19">
        <v>304</v>
      </c>
      <c r="E305" s="19" t="str">
        <f t="shared" si="12"/>
        <v>E2_3_1_85</v>
      </c>
      <c r="F305" s="19" t="s">
        <v>8881</v>
      </c>
      <c r="G305" s="19" t="s">
        <v>8881</v>
      </c>
      <c r="H305" s="19" t="s">
        <v>14102</v>
      </c>
      <c r="I305" s="19" t="s">
        <v>15517</v>
      </c>
      <c r="J305" s="19" t="str">
        <f t="shared" si="13"/>
        <v>(${Variables:E2_3_1_85_kcat} * E2_3_1_85 * C04618)/(${Variables:E2_3_1_85_km} + (E2_3_1_85 * C04618))</v>
      </c>
      <c r="K305" s="37" t="str">
        <f t="shared" si="14"/>
        <v>r304: C04618 -&gt; C04246 + C00001 | (${Variables:E2_3_1_85_kcat} * E2_3_1_85 * C04618)/(${Variables:E2_3_1_85_km} + (E2_3_1_85 * C04618))</v>
      </c>
    </row>
    <row r="306" spans="1:11" ht="46.25" customHeight="1">
      <c r="A306" t="s">
        <v>2423</v>
      </c>
      <c r="B306" t="s">
        <v>2424</v>
      </c>
      <c r="C306" t="s">
        <v>12871</v>
      </c>
      <c r="D306" s="19">
        <v>305</v>
      </c>
      <c r="E306" s="19" t="str">
        <f t="shared" si="12"/>
        <v>E2_3_1_85</v>
      </c>
      <c r="F306" s="19" t="s">
        <v>13423</v>
      </c>
      <c r="G306" s="19" t="s">
        <v>14838</v>
      </c>
      <c r="H306" s="19" t="s">
        <v>14103</v>
      </c>
      <c r="I306" s="19" t="s">
        <v>15518</v>
      </c>
      <c r="J306" s="19" t="str">
        <f t="shared" si="13"/>
        <v>(${Variables:E2_3_1_85_kcat} * E2_3_1_85 * C05745 * C00006)/(${Variables:E2_3_1_85_km} + (E2_3_1_85 * C05745 * C00006))</v>
      </c>
      <c r="K306" s="37" t="str">
        <f t="shared" si="14"/>
        <v>r305: C05745 + C00006 -&gt; C04246 + C00005 + C00080 | (${Variables:E2_3_1_85_kcat} * E2_3_1_85 * C05745 * C00006)/(${Variables:E2_3_1_85_km} + (E2_3_1_85 * C05745 * C00006))</v>
      </c>
    </row>
    <row r="307" spans="1:11" ht="46.25" customHeight="1">
      <c r="A307" t="s">
        <v>2423</v>
      </c>
      <c r="B307" t="s">
        <v>2424</v>
      </c>
      <c r="C307" t="s">
        <v>12871</v>
      </c>
      <c r="D307" s="19">
        <v>306</v>
      </c>
      <c r="E307" s="19" t="str">
        <f t="shared" si="12"/>
        <v>E2_3_1_85</v>
      </c>
      <c r="F307" s="19" t="s">
        <v>13199</v>
      </c>
      <c r="G307" s="19" t="s">
        <v>14614</v>
      </c>
      <c r="H307" s="19" t="s">
        <v>13886</v>
      </c>
      <c r="I307" s="19" t="s">
        <v>15301</v>
      </c>
      <c r="J307" s="19" t="str">
        <f t="shared" si="13"/>
        <v>(${Variables:E2_3_1_85_kcat} * E2_3_1_85 * C04618 * C00006)/(${Variables:E2_3_1_85_km} + (E2_3_1_85 * C04618 * C00006))</v>
      </c>
      <c r="K307" s="37" t="str">
        <f t="shared" si="14"/>
        <v>r306: C04618 + C00006 -&gt; C05744 + C00005 + C00080 | (${Variables:E2_3_1_85_kcat} * E2_3_1_85 * C04618 * C00006)/(${Variables:E2_3_1_85_km} + (E2_3_1_85 * C04618 * C00006))</v>
      </c>
    </row>
    <row r="308" spans="1:11" ht="46.25" customHeight="1">
      <c r="A308" t="s">
        <v>2423</v>
      </c>
      <c r="B308" t="s">
        <v>2424</v>
      </c>
      <c r="C308" t="s">
        <v>12871</v>
      </c>
      <c r="D308" s="19">
        <v>307</v>
      </c>
      <c r="E308" s="19" t="str">
        <f t="shared" si="12"/>
        <v>E2_3_1_85</v>
      </c>
      <c r="F308" s="19" t="s">
        <v>13200</v>
      </c>
      <c r="G308" s="19" t="s">
        <v>14615</v>
      </c>
      <c r="H308" s="19" t="s">
        <v>13887</v>
      </c>
      <c r="I308" s="19" t="s">
        <v>15302</v>
      </c>
      <c r="J308" s="19" t="str">
        <f t="shared" si="13"/>
        <v>(${Variables:E2_3_1_85_kcat} * E2_3_1_85 * C04619 * C00006)/(${Variables:E2_3_1_85_km} + (E2_3_1_85 * C04619 * C00006))</v>
      </c>
      <c r="K308" s="37" t="str">
        <f t="shared" si="14"/>
        <v>r307: C04619 + C00006 -&gt; C05753 + C00005 | (${Variables:E2_3_1_85_kcat} * E2_3_1_85 * C04619 * C00006)/(${Variables:E2_3_1_85_km} + (E2_3_1_85 * C04619 * C00006))</v>
      </c>
    </row>
    <row r="309" spans="1:11" ht="46.25" customHeight="1">
      <c r="A309" t="s">
        <v>2423</v>
      </c>
      <c r="B309" t="s">
        <v>2424</v>
      </c>
      <c r="C309" t="s">
        <v>12871</v>
      </c>
      <c r="D309" s="19">
        <v>308</v>
      </c>
      <c r="E309" s="19" t="str">
        <f t="shared" si="12"/>
        <v>E2_3_1_85</v>
      </c>
      <c r="F309" s="19" t="s">
        <v>8886</v>
      </c>
      <c r="G309" s="19" t="s">
        <v>8886</v>
      </c>
      <c r="H309" s="19" t="s">
        <v>14104</v>
      </c>
      <c r="I309" s="19" t="s">
        <v>15519</v>
      </c>
      <c r="J309" s="19" t="str">
        <f t="shared" si="13"/>
        <v>(${Variables:E2_3_1_85_kcat} * E2_3_1_85 * C04619 )/(${Variables:E2_3_1_85_km} + (E2_3_1_85 * C04619 ))</v>
      </c>
      <c r="K309" s="37" t="str">
        <f t="shared" si="14"/>
        <v>r308: C04619  -&gt; C05754 + C00001 | (${Variables:E2_3_1_85_kcat} * E2_3_1_85 * C04619 )/(${Variables:E2_3_1_85_km} + (E2_3_1_85 * C04619 ))</v>
      </c>
    </row>
    <row r="310" spans="1:11" ht="46.25" customHeight="1">
      <c r="A310" t="s">
        <v>2423</v>
      </c>
      <c r="B310" t="s">
        <v>2424</v>
      </c>
      <c r="C310" t="s">
        <v>12871</v>
      </c>
      <c r="D310" s="19">
        <v>309</v>
      </c>
      <c r="E310" s="19" t="str">
        <f t="shared" si="12"/>
        <v>E2_3_1_85</v>
      </c>
      <c r="F310" s="19" t="s">
        <v>13201</v>
      </c>
      <c r="G310" s="19" t="s">
        <v>14616</v>
      </c>
      <c r="H310" s="19" t="s">
        <v>13888</v>
      </c>
      <c r="I310" s="19" t="s">
        <v>15303</v>
      </c>
      <c r="J310" s="19" t="str">
        <f t="shared" si="13"/>
        <v>(${Variables:E2_3_1_85_kcat} * E2_3_1_85 * C04620 * C00006)/(${Variables:E2_3_1_85_km} + (E2_3_1_85 * C04620 * C00006))</v>
      </c>
      <c r="K310" s="37" t="str">
        <f t="shared" si="14"/>
        <v>r309: C04620 + C00006 -&gt; C05750 + C00005 + C00080 | (${Variables:E2_3_1_85_kcat} * E2_3_1_85 * C04620 * C00006)/(${Variables:E2_3_1_85_km} + (E2_3_1_85 * C04620 * C00006))</v>
      </c>
    </row>
    <row r="311" spans="1:11" ht="46.25" customHeight="1">
      <c r="A311" t="s">
        <v>2423</v>
      </c>
      <c r="B311" t="s">
        <v>2424</v>
      </c>
      <c r="C311" t="s">
        <v>12871</v>
      </c>
      <c r="D311" s="19">
        <v>310</v>
      </c>
      <c r="E311" s="19" t="str">
        <f t="shared" si="12"/>
        <v>E2_3_1_85</v>
      </c>
      <c r="F311" s="19" t="s">
        <v>8889</v>
      </c>
      <c r="G311" s="19" t="s">
        <v>8889</v>
      </c>
      <c r="H311" s="19" t="s">
        <v>14105</v>
      </c>
      <c r="I311" s="19" t="s">
        <v>15520</v>
      </c>
      <c r="J311" s="19" t="str">
        <f t="shared" si="13"/>
        <v>(${Variables:E2_3_1_85_kcat} * E2_3_1_85 * C04620 )/(${Variables:E2_3_1_85_km} + (E2_3_1_85 * C04620 ))</v>
      </c>
      <c r="K311" s="37" t="str">
        <f t="shared" si="14"/>
        <v>r310: C04620  -&gt; C05751 + C00001 | (${Variables:E2_3_1_85_kcat} * E2_3_1_85 * C04620 )/(${Variables:E2_3_1_85_km} + (E2_3_1_85 * C04620 ))</v>
      </c>
    </row>
    <row r="312" spans="1:11" ht="46.25" customHeight="1">
      <c r="A312" t="s">
        <v>2423</v>
      </c>
      <c r="B312" t="s">
        <v>2424</v>
      </c>
      <c r="C312" t="s">
        <v>12871</v>
      </c>
      <c r="D312" s="19">
        <v>311</v>
      </c>
      <c r="E312" s="19" t="str">
        <f t="shared" si="12"/>
        <v>E2_3_1_85</v>
      </c>
      <c r="F312" s="19" t="s">
        <v>13202</v>
      </c>
      <c r="G312" s="19" t="s">
        <v>14617</v>
      </c>
      <c r="H312" s="19" t="s">
        <v>13889</v>
      </c>
      <c r="I312" s="19" t="s">
        <v>15304</v>
      </c>
      <c r="J312" s="19" t="str">
        <f t="shared" si="13"/>
        <v>(${Variables:E2_3_1_85_kcat} * E2_3_1_85 * C04633 * C00006)/(${Variables:E2_3_1_85_km} + (E2_3_1_85 * C04633 * C00006))</v>
      </c>
      <c r="K312" s="37" t="str">
        <f t="shared" si="14"/>
        <v>r311: C04633 + C00006 -&gt; C05762 + C00005 + C00080 | (${Variables:E2_3_1_85_kcat} * E2_3_1_85 * C04633 * C00006)/(${Variables:E2_3_1_85_km} + (E2_3_1_85 * C04633 * C00006))</v>
      </c>
    </row>
    <row r="313" spans="1:11" ht="46.25" customHeight="1">
      <c r="A313" t="s">
        <v>2423</v>
      </c>
      <c r="B313" t="s">
        <v>2424</v>
      </c>
      <c r="C313" t="s">
        <v>12871</v>
      </c>
      <c r="D313" s="19">
        <v>312</v>
      </c>
      <c r="E313" s="19" t="str">
        <f t="shared" si="12"/>
        <v>E2_3_1_85</v>
      </c>
      <c r="F313" s="19" t="s">
        <v>8892</v>
      </c>
      <c r="G313" s="19" t="s">
        <v>8892</v>
      </c>
      <c r="H313" s="19" t="s">
        <v>14106</v>
      </c>
      <c r="I313" s="19" t="s">
        <v>15521</v>
      </c>
      <c r="J313" s="19" t="str">
        <f t="shared" si="13"/>
        <v>(${Variables:E2_3_1_85_kcat} * E2_3_1_85 * C04633 )/(${Variables:E2_3_1_85_km} + (E2_3_1_85 * C04633 ))</v>
      </c>
      <c r="K313" s="37" t="str">
        <f t="shared" si="14"/>
        <v>r312: C04633  -&gt; C05763 + C00001 | (${Variables:E2_3_1_85_kcat} * E2_3_1_85 * C04633 )/(${Variables:E2_3_1_85_km} + (E2_3_1_85 * C04633 ))</v>
      </c>
    </row>
    <row r="314" spans="1:11" ht="46.25" customHeight="1">
      <c r="A314" t="s">
        <v>2423</v>
      </c>
      <c r="B314" t="s">
        <v>2424</v>
      </c>
      <c r="C314" t="s">
        <v>12871</v>
      </c>
      <c r="D314" s="19">
        <v>313</v>
      </c>
      <c r="E314" s="19" t="str">
        <f t="shared" si="12"/>
        <v>E2_3_1_85</v>
      </c>
      <c r="F314" s="19" t="s">
        <v>13203</v>
      </c>
      <c r="G314" s="19" t="s">
        <v>14618</v>
      </c>
      <c r="H314" s="19" t="s">
        <v>14107</v>
      </c>
      <c r="I314" s="19" t="s">
        <v>15522</v>
      </c>
      <c r="J314" s="19" t="str">
        <f t="shared" si="13"/>
        <v>(${Variables:E2_3_1_85_kcat} * E2_3_1_85 * C04688 * C00006)/(${Variables:E2_3_1_85_km} + (E2_3_1_85 * C04688 * C00006))</v>
      </c>
      <c r="K314" s="37" t="str">
        <f t="shared" si="14"/>
        <v>r313: C04688 + C00006 -&gt; C05759 + C00005 + C00080 | (${Variables:E2_3_1_85_kcat} * E2_3_1_85 * C04688 * C00006)/(${Variables:E2_3_1_85_km} + (E2_3_1_85 * C04688 * C00006))</v>
      </c>
    </row>
    <row r="315" spans="1:11" ht="46.25" customHeight="1">
      <c r="A315" t="s">
        <v>2423</v>
      </c>
      <c r="B315" t="s">
        <v>2424</v>
      </c>
      <c r="C315" t="s">
        <v>12871</v>
      </c>
      <c r="D315" s="19">
        <v>314</v>
      </c>
      <c r="E315" s="19" t="str">
        <f t="shared" si="12"/>
        <v>E2_3_1_85</v>
      </c>
      <c r="F315" s="19" t="s">
        <v>8895</v>
      </c>
      <c r="G315" s="19" t="s">
        <v>8895</v>
      </c>
      <c r="H315" s="19" t="s">
        <v>14108</v>
      </c>
      <c r="I315" s="19" t="s">
        <v>15523</v>
      </c>
      <c r="J315" s="19" t="str">
        <f t="shared" si="13"/>
        <v>(${Variables:E2_3_1_85_kcat} * E2_3_1_85 * C04688  )/(${Variables:E2_3_1_85_km} + (E2_3_1_85 * C04688  ))</v>
      </c>
      <c r="K315" s="37" t="str">
        <f t="shared" si="14"/>
        <v>r314: C04688   -&gt; C05760 + C00001 | (${Variables:E2_3_1_85_kcat} * E2_3_1_85 * C04688  )/(${Variables:E2_3_1_85_km} + (E2_3_1_85 * C04688  ))</v>
      </c>
    </row>
    <row r="316" spans="1:11" ht="46.25" customHeight="1">
      <c r="A316" t="s">
        <v>2423</v>
      </c>
      <c r="B316" t="s">
        <v>2424</v>
      </c>
      <c r="C316" t="s">
        <v>12871</v>
      </c>
      <c r="D316" s="19">
        <v>315</v>
      </c>
      <c r="E316" s="19" t="str">
        <f t="shared" si="12"/>
        <v>E2_3_1_85</v>
      </c>
      <c r="F316" s="19" t="s">
        <v>13424</v>
      </c>
      <c r="G316" s="19" t="s">
        <v>14839</v>
      </c>
      <c r="H316" s="19" t="s">
        <v>14109</v>
      </c>
      <c r="I316" s="19" t="s">
        <v>15524</v>
      </c>
      <c r="J316" s="19" t="str">
        <f t="shared" si="13"/>
        <v>(${Variables:E2_3_1_85_kcat} * E2_3_1_85 * C05223 * C00006)/(${Variables:E2_3_1_85_km} + (E2_3_1_85 * C05223 * C00006))</v>
      </c>
      <c r="K316" s="37" t="str">
        <f t="shared" si="14"/>
        <v>r315: C05223 + C00006 -&gt; C05758 + C00005 + C00080 | (${Variables:E2_3_1_85_kcat} * E2_3_1_85 * C05223 * C00006)/(${Variables:E2_3_1_85_km} + (E2_3_1_85 * C05223 * C00006))</v>
      </c>
    </row>
    <row r="317" spans="1:11" ht="46.25" customHeight="1">
      <c r="A317" t="s">
        <v>2423</v>
      </c>
      <c r="B317" t="s">
        <v>2424</v>
      </c>
      <c r="C317" t="s">
        <v>12871</v>
      </c>
      <c r="D317" s="19">
        <v>316</v>
      </c>
      <c r="E317" s="19" t="str">
        <f t="shared" si="12"/>
        <v>E2_3_1_85</v>
      </c>
      <c r="F317" s="19" t="s">
        <v>13425</v>
      </c>
      <c r="G317" s="19" t="s">
        <v>14840</v>
      </c>
      <c r="H317" s="19" t="s">
        <v>14110</v>
      </c>
      <c r="I317" s="19" t="s">
        <v>15525</v>
      </c>
      <c r="J317" s="19" t="str">
        <f t="shared" si="13"/>
        <v>(${Variables:E2_3_1_85_kcat} * E2_3_1_85 * C05223 * C01209)/(${Variables:E2_3_1_85_km} + (E2_3_1_85 * C05223 * C01209))</v>
      </c>
      <c r="K317" s="37" t="str">
        <f t="shared" si="14"/>
        <v>r316: C05223 + C01209 -&gt; C05759 + C00011 + C00229 | (${Variables:E2_3_1_85_kcat} * E2_3_1_85 * C05223 * C01209)/(${Variables:E2_3_1_85_km} + (E2_3_1_85 * C05223 * C01209))</v>
      </c>
    </row>
    <row r="318" spans="1:11" ht="46.25" customHeight="1">
      <c r="A318" t="s">
        <v>2423</v>
      </c>
      <c r="B318" t="s">
        <v>2424</v>
      </c>
      <c r="C318" t="s">
        <v>12871</v>
      </c>
      <c r="D318" s="19">
        <v>317</v>
      </c>
      <c r="E318" s="19" t="str">
        <f t="shared" si="12"/>
        <v>E2_3_1_85</v>
      </c>
      <c r="F318" s="19" t="s">
        <v>13426</v>
      </c>
      <c r="G318" s="19" t="s">
        <v>14841</v>
      </c>
      <c r="H318" s="19" t="s">
        <v>14111</v>
      </c>
      <c r="I318" s="19" t="s">
        <v>15526</v>
      </c>
      <c r="J318" s="19" t="str">
        <f t="shared" si="13"/>
        <v>(${Variables:E2_3_1_85_kcat} * E2_3_1_85 * C05745 * C01209)/(${Variables:E2_3_1_85_km} + (E2_3_1_85 * C05745 * C01209))</v>
      </c>
      <c r="K318" s="37" t="str">
        <f t="shared" si="14"/>
        <v>r317: C05745 + C01209 -&gt; C05746 + C00011 + C00229 | (${Variables:E2_3_1_85_kcat} * E2_3_1_85 * C05745 * C01209)/(${Variables:E2_3_1_85_km} + (E2_3_1_85 * C05745 * C01209))</v>
      </c>
    </row>
    <row r="319" spans="1:11" ht="46.25" customHeight="1">
      <c r="A319" t="s">
        <v>2423</v>
      </c>
      <c r="B319" t="s">
        <v>2424</v>
      </c>
      <c r="C319" t="s">
        <v>12871</v>
      </c>
      <c r="D319" s="19">
        <v>318</v>
      </c>
      <c r="E319" s="19" t="str">
        <f t="shared" si="12"/>
        <v>E2_3_1_85</v>
      </c>
      <c r="F319" s="19" t="s">
        <v>13204</v>
      </c>
      <c r="G319" s="19" t="s">
        <v>14619</v>
      </c>
      <c r="H319" s="19" t="s">
        <v>13890</v>
      </c>
      <c r="I319" s="19" t="s">
        <v>15305</v>
      </c>
      <c r="J319" s="19" t="str">
        <f t="shared" si="13"/>
        <v>(${Variables:E2_3_1_85_kcat} * E2_3_1_85 * C05747 * C00006)/(${Variables:E2_3_1_85_km} + (E2_3_1_85 * C05747 * C00006))</v>
      </c>
      <c r="K319" s="37" t="str">
        <f t="shared" si="14"/>
        <v>r318: C05747 + C00006 -&gt; C05746 + C00005 + C00080 | (${Variables:E2_3_1_85_kcat} * E2_3_1_85 * C05747 * C00006)/(${Variables:E2_3_1_85_km} + (E2_3_1_85 * C05747 * C00006))</v>
      </c>
    </row>
    <row r="320" spans="1:11" ht="46.25" customHeight="1">
      <c r="A320" t="s">
        <v>2423</v>
      </c>
      <c r="B320" t="s">
        <v>2424</v>
      </c>
      <c r="C320" t="s">
        <v>12871</v>
      </c>
      <c r="D320" s="19">
        <v>319</v>
      </c>
      <c r="E320" s="19" t="str">
        <f t="shared" si="12"/>
        <v>E2_3_1_85</v>
      </c>
      <c r="F320" s="19" t="s">
        <v>8901</v>
      </c>
      <c r="G320" s="19" t="s">
        <v>8901</v>
      </c>
      <c r="H320" s="19" t="s">
        <v>14112</v>
      </c>
      <c r="I320" s="19" t="s">
        <v>15527</v>
      </c>
      <c r="J320" s="19" t="str">
        <f t="shared" si="13"/>
        <v>(${Variables:E2_3_1_85_kcat} * E2_3_1_85 * C05747  )/(${Variables:E2_3_1_85_km} + (E2_3_1_85 * C05747  ))</v>
      </c>
      <c r="K320" s="37" t="str">
        <f t="shared" si="14"/>
        <v>r319: C05747   -&gt; C05748 + C00001 | (${Variables:E2_3_1_85_kcat} * E2_3_1_85 * C05747  )/(${Variables:E2_3_1_85_km} + (E2_3_1_85 * C05747  ))</v>
      </c>
    </row>
    <row r="321" spans="1:11" ht="46.25" customHeight="1">
      <c r="A321" t="s">
        <v>2423</v>
      </c>
      <c r="B321" t="s">
        <v>2424</v>
      </c>
      <c r="C321" t="s">
        <v>12871</v>
      </c>
      <c r="D321" s="19">
        <v>320</v>
      </c>
      <c r="E321" s="19" t="str">
        <f t="shared" si="12"/>
        <v>E2_3_1_85</v>
      </c>
      <c r="F321" s="19" t="s">
        <v>13427</v>
      </c>
      <c r="G321" s="19" t="s">
        <v>14842</v>
      </c>
      <c r="H321" s="19" t="s">
        <v>14113</v>
      </c>
      <c r="I321" s="19" t="s">
        <v>15528</v>
      </c>
      <c r="J321" s="19" t="str">
        <f t="shared" si="13"/>
        <v>(${Variables:E2_3_1_85_kcat} * E2_3_1_85 * C05749 * C00006 )/(${Variables:E2_3_1_85_km} + (E2_3_1_85 * C05749 * C00006 ))</v>
      </c>
      <c r="K321" s="37" t="str">
        <f t="shared" si="14"/>
        <v>r320: C05749 + C00006  -&gt; C05748 + C00005 + C00080 | (${Variables:E2_3_1_85_kcat} * E2_3_1_85 * C05749 * C00006 )/(${Variables:E2_3_1_85_km} + (E2_3_1_85 * C05749 * C00006 ))</v>
      </c>
    </row>
    <row r="322" spans="1:11" ht="46.25" customHeight="1">
      <c r="A322" t="s">
        <v>2423</v>
      </c>
      <c r="B322" t="s">
        <v>2424</v>
      </c>
      <c r="C322" t="s">
        <v>12871</v>
      </c>
      <c r="D322" s="19">
        <v>321</v>
      </c>
      <c r="E322" s="19" t="str">
        <f t="shared" ref="E322:E385" si="15">CONCATENATE("E",C322)</f>
        <v>E2_3_1_85</v>
      </c>
      <c r="F322" s="19" t="s">
        <v>13428</v>
      </c>
      <c r="G322" s="19" t="s">
        <v>14843</v>
      </c>
      <c r="H322" s="19" t="s">
        <v>14114</v>
      </c>
      <c r="I322" s="19" t="s">
        <v>15529</v>
      </c>
      <c r="J322" s="19" t="str">
        <f t="shared" si="13"/>
        <v>(${Variables:E2_3_1_85_kcat} * E2_3_1_85 * C05749 * C01209)/(${Variables:E2_3_1_85_km} + (E2_3_1_85 * C05749 * C01209))</v>
      </c>
      <c r="K322" s="37" t="str">
        <f t="shared" si="14"/>
        <v>r321: C05749 + C01209 -&gt; C05750 + C00011 + C00229 | (${Variables:E2_3_1_85_kcat} * E2_3_1_85 * C05749 * C01209)/(${Variables:E2_3_1_85_km} + (E2_3_1_85 * C05749 * C01209))</v>
      </c>
    </row>
    <row r="323" spans="1:11" ht="46.25" customHeight="1">
      <c r="A323" t="s">
        <v>2423</v>
      </c>
      <c r="B323" t="s">
        <v>2424</v>
      </c>
      <c r="C323" t="s">
        <v>12871</v>
      </c>
      <c r="D323" s="19">
        <v>322</v>
      </c>
      <c r="E323" s="19" t="str">
        <f t="shared" si="15"/>
        <v>E2_3_1_85</v>
      </c>
      <c r="F323" s="19" t="s">
        <v>16071</v>
      </c>
      <c r="G323" s="19" t="s">
        <v>16070</v>
      </c>
      <c r="H323" s="19" t="s">
        <v>14115</v>
      </c>
      <c r="I323" s="19" t="s">
        <v>15530</v>
      </c>
      <c r="J323" s="19" t="str">
        <f t="shared" ref="J323:J386" si="16">CONCATENATE("(${Variables:",E323,"_kcat","} * ",E323," * ",G323,")","/(${Variables:",E323,"_km","} + (",E323," * ",G323,"))")</f>
        <v>(${Variables:E2_3_1_85_kcat} * E2_3_1_85 * C05752 * C00006)/(${Variables:E2_3_1_85_km} + (E2_3_1_85 * C05752 * C00006))</v>
      </c>
      <c r="K323" s="37" t="str">
        <f t="shared" ref="K323:K386" si="17">CONCATENATE("r",D323,": ",F323," -&gt; ",H323," | ",J323)</f>
        <v>r322: C05752 + C00006 -&gt; C05751 + C00005 + C00080 | (${Variables:E2_3_1_85_kcat} * E2_3_1_85 * C05752 * C00006)/(${Variables:E2_3_1_85_km} + (E2_3_1_85 * C05752 * C00006))</v>
      </c>
    </row>
    <row r="324" spans="1:11" ht="46.25" customHeight="1">
      <c r="A324" t="s">
        <v>2423</v>
      </c>
      <c r="B324" t="s">
        <v>2424</v>
      </c>
      <c r="C324" t="s">
        <v>12871</v>
      </c>
      <c r="D324" s="19">
        <v>323</v>
      </c>
      <c r="E324" s="19" t="str">
        <f t="shared" si="15"/>
        <v>E2_3_1_85</v>
      </c>
      <c r="F324" s="19" t="s">
        <v>13429</v>
      </c>
      <c r="G324" s="19" t="s">
        <v>14844</v>
      </c>
      <c r="H324" s="19" t="s">
        <v>14116</v>
      </c>
      <c r="I324" s="19" t="s">
        <v>15531</v>
      </c>
      <c r="J324" s="19" t="str">
        <f t="shared" si="16"/>
        <v>(${Variables:E2_3_1_85_kcat} * E2_3_1_85 * C05752 * C01209)/(${Variables:E2_3_1_85_km} + (E2_3_1_85 * C05752 * C01209))</v>
      </c>
      <c r="K324" s="37" t="str">
        <f t="shared" si="17"/>
        <v>r323: C05752 + C01209 -&gt; C05753 + C00011 + C00229 | (${Variables:E2_3_1_85_kcat} * E2_3_1_85 * C05752 * C01209)/(${Variables:E2_3_1_85_km} + (E2_3_1_85 * C05752 * C01209))</v>
      </c>
    </row>
    <row r="325" spans="1:11" ht="46.25" customHeight="1">
      <c r="A325" t="s">
        <v>2423</v>
      </c>
      <c r="B325" t="s">
        <v>2424</v>
      </c>
      <c r="C325" t="s">
        <v>12871</v>
      </c>
      <c r="D325" s="19">
        <v>324</v>
      </c>
      <c r="E325" s="19" t="str">
        <f t="shared" si="15"/>
        <v>E2_3_1_85</v>
      </c>
      <c r="F325" s="19" t="s">
        <v>13430</v>
      </c>
      <c r="G325" s="19" t="s">
        <v>14845</v>
      </c>
      <c r="H325" s="19" t="s">
        <v>14117</v>
      </c>
      <c r="I325" s="19" t="s">
        <v>15532</v>
      </c>
      <c r="J325" s="19" t="str">
        <f t="shared" si="16"/>
        <v>(${Variables:E2_3_1_85_kcat} * E2_3_1_85 * C05755 * C00006)/(${Variables:E2_3_1_85_km} + (E2_3_1_85 * C05755 * C00006))</v>
      </c>
      <c r="K325" s="37" t="str">
        <f t="shared" si="17"/>
        <v>r324: C05755 + C00006 -&gt; C05754 + C00005 + C00080 | (${Variables:E2_3_1_85_kcat} * E2_3_1_85 * C05755 * C00006)/(${Variables:E2_3_1_85_km} + (E2_3_1_85 * C05755 * C00006))</v>
      </c>
    </row>
    <row r="326" spans="1:11" ht="46.25" customHeight="1">
      <c r="A326" t="s">
        <v>2423</v>
      </c>
      <c r="B326" t="s">
        <v>2424</v>
      </c>
      <c r="C326" t="s">
        <v>12871</v>
      </c>
      <c r="D326" s="19">
        <v>325</v>
      </c>
      <c r="E326" s="19" t="str">
        <f t="shared" si="15"/>
        <v>E2_3_1_85</v>
      </c>
      <c r="F326" s="19" t="s">
        <v>13431</v>
      </c>
      <c r="G326" s="19" t="s">
        <v>14846</v>
      </c>
      <c r="H326" s="19" t="s">
        <v>14118</v>
      </c>
      <c r="I326" s="19" t="s">
        <v>15533</v>
      </c>
      <c r="J326" s="19" t="str">
        <f t="shared" si="16"/>
        <v>(${Variables:E2_3_1_85_kcat} * E2_3_1_85 * C05755 * C01209)/(${Variables:E2_3_1_85_km} + (E2_3_1_85 * C05755 * C01209))</v>
      </c>
      <c r="K326" s="37" t="str">
        <f t="shared" si="17"/>
        <v>r325: C05755 + C01209 -&gt; C05756 + C00011 + C00229 | (${Variables:E2_3_1_85_kcat} * E2_3_1_85 * C05755 * C01209)/(${Variables:E2_3_1_85_km} + (E2_3_1_85 * C05755 * C01209))</v>
      </c>
    </row>
    <row r="327" spans="1:11" ht="46.25" customHeight="1">
      <c r="A327" t="s">
        <v>2423</v>
      </c>
      <c r="B327" t="s">
        <v>2424</v>
      </c>
      <c r="C327" t="s">
        <v>12871</v>
      </c>
      <c r="D327" s="19">
        <v>326</v>
      </c>
      <c r="E327" s="19" t="str">
        <f t="shared" si="15"/>
        <v>E2_3_1_85</v>
      </c>
      <c r="F327" s="19" t="s">
        <v>13205</v>
      </c>
      <c r="G327" s="19" t="s">
        <v>14620</v>
      </c>
      <c r="H327" s="19" t="s">
        <v>13891</v>
      </c>
      <c r="I327" s="19" t="s">
        <v>15306</v>
      </c>
      <c r="J327" s="19" t="str">
        <f t="shared" si="16"/>
        <v>(${Variables:E2_3_1_85_kcat} * E2_3_1_85 * C05757 * C00006)/(${Variables:E2_3_1_85_km} + (E2_3_1_85 * C05757 * C00006))</v>
      </c>
      <c r="K327" s="37" t="str">
        <f t="shared" si="17"/>
        <v>r326: C05757 + C00006 -&gt; C05756 + C00005 + C00080 | (${Variables:E2_3_1_85_kcat} * E2_3_1_85 * C05757 * C00006)/(${Variables:E2_3_1_85_km} + (E2_3_1_85 * C05757 * C00006))</v>
      </c>
    </row>
    <row r="328" spans="1:11" ht="46.25" customHeight="1">
      <c r="A328" t="s">
        <v>2423</v>
      </c>
      <c r="B328" t="s">
        <v>2424</v>
      </c>
      <c r="C328" t="s">
        <v>12871</v>
      </c>
      <c r="D328" s="19">
        <v>327</v>
      </c>
      <c r="E328" s="19" t="str">
        <f t="shared" si="15"/>
        <v>E2_3_1_85</v>
      </c>
      <c r="F328" s="19" t="s">
        <v>8910</v>
      </c>
      <c r="G328" s="19" t="s">
        <v>8910</v>
      </c>
      <c r="H328" s="19" t="s">
        <v>14119</v>
      </c>
      <c r="I328" s="19" t="s">
        <v>15534</v>
      </c>
      <c r="J328" s="19" t="str">
        <f t="shared" si="16"/>
        <v>(${Variables:E2_3_1_85_kcat} * E2_3_1_85 * C05757  )/(${Variables:E2_3_1_85_km} + (E2_3_1_85 * C05757  ))</v>
      </c>
      <c r="K328" s="37" t="str">
        <f t="shared" si="17"/>
        <v>r327: C05757   -&gt; C05758 + C00001 | (${Variables:E2_3_1_85_kcat} * E2_3_1_85 * C05757  )/(${Variables:E2_3_1_85_km} + (E2_3_1_85 * C05757  ))</v>
      </c>
    </row>
    <row r="329" spans="1:11" ht="46.25" customHeight="1">
      <c r="A329" t="s">
        <v>2423</v>
      </c>
      <c r="B329" t="s">
        <v>2424</v>
      </c>
      <c r="C329" t="s">
        <v>12871</v>
      </c>
      <c r="D329" s="19">
        <v>328</v>
      </c>
      <c r="E329" s="19" t="str">
        <f t="shared" si="15"/>
        <v>E2_3_1_85</v>
      </c>
      <c r="F329" s="19" t="s">
        <v>13432</v>
      </c>
      <c r="G329" s="19" t="s">
        <v>14847</v>
      </c>
      <c r="H329" s="19" t="s">
        <v>14120</v>
      </c>
      <c r="I329" s="19" t="s">
        <v>15535</v>
      </c>
      <c r="J329" s="19" t="str">
        <f t="shared" si="16"/>
        <v>(${Variables:E2_3_1_85_kcat} * E2_3_1_85 * C05761 * C00006)/(${Variables:E2_3_1_85_km} + (E2_3_1_85 * C05761 * C00006))</v>
      </c>
      <c r="K329" s="37" t="str">
        <f t="shared" si="17"/>
        <v>r328: C05761 + C00006 -&gt; C05760 + C00005 + C00080 | (${Variables:E2_3_1_85_kcat} * E2_3_1_85 * C05761 * C00006)/(${Variables:E2_3_1_85_km} + (E2_3_1_85 * C05761 * C00006))</v>
      </c>
    </row>
    <row r="330" spans="1:11" ht="46.25" customHeight="1">
      <c r="A330" t="s">
        <v>2423</v>
      </c>
      <c r="B330" t="s">
        <v>2424</v>
      </c>
      <c r="C330" t="s">
        <v>12871</v>
      </c>
      <c r="D330" s="19">
        <v>329</v>
      </c>
      <c r="E330" s="19" t="str">
        <f t="shared" si="15"/>
        <v>E2_3_1_85</v>
      </c>
      <c r="F330" s="19" t="s">
        <v>13433</v>
      </c>
      <c r="G330" s="19" t="s">
        <v>14848</v>
      </c>
      <c r="H330" s="19" t="s">
        <v>14121</v>
      </c>
      <c r="I330" s="19" t="s">
        <v>15536</v>
      </c>
      <c r="J330" s="19" t="str">
        <f t="shared" si="16"/>
        <v>(${Variables:E2_3_1_85_kcat} * E2_3_1_85 * C05761 * C01209)/(${Variables:E2_3_1_85_km} + (E2_3_1_85 * C05761 * C01209))</v>
      </c>
      <c r="K330" s="37" t="str">
        <f t="shared" si="17"/>
        <v>r329: C05761 + C01209 -&gt; C05762 + C00011 + C00229 | (${Variables:E2_3_1_85_kcat} * E2_3_1_85 * C05761 * C01209)/(${Variables:E2_3_1_85_km} + (E2_3_1_85 * C05761 * C01209))</v>
      </c>
    </row>
    <row r="331" spans="1:11" ht="46.25" customHeight="1">
      <c r="A331" t="s">
        <v>2423</v>
      </c>
      <c r="B331" t="s">
        <v>2424</v>
      </c>
      <c r="C331" t="s">
        <v>12871</v>
      </c>
      <c r="D331" s="19">
        <v>330</v>
      </c>
      <c r="E331" s="19" t="str">
        <f t="shared" si="15"/>
        <v>E2_3_1_85</v>
      </c>
      <c r="F331" s="19" t="s">
        <v>13434</v>
      </c>
      <c r="G331" s="19" t="s">
        <v>14849</v>
      </c>
      <c r="H331" s="19" t="s">
        <v>14122</v>
      </c>
      <c r="I331" s="19" t="s">
        <v>15537</v>
      </c>
      <c r="J331" s="19" t="str">
        <f t="shared" si="16"/>
        <v>(${Variables:E2_3_1_85_kcat} * E2_3_1_85 * C05764 * C00006)/(${Variables:E2_3_1_85_km} + (E2_3_1_85 * C05764 * C00006))</v>
      </c>
      <c r="K331" s="37" t="str">
        <f t="shared" si="17"/>
        <v>r330: C05764 + C00006 -&gt; C05763 + C00005 + C00080 | (${Variables:E2_3_1_85_kcat} * E2_3_1_85 * C05764 * C00006)/(${Variables:E2_3_1_85_km} + (E2_3_1_85 * C05764 * C00006))</v>
      </c>
    </row>
    <row r="332" spans="1:11" ht="46.25" customHeight="1">
      <c r="A332" t="s">
        <v>6857</v>
      </c>
      <c r="B332" t="s">
        <v>6858</v>
      </c>
      <c r="C332" t="s">
        <v>12871</v>
      </c>
      <c r="D332" s="19">
        <v>331</v>
      </c>
      <c r="E332" s="19" t="str">
        <f t="shared" si="15"/>
        <v>E2_3_1_85</v>
      </c>
      <c r="F332" s="19" t="s">
        <v>13418</v>
      </c>
      <c r="G332" s="19" t="s">
        <v>14833</v>
      </c>
      <c r="H332" s="19" t="s">
        <v>14097</v>
      </c>
      <c r="I332" s="19" t="s">
        <v>15512</v>
      </c>
      <c r="J332" s="19" t="str">
        <f t="shared" si="16"/>
        <v>(${Variables:E2_3_1_85_kcat} * E2_3_1_85 * C00024 * C00083 * C00005 * C00080 )/(${Variables:E2_3_1_85_km} + (E2_3_1_85 * C00024 * C00083 * C00005 * C00080 ))</v>
      </c>
      <c r="K332" s="37" t="str">
        <f t="shared" si="17"/>
        <v>r331: C00024 + C00083 + C00005 + C00080  -&gt; C00638 + C00011 + C00006 + C00010 + C00001 | (${Variables:E2_3_1_85_kcat} * E2_3_1_85 * C00024 * C00083 * C00005 * C00080 )/(${Variables:E2_3_1_85_km} + (E2_3_1_85 * C00024 * C00083 * C00005 * C00080 ))</v>
      </c>
    </row>
    <row r="333" spans="1:11" ht="46.25" customHeight="1">
      <c r="A333" t="s">
        <v>6857</v>
      </c>
      <c r="B333" t="s">
        <v>6858</v>
      </c>
      <c r="C333" t="s">
        <v>12871</v>
      </c>
      <c r="D333" s="19">
        <v>332</v>
      </c>
      <c r="E333" s="19" t="str">
        <f t="shared" si="15"/>
        <v>E2_3_1_85</v>
      </c>
      <c r="F333" s="19" t="s">
        <v>13419</v>
      </c>
      <c r="G333" s="19" t="s">
        <v>14834</v>
      </c>
      <c r="H333" s="19" t="s">
        <v>14098</v>
      </c>
      <c r="I333" s="19" t="s">
        <v>15513</v>
      </c>
      <c r="J333" s="19" t="str">
        <f t="shared" si="16"/>
        <v>(${Variables:E2_3_1_85_kcat} * E2_3_1_85 * C00024 * C00229)/(${Variables:E2_3_1_85_km} + (E2_3_1_85 * C00024 * C00229))</v>
      </c>
      <c r="K333" s="37" t="str">
        <f t="shared" si="17"/>
        <v>r332: C00024 + C00229 -&gt; C00010 + C03939 | (${Variables:E2_3_1_85_kcat} * E2_3_1_85 * C00024 * C00229)/(${Variables:E2_3_1_85_km} + (E2_3_1_85 * C00024 * C00229))</v>
      </c>
    </row>
    <row r="334" spans="1:11" ht="46.25" customHeight="1">
      <c r="A334" t="s">
        <v>6857</v>
      </c>
      <c r="B334" t="s">
        <v>6858</v>
      </c>
      <c r="C334" t="s">
        <v>12871</v>
      </c>
      <c r="D334" s="19">
        <v>333</v>
      </c>
      <c r="E334" s="19" t="str">
        <f t="shared" si="15"/>
        <v>E2_3_1_85</v>
      </c>
      <c r="F334" s="19" t="s">
        <v>13420</v>
      </c>
      <c r="G334" s="19" t="s">
        <v>14835</v>
      </c>
      <c r="H334" s="19" t="s">
        <v>14099</v>
      </c>
      <c r="I334" s="19" t="s">
        <v>15514</v>
      </c>
      <c r="J334" s="19" t="str">
        <f t="shared" si="16"/>
        <v>(${Variables:E2_3_1_85_kcat} * E2_3_1_85 * C00083 * C00229)/(${Variables:E2_3_1_85_km} + (E2_3_1_85 * C00083 * C00229))</v>
      </c>
      <c r="K334" s="37" t="str">
        <f t="shared" si="17"/>
        <v>r333: C00083 + C00229 -&gt; C00010 + C01209 | (${Variables:E2_3_1_85_kcat} * E2_3_1_85 * C00083 * C00229)/(${Variables:E2_3_1_85_km} + (E2_3_1_85 * C00083 * C00229))</v>
      </c>
    </row>
    <row r="335" spans="1:11" ht="46.25" customHeight="1">
      <c r="A335" t="s">
        <v>6857</v>
      </c>
      <c r="B335" t="s">
        <v>6858</v>
      </c>
      <c r="C335" t="s">
        <v>12871</v>
      </c>
      <c r="D335" s="19">
        <v>334</v>
      </c>
      <c r="E335" s="19" t="str">
        <f t="shared" si="15"/>
        <v>E2_3_1_85</v>
      </c>
      <c r="F335" s="19" t="s">
        <v>13421</v>
      </c>
      <c r="G335" s="19" t="s">
        <v>14836</v>
      </c>
      <c r="H335" s="19" t="s">
        <v>14100</v>
      </c>
      <c r="I335" s="19" t="s">
        <v>15515</v>
      </c>
      <c r="J335" s="19" t="str">
        <f t="shared" si="16"/>
        <v>(${Variables:E2_3_1_85_kcat} * E2_3_1_85 * C05764 * C00001)/(${Variables:E2_3_1_85_km} + (E2_3_1_85 * C05764 * C00001))</v>
      </c>
      <c r="K335" s="37" t="str">
        <f t="shared" si="17"/>
        <v>r334: C05764 + C00001 -&gt; C00229 + C00249 | (${Variables:E2_3_1_85_kcat} * E2_3_1_85 * C05764 * C00001)/(${Variables:E2_3_1_85_km} + (E2_3_1_85 * C05764 * C00001))</v>
      </c>
    </row>
    <row r="336" spans="1:11" ht="46.25" customHeight="1">
      <c r="A336" t="s">
        <v>6857</v>
      </c>
      <c r="B336" t="s">
        <v>6858</v>
      </c>
      <c r="C336" t="s">
        <v>12871</v>
      </c>
      <c r="D336" s="19">
        <v>335</v>
      </c>
      <c r="E336" s="19" t="str">
        <f t="shared" si="15"/>
        <v>E2_3_1_85</v>
      </c>
      <c r="F336" s="19" t="s">
        <v>13422</v>
      </c>
      <c r="G336" s="19" t="s">
        <v>14837</v>
      </c>
      <c r="H336" s="19" t="s">
        <v>14101</v>
      </c>
      <c r="I336" s="19" t="s">
        <v>15516</v>
      </c>
      <c r="J336" s="19" t="str">
        <f t="shared" si="16"/>
        <v>(${Variables:E2_3_1_85_kcat} * E2_3_1_85 * C03939 * C01209)/(${Variables:E2_3_1_85_km} + (E2_3_1_85 * C03939 * C01209))</v>
      </c>
      <c r="K336" s="37" t="str">
        <f t="shared" si="17"/>
        <v>r335: C03939 + C01209 -&gt; C05744 + C00011 + C00229 | (${Variables:E2_3_1_85_kcat} * E2_3_1_85 * C03939 * C01209)/(${Variables:E2_3_1_85_km} + (E2_3_1_85 * C03939 * C01209))</v>
      </c>
    </row>
    <row r="337" spans="1:11" ht="46.25" customHeight="1">
      <c r="A337" t="s">
        <v>6857</v>
      </c>
      <c r="B337" t="s">
        <v>6858</v>
      </c>
      <c r="C337" t="s">
        <v>12871</v>
      </c>
      <c r="D337" s="19">
        <v>336</v>
      </c>
      <c r="E337" s="19" t="str">
        <f t="shared" si="15"/>
        <v>E2_3_1_85</v>
      </c>
      <c r="F337" s="19" t="s">
        <v>8881</v>
      </c>
      <c r="G337" s="19" t="s">
        <v>8881</v>
      </c>
      <c r="H337" s="19" t="s">
        <v>14102</v>
      </c>
      <c r="I337" s="19" t="s">
        <v>15517</v>
      </c>
      <c r="J337" s="19" t="str">
        <f t="shared" si="16"/>
        <v>(${Variables:E2_3_1_85_kcat} * E2_3_1_85 * C04618)/(${Variables:E2_3_1_85_km} + (E2_3_1_85 * C04618))</v>
      </c>
      <c r="K337" s="37" t="str">
        <f t="shared" si="17"/>
        <v>r336: C04618 -&gt; C04246 + C00001 | (${Variables:E2_3_1_85_kcat} * E2_3_1_85 * C04618)/(${Variables:E2_3_1_85_km} + (E2_3_1_85 * C04618))</v>
      </c>
    </row>
    <row r="338" spans="1:11" ht="46.25" customHeight="1">
      <c r="A338" t="s">
        <v>6857</v>
      </c>
      <c r="B338" t="s">
        <v>6858</v>
      </c>
      <c r="C338" t="s">
        <v>12871</v>
      </c>
      <c r="D338" s="19">
        <v>337</v>
      </c>
      <c r="E338" s="19" t="str">
        <f t="shared" si="15"/>
        <v>E2_3_1_85</v>
      </c>
      <c r="F338" s="19" t="s">
        <v>13423</v>
      </c>
      <c r="G338" s="19" t="s">
        <v>14838</v>
      </c>
      <c r="H338" s="19" t="s">
        <v>14103</v>
      </c>
      <c r="I338" s="19" t="s">
        <v>15518</v>
      </c>
      <c r="J338" s="19" t="str">
        <f t="shared" si="16"/>
        <v>(${Variables:E2_3_1_85_kcat} * E2_3_1_85 * C05745 * C00006)/(${Variables:E2_3_1_85_km} + (E2_3_1_85 * C05745 * C00006))</v>
      </c>
      <c r="K338" s="37" t="str">
        <f t="shared" si="17"/>
        <v>r337: C05745 + C00006 -&gt; C04246 + C00005 + C00080 | (${Variables:E2_3_1_85_kcat} * E2_3_1_85 * C05745 * C00006)/(${Variables:E2_3_1_85_km} + (E2_3_1_85 * C05745 * C00006))</v>
      </c>
    </row>
    <row r="339" spans="1:11" ht="46.25" customHeight="1">
      <c r="A339" t="s">
        <v>6857</v>
      </c>
      <c r="B339" t="s">
        <v>6858</v>
      </c>
      <c r="C339" t="s">
        <v>12871</v>
      </c>
      <c r="D339" s="19">
        <v>338</v>
      </c>
      <c r="E339" s="19" t="str">
        <f t="shared" si="15"/>
        <v>E2_3_1_85</v>
      </c>
      <c r="F339" s="19" t="s">
        <v>13199</v>
      </c>
      <c r="G339" s="19" t="s">
        <v>14614</v>
      </c>
      <c r="H339" s="19" t="s">
        <v>13886</v>
      </c>
      <c r="I339" s="19" t="s">
        <v>15301</v>
      </c>
      <c r="J339" s="19" t="str">
        <f t="shared" si="16"/>
        <v>(${Variables:E2_3_1_85_kcat} * E2_3_1_85 * C04618 * C00006)/(${Variables:E2_3_1_85_km} + (E2_3_1_85 * C04618 * C00006))</v>
      </c>
      <c r="K339" s="37" t="str">
        <f t="shared" si="17"/>
        <v>r338: C04618 + C00006 -&gt; C05744 + C00005 + C00080 | (${Variables:E2_3_1_85_kcat} * E2_3_1_85 * C04618 * C00006)/(${Variables:E2_3_1_85_km} + (E2_3_1_85 * C04618 * C00006))</v>
      </c>
    </row>
    <row r="340" spans="1:11" ht="46.25" customHeight="1">
      <c r="A340" t="s">
        <v>6857</v>
      </c>
      <c r="B340" t="s">
        <v>6858</v>
      </c>
      <c r="C340" t="s">
        <v>12871</v>
      </c>
      <c r="D340" s="19">
        <v>339</v>
      </c>
      <c r="E340" s="19" t="str">
        <f t="shared" si="15"/>
        <v>E2_3_1_85</v>
      </c>
      <c r="F340" s="19" t="s">
        <v>13200</v>
      </c>
      <c r="G340" s="19" t="s">
        <v>14615</v>
      </c>
      <c r="H340" s="19" t="s">
        <v>13887</v>
      </c>
      <c r="I340" s="19" t="s">
        <v>15302</v>
      </c>
      <c r="J340" s="19" t="str">
        <f t="shared" si="16"/>
        <v>(${Variables:E2_3_1_85_kcat} * E2_3_1_85 * C04619 * C00006)/(${Variables:E2_3_1_85_km} + (E2_3_1_85 * C04619 * C00006))</v>
      </c>
      <c r="K340" s="37" t="str">
        <f t="shared" si="17"/>
        <v>r339: C04619 + C00006 -&gt; C05753 + C00005 | (${Variables:E2_3_1_85_kcat} * E2_3_1_85 * C04619 * C00006)/(${Variables:E2_3_1_85_km} + (E2_3_1_85 * C04619 * C00006))</v>
      </c>
    </row>
    <row r="341" spans="1:11" ht="46.25" customHeight="1">
      <c r="A341" t="s">
        <v>6857</v>
      </c>
      <c r="B341" t="s">
        <v>6858</v>
      </c>
      <c r="C341" t="s">
        <v>12871</v>
      </c>
      <c r="D341" s="19">
        <v>340</v>
      </c>
      <c r="E341" s="19" t="str">
        <f t="shared" si="15"/>
        <v>E2_3_1_85</v>
      </c>
      <c r="F341" s="19" t="s">
        <v>8886</v>
      </c>
      <c r="G341" s="19" t="s">
        <v>8886</v>
      </c>
      <c r="H341" s="19" t="s">
        <v>14104</v>
      </c>
      <c r="I341" s="19" t="s">
        <v>15519</v>
      </c>
      <c r="J341" s="19" t="str">
        <f t="shared" si="16"/>
        <v>(${Variables:E2_3_1_85_kcat} * E2_3_1_85 * C04619 )/(${Variables:E2_3_1_85_km} + (E2_3_1_85 * C04619 ))</v>
      </c>
      <c r="K341" s="37" t="str">
        <f t="shared" si="17"/>
        <v>r340: C04619  -&gt; C05754 + C00001 | (${Variables:E2_3_1_85_kcat} * E2_3_1_85 * C04619 )/(${Variables:E2_3_1_85_km} + (E2_3_1_85 * C04619 ))</v>
      </c>
    </row>
    <row r="342" spans="1:11" ht="46.25" customHeight="1">
      <c r="A342" t="s">
        <v>6857</v>
      </c>
      <c r="B342" t="s">
        <v>6858</v>
      </c>
      <c r="C342" t="s">
        <v>12871</v>
      </c>
      <c r="D342" s="19">
        <v>341</v>
      </c>
      <c r="E342" s="19" t="str">
        <f t="shared" si="15"/>
        <v>E2_3_1_85</v>
      </c>
      <c r="F342" s="19" t="s">
        <v>13201</v>
      </c>
      <c r="G342" s="19" t="s">
        <v>14616</v>
      </c>
      <c r="H342" s="19" t="s">
        <v>13888</v>
      </c>
      <c r="I342" s="19" t="s">
        <v>15303</v>
      </c>
      <c r="J342" s="19" t="str">
        <f t="shared" si="16"/>
        <v>(${Variables:E2_3_1_85_kcat} * E2_3_1_85 * C04620 * C00006)/(${Variables:E2_3_1_85_km} + (E2_3_1_85 * C04620 * C00006))</v>
      </c>
      <c r="K342" s="37" t="str">
        <f t="shared" si="17"/>
        <v>r341: C04620 + C00006 -&gt; C05750 + C00005 + C00080 | (${Variables:E2_3_1_85_kcat} * E2_3_1_85 * C04620 * C00006)/(${Variables:E2_3_1_85_km} + (E2_3_1_85 * C04620 * C00006))</v>
      </c>
    </row>
    <row r="343" spans="1:11" ht="46.25" customHeight="1">
      <c r="A343" t="s">
        <v>6857</v>
      </c>
      <c r="B343" t="s">
        <v>6858</v>
      </c>
      <c r="C343" t="s">
        <v>12871</v>
      </c>
      <c r="D343" s="19">
        <v>342</v>
      </c>
      <c r="E343" s="19" t="str">
        <f t="shared" si="15"/>
        <v>E2_3_1_85</v>
      </c>
      <c r="F343" s="19" t="s">
        <v>8889</v>
      </c>
      <c r="G343" s="19" t="s">
        <v>8889</v>
      </c>
      <c r="H343" s="19" t="s">
        <v>14105</v>
      </c>
      <c r="I343" s="19" t="s">
        <v>15520</v>
      </c>
      <c r="J343" s="19" t="str">
        <f t="shared" si="16"/>
        <v>(${Variables:E2_3_1_85_kcat} * E2_3_1_85 * C04620 )/(${Variables:E2_3_1_85_km} + (E2_3_1_85 * C04620 ))</v>
      </c>
      <c r="K343" s="37" t="str">
        <f t="shared" si="17"/>
        <v>r342: C04620  -&gt; C05751 + C00001 | (${Variables:E2_3_1_85_kcat} * E2_3_1_85 * C04620 )/(${Variables:E2_3_1_85_km} + (E2_3_1_85 * C04620 ))</v>
      </c>
    </row>
    <row r="344" spans="1:11" ht="46.25" customHeight="1">
      <c r="A344" t="s">
        <v>6857</v>
      </c>
      <c r="B344" t="s">
        <v>6858</v>
      </c>
      <c r="C344" t="s">
        <v>12871</v>
      </c>
      <c r="D344" s="19">
        <v>343</v>
      </c>
      <c r="E344" s="19" t="str">
        <f t="shared" si="15"/>
        <v>E2_3_1_85</v>
      </c>
      <c r="F344" s="19" t="s">
        <v>13202</v>
      </c>
      <c r="G344" s="19" t="s">
        <v>14617</v>
      </c>
      <c r="H344" s="19" t="s">
        <v>13889</v>
      </c>
      <c r="I344" s="19" t="s">
        <v>15304</v>
      </c>
      <c r="J344" s="19" t="str">
        <f t="shared" si="16"/>
        <v>(${Variables:E2_3_1_85_kcat} * E2_3_1_85 * C04633 * C00006)/(${Variables:E2_3_1_85_km} + (E2_3_1_85 * C04633 * C00006))</v>
      </c>
      <c r="K344" s="37" t="str">
        <f t="shared" si="17"/>
        <v>r343: C04633 + C00006 -&gt; C05762 + C00005 + C00080 | (${Variables:E2_3_1_85_kcat} * E2_3_1_85 * C04633 * C00006)/(${Variables:E2_3_1_85_km} + (E2_3_1_85 * C04633 * C00006))</v>
      </c>
    </row>
    <row r="345" spans="1:11" ht="46.25" customHeight="1">
      <c r="A345" t="s">
        <v>6857</v>
      </c>
      <c r="B345" t="s">
        <v>6858</v>
      </c>
      <c r="C345" t="s">
        <v>12871</v>
      </c>
      <c r="D345" s="19">
        <v>344</v>
      </c>
      <c r="E345" s="19" t="str">
        <f t="shared" si="15"/>
        <v>E2_3_1_85</v>
      </c>
      <c r="F345" s="19" t="s">
        <v>8892</v>
      </c>
      <c r="G345" s="19" t="s">
        <v>8892</v>
      </c>
      <c r="H345" s="19" t="s">
        <v>14106</v>
      </c>
      <c r="I345" s="19" t="s">
        <v>15521</v>
      </c>
      <c r="J345" s="19" t="str">
        <f t="shared" si="16"/>
        <v>(${Variables:E2_3_1_85_kcat} * E2_3_1_85 * C04633 )/(${Variables:E2_3_1_85_km} + (E2_3_1_85 * C04633 ))</v>
      </c>
      <c r="K345" s="37" t="str">
        <f t="shared" si="17"/>
        <v>r344: C04633  -&gt; C05763 + C00001 | (${Variables:E2_3_1_85_kcat} * E2_3_1_85 * C04633 )/(${Variables:E2_3_1_85_km} + (E2_3_1_85 * C04633 ))</v>
      </c>
    </row>
    <row r="346" spans="1:11" ht="46.25" customHeight="1">
      <c r="A346" t="s">
        <v>6857</v>
      </c>
      <c r="B346" t="s">
        <v>6858</v>
      </c>
      <c r="C346" t="s">
        <v>12871</v>
      </c>
      <c r="D346" s="19">
        <v>345</v>
      </c>
      <c r="E346" s="19" t="str">
        <f t="shared" si="15"/>
        <v>E2_3_1_85</v>
      </c>
      <c r="F346" s="19" t="s">
        <v>13203</v>
      </c>
      <c r="G346" s="19" t="s">
        <v>14618</v>
      </c>
      <c r="H346" s="19" t="s">
        <v>14107</v>
      </c>
      <c r="I346" s="19" t="s">
        <v>15522</v>
      </c>
      <c r="J346" s="19" t="str">
        <f t="shared" si="16"/>
        <v>(${Variables:E2_3_1_85_kcat} * E2_3_1_85 * C04688 * C00006)/(${Variables:E2_3_1_85_km} + (E2_3_1_85 * C04688 * C00006))</v>
      </c>
      <c r="K346" s="37" t="str">
        <f t="shared" si="17"/>
        <v>r345: C04688 + C00006 -&gt; C05759 + C00005 + C00080 | (${Variables:E2_3_1_85_kcat} * E2_3_1_85 * C04688 * C00006)/(${Variables:E2_3_1_85_km} + (E2_3_1_85 * C04688 * C00006))</v>
      </c>
    </row>
    <row r="347" spans="1:11" ht="46.25" customHeight="1">
      <c r="A347" t="s">
        <v>6857</v>
      </c>
      <c r="B347" t="s">
        <v>6858</v>
      </c>
      <c r="C347" t="s">
        <v>12871</v>
      </c>
      <c r="D347" s="19">
        <v>346</v>
      </c>
      <c r="E347" s="19" t="str">
        <f t="shared" si="15"/>
        <v>E2_3_1_85</v>
      </c>
      <c r="F347" s="19" t="s">
        <v>8895</v>
      </c>
      <c r="G347" s="19" t="s">
        <v>8895</v>
      </c>
      <c r="H347" s="19" t="s">
        <v>14108</v>
      </c>
      <c r="I347" s="19" t="s">
        <v>15523</v>
      </c>
      <c r="J347" s="19" t="str">
        <f t="shared" si="16"/>
        <v>(${Variables:E2_3_1_85_kcat} * E2_3_1_85 * C04688  )/(${Variables:E2_3_1_85_km} + (E2_3_1_85 * C04688  ))</v>
      </c>
      <c r="K347" s="37" t="str">
        <f t="shared" si="17"/>
        <v>r346: C04688   -&gt; C05760 + C00001 | (${Variables:E2_3_1_85_kcat} * E2_3_1_85 * C04688  )/(${Variables:E2_3_1_85_km} + (E2_3_1_85 * C04688  ))</v>
      </c>
    </row>
    <row r="348" spans="1:11" ht="46.25" customHeight="1">
      <c r="A348" t="s">
        <v>6857</v>
      </c>
      <c r="B348" t="s">
        <v>6858</v>
      </c>
      <c r="C348" t="s">
        <v>12871</v>
      </c>
      <c r="D348" s="19">
        <v>347</v>
      </c>
      <c r="E348" s="19" t="str">
        <f t="shared" si="15"/>
        <v>E2_3_1_85</v>
      </c>
      <c r="F348" s="19" t="s">
        <v>13424</v>
      </c>
      <c r="G348" s="19" t="s">
        <v>14839</v>
      </c>
      <c r="H348" s="19" t="s">
        <v>14109</v>
      </c>
      <c r="I348" s="19" t="s">
        <v>15524</v>
      </c>
      <c r="J348" s="19" t="str">
        <f t="shared" si="16"/>
        <v>(${Variables:E2_3_1_85_kcat} * E2_3_1_85 * C05223 * C00006)/(${Variables:E2_3_1_85_km} + (E2_3_1_85 * C05223 * C00006))</v>
      </c>
      <c r="K348" s="37" t="str">
        <f t="shared" si="17"/>
        <v>r347: C05223 + C00006 -&gt; C05758 + C00005 + C00080 | (${Variables:E2_3_1_85_kcat} * E2_3_1_85 * C05223 * C00006)/(${Variables:E2_3_1_85_km} + (E2_3_1_85 * C05223 * C00006))</v>
      </c>
    </row>
    <row r="349" spans="1:11" ht="46.25" customHeight="1">
      <c r="A349" t="s">
        <v>6857</v>
      </c>
      <c r="B349" t="s">
        <v>6858</v>
      </c>
      <c r="C349" t="s">
        <v>12871</v>
      </c>
      <c r="D349" s="19">
        <v>348</v>
      </c>
      <c r="E349" s="19" t="str">
        <f t="shared" si="15"/>
        <v>E2_3_1_85</v>
      </c>
      <c r="F349" s="19" t="s">
        <v>13425</v>
      </c>
      <c r="G349" s="19" t="s">
        <v>14840</v>
      </c>
      <c r="H349" s="19" t="s">
        <v>14110</v>
      </c>
      <c r="I349" s="19" t="s">
        <v>15525</v>
      </c>
      <c r="J349" s="19" t="str">
        <f t="shared" si="16"/>
        <v>(${Variables:E2_3_1_85_kcat} * E2_3_1_85 * C05223 * C01209)/(${Variables:E2_3_1_85_km} + (E2_3_1_85 * C05223 * C01209))</v>
      </c>
      <c r="K349" s="37" t="str">
        <f t="shared" si="17"/>
        <v>r348: C05223 + C01209 -&gt; C05759 + C00011 + C00229 | (${Variables:E2_3_1_85_kcat} * E2_3_1_85 * C05223 * C01209)/(${Variables:E2_3_1_85_km} + (E2_3_1_85 * C05223 * C01209))</v>
      </c>
    </row>
    <row r="350" spans="1:11" ht="46.25" customHeight="1">
      <c r="A350" t="s">
        <v>6857</v>
      </c>
      <c r="B350" t="s">
        <v>6858</v>
      </c>
      <c r="C350" t="s">
        <v>12871</v>
      </c>
      <c r="D350" s="19">
        <v>349</v>
      </c>
      <c r="E350" s="19" t="str">
        <f t="shared" si="15"/>
        <v>E2_3_1_85</v>
      </c>
      <c r="F350" s="19" t="s">
        <v>13426</v>
      </c>
      <c r="G350" s="19" t="s">
        <v>14841</v>
      </c>
      <c r="H350" s="19" t="s">
        <v>14111</v>
      </c>
      <c r="I350" s="19" t="s">
        <v>15526</v>
      </c>
      <c r="J350" s="19" t="str">
        <f t="shared" si="16"/>
        <v>(${Variables:E2_3_1_85_kcat} * E2_3_1_85 * C05745 * C01209)/(${Variables:E2_3_1_85_km} + (E2_3_1_85 * C05745 * C01209))</v>
      </c>
      <c r="K350" s="37" t="str">
        <f t="shared" si="17"/>
        <v>r349: C05745 + C01209 -&gt; C05746 + C00011 + C00229 | (${Variables:E2_3_1_85_kcat} * E2_3_1_85 * C05745 * C01209)/(${Variables:E2_3_1_85_km} + (E2_3_1_85 * C05745 * C01209))</v>
      </c>
    </row>
    <row r="351" spans="1:11" ht="46.25" customHeight="1">
      <c r="A351" t="s">
        <v>6857</v>
      </c>
      <c r="B351" t="s">
        <v>6858</v>
      </c>
      <c r="C351" t="s">
        <v>12871</v>
      </c>
      <c r="D351" s="19">
        <v>350</v>
      </c>
      <c r="E351" s="19" t="str">
        <f t="shared" si="15"/>
        <v>E2_3_1_85</v>
      </c>
      <c r="F351" s="19" t="s">
        <v>13204</v>
      </c>
      <c r="G351" s="19" t="s">
        <v>14619</v>
      </c>
      <c r="H351" s="19" t="s">
        <v>13890</v>
      </c>
      <c r="I351" s="19" t="s">
        <v>15305</v>
      </c>
      <c r="J351" s="19" t="str">
        <f t="shared" si="16"/>
        <v>(${Variables:E2_3_1_85_kcat} * E2_3_1_85 * C05747 * C00006)/(${Variables:E2_3_1_85_km} + (E2_3_1_85 * C05747 * C00006))</v>
      </c>
      <c r="K351" s="37" t="str">
        <f t="shared" si="17"/>
        <v>r350: C05747 + C00006 -&gt; C05746 + C00005 + C00080 | (${Variables:E2_3_1_85_kcat} * E2_3_1_85 * C05747 * C00006)/(${Variables:E2_3_1_85_km} + (E2_3_1_85 * C05747 * C00006))</v>
      </c>
    </row>
    <row r="352" spans="1:11" ht="46.25" customHeight="1">
      <c r="A352" t="s">
        <v>6857</v>
      </c>
      <c r="B352" t="s">
        <v>6858</v>
      </c>
      <c r="C352" t="s">
        <v>12871</v>
      </c>
      <c r="D352" s="19">
        <v>351</v>
      </c>
      <c r="E352" s="19" t="str">
        <f t="shared" si="15"/>
        <v>E2_3_1_85</v>
      </c>
      <c r="F352" s="19" t="s">
        <v>8901</v>
      </c>
      <c r="G352" s="19" t="s">
        <v>8901</v>
      </c>
      <c r="H352" s="19" t="s">
        <v>14112</v>
      </c>
      <c r="I352" s="19" t="s">
        <v>15527</v>
      </c>
      <c r="J352" s="19" t="str">
        <f t="shared" si="16"/>
        <v>(${Variables:E2_3_1_85_kcat} * E2_3_1_85 * C05747  )/(${Variables:E2_3_1_85_km} + (E2_3_1_85 * C05747  ))</v>
      </c>
      <c r="K352" s="37" t="str">
        <f t="shared" si="17"/>
        <v>r351: C05747   -&gt; C05748 + C00001 | (${Variables:E2_3_1_85_kcat} * E2_3_1_85 * C05747  )/(${Variables:E2_3_1_85_km} + (E2_3_1_85 * C05747  ))</v>
      </c>
    </row>
    <row r="353" spans="1:11" ht="46.25" customHeight="1">
      <c r="A353" t="s">
        <v>6857</v>
      </c>
      <c r="B353" t="s">
        <v>6858</v>
      </c>
      <c r="C353" t="s">
        <v>12871</v>
      </c>
      <c r="D353" s="19">
        <v>352</v>
      </c>
      <c r="E353" s="19" t="str">
        <f t="shared" si="15"/>
        <v>E2_3_1_85</v>
      </c>
      <c r="F353" s="19" t="s">
        <v>13427</v>
      </c>
      <c r="G353" s="19" t="s">
        <v>14842</v>
      </c>
      <c r="H353" s="19" t="s">
        <v>14113</v>
      </c>
      <c r="I353" s="19" t="s">
        <v>15528</v>
      </c>
      <c r="J353" s="19" t="str">
        <f t="shared" si="16"/>
        <v>(${Variables:E2_3_1_85_kcat} * E2_3_1_85 * C05749 * C00006 )/(${Variables:E2_3_1_85_km} + (E2_3_1_85 * C05749 * C00006 ))</v>
      </c>
      <c r="K353" s="37" t="str">
        <f t="shared" si="17"/>
        <v>r352: C05749 + C00006  -&gt; C05748 + C00005 + C00080 | (${Variables:E2_3_1_85_kcat} * E2_3_1_85 * C05749 * C00006 )/(${Variables:E2_3_1_85_km} + (E2_3_1_85 * C05749 * C00006 ))</v>
      </c>
    </row>
    <row r="354" spans="1:11" ht="46.25" customHeight="1">
      <c r="A354" t="s">
        <v>6857</v>
      </c>
      <c r="B354" t="s">
        <v>6858</v>
      </c>
      <c r="C354" t="s">
        <v>12871</v>
      </c>
      <c r="D354" s="19">
        <v>353</v>
      </c>
      <c r="E354" s="19" t="str">
        <f t="shared" si="15"/>
        <v>E2_3_1_85</v>
      </c>
      <c r="F354" s="19" t="s">
        <v>13428</v>
      </c>
      <c r="G354" s="19" t="s">
        <v>14843</v>
      </c>
      <c r="H354" s="19" t="s">
        <v>14114</v>
      </c>
      <c r="I354" s="19" t="s">
        <v>15529</v>
      </c>
      <c r="J354" s="19" t="str">
        <f t="shared" si="16"/>
        <v>(${Variables:E2_3_1_85_kcat} * E2_3_1_85 * C05749 * C01209)/(${Variables:E2_3_1_85_km} + (E2_3_1_85 * C05749 * C01209))</v>
      </c>
      <c r="K354" s="37" t="str">
        <f t="shared" si="17"/>
        <v>r353: C05749 + C01209 -&gt; C05750 + C00011 + C00229 | (${Variables:E2_3_1_85_kcat} * E2_3_1_85 * C05749 * C01209)/(${Variables:E2_3_1_85_km} + (E2_3_1_85 * C05749 * C01209))</v>
      </c>
    </row>
    <row r="355" spans="1:11" ht="46.25" customHeight="1">
      <c r="A355" t="s">
        <v>6857</v>
      </c>
      <c r="B355" t="s">
        <v>6858</v>
      </c>
      <c r="C355" t="s">
        <v>12871</v>
      </c>
      <c r="D355" s="19">
        <v>354</v>
      </c>
      <c r="E355" s="19" t="str">
        <f t="shared" si="15"/>
        <v>E2_3_1_85</v>
      </c>
      <c r="F355" s="19" t="s">
        <v>16071</v>
      </c>
      <c r="G355" s="19" t="s">
        <v>16070</v>
      </c>
      <c r="H355" s="19" t="s">
        <v>14115</v>
      </c>
      <c r="I355" s="19" t="s">
        <v>15530</v>
      </c>
      <c r="J355" s="19" t="str">
        <f t="shared" si="16"/>
        <v>(${Variables:E2_3_1_85_kcat} * E2_3_1_85 * C05752 * C00006)/(${Variables:E2_3_1_85_km} + (E2_3_1_85 * C05752 * C00006))</v>
      </c>
      <c r="K355" s="37" t="str">
        <f t="shared" si="17"/>
        <v>r354: C05752 + C00006 -&gt; C05751 + C00005 + C00080 | (${Variables:E2_3_1_85_kcat} * E2_3_1_85 * C05752 * C00006)/(${Variables:E2_3_1_85_km} + (E2_3_1_85 * C05752 * C00006))</v>
      </c>
    </row>
    <row r="356" spans="1:11" ht="46.25" customHeight="1">
      <c r="A356" t="s">
        <v>6857</v>
      </c>
      <c r="B356" t="s">
        <v>6858</v>
      </c>
      <c r="C356" t="s">
        <v>12871</v>
      </c>
      <c r="D356" s="19">
        <v>355</v>
      </c>
      <c r="E356" s="19" t="str">
        <f t="shared" si="15"/>
        <v>E2_3_1_85</v>
      </c>
      <c r="F356" s="19" t="s">
        <v>13429</v>
      </c>
      <c r="G356" s="19" t="s">
        <v>14844</v>
      </c>
      <c r="H356" s="19" t="s">
        <v>14116</v>
      </c>
      <c r="I356" s="19" t="s">
        <v>15531</v>
      </c>
      <c r="J356" s="19" t="str">
        <f t="shared" si="16"/>
        <v>(${Variables:E2_3_1_85_kcat} * E2_3_1_85 * C05752 * C01209)/(${Variables:E2_3_1_85_km} + (E2_3_1_85 * C05752 * C01209))</v>
      </c>
      <c r="K356" s="37" t="str">
        <f t="shared" si="17"/>
        <v>r355: C05752 + C01209 -&gt; C05753 + C00011 + C00229 | (${Variables:E2_3_1_85_kcat} * E2_3_1_85 * C05752 * C01209)/(${Variables:E2_3_1_85_km} + (E2_3_1_85 * C05752 * C01209))</v>
      </c>
    </row>
    <row r="357" spans="1:11" ht="46.25" customHeight="1">
      <c r="A357" t="s">
        <v>6857</v>
      </c>
      <c r="B357" t="s">
        <v>6858</v>
      </c>
      <c r="C357" t="s">
        <v>12871</v>
      </c>
      <c r="D357" s="19">
        <v>356</v>
      </c>
      <c r="E357" s="19" t="str">
        <f t="shared" si="15"/>
        <v>E2_3_1_85</v>
      </c>
      <c r="F357" s="19" t="s">
        <v>13430</v>
      </c>
      <c r="G357" s="19" t="s">
        <v>14845</v>
      </c>
      <c r="H357" s="19" t="s">
        <v>14117</v>
      </c>
      <c r="I357" s="19" t="s">
        <v>15532</v>
      </c>
      <c r="J357" s="19" t="str">
        <f t="shared" si="16"/>
        <v>(${Variables:E2_3_1_85_kcat} * E2_3_1_85 * C05755 * C00006)/(${Variables:E2_3_1_85_km} + (E2_3_1_85 * C05755 * C00006))</v>
      </c>
      <c r="K357" s="37" t="str">
        <f t="shared" si="17"/>
        <v>r356: C05755 + C00006 -&gt; C05754 + C00005 + C00080 | (${Variables:E2_3_1_85_kcat} * E2_3_1_85 * C05755 * C00006)/(${Variables:E2_3_1_85_km} + (E2_3_1_85 * C05755 * C00006))</v>
      </c>
    </row>
    <row r="358" spans="1:11" ht="46.25" customHeight="1">
      <c r="A358" t="s">
        <v>6857</v>
      </c>
      <c r="B358" t="s">
        <v>6858</v>
      </c>
      <c r="C358" t="s">
        <v>12871</v>
      </c>
      <c r="D358" s="19">
        <v>357</v>
      </c>
      <c r="E358" s="19" t="str">
        <f t="shared" si="15"/>
        <v>E2_3_1_85</v>
      </c>
      <c r="F358" s="19" t="s">
        <v>13431</v>
      </c>
      <c r="G358" s="19" t="s">
        <v>14846</v>
      </c>
      <c r="H358" s="19" t="s">
        <v>14118</v>
      </c>
      <c r="I358" s="19" t="s">
        <v>15533</v>
      </c>
      <c r="J358" s="19" t="str">
        <f t="shared" si="16"/>
        <v>(${Variables:E2_3_1_85_kcat} * E2_3_1_85 * C05755 * C01209)/(${Variables:E2_3_1_85_km} + (E2_3_1_85 * C05755 * C01209))</v>
      </c>
      <c r="K358" s="37" t="str">
        <f t="shared" si="17"/>
        <v>r357: C05755 + C01209 -&gt; C05756 + C00011 + C00229 | (${Variables:E2_3_1_85_kcat} * E2_3_1_85 * C05755 * C01209)/(${Variables:E2_3_1_85_km} + (E2_3_1_85 * C05755 * C01209))</v>
      </c>
    </row>
    <row r="359" spans="1:11" ht="46.25" customHeight="1">
      <c r="A359" t="s">
        <v>6857</v>
      </c>
      <c r="B359" t="s">
        <v>6858</v>
      </c>
      <c r="C359" t="s">
        <v>12871</v>
      </c>
      <c r="D359" s="19">
        <v>358</v>
      </c>
      <c r="E359" s="19" t="str">
        <f t="shared" si="15"/>
        <v>E2_3_1_85</v>
      </c>
      <c r="F359" s="19" t="s">
        <v>13205</v>
      </c>
      <c r="G359" s="19" t="s">
        <v>14620</v>
      </c>
      <c r="H359" s="19" t="s">
        <v>13891</v>
      </c>
      <c r="I359" s="19" t="s">
        <v>15306</v>
      </c>
      <c r="J359" s="19" t="str">
        <f t="shared" si="16"/>
        <v>(${Variables:E2_3_1_85_kcat} * E2_3_1_85 * C05757 * C00006)/(${Variables:E2_3_1_85_km} + (E2_3_1_85 * C05757 * C00006))</v>
      </c>
      <c r="K359" s="37" t="str">
        <f t="shared" si="17"/>
        <v>r358: C05757 + C00006 -&gt; C05756 + C00005 + C00080 | (${Variables:E2_3_1_85_kcat} * E2_3_1_85 * C05757 * C00006)/(${Variables:E2_3_1_85_km} + (E2_3_1_85 * C05757 * C00006))</v>
      </c>
    </row>
    <row r="360" spans="1:11" ht="46.25" customHeight="1">
      <c r="A360" t="s">
        <v>6857</v>
      </c>
      <c r="B360" t="s">
        <v>6858</v>
      </c>
      <c r="C360" t="s">
        <v>12871</v>
      </c>
      <c r="D360" s="19">
        <v>359</v>
      </c>
      <c r="E360" s="19" t="str">
        <f t="shared" si="15"/>
        <v>E2_3_1_85</v>
      </c>
      <c r="F360" s="19" t="s">
        <v>8910</v>
      </c>
      <c r="G360" s="19" t="s">
        <v>8910</v>
      </c>
      <c r="H360" s="19" t="s">
        <v>14119</v>
      </c>
      <c r="I360" s="19" t="s">
        <v>15534</v>
      </c>
      <c r="J360" s="19" t="str">
        <f t="shared" si="16"/>
        <v>(${Variables:E2_3_1_85_kcat} * E2_3_1_85 * C05757  )/(${Variables:E2_3_1_85_km} + (E2_3_1_85 * C05757  ))</v>
      </c>
      <c r="K360" s="37" t="str">
        <f t="shared" si="17"/>
        <v>r359: C05757   -&gt; C05758 + C00001 | (${Variables:E2_3_1_85_kcat} * E2_3_1_85 * C05757  )/(${Variables:E2_3_1_85_km} + (E2_3_1_85 * C05757  ))</v>
      </c>
    </row>
    <row r="361" spans="1:11" ht="46.25" customHeight="1">
      <c r="A361" t="s">
        <v>6857</v>
      </c>
      <c r="B361" t="s">
        <v>6858</v>
      </c>
      <c r="C361" t="s">
        <v>12871</v>
      </c>
      <c r="D361" s="19">
        <v>360</v>
      </c>
      <c r="E361" s="19" t="str">
        <f t="shared" si="15"/>
        <v>E2_3_1_85</v>
      </c>
      <c r="F361" s="19" t="s">
        <v>13432</v>
      </c>
      <c r="G361" s="19" t="s">
        <v>14847</v>
      </c>
      <c r="H361" s="19" t="s">
        <v>14120</v>
      </c>
      <c r="I361" s="19" t="s">
        <v>15535</v>
      </c>
      <c r="J361" s="19" t="str">
        <f t="shared" si="16"/>
        <v>(${Variables:E2_3_1_85_kcat} * E2_3_1_85 * C05761 * C00006)/(${Variables:E2_3_1_85_km} + (E2_3_1_85 * C05761 * C00006))</v>
      </c>
      <c r="K361" s="37" t="str">
        <f t="shared" si="17"/>
        <v>r360: C05761 + C00006 -&gt; C05760 + C00005 + C00080 | (${Variables:E2_3_1_85_kcat} * E2_3_1_85 * C05761 * C00006)/(${Variables:E2_3_1_85_km} + (E2_3_1_85 * C05761 * C00006))</v>
      </c>
    </row>
    <row r="362" spans="1:11" ht="46.25" customHeight="1">
      <c r="A362" t="s">
        <v>6857</v>
      </c>
      <c r="B362" t="s">
        <v>6858</v>
      </c>
      <c r="C362" t="s">
        <v>12871</v>
      </c>
      <c r="D362" s="19">
        <v>361</v>
      </c>
      <c r="E362" s="19" t="str">
        <f t="shared" si="15"/>
        <v>E2_3_1_85</v>
      </c>
      <c r="F362" s="19" t="s">
        <v>13433</v>
      </c>
      <c r="G362" s="19" t="s">
        <v>14848</v>
      </c>
      <c r="H362" s="19" t="s">
        <v>14121</v>
      </c>
      <c r="I362" s="19" t="s">
        <v>15536</v>
      </c>
      <c r="J362" s="19" t="str">
        <f t="shared" si="16"/>
        <v>(${Variables:E2_3_1_85_kcat} * E2_3_1_85 * C05761 * C01209)/(${Variables:E2_3_1_85_km} + (E2_3_1_85 * C05761 * C01209))</v>
      </c>
      <c r="K362" s="37" t="str">
        <f t="shared" si="17"/>
        <v>r361: C05761 + C01209 -&gt; C05762 + C00011 + C00229 | (${Variables:E2_3_1_85_kcat} * E2_3_1_85 * C05761 * C01209)/(${Variables:E2_3_1_85_km} + (E2_3_1_85 * C05761 * C01209))</v>
      </c>
    </row>
    <row r="363" spans="1:11" ht="46.25" customHeight="1">
      <c r="A363" t="s">
        <v>6857</v>
      </c>
      <c r="B363" t="s">
        <v>6858</v>
      </c>
      <c r="C363" t="s">
        <v>12871</v>
      </c>
      <c r="D363" s="19">
        <v>362</v>
      </c>
      <c r="E363" s="19" t="str">
        <f t="shared" si="15"/>
        <v>E2_3_1_85</v>
      </c>
      <c r="F363" s="19" t="s">
        <v>13434</v>
      </c>
      <c r="G363" s="19" t="s">
        <v>14849</v>
      </c>
      <c r="H363" s="19" t="s">
        <v>14122</v>
      </c>
      <c r="I363" s="19" t="s">
        <v>15537</v>
      </c>
      <c r="J363" s="19" t="str">
        <f t="shared" si="16"/>
        <v>(${Variables:E2_3_1_85_kcat} * E2_3_1_85 * C05764 * C00006)/(${Variables:E2_3_1_85_km} + (E2_3_1_85 * C05764 * C00006))</v>
      </c>
      <c r="K363" s="37" t="str">
        <f t="shared" si="17"/>
        <v>r362: C05764 + C00006 -&gt; C05763 + C00005 + C00080 | (${Variables:E2_3_1_85_kcat} * E2_3_1_85 * C05764 * C00006)/(${Variables:E2_3_1_85_km} + (E2_3_1_85 * C05764 * C00006))</v>
      </c>
    </row>
    <row r="364" spans="1:11" ht="46.25" customHeight="1">
      <c r="A364" t="s">
        <v>6593</v>
      </c>
      <c r="B364" t="s">
        <v>6594</v>
      </c>
      <c r="C364" t="s">
        <v>12872</v>
      </c>
      <c r="D364" s="19">
        <v>363</v>
      </c>
      <c r="E364" s="19" t="str">
        <f t="shared" si="15"/>
        <v>E2_3_1_9</v>
      </c>
      <c r="F364" s="19" t="s">
        <v>9022</v>
      </c>
      <c r="G364" s="19" t="s">
        <v>9022</v>
      </c>
      <c r="H364" s="19" t="s">
        <v>14123</v>
      </c>
      <c r="I364" s="19" t="s">
        <v>15538</v>
      </c>
      <c r="J364" s="19" t="str">
        <f t="shared" si="16"/>
        <v>(${Variables:E2_3_1_9_kcat} * E2_3_1_9 * C00024)/(${Variables:E2_3_1_9_km} + (E2_3_1_9 * C00024))</v>
      </c>
      <c r="K364" s="37" t="str">
        <f t="shared" si="17"/>
        <v>r363: C00024 -&gt; C00010 + C00332 | (${Variables:E2_3_1_9_kcat} * E2_3_1_9 * C00024)/(${Variables:E2_3_1_9_km} + (E2_3_1_9 * C00024))</v>
      </c>
    </row>
    <row r="365" spans="1:11" ht="46.25" customHeight="1">
      <c r="A365" t="s">
        <v>6593</v>
      </c>
      <c r="B365" t="s">
        <v>6594</v>
      </c>
      <c r="C365" t="s">
        <v>12872</v>
      </c>
      <c r="D365" s="19">
        <v>364</v>
      </c>
      <c r="E365" s="19" t="str">
        <f t="shared" si="15"/>
        <v>E2_3_1_9</v>
      </c>
      <c r="F365" s="19" t="s">
        <v>13435</v>
      </c>
      <c r="G365" s="19" t="s">
        <v>14850</v>
      </c>
      <c r="H365" s="19" t="s">
        <v>14124</v>
      </c>
      <c r="I365" s="19" t="s">
        <v>15539</v>
      </c>
      <c r="J365" s="19" t="str">
        <f t="shared" si="16"/>
        <v>(${Variables:E2_3_1_9_kcat} * E2_3_1_9 * C00100 * C00024)/(${Variables:E2_3_1_9_km} + (E2_3_1_9 * C00100 * C00024))</v>
      </c>
      <c r="K365" s="37" t="str">
        <f t="shared" si="17"/>
        <v>r364: C00100 + C00024 -&gt; C00010 + C03344 | (${Variables:E2_3_1_9_kcat} * E2_3_1_9 * C00100 * C00024)/(${Variables:E2_3_1_9_km} + (E2_3_1_9 * C00100 * C00024))</v>
      </c>
    </row>
    <row r="366" spans="1:11" ht="46.25" customHeight="1">
      <c r="A366" t="s">
        <v>6593</v>
      </c>
      <c r="B366" t="s">
        <v>6594</v>
      </c>
      <c r="C366" t="s">
        <v>12872</v>
      </c>
      <c r="D366" s="19">
        <v>365</v>
      </c>
      <c r="E366" s="19" t="str">
        <f t="shared" si="15"/>
        <v>E2_3_1_9</v>
      </c>
      <c r="F366" s="19" t="s">
        <v>13436</v>
      </c>
      <c r="G366" s="19" t="s">
        <v>14851</v>
      </c>
      <c r="H366" s="19" t="s">
        <v>14125</v>
      </c>
      <c r="I366" s="19" t="s">
        <v>15540</v>
      </c>
      <c r="J366" s="19" t="str">
        <f t="shared" si="16"/>
        <v>(${Variables:E2_3_1_9_kcat} * E2_3_1_9 * C00024 * C00136)/(${Variables:E2_3_1_9_km} + (E2_3_1_9 * C00024 * C00136))</v>
      </c>
      <c r="K366" s="37" t="str">
        <f t="shared" si="17"/>
        <v>r365: C00024 + C00136 -&gt; C00010 + C05269 | (${Variables:E2_3_1_9_kcat} * E2_3_1_9 * C00024 * C00136)/(${Variables:E2_3_1_9_km} + (E2_3_1_9 * C00024 * C00136))</v>
      </c>
    </row>
    <row r="367" spans="1:11" ht="46.25" customHeight="1">
      <c r="A367" t="s">
        <v>2756</v>
      </c>
      <c r="B367" t="s">
        <v>2757</v>
      </c>
      <c r="C367" t="s">
        <v>12873</v>
      </c>
      <c r="D367" s="19">
        <v>366</v>
      </c>
      <c r="E367" s="19" t="str">
        <f t="shared" si="15"/>
        <v>E2_3_2_2</v>
      </c>
      <c r="F367" s="19" t="s">
        <v>13437</v>
      </c>
      <c r="G367" s="19" t="s">
        <v>14852</v>
      </c>
      <c r="H367" s="19" t="s">
        <v>14126</v>
      </c>
      <c r="I367" s="19" t="s">
        <v>15541</v>
      </c>
      <c r="J367" s="19" t="str">
        <f t="shared" si="16"/>
        <v>(${Variables:E2_3_2_2_kcat} * E2_3_2_2 * C03193 * C00045)/(${Variables:E2_3_2_2_km} + (E2_3_2_2 * C03193 * C00045))</v>
      </c>
      <c r="K367" s="37" t="str">
        <f t="shared" si="17"/>
        <v>r366: C03193 + C00045 -&gt; C00012 + C03363 | (${Variables:E2_3_2_2_kcat} * E2_3_2_2 * C03193 * C00045)/(${Variables:E2_3_2_2_km} + (E2_3_2_2 * C03193 * C00045))</v>
      </c>
    </row>
    <row r="368" spans="1:11" ht="46.25" customHeight="1">
      <c r="A368" t="s">
        <v>2756</v>
      </c>
      <c r="B368" t="s">
        <v>2757</v>
      </c>
      <c r="C368" t="s">
        <v>12873</v>
      </c>
      <c r="D368" s="19">
        <v>367</v>
      </c>
      <c r="E368" s="19" t="str">
        <f t="shared" si="15"/>
        <v>E2_3_2_2</v>
      </c>
      <c r="F368" s="19" t="s">
        <v>13438</v>
      </c>
      <c r="G368" s="19" t="s">
        <v>14853</v>
      </c>
      <c r="H368" s="19" t="s">
        <v>14127</v>
      </c>
      <c r="I368" s="19" t="s">
        <v>15542</v>
      </c>
      <c r="J368" s="19" t="str">
        <f t="shared" si="16"/>
        <v>(${Variables:E2_3_2_2_kcat} * E2_3_2_2 * C00051 * C00151)/(${Variables:E2_3_2_2_km} + (E2_3_2_2 * C00051 * C00151))</v>
      </c>
      <c r="K368" s="37" t="str">
        <f t="shared" si="17"/>
        <v>r367: C00051 + C00151 -&gt; C01419 + C03740 | (${Variables:E2_3_2_2_kcat} * E2_3_2_2 * C00051 * C00151)/(${Variables:E2_3_2_2_km} + (E2_3_2_2 * C00051 * C00151))</v>
      </c>
    </row>
    <row r="369" spans="1:11" ht="46.25" customHeight="1">
      <c r="A369" t="s">
        <v>2756</v>
      </c>
      <c r="B369" t="s">
        <v>2757</v>
      </c>
      <c r="C369" t="s">
        <v>12873</v>
      </c>
      <c r="D369" s="19">
        <v>368</v>
      </c>
      <c r="E369" s="19" t="str">
        <f t="shared" si="15"/>
        <v>E2_3_2_2</v>
      </c>
      <c r="F369" s="19" t="s">
        <v>13439</v>
      </c>
      <c r="G369" s="19" t="s">
        <v>14854</v>
      </c>
      <c r="H369" s="19" t="s">
        <v>14128</v>
      </c>
      <c r="I369" s="19" t="s">
        <v>15543</v>
      </c>
      <c r="J369" s="19" t="str">
        <f t="shared" si="16"/>
        <v>(${Variables:E2_3_2_2_kcat} * E2_3_2_2 * C03193 * C00245)/(${Variables:E2_3_2_2_km} + (E2_3_2_2 * C03193 * C00245))</v>
      </c>
      <c r="K369" s="37" t="str">
        <f t="shared" si="17"/>
        <v>r368: C03193 + C00245 -&gt; C00012 + C05844 | (${Variables:E2_3_2_2_kcat} * E2_3_2_2 * C03193 * C00245)/(${Variables:E2_3_2_2_km} + (E2_3_2_2 * C03193 * C00245))</v>
      </c>
    </row>
    <row r="370" spans="1:11" ht="46.25" customHeight="1">
      <c r="A370" t="s">
        <v>2756</v>
      </c>
      <c r="B370" t="s">
        <v>2757</v>
      </c>
      <c r="C370" t="s">
        <v>12873</v>
      </c>
      <c r="D370" s="19">
        <v>369</v>
      </c>
      <c r="E370" s="19" t="str">
        <f t="shared" si="15"/>
        <v>E2_3_2_2</v>
      </c>
      <c r="F370" s="19" t="s">
        <v>13440</v>
      </c>
      <c r="G370" s="19" t="s">
        <v>14855</v>
      </c>
      <c r="H370" s="19" t="s">
        <v>14129</v>
      </c>
      <c r="I370" s="19" t="s">
        <v>15544</v>
      </c>
      <c r="J370" s="19" t="str">
        <f t="shared" si="16"/>
        <v>(${Variables:E2_3_2_2_kcat} * E2_3_2_2 * C02166 * C00045)/(${Variables:E2_3_2_2_km} + (E2_3_2_2 * C02166 * C00045))</v>
      </c>
      <c r="K370" s="37" t="str">
        <f t="shared" si="17"/>
        <v>r369: C02166 + C00045 -&gt; C05951 + C03363 | (${Variables:E2_3_2_2_kcat} * E2_3_2_2 * C02166 * C00045)/(${Variables:E2_3_2_2_km} + (E2_3_2_2 * C02166 * C00045))</v>
      </c>
    </row>
    <row r="371" spans="1:11" ht="46.25" customHeight="1">
      <c r="A371" t="s">
        <v>2756</v>
      </c>
      <c r="B371" t="s">
        <v>2757</v>
      </c>
      <c r="C371" t="s">
        <v>12873</v>
      </c>
      <c r="D371" s="19">
        <v>370</v>
      </c>
      <c r="E371" s="19" t="str">
        <f t="shared" si="15"/>
        <v>E2_3_2_2</v>
      </c>
      <c r="F371" s="19" t="s">
        <v>13441</v>
      </c>
      <c r="G371" s="19" t="s">
        <v>14856</v>
      </c>
      <c r="H371" s="19" t="s">
        <v>14130</v>
      </c>
      <c r="I371" s="19" t="s">
        <v>15545</v>
      </c>
      <c r="J371" s="19" t="str">
        <f t="shared" si="16"/>
        <v>(${Variables:E2_3_2_2_kcat} * E2_3_2_2 * C03193 * C05689)/(${Variables:E2_3_2_2_km} + (E2_3_2_2 * C03193 * C05689))</v>
      </c>
      <c r="K371" s="37" t="str">
        <f t="shared" si="17"/>
        <v>r370: C03193 + C05689 -&gt; C00012 + C05695 | (${Variables:E2_3_2_2_kcat} * E2_3_2_2 * C03193 * C05689)/(${Variables:E2_3_2_2_km} + (E2_3_2_2 * C03193 * C05689))</v>
      </c>
    </row>
    <row r="372" spans="1:11" ht="46.25" customHeight="1">
      <c r="A372" t="s">
        <v>2756</v>
      </c>
      <c r="B372" t="s">
        <v>2757</v>
      </c>
      <c r="C372" t="s">
        <v>12873</v>
      </c>
      <c r="D372" s="19">
        <v>371</v>
      </c>
      <c r="E372" s="19" t="str">
        <f t="shared" si="15"/>
        <v>E2_3_2_2</v>
      </c>
      <c r="F372" s="19" t="s">
        <v>13442</v>
      </c>
      <c r="G372" s="19" t="s">
        <v>14857</v>
      </c>
      <c r="H372" s="19" t="s">
        <v>14131</v>
      </c>
      <c r="I372" s="19" t="s">
        <v>15546</v>
      </c>
      <c r="J372" s="19" t="str">
        <f t="shared" si="16"/>
        <v>(${Variables:E2_3_2_2_kcat} * E2_3_2_2 * C02320 * C00001)/(${Variables:E2_3_2_2_km} + (E2_3_2_2 * C02320 * C00001))</v>
      </c>
      <c r="K372" s="37" t="str">
        <f t="shared" si="17"/>
        <v>r371: C02320 + C00001 -&gt; C05729 + C00025 | (${Variables:E2_3_2_2_kcat} * E2_3_2_2 * C02320 * C00001)/(${Variables:E2_3_2_2_km} + (E2_3_2_2 * C02320 * C00001))</v>
      </c>
    </row>
    <row r="373" spans="1:11" ht="46.25" customHeight="1">
      <c r="A373" t="s">
        <v>2756</v>
      </c>
      <c r="B373" t="s">
        <v>2757</v>
      </c>
      <c r="C373" t="s">
        <v>12873</v>
      </c>
      <c r="D373" s="19">
        <v>372</v>
      </c>
      <c r="E373" s="19" t="str">
        <f t="shared" si="15"/>
        <v>E2_3_2_2</v>
      </c>
      <c r="F373" s="19" t="s">
        <v>13443</v>
      </c>
      <c r="G373" s="19" t="s">
        <v>14858</v>
      </c>
      <c r="H373" s="19" t="s">
        <v>14132</v>
      </c>
      <c r="I373" s="19" t="s">
        <v>15547</v>
      </c>
      <c r="J373" s="19" t="str">
        <f t="shared" si="16"/>
        <v>(${Variables:E2_3_2_2_kcat} * E2_3_2_2 * C02512 * C00025)/(${Variables:E2_3_2_2_km} + (E2_3_2_2 * C02512 * C00025))</v>
      </c>
      <c r="K373" s="37" t="str">
        <f t="shared" si="17"/>
        <v>r372: C02512 + C00025 -&gt; C05711 + C00001 | (${Variables:E2_3_2_2_kcat} * E2_3_2_2 * C02512 * C00025)/(${Variables:E2_3_2_2_km} + (E2_3_2_2 * C02512 * C00025))</v>
      </c>
    </row>
    <row r="374" spans="1:11" ht="46.25" customHeight="1">
      <c r="A374" t="s">
        <v>2756</v>
      </c>
      <c r="B374" t="s">
        <v>2757</v>
      </c>
      <c r="C374" t="s">
        <v>12873</v>
      </c>
      <c r="D374" s="19">
        <v>373</v>
      </c>
      <c r="E374" s="19" t="str">
        <f t="shared" si="15"/>
        <v>E2_3_2_2</v>
      </c>
      <c r="F374" s="19" t="s">
        <v>13444</v>
      </c>
      <c r="G374" s="19" t="s">
        <v>14859</v>
      </c>
      <c r="H374" s="19" t="s">
        <v>14133</v>
      </c>
      <c r="I374" s="19" t="s">
        <v>15548</v>
      </c>
      <c r="J374" s="19" t="str">
        <f t="shared" si="16"/>
        <v>(${Variables:E2_3_2_2_kcat} * E2_3_2_2 * C05670 * C00025)/(${Variables:E2_3_2_2_km} + (E2_3_2_2 * C05670 * C00025))</v>
      </c>
      <c r="K374" s="37" t="str">
        <f t="shared" si="17"/>
        <v>r373: C05670 + C00025 -&gt; C06114 + C00001 | (${Variables:E2_3_2_2_kcat} * E2_3_2_2 * C05670 * C00025)/(${Variables:E2_3_2_2_km} + (E2_3_2_2 * C05670 * C00025))</v>
      </c>
    </row>
    <row r="375" spans="1:11" ht="46.25" customHeight="1">
      <c r="A375" t="s">
        <v>767</v>
      </c>
      <c r="B375" t="s">
        <v>768</v>
      </c>
      <c r="C375" t="s">
        <v>12874</v>
      </c>
      <c r="D375" s="19">
        <v>374</v>
      </c>
      <c r="E375" s="19" t="str">
        <f t="shared" si="15"/>
        <v>E2_3_3_13</v>
      </c>
      <c r="F375" s="19" t="s">
        <v>13445</v>
      </c>
      <c r="G375" s="19" t="s">
        <v>14860</v>
      </c>
      <c r="H375" s="19" t="s">
        <v>14134</v>
      </c>
      <c r="I375" s="19" t="s">
        <v>15549</v>
      </c>
      <c r="J375" s="19" t="str">
        <f t="shared" si="16"/>
        <v>(${Variables:E2_3_3_13_kcat} * E2_3_3_13 * C02504 * C00010)/(${Variables:E2_3_3_13_km} + (E2_3_3_13 * C02504 * C00010))</v>
      </c>
      <c r="K375" s="37" t="str">
        <f t="shared" si="17"/>
        <v>r374: C02504 + C00010 -&gt; C00024 + C00141 + C00001 | (${Variables:E2_3_3_13_kcat} * E2_3_3_13 * C02504 * C00010)/(${Variables:E2_3_3_13_km} + (E2_3_3_13 * C02504 * C00010))</v>
      </c>
    </row>
    <row r="376" spans="1:11" ht="46.25" customHeight="1">
      <c r="A376" t="s">
        <v>1922</v>
      </c>
      <c r="B376" t="s">
        <v>1923</v>
      </c>
      <c r="C376" t="s">
        <v>12875</v>
      </c>
      <c r="D376" s="19">
        <v>375</v>
      </c>
      <c r="E376" s="19" t="str">
        <f t="shared" si="15"/>
        <v>E2_3_3_16</v>
      </c>
      <c r="F376" s="19" t="s">
        <v>13446</v>
      </c>
      <c r="G376" s="19" t="s">
        <v>14861</v>
      </c>
      <c r="H376" s="19" t="s">
        <v>14135</v>
      </c>
      <c r="I376" s="19" t="s">
        <v>15550</v>
      </c>
      <c r="J376" s="19" t="str">
        <f t="shared" si="16"/>
        <v>(${Variables:E2_3_3_16_kcat} * E2_3_3_16 * C00158 * C00010)/(${Variables:E2_3_3_16_km} + (E2_3_3_16 * C00158 * C00010))</v>
      </c>
      <c r="K376" s="37" t="str">
        <f t="shared" si="17"/>
        <v>r375: C00158 + C00010 -&gt; C00024 + C00001 + C00036 | (${Variables:E2_3_3_16_kcat} * E2_3_3_16 * C00158 * C00010)/(${Variables:E2_3_3_16_km} + (E2_3_3_16 * C00158 * C00010))</v>
      </c>
    </row>
    <row r="377" spans="1:11" ht="46.25" customHeight="1">
      <c r="A377" t="s">
        <v>2016</v>
      </c>
      <c r="B377" t="s">
        <v>2017</v>
      </c>
      <c r="C377" t="s">
        <v>12875</v>
      </c>
      <c r="D377" s="19">
        <v>376</v>
      </c>
      <c r="E377" s="19" t="str">
        <f t="shared" si="15"/>
        <v>E2_3_3_16</v>
      </c>
      <c r="F377" s="19" t="s">
        <v>13446</v>
      </c>
      <c r="G377" s="19" t="s">
        <v>14861</v>
      </c>
      <c r="H377" s="19" t="s">
        <v>14135</v>
      </c>
      <c r="I377" s="19" t="s">
        <v>15550</v>
      </c>
      <c r="J377" s="19" t="str">
        <f t="shared" si="16"/>
        <v>(${Variables:E2_3_3_16_kcat} * E2_3_3_16 * C00158 * C00010)/(${Variables:E2_3_3_16_km} + (E2_3_3_16 * C00158 * C00010))</v>
      </c>
      <c r="K377" s="37" t="str">
        <f t="shared" si="17"/>
        <v>r376: C00158 + C00010 -&gt; C00024 + C00001 + C00036 | (${Variables:E2_3_3_16_kcat} * E2_3_3_16 * C00158 * C00010)/(${Variables:E2_3_3_16_km} + (E2_3_3_16 * C00158 * C00010))</v>
      </c>
    </row>
    <row r="378" spans="1:11" ht="46.25" customHeight="1">
      <c r="A378" t="s">
        <v>2402</v>
      </c>
      <c r="B378" t="s">
        <v>2403</v>
      </c>
      <c r="C378" t="s">
        <v>12875</v>
      </c>
      <c r="D378" s="19">
        <v>377</v>
      </c>
      <c r="E378" s="19" t="str">
        <f t="shared" si="15"/>
        <v>E2_3_3_16</v>
      </c>
      <c r="F378" s="19" t="s">
        <v>13446</v>
      </c>
      <c r="G378" s="19" t="s">
        <v>14861</v>
      </c>
      <c r="H378" s="19" t="s">
        <v>14135</v>
      </c>
      <c r="I378" s="19" t="s">
        <v>15550</v>
      </c>
      <c r="J378" s="19" t="str">
        <f t="shared" si="16"/>
        <v>(${Variables:E2_3_3_16_kcat} * E2_3_3_16 * C00158 * C00010)/(${Variables:E2_3_3_16_km} + (E2_3_3_16 * C00158 * C00010))</v>
      </c>
      <c r="K378" s="37" t="str">
        <f t="shared" si="17"/>
        <v>r377: C00158 + C00010 -&gt; C00024 + C00001 + C00036 | (${Variables:E2_3_3_16_kcat} * E2_3_3_16 * C00158 * C00010)/(${Variables:E2_3_3_16_km} + (E2_3_3_16 * C00158 * C00010))</v>
      </c>
    </row>
    <row r="379" spans="1:11" ht="46.25" customHeight="1">
      <c r="A379" t="s">
        <v>1922</v>
      </c>
      <c r="B379" t="s">
        <v>1923</v>
      </c>
      <c r="C379" t="s">
        <v>12876</v>
      </c>
      <c r="D379" s="19">
        <v>378</v>
      </c>
      <c r="E379" s="19" t="str">
        <f t="shared" si="15"/>
        <v>E2_3_3_5</v>
      </c>
      <c r="F379" s="19" t="s">
        <v>13447</v>
      </c>
      <c r="G379" s="19" t="s">
        <v>14862</v>
      </c>
      <c r="H379" s="19" t="s">
        <v>14136</v>
      </c>
      <c r="I379" s="19" t="s">
        <v>15551</v>
      </c>
      <c r="J379" s="19" t="str">
        <f t="shared" si="16"/>
        <v>(${Variables:E2_3_3_5_kcat} * E2_3_3_5 * C02225 * C00010)/(${Variables:E2_3_3_5_km} + (E2_3_3_5 * C02225 * C00010))</v>
      </c>
      <c r="K379" s="37" t="str">
        <f t="shared" si="17"/>
        <v>r378: C02225 + C00010 -&gt; C00100 + C00036 + C00001 | (${Variables:E2_3_3_5_kcat} * E2_3_3_5 * C02225 * C00010)/(${Variables:E2_3_3_5_km} + (E2_3_3_5 * C02225 * C00010))</v>
      </c>
    </row>
    <row r="380" spans="1:11" ht="46.25" customHeight="1">
      <c r="A380" t="s">
        <v>1922</v>
      </c>
      <c r="B380" t="s">
        <v>1923</v>
      </c>
      <c r="C380" t="s">
        <v>12876</v>
      </c>
      <c r="D380" s="19">
        <v>379</v>
      </c>
      <c r="E380" s="19" t="str">
        <f t="shared" si="15"/>
        <v>E2_3_3_5</v>
      </c>
      <c r="F380" s="19" t="s">
        <v>13446</v>
      </c>
      <c r="G380" s="19" t="s">
        <v>14861</v>
      </c>
      <c r="H380" s="19" t="s">
        <v>14135</v>
      </c>
      <c r="I380" s="19" t="s">
        <v>15550</v>
      </c>
      <c r="J380" s="19" t="str">
        <f t="shared" si="16"/>
        <v>(${Variables:E2_3_3_5_kcat} * E2_3_3_5 * C00158 * C00010)/(${Variables:E2_3_3_5_km} + (E2_3_3_5 * C00158 * C00010))</v>
      </c>
      <c r="K380" s="37" t="str">
        <f t="shared" si="17"/>
        <v>r379: C00158 + C00010 -&gt; C00024 + C00001 + C00036 | (${Variables:E2_3_3_5_kcat} * E2_3_3_5 * C00158 * C00010)/(${Variables:E2_3_3_5_km} + (E2_3_3_5 * C00158 * C00010))</v>
      </c>
    </row>
    <row r="381" spans="1:11" ht="46.25" customHeight="1">
      <c r="A381" t="s">
        <v>2016</v>
      </c>
      <c r="B381" t="s">
        <v>2017</v>
      </c>
      <c r="C381" t="s">
        <v>12876</v>
      </c>
      <c r="D381" s="19">
        <v>380</v>
      </c>
      <c r="E381" s="19" t="str">
        <f t="shared" si="15"/>
        <v>E2_3_3_5</v>
      </c>
      <c r="F381" s="19" t="s">
        <v>13447</v>
      </c>
      <c r="G381" s="19" t="s">
        <v>14862</v>
      </c>
      <c r="H381" s="19" t="s">
        <v>14136</v>
      </c>
      <c r="I381" s="19" t="s">
        <v>15551</v>
      </c>
      <c r="J381" s="19" t="str">
        <f t="shared" si="16"/>
        <v>(${Variables:E2_3_3_5_kcat} * E2_3_3_5 * C02225 * C00010)/(${Variables:E2_3_3_5_km} + (E2_3_3_5 * C02225 * C00010))</v>
      </c>
      <c r="K381" s="37" t="str">
        <f t="shared" si="17"/>
        <v>r380: C02225 + C00010 -&gt; C00100 + C00036 + C00001 | (${Variables:E2_3_3_5_kcat} * E2_3_3_5 * C02225 * C00010)/(${Variables:E2_3_3_5_km} + (E2_3_3_5 * C02225 * C00010))</v>
      </c>
    </row>
    <row r="382" spans="1:11" ht="46.25" customHeight="1">
      <c r="A382" t="s">
        <v>2016</v>
      </c>
      <c r="B382" t="s">
        <v>2017</v>
      </c>
      <c r="C382" t="s">
        <v>12876</v>
      </c>
      <c r="D382" s="19">
        <v>381</v>
      </c>
      <c r="E382" s="19" t="str">
        <f t="shared" si="15"/>
        <v>E2_3_3_5</v>
      </c>
      <c r="F382" s="19" t="s">
        <v>13446</v>
      </c>
      <c r="G382" s="19" t="s">
        <v>14861</v>
      </c>
      <c r="H382" s="19" t="s">
        <v>14135</v>
      </c>
      <c r="I382" s="19" t="s">
        <v>15550</v>
      </c>
      <c r="J382" s="19" t="str">
        <f t="shared" si="16"/>
        <v>(${Variables:E2_3_3_5_kcat} * E2_3_3_5 * C00158 * C00010)/(${Variables:E2_3_3_5_km} + (E2_3_3_5 * C00158 * C00010))</v>
      </c>
      <c r="K382" s="37" t="str">
        <f t="shared" si="17"/>
        <v>r381: C00158 + C00010 -&gt; C00024 + C00001 + C00036 | (${Variables:E2_3_3_5_kcat} * E2_3_3_5 * C00158 * C00010)/(${Variables:E2_3_3_5_km} + (E2_3_3_5 * C00158 * C00010))</v>
      </c>
    </row>
    <row r="383" spans="1:11" ht="46.25" customHeight="1">
      <c r="A383" t="s">
        <v>6417</v>
      </c>
      <c r="B383" t="s">
        <v>6418</v>
      </c>
      <c r="C383" t="s">
        <v>12877</v>
      </c>
      <c r="D383" s="19">
        <v>382</v>
      </c>
      <c r="E383" s="19" t="str">
        <f t="shared" si="15"/>
        <v>E2_3_3_9</v>
      </c>
      <c r="F383" s="19" t="s">
        <v>13448</v>
      </c>
      <c r="G383" s="19" t="s">
        <v>14863</v>
      </c>
      <c r="H383" s="19" t="s">
        <v>14137</v>
      </c>
      <c r="I383" s="19" t="s">
        <v>15552</v>
      </c>
      <c r="J383" s="19" t="str">
        <f t="shared" si="16"/>
        <v>(${Variables:E2_3_3_9_kcat} * E2_3_3_9 * C00149 * C00010)/(${Variables:E2_3_3_9_km} + (E2_3_3_9 * C00149 * C00010))</v>
      </c>
      <c r="K383" s="37" t="str">
        <f t="shared" si="17"/>
        <v>r382: C00149 + C00010 -&gt; C00024 + C00001 + C00048 | (${Variables:E2_3_3_9_kcat} * E2_3_3_9 * C00149 * C00010)/(${Variables:E2_3_3_9_km} + (E2_3_3_9 * C00149 * C00010))</v>
      </c>
    </row>
    <row r="384" spans="1:11" ht="46.25" customHeight="1">
      <c r="A384" t="s">
        <v>2578</v>
      </c>
      <c r="B384" t="s">
        <v>2579</v>
      </c>
      <c r="C384" t="s">
        <v>12878</v>
      </c>
      <c r="D384" s="19">
        <v>383</v>
      </c>
      <c r="E384" s="19" t="str">
        <f t="shared" si="15"/>
        <v>E2_4_1_109</v>
      </c>
      <c r="F384" s="19" t="s">
        <v>13449</v>
      </c>
      <c r="G384" s="19" t="s">
        <v>14864</v>
      </c>
      <c r="H384" s="19" t="s">
        <v>14138</v>
      </c>
      <c r="I384" s="19" t="s">
        <v>15553</v>
      </c>
      <c r="J384" s="19" t="str">
        <f t="shared" si="16"/>
        <v>(${Variables:E2_4_1_109_kcat} * E2_4_1_109 * C03862 * C02189)/(${Variables:E2_4_1_109_km} + (E2_4_1_109 * C03862 * C02189))</v>
      </c>
      <c r="K384" s="37" t="str">
        <f t="shared" si="17"/>
        <v>r383: C03862 + C02189 -&gt; C00110 + C02863 | (${Variables:E2_4_1_109_kcat} * E2_4_1_109 * C03862 * C02189)/(${Variables:E2_4_1_109_km} + (E2_4_1_109 * C03862 * C02189))</v>
      </c>
    </row>
    <row r="385" spans="1:11" ht="46.25" customHeight="1">
      <c r="A385" t="s">
        <v>2578</v>
      </c>
      <c r="B385" t="s">
        <v>2579</v>
      </c>
      <c r="C385" t="s">
        <v>12878</v>
      </c>
      <c r="D385" s="19">
        <v>384</v>
      </c>
      <c r="E385" s="19" t="str">
        <f t="shared" si="15"/>
        <v>E2_4_1_109</v>
      </c>
      <c r="F385" s="19" t="s">
        <v>13450</v>
      </c>
      <c r="G385" s="19" t="s">
        <v>14865</v>
      </c>
      <c r="H385" s="19" t="s">
        <v>14139</v>
      </c>
      <c r="I385" s="19" t="s">
        <v>15554</v>
      </c>
      <c r="J385" s="19" t="str">
        <f t="shared" si="16"/>
        <v>(${Variables:E2_4_1_109_kcat} * E2_4_1_109 * G10617 * C02189)/(${Variables:E2_4_1_109_km} + (E2_4_1_109 * G10617 * C02189))</v>
      </c>
      <c r="K385" s="37" t="str">
        <f t="shared" si="17"/>
        <v>r384: G10617 + C02189 -&gt; G10622 + G13027 | (${Variables:E2_4_1_109_kcat} * E2_4_1_109 * G10617 * C02189)/(${Variables:E2_4_1_109_km} + (E2_4_1_109 * G10617 * C02189))</v>
      </c>
    </row>
    <row r="386" spans="1:11" ht="46.25" customHeight="1">
      <c r="A386" t="s">
        <v>2578</v>
      </c>
      <c r="B386" t="s">
        <v>2579</v>
      </c>
      <c r="C386" t="s">
        <v>12878</v>
      </c>
      <c r="D386" s="19">
        <v>385</v>
      </c>
      <c r="E386" s="19" t="str">
        <f t="shared" ref="E386:E449" si="18">CONCATENATE("E",C386)</f>
        <v>E2_4_1_109</v>
      </c>
      <c r="F386" s="19" t="s">
        <v>13451</v>
      </c>
      <c r="G386" s="19" t="s">
        <v>14866</v>
      </c>
      <c r="H386" s="19" t="s">
        <v>14140</v>
      </c>
      <c r="I386" s="19" t="s">
        <v>15555</v>
      </c>
      <c r="J386" s="19" t="str">
        <f t="shared" si="16"/>
        <v>(${Variables:E2_4_1_109_kcat} * E2_4_1_109 * C03862 * C19803)/(${Variables:E2_4_1_109_km} + (E2_4_1_109 * C03862 * C19803))</v>
      </c>
      <c r="K386" s="37" t="str">
        <f t="shared" si="17"/>
        <v>r385: C03862 + C19803 -&gt; C00110 + C20722 | (${Variables:E2_4_1_109_kcat} * E2_4_1_109 * C03862 * C19803)/(${Variables:E2_4_1_109_km} + (E2_4_1_109 * C03862 * C19803))</v>
      </c>
    </row>
    <row r="387" spans="1:11" ht="46.25" customHeight="1">
      <c r="A387" t="s">
        <v>7226</v>
      </c>
      <c r="B387" t="s">
        <v>7227</v>
      </c>
      <c r="C387" t="s">
        <v>16026</v>
      </c>
      <c r="D387" s="19">
        <v>386</v>
      </c>
      <c r="E387" s="19" t="str">
        <f t="shared" si="18"/>
        <v>E2_4_1_15</v>
      </c>
      <c r="F387" s="19" t="s">
        <v>13452</v>
      </c>
      <c r="G387" s="19" t="s">
        <v>14867</v>
      </c>
      <c r="H387" s="19" t="s">
        <v>14141</v>
      </c>
      <c r="I387" s="19" t="s">
        <v>15556</v>
      </c>
      <c r="J387" s="19" t="str">
        <f t="shared" ref="J387:J450" si="19">CONCATENATE("(${Variables:",E387,"_kcat","} * ",E387," * ",G387,")","/(${Variables:",E387,"_km","} + (",E387," * ",G387,"))")</f>
        <v>(${Variables:E2_4_1_15_kcat} * E2_4_1_15 * C00029 * C00092)/(${Variables:E2_4_1_15_km} + (E2_4_1_15 * C00029 * C00092))</v>
      </c>
      <c r="K387" s="37" t="str">
        <f t="shared" ref="K387:K450" si="20">CONCATENATE("r",D387,": ",F387," -&gt; ",H387," | ",J387)</f>
        <v>r386: C00029 + C00092 -&gt; C00015 + C00689 | (${Variables:E2_4_1_15_kcat} * E2_4_1_15 * C00029 * C00092)/(${Variables:E2_4_1_15_km} + (E2_4_1_15 * C00029 * C00092))</v>
      </c>
    </row>
    <row r="388" spans="1:11" ht="46.25" customHeight="1">
      <c r="A388" t="s">
        <v>7226</v>
      </c>
      <c r="B388" t="s">
        <v>7227</v>
      </c>
      <c r="C388" t="s">
        <v>16026</v>
      </c>
      <c r="D388" s="19">
        <v>387</v>
      </c>
      <c r="E388" s="19" t="str">
        <f t="shared" si="18"/>
        <v>E2_4_1_15</v>
      </c>
      <c r="F388" s="19" t="s">
        <v>13453</v>
      </c>
      <c r="G388" s="19" t="s">
        <v>14868</v>
      </c>
      <c r="H388" s="19" t="s">
        <v>14142</v>
      </c>
      <c r="I388" s="19" t="s">
        <v>15557</v>
      </c>
      <c r="J388" s="19" t="str">
        <f t="shared" si="19"/>
        <v>(${Variables:E2_4_1_15_kcat} * E2_4_1_15 * G10608 * C00092)/(${Variables:E2_4_1_15_km} + (E2_4_1_15 * G10608 * C00092))</v>
      </c>
      <c r="K388" s="37" t="str">
        <f t="shared" si="20"/>
        <v>r387: G10608 + C00092 -&gt; G10619 + G09795 | (${Variables:E2_4_1_15_kcat} * E2_4_1_15 * G10608 * C00092)/(${Variables:E2_4_1_15_km} + (E2_4_1_15 * G10608 * C00092))</v>
      </c>
    </row>
    <row r="389" spans="1:11" ht="46.25" customHeight="1">
      <c r="A389" t="s">
        <v>7226</v>
      </c>
      <c r="B389" t="s">
        <v>7227</v>
      </c>
      <c r="C389" t="s">
        <v>16026</v>
      </c>
      <c r="D389" s="19">
        <v>388</v>
      </c>
      <c r="E389" s="19" t="str">
        <f t="shared" si="18"/>
        <v>E2_4_1_15</v>
      </c>
      <c r="F389" s="19" t="s">
        <v>13454</v>
      </c>
      <c r="G389" s="19" t="s">
        <v>14869</v>
      </c>
      <c r="H389" s="19" t="s">
        <v>14141</v>
      </c>
      <c r="I389" s="19" t="s">
        <v>15556</v>
      </c>
      <c r="J389" s="19" t="str">
        <f t="shared" si="19"/>
        <v>(${Variables:E2_4_1_15_kcat} * E2_4_1_15 * C00029 * C00668)/(${Variables:E2_4_1_15_km} + (E2_4_1_15 * C00029 * C00668))</v>
      </c>
      <c r="K389" s="37" t="str">
        <f t="shared" si="20"/>
        <v>r388: C00029 + C00668 -&gt; C00015 + C00689 | (${Variables:E2_4_1_15_kcat} * E2_4_1_15 * C00029 * C00668)/(${Variables:E2_4_1_15_km} + (E2_4_1_15 * C00029 * C00668))</v>
      </c>
    </row>
    <row r="390" spans="1:11" ht="46.25" customHeight="1">
      <c r="A390" t="s">
        <v>7226</v>
      </c>
      <c r="B390" t="s">
        <v>7227</v>
      </c>
      <c r="C390" t="s">
        <v>16026</v>
      </c>
      <c r="D390" s="19">
        <v>389</v>
      </c>
      <c r="E390" s="19" t="str">
        <f t="shared" si="18"/>
        <v>E2_4_1_15</v>
      </c>
      <c r="F390" s="19" t="s">
        <v>13455</v>
      </c>
      <c r="G390" s="19" t="s">
        <v>14870</v>
      </c>
      <c r="H390" s="19" t="s">
        <v>14142</v>
      </c>
      <c r="I390" s="19" t="s">
        <v>15557</v>
      </c>
      <c r="J390" s="19" t="str">
        <f t="shared" si="19"/>
        <v>(${Variables:E2_4_1_15_kcat} * E2_4_1_15 * G10608 * C00668)/(${Variables:E2_4_1_15_km} + (E2_4_1_15 * G10608 * C00668))</v>
      </c>
      <c r="K390" s="37" t="str">
        <f t="shared" si="20"/>
        <v>r389: G10608 + C00668 -&gt; G10619 + G09795 | (${Variables:E2_4_1_15_kcat} * E2_4_1_15 * G10608 * C00668)/(${Variables:E2_4_1_15_km} + (E2_4_1_15 * G10608 * C00668))</v>
      </c>
    </row>
    <row r="391" spans="1:11" ht="46.25" customHeight="1">
      <c r="A391" t="s">
        <v>3488</v>
      </c>
      <c r="B391" t="s">
        <v>3489</v>
      </c>
      <c r="C391" t="s">
        <v>16027</v>
      </c>
      <c r="D391" s="19">
        <v>390</v>
      </c>
      <c r="E391" s="19" t="str">
        <f t="shared" si="18"/>
        <v>E2_4_1_18</v>
      </c>
      <c r="F391" s="19" t="s">
        <v>9869</v>
      </c>
      <c r="G391" s="19" t="s">
        <v>9869</v>
      </c>
      <c r="H391" s="19" t="s">
        <v>9870</v>
      </c>
      <c r="I391" s="19" t="s">
        <v>9870</v>
      </c>
      <c r="J391" s="19" t="str">
        <f t="shared" si="19"/>
        <v>(${Variables:E2_4_1_18_kcat} * E2_4_1_18 * C00718)/(${Variables:E2_4_1_18_km} + (E2_4_1_18 * C00718))</v>
      </c>
      <c r="K391" s="37" t="str">
        <f t="shared" si="20"/>
        <v>r390: C00718 -&gt; C00369 | (${Variables:E2_4_1_18_kcat} * E2_4_1_18 * C00718)/(${Variables:E2_4_1_18_km} + (E2_4_1_18 * C00718))</v>
      </c>
    </row>
    <row r="392" spans="1:11" ht="46.25" customHeight="1">
      <c r="A392" t="s">
        <v>3488</v>
      </c>
      <c r="B392" t="s">
        <v>3489</v>
      </c>
      <c r="C392" t="s">
        <v>16027</v>
      </c>
      <c r="D392" s="19">
        <v>391</v>
      </c>
      <c r="E392" s="19" t="str">
        <f t="shared" si="18"/>
        <v>E2_4_1_18</v>
      </c>
      <c r="F392" s="19" t="s">
        <v>9109</v>
      </c>
      <c r="G392" s="19" t="s">
        <v>9109</v>
      </c>
      <c r="H392" s="19" t="s">
        <v>9872</v>
      </c>
      <c r="I392" s="19" t="s">
        <v>9872</v>
      </c>
      <c r="J392" s="19" t="str">
        <f t="shared" si="19"/>
        <v>(${Variables:E2_4_1_18_kcat} * E2_4_1_18 * G10495)/(${Variables:E2_4_1_18_km} + (E2_4_1_18 * G10495))</v>
      </c>
      <c r="K392" s="37" t="str">
        <f t="shared" si="20"/>
        <v>r391: G10495 -&gt; G10545 | (${Variables:E2_4_1_18_kcat} * E2_4_1_18 * G10495)/(${Variables:E2_4_1_18_km} + (E2_4_1_18 * G10495))</v>
      </c>
    </row>
    <row r="393" spans="1:11" ht="46.25" customHeight="1">
      <c r="A393" t="s">
        <v>3190</v>
      </c>
      <c r="B393" t="s">
        <v>3191</v>
      </c>
      <c r="C393" t="s">
        <v>12879</v>
      </c>
      <c r="D393" s="19">
        <v>392</v>
      </c>
      <c r="E393" s="19" t="str">
        <f t="shared" si="18"/>
        <v>E2_4_1_21</v>
      </c>
      <c r="F393" s="19" t="s">
        <v>13456</v>
      </c>
      <c r="G393" s="19" t="s">
        <v>14871</v>
      </c>
      <c r="H393" s="19" t="s">
        <v>14143</v>
      </c>
      <c r="I393" s="19" t="s">
        <v>15558</v>
      </c>
      <c r="J393" s="19" t="str">
        <f t="shared" si="19"/>
        <v>(${Variables:E2_4_1_21_kcat} * E2_4_1_21 * C00498 * C00718)/(${Variables:E2_4_1_21_km} + (E2_4_1_21 * C00498 * C00718))</v>
      </c>
      <c r="K393" s="37" t="str">
        <f t="shared" si="20"/>
        <v>r392: C00498 + C00718 -&gt; C00008 + C00718 | (${Variables:E2_4_1_21_kcat} * E2_4_1_21 * C00498 * C00718)/(${Variables:E2_4_1_21_km} + (E2_4_1_21 * C00498 * C00718))</v>
      </c>
    </row>
    <row r="394" spans="1:11" ht="46.25" customHeight="1">
      <c r="A394" t="s">
        <v>3190</v>
      </c>
      <c r="B394" t="s">
        <v>3191</v>
      </c>
      <c r="C394" t="s">
        <v>12879</v>
      </c>
      <c r="D394" s="19">
        <v>393</v>
      </c>
      <c r="E394" s="19" t="str">
        <f t="shared" si="18"/>
        <v>E2_4_1_21</v>
      </c>
      <c r="F394" s="19" t="s">
        <v>13457</v>
      </c>
      <c r="G394" s="19" t="s">
        <v>14872</v>
      </c>
      <c r="H394" s="19" t="s">
        <v>14144</v>
      </c>
      <c r="I394" s="19" t="s">
        <v>15559</v>
      </c>
      <c r="J394" s="19" t="str">
        <f t="shared" si="19"/>
        <v>(${Variables:E2_4_1_21_kcat} * E2_4_1_21 * G10495 * G11109)/(${Variables:E2_4_1_21_km} + (E2_4_1_21 * G10495 * G11109))</v>
      </c>
      <c r="K394" s="37" t="str">
        <f t="shared" si="20"/>
        <v>r393: G10495 + G11109 -&gt; G10495 + G11113 | (${Variables:E2_4_1_21_kcat} * E2_4_1_21 * G10495 * G11109)/(${Variables:E2_4_1_21_km} + (E2_4_1_21 * G10495 * G11109))</v>
      </c>
    </row>
    <row r="395" spans="1:11" ht="46.25" customHeight="1">
      <c r="A395" t="s">
        <v>5950</v>
      </c>
      <c r="B395" t="s">
        <v>5951</v>
      </c>
      <c r="C395" t="s">
        <v>12880</v>
      </c>
      <c r="D395" s="19">
        <v>394</v>
      </c>
      <c r="E395" s="19" t="str">
        <f t="shared" si="18"/>
        <v>E2_4_1_227</v>
      </c>
      <c r="F395" s="19" t="s">
        <v>13458</v>
      </c>
      <c r="G395" s="19" t="s">
        <v>14873</v>
      </c>
      <c r="H395" s="19" t="s">
        <v>14145</v>
      </c>
      <c r="I395" s="19" t="s">
        <v>15560</v>
      </c>
      <c r="J395" s="19" t="str">
        <f t="shared" si="19"/>
        <v>(${Variables:E2_4_1_227_kcat} * E2_4_1_227 * C04851 * C00043)/(${Variables:E2_4_1_227_km} + (E2_4_1_227 * C04851 * C00043))</v>
      </c>
      <c r="K395" s="37" t="str">
        <f t="shared" si="20"/>
        <v>r394: C04851 + C00043 -&gt; C05893 + C00015 | (${Variables:E2_4_1_227_kcat} * E2_4_1_227 * C04851 * C00043)/(${Variables:E2_4_1_227_km} + (E2_4_1_227 * C04851 * C00043))</v>
      </c>
    </row>
    <row r="396" spans="1:11" ht="46.25" customHeight="1">
      <c r="A396" t="s">
        <v>5950</v>
      </c>
      <c r="B396" t="s">
        <v>5951</v>
      </c>
      <c r="C396" t="s">
        <v>12880</v>
      </c>
      <c r="D396" s="19">
        <v>395</v>
      </c>
      <c r="E396" s="19" t="str">
        <f t="shared" si="18"/>
        <v>E2_4_1_227</v>
      </c>
      <c r="F396" s="19" t="s">
        <v>13459</v>
      </c>
      <c r="G396" s="19" t="s">
        <v>14874</v>
      </c>
      <c r="H396" s="19" t="s">
        <v>14146</v>
      </c>
      <c r="I396" s="19" t="s">
        <v>15561</v>
      </c>
      <c r="J396" s="19" t="str">
        <f t="shared" si="19"/>
        <v>(${Variables:E2_4_1_227_kcat} * E2_4_1_227 * G10552 * G10610)/(${Variables:E2_4_1_227_km} + (E2_4_1_227 * G10552 * G10610))</v>
      </c>
      <c r="K396" s="37" t="str">
        <f t="shared" si="20"/>
        <v>r395: G10552 + G10610 -&gt; G10553 + G10619 | (${Variables:E2_4_1_227_kcat} * E2_4_1_227 * G10552 * G10610)/(${Variables:E2_4_1_227_km} + (E2_4_1_227 * G10552 * G10610))</v>
      </c>
    </row>
    <row r="397" spans="1:11" ht="46.25" customHeight="1">
      <c r="A397" t="s">
        <v>5950</v>
      </c>
      <c r="B397" t="s">
        <v>5951</v>
      </c>
      <c r="C397" t="s">
        <v>12880</v>
      </c>
      <c r="D397" s="19">
        <v>396</v>
      </c>
      <c r="E397" s="19" t="str">
        <f t="shared" si="18"/>
        <v>E2_4_1_227</v>
      </c>
      <c r="F397" s="19" t="s">
        <v>13460</v>
      </c>
      <c r="G397" s="19" t="s">
        <v>14875</v>
      </c>
      <c r="H397" s="19" t="s">
        <v>14147</v>
      </c>
      <c r="I397" s="19" t="s">
        <v>15562</v>
      </c>
      <c r="J397" s="19" t="str">
        <f t="shared" si="19"/>
        <v>(${Variables:E2_4_1_227_kcat} * E2_4_1_227 * C05897 * C00043)/(${Variables:E2_4_1_227_km} + (E2_4_1_227 * C05897 * C00043))</v>
      </c>
      <c r="K397" s="37" t="str">
        <f t="shared" si="20"/>
        <v>r396: C05897 + C00043 -&gt; C05898 + C00015 | (${Variables:E2_4_1_227_kcat} * E2_4_1_227 * C05897 * C00043)/(${Variables:E2_4_1_227_km} + (E2_4_1_227 * C05897 * C00043))</v>
      </c>
    </row>
    <row r="398" spans="1:11" ht="46.25" customHeight="1">
      <c r="A398" t="s">
        <v>5950</v>
      </c>
      <c r="B398" t="s">
        <v>5951</v>
      </c>
      <c r="C398" t="s">
        <v>12880</v>
      </c>
      <c r="D398" s="19">
        <v>397</v>
      </c>
      <c r="E398" s="19" t="str">
        <f t="shared" si="18"/>
        <v>E2_4_1_227</v>
      </c>
      <c r="F398" s="19" t="s">
        <v>13461</v>
      </c>
      <c r="G398" s="19" t="s">
        <v>14876</v>
      </c>
      <c r="H398" s="19" t="s">
        <v>14148</v>
      </c>
      <c r="I398" s="19" t="s">
        <v>15563</v>
      </c>
      <c r="J398" s="19" t="str">
        <f t="shared" si="19"/>
        <v>(${Variables:E2_4_1_227_kcat} * E2_4_1_227 * G10551 * G10610)/(${Variables:E2_4_1_227_km} + (E2_4_1_227 * G10551 * G10610))</v>
      </c>
      <c r="K398" s="37" t="str">
        <f t="shared" si="20"/>
        <v>r397: G10551 + G10610 -&gt; G10550 + G10619 | (${Variables:E2_4_1_227_kcat} * E2_4_1_227 * G10551 * G10610)/(${Variables:E2_4_1_227_km} + (E2_4_1_227 * G10551 * G10610))</v>
      </c>
    </row>
    <row r="399" spans="1:11" ht="46.25" customHeight="1">
      <c r="A399" t="s">
        <v>5950</v>
      </c>
      <c r="B399" t="s">
        <v>5951</v>
      </c>
      <c r="C399" t="s">
        <v>12880</v>
      </c>
      <c r="D399" s="19">
        <v>398</v>
      </c>
      <c r="E399" s="19" t="str">
        <f t="shared" si="18"/>
        <v>E2_4_1_227</v>
      </c>
      <c r="F399" s="19" t="s">
        <v>13462</v>
      </c>
      <c r="G399" s="19" t="s">
        <v>14877</v>
      </c>
      <c r="H399" s="19" t="s">
        <v>14149</v>
      </c>
      <c r="I399" s="19" t="s">
        <v>15564</v>
      </c>
      <c r="J399" s="19" t="str">
        <f t="shared" si="19"/>
        <v>(${Variables:E2_4_1_227_kcat} * E2_4_1_227 * G10556 * G10610)/(${Variables:E2_4_1_227_km} + (E2_4_1_227 * G10556 * G10610))</v>
      </c>
      <c r="K399" s="37" t="str">
        <f t="shared" si="20"/>
        <v>r398: G10556 + G10610 -&gt; G10555 + G10619 | (${Variables:E2_4_1_227_kcat} * E2_4_1_227 * G10556 * G10610)/(${Variables:E2_4_1_227_km} + (E2_4_1_227 * G10556 * G10610))</v>
      </c>
    </row>
    <row r="400" spans="1:11" ht="46.25" customHeight="1">
      <c r="A400" t="s">
        <v>6331</v>
      </c>
      <c r="B400" t="s">
        <v>6332</v>
      </c>
      <c r="C400" t="s">
        <v>12881</v>
      </c>
      <c r="D400" s="19">
        <v>399</v>
      </c>
      <c r="E400" s="19" t="str">
        <f t="shared" si="18"/>
        <v>E2_4_1_25</v>
      </c>
      <c r="F400" s="19" t="s">
        <v>13463</v>
      </c>
      <c r="G400" s="19" t="s">
        <v>14878</v>
      </c>
      <c r="H400" s="19" t="s">
        <v>9100</v>
      </c>
      <c r="I400" s="19" t="s">
        <v>9100</v>
      </c>
      <c r="J400" s="19" t="str">
        <f t="shared" si="19"/>
        <v>(${Variables:E2_4_1_25_kcat} * E2_4_1_25 * C00718 * C00031)/(${Variables:E2_4_1_25_km} + (E2_4_1_25 * C00718 * C00031))</v>
      </c>
      <c r="K400" s="37" t="str">
        <f t="shared" si="20"/>
        <v>r399: C00718 + C00031 -&gt; C00208 | (${Variables:E2_4_1_25_kcat} * E2_4_1_25 * C00718 * C00031)/(${Variables:E2_4_1_25_km} + (E2_4_1_25 * C00718 * C00031))</v>
      </c>
    </row>
    <row r="401" spans="1:11" ht="46.25" customHeight="1">
      <c r="A401" t="s">
        <v>6331</v>
      </c>
      <c r="B401" t="s">
        <v>6332</v>
      </c>
      <c r="C401" t="s">
        <v>12881</v>
      </c>
      <c r="D401" s="19">
        <v>400</v>
      </c>
      <c r="E401" s="19" t="str">
        <f t="shared" si="18"/>
        <v>E2_4_1_25</v>
      </c>
      <c r="F401" s="19" t="s">
        <v>13464</v>
      </c>
      <c r="G401" s="19" t="s">
        <v>14879</v>
      </c>
      <c r="H401" s="19" t="s">
        <v>9103</v>
      </c>
      <c r="I401" s="19" t="s">
        <v>9103</v>
      </c>
      <c r="J401" s="19" t="str">
        <f t="shared" si="19"/>
        <v>(${Variables:E2_4_1_25_kcat} * E2_4_1_25 * G10495 * C00031)/(${Variables:E2_4_1_25_km} + (E2_4_1_25 * G10495 * C00031))</v>
      </c>
      <c r="K401" s="37" t="str">
        <f t="shared" si="20"/>
        <v>r400: G10495 + C00031 -&gt; G00275 | (${Variables:E2_4_1_25_kcat} * E2_4_1_25 * G10495 * C00031)/(${Variables:E2_4_1_25_km} + (E2_4_1_25 * G10495 * C00031))</v>
      </c>
    </row>
    <row r="402" spans="1:11" ht="46.25" customHeight="1">
      <c r="A402" t="s">
        <v>1184</v>
      </c>
      <c r="B402" t="s">
        <v>1185</v>
      </c>
      <c r="C402" t="s">
        <v>12882</v>
      </c>
      <c r="D402" s="19">
        <v>401</v>
      </c>
      <c r="E402" s="19" t="str">
        <f t="shared" si="18"/>
        <v>E2_4_1_250</v>
      </c>
      <c r="F402" s="19" t="s">
        <v>13465</v>
      </c>
      <c r="G402" s="19" t="s">
        <v>14880</v>
      </c>
      <c r="H402" s="19" t="s">
        <v>14150</v>
      </c>
      <c r="I402" s="19" t="s">
        <v>15565</v>
      </c>
      <c r="J402" s="19" t="str">
        <f t="shared" si="19"/>
        <v>(${Variables:E2_4_1_250_kcat} * E2_4_1_250 * C00043 * C04006)/(${Variables:E2_4_1_250_km} + (E2_4_1_250 * C00043 * C04006))</v>
      </c>
      <c r="K402" s="37" t="str">
        <f t="shared" si="20"/>
        <v>r401: C00043 + C04006 -&gt; C19761 + C00015 | (${Variables:E2_4_1_250_kcat} * E2_4_1_250 * C00043 * C04006)/(${Variables:E2_4_1_250_km} + (E2_4_1_250 * C00043 * C04006))</v>
      </c>
    </row>
    <row r="403" spans="1:11" ht="46.25" customHeight="1">
      <c r="A403" t="s">
        <v>3175</v>
      </c>
      <c r="B403" t="s">
        <v>3176</v>
      </c>
      <c r="C403" t="s">
        <v>12883</v>
      </c>
      <c r="D403" s="19">
        <v>402</v>
      </c>
      <c r="E403" s="19" t="str">
        <f t="shared" si="18"/>
        <v>E2_4_1_266</v>
      </c>
      <c r="F403" s="19" t="s">
        <v>13466</v>
      </c>
      <c r="G403" s="19" t="s">
        <v>14881</v>
      </c>
      <c r="H403" s="19" t="s">
        <v>14151</v>
      </c>
      <c r="I403" s="19" t="s">
        <v>15566</v>
      </c>
      <c r="J403" s="19" t="str">
        <f t="shared" si="19"/>
        <v>(${Variables:E2_4_1_266_kcat} * E2_4_1_266 * C15541 * C00197)/(${Variables:E2_4_1_266_km} + (E2_4_1_266 * C15541 * C00197))</v>
      </c>
      <c r="K403" s="37" t="str">
        <f t="shared" si="20"/>
        <v>r402: C15541 + C00197 -&gt; C00454 + C19791 | (${Variables:E2_4_1_266_kcat} * E2_4_1_266 * C15541 * C00197)/(${Variables:E2_4_1_266_km} + (E2_4_1_266 * C15541 * C00197))</v>
      </c>
    </row>
    <row r="404" spans="1:11" ht="46.25" customHeight="1">
      <c r="A404" t="s">
        <v>604</v>
      </c>
      <c r="B404" t="s">
        <v>605</v>
      </c>
      <c r="C404" t="s">
        <v>12884</v>
      </c>
      <c r="D404" s="19">
        <v>403</v>
      </c>
      <c r="E404" s="19" t="str">
        <f t="shared" si="18"/>
        <v>E2_4_1_287</v>
      </c>
      <c r="F404" s="19" t="s">
        <v>13467</v>
      </c>
      <c r="G404" s="19" t="s">
        <v>14882</v>
      </c>
      <c r="H404" s="19" t="s">
        <v>14152</v>
      </c>
      <c r="I404" s="19" t="s">
        <v>15567</v>
      </c>
      <c r="J404" s="19" t="str">
        <f t="shared" si="19"/>
        <v>(${Variables:E2_4_1_287_kcat} * E2_4_1_287 * G13125 * G13119)/(${Variables:E2_4_1_287_km} + (E2_4_1_287 * G13125 * G13119))</v>
      </c>
      <c r="K404" s="37" t="str">
        <f t="shared" si="20"/>
        <v>r403: G13125 + G13119 -&gt; G10619 + G13120 | (${Variables:E2_4_1_287_kcat} * E2_4_1_287 * G13125 * G13119)/(${Variables:E2_4_1_287_km} + (E2_4_1_287 * G13125 * G13119))</v>
      </c>
    </row>
    <row r="405" spans="1:11" ht="46.25" customHeight="1">
      <c r="A405" t="s">
        <v>604</v>
      </c>
      <c r="B405" t="s">
        <v>605</v>
      </c>
      <c r="C405" t="s">
        <v>12884</v>
      </c>
      <c r="D405" s="19">
        <v>404</v>
      </c>
      <c r="E405" s="19" t="str">
        <f t="shared" si="18"/>
        <v>E2_4_1_287</v>
      </c>
      <c r="F405" s="19" t="s">
        <v>13468</v>
      </c>
      <c r="G405" s="19" t="s">
        <v>14883</v>
      </c>
      <c r="H405" s="19" t="s">
        <v>14153</v>
      </c>
      <c r="I405" s="19" t="s">
        <v>15568</v>
      </c>
      <c r="J405" s="19" t="str">
        <f t="shared" si="19"/>
        <v>(${Variables:E2_4_1_287_kcat} * E2_4_1_287 * G13125 * G13120)/(${Variables:E2_4_1_287_km} + (E2_4_1_287 * G13125 * G13120))</v>
      </c>
      <c r="K405" s="37" t="str">
        <f t="shared" si="20"/>
        <v>r404: G13125 + G13120 -&gt; G10619 + G13121 | (${Variables:E2_4_1_287_kcat} * E2_4_1_287 * G13125 * G13120)/(${Variables:E2_4_1_287_km} + (E2_4_1_287 * G13125 * G13120))</v>
      </c>
    </row>
    <row r="406" spans="1:11" ht="46.25" customHeight="1">
      <c r="A406" t="s">
        <v>6036</v>
      </c>
      <c r="B406" t="s">
        <v>6037</v>
      </c>
      <c r="C406" t="s">
        <v>12885</v>
      </c>
      <c r="D406" s="19">
        <v>405</v>
      </c>
      <c r="E406" s="19" t="str">
        <f t="shared" si="18"/>
        <v>E2_4_1_346</v>
      </c>
      <c r="F406" s="19" t="s">
        <v>13469</v>
      </c>
      <c r="G406" s="19" t="s">
        <v>14884</v>
      </c>
      <c r="H406" s="19" t="s">
        <v>14154</v>
      </c>
      <c r="I406" s="19" t="s">
        <v>15569</v>
      </c>
      <c r="J406" s="19" t="str">
        <f t="shared" si="19"/>
        <v>(${Variables:E2_4_1_346_kcat} * E2_4_1_346 * C00096 * C21606)/(${Variables:E2_4_1_346_km} + (E2_4_1_346 * C00096 * C21606))</v>
      </c>
      <c r="K406" s="37" t="str">
        <f t="shared" si="20"/>
        <v>r405: C00096 + C21606 -&gt; C00035 + C21607 | (${Variables:E2_4_1_346_kcat} * E2_4_1_346 * C00096 * C21606)/(${Variables:E2_4_1_346_km} + (E2_4_1_346 * C00096 * C21606))</v>
      </c>
    </row>
    <row r="407" spans="1:11" ht="46.25" customHeight="1">
      <c r="A407" t="s">
        <v>6036</v>
      </c>
      <c r="B407" t="s">
        <v>6037</v>
      </c>
      <c r="C407" t="s">
        <v>12885</v>
      </c>
      <c r="D407" s="19">
        <v>406</v>
      </c>
      <c r="E407" s="19" t="str">
        <f t="shared" si="18"/>
        <v>E2_4_1_346</v>
      </c>
      <c r="F407" s="19" t="s">
        <v>13470</v>
      </c>
      <c r="G407" s="19" t="s">
        <v>14885</v>
      </c>
      <c r="H407" s="19" t="s">
        <v>14155</v>
      </c>
      <c r="I407" s="19" t="s">
        <v>15570</v>
      </c>
      <c r="J407" s="19" t="str">
        <f t="shared" si="19"/>
        <v>(${Variables:E2_4_1_346_kcat} * E2_4_1_346 * C00096 * C21609)/(${Variables:E2_4_1_346_km} + (E2_4_1_346 * C00096 * C21609))</v>
      </c>
      <c r="K407" s="37" t="str">
        <f t="shared" si="20"/>
        <v>r406: C00096 + C21609 -&gt; C00035 + C21608 | (${Variables:E2_4_1_346_kcat} * E2_4_1_346 * C00096 * C21609)/(${Variables:E2_4_1_346_km} + (E2_4_1_346 * C00096 * C21609))</v>
      </c>
    </row>
    <row r="408" spans="1:11" ht="46.25" customHeight="1">
      <c r="A408" t="s">
        <v>6036</v>
      </c>
      <c r="B408" t="s">
        <v>6037</v>
      </c>
      <c r="C408" t="s">
        <v>12885</v>
      </c>
      <c r="D408" s="19">
        <v>407</v>
      </c>
      <c r="E408" s="19" t="str">
        <f t="shared" si="18"/>
        <v>E2_4_1_346</v>
      </c>
      <c r="F408" s="19" t="s">
        <v>13471</v>
      </c>
      <c r="G408" s="19" t="s">
        <v>14886</v>
      </c>
      <c r="H408" s="19" t="s">
        <v>14156</v>
      </c>
      <c r="I408" s="19" t="s">
        <v>15571</v>
      </c>
      <c r="J408" s="19" t="str">
        <f t="shared" si="19"/>
        <v>(${Variables:E2_4_1_346_kcat} * E2_4_1_346 * G10614 * G11291)/(${Variables:E2_4_1_346_km} + (E2_4_1_346 * G10614 * G11291))</v>
      </c>
      <c r="K408" s="37" t="str">
        <f t="shared" si="20"/>
        <v>r407: G10614 + G11291 -&gt; G10620 + G13102 | (${Variables:E2_4_1_346_kcat} * E2_4_1_346 * G10614 * G11291)/(${Variables:E2_4_1_346_km} + (E2_4_1_346 * G10614 * G11291))</v>
      </c>
    </row>
    <row r="409" spans="1:11" ht="46.25" customHeight="1">
      <c r="A409" t="s">
        <v>6036</v>
      </c>
      <c r="B409" t="s">
        <v>6037</v>
      </c>
      <c r="C409" t="s">
        <v>12885</v>
      </c>
      <c r="D409" s="19">
        <v>408</v>
      </c>
      <c r="E409" s="19" t="str">
        <f t="shared" si="18"/>
        <v>E2_4_1_346</v>
      </c>
      <c r="F409" s="19" t="s">
        <v>13472</v>
      </c>
      <c r="G409" s="19" t="s">
        <v>14887</v>
      </c>
      <c r="H409" s="19" t="s">
        <v>14157</v>
      </c>
      <c r="I409" s="19" t="s">
        <v>15572</v>
      </c>
      <c r="J409" s="19" t="str">
        <f t="shared" si="19"/>
        <v>(${Variables:E2_4_1_346_kcat} * E2_4_1_346 * G10614 * G13107)/(${Variables:E2_4_1_346_km} + (E2_4_1_346 * G10614 * G13107))</v>
      </c>
      <c r="K409" s="37" t="str">
        <f t="shared" si="20"/>
        <v>r408: G10614 + G13107 -&gt; G10620 + G13108 | (${Variables:E2_4_1_346_kcat} * E2_4_1_346 * G10614 * G13107)/(${Variables:E2_4_1_346_km} + (E2_4_1_346 * G10614 * G13107))</v>
      </c>
    </row>
    <row r="410" spans="1:11" ht="46.25" customHeight="1">
      <c r="A410" t="s">
        <v>7601</v>
      </c>
      <c r="B410" t="s">
        <v>7602</v>
      </c>
      <c r="C410" t="s">
        <v>12886</v>
      </c>
      <c r="D410" s="19">
        <v>409</v>
      </c>
      <c r="E410" s="19" t="str">
        <f t="shared" si="18"/>
        <v>E2_4_2_10</v>
      </c>
      <c r="F410" s="19" t="s">
        <v>13473</v>
      </c>
      <c r="G410" s="19" t="s">
        <v>14888</v>
      </c>
      <c r="H410" s="19" t="s">
        <v>14158</v>
      </c>
      <c r="I410" s="19" t="s">
        <v>15573</v>
      </c>
      <c r="J410" s="19" t="str">
        <f t="shared" si="19"/>
        <v>(${Variables:E2_4_2_10_kcat} * E2_4_2_10 * C01103 * C00013)/(${Variables:E2_4_2_10_km} + (E2_4_2_10 * C01103 * C00013))</v>
      </c>
      <c r="K410" s="37" t="str">
        <f t="shared" si="20"/>
        <v>r409: C01103 + C00013 -&gt; C00295 + C00119 | (${Variables:E2_4_2_10_kcat} * E2_4_2_10 * C01103 * C00013)/(${Variables:E2_4_2_10_km} + (E2_4_2_10 * C01103 * C00013))</v>
      </c>
    </row>
    <row r="411" spans="1:11" ht="46.25" customHeight="1">
      <c r="A411" t="s">
        <v>7601</v>
      </c>
      <c r="B411" t="s">
        <v>7602</v>
      </c>
      <c r="C411" t="s">
        <v>12886</v>
      </c>
      <c r="D411" s="19">
        <v>410</v>
      </c>
      <c r="E411" s="19" t="str">
        <f t="shared" si="18"/>
        <v>E2_4_2_10</v>
      </c>
      <c r="F411" s="19" t="s">
        <v>16078</v>
      </c>
      <c r="G411" s="19" t="s">
        <v>16079</v>
      </c>
      <c r="H411" s="19" t="s">
        <v>14159</v>
      </c>
      <c r="I411" s="19" t="s">
        <v>15574</v>
      </c>
      <c r="J411" s="19" t="str">
        <f t="shared" si="19"/>
        <v>(${Variables:E2_4_2_10_kcat} * E2_4_2_10 * C07649 * C00119)/(${Variables:E2_4_2_10_km} + (E2_4_2_10 * C07649 * C00119))</v>
      </c>
      <c r="K411" s="37" t="str">
        <f t="shared" si="20"/>
        <v>r410: C07649 + C00119 -&gt; C16634 + C00013 | (${Variables:E2_4_2_10_kcat} * E2_4_2_10 * C07649 * C00119)/(${Variables:E2_4_2_10_km} + (E2_4_2_10 * C07649 * C00119))</v>
      </c>
    </row>
    <row r="412" spans="1:11" ht="46.25" customHeight="1">
      <c r="A412" t="s">
        <v>7117</v>
      </c>
      <c r="B412" t="s">
        <v>7118</v>
      </c>
      <c r="C412" t="s">
        <v>12887</v>
      </c>
      <c r="D412" s="19">
        <v>411</v>
      </c>
      <c r="E412" s="19" t="str">
        <f t="shared" si="18"/>
        <v>E2_4_2_14</v>
      </c>
      <c r="F412" s="19" t="s">
        <v>13474</v>
      </c>
      <c r="G412" s="19" t="s">
        <v>14889</v>
      </c>
      <c r="H412" s="19" t="s">
        <v>14160</v>
      </c>
      <c r="I412" s="19" t="s">
        <v>15575</v>
      </c>
      <c r="J412" s="19" t="str">
        <f t="shared" si="19"/>
        <v>(${Variables:E2_4_2_14_kcat} * E2_4_2_14 * C03090 * C00013 * C00025)/(${Variables:E2_4_2_14_km} + (E2_4_2_14 * C03090 * C00013 * C00025))</v>
      </c>
      <c r="K412" s="37" t="str">
        <f t="shared" si="20"/>
        <v>r411: C03090 + C00013 + C00025 -&gt; C00064 + C00119 + C00001 | (${Variables:E2_4_2_14_kcat} * E2_4_2_14 * C03090 * C00013 * C00025)/(${Variables:E2_4_2_14_km} + (E2_4_2_14 * C03090 * C00013 * C00025))</v>
      </c>
    </row>
    <row r="413" spans="1:11" ht="46.25" customHeight="1">
      <c r="A413" t="s">
        <v>4243</v>
      </c>
      <c r="B413" t="s">
        <v>4244</v>
      </c>
      <c r="C413" t="s">
        <v>12888</v>
      </c>
      <c r="D413" s="19">
        <v>412</v>
      </c>
      <c r="E413" s="19" t="str">
        <f t="shared" si="18"/>
        <v>E2_4_2_17</v>
      </c>
      <c r="F413" s="19" t="s">
        <v>13475</v>
      </c>
      <c r="G413" s="19" t="s">
        <v>14890</v>
      </c>
      <c r="H413" s="19" t="s">
        <v>14161</v>
      </c>
      <c r="I413" s="19" t="s">
        <v>15576</v>
      </c>
      <c r="J413" s="19" t="str">
        <f t="shared" si="19"/>
        <v>(${Variables:E2_4_2_17_kcat} * E2_4_2_17 * C02739 * C00013)/(${Variables:E2_4_2_17_km} + (E2_4_2_17 * C02739 * C00013))</v>
      </c>
      <c r="K413" s="37" t="str">
        <f t="shared" si="20"/>
        <v>r412: C02739 + C00013 -&gt; C00002 + C00119 | (${Variables:E2_4_2_17_kcat} * E2_4_2_17 * C02739 * C00013)/(${Variables:E2_4_2_17_km} + (E2_4_2_17 * C02739 * C00013))</v>
      </c>
    </row>
    <row r="414" spans="1:11" ht="46.25" customHeight="1">
      <c r="A414" t="s">
        <v>8240</v>
      </c>
      <c r="B414" t="s">
        <v>8241</v>
      </c>
      <c r="C414" t="s">
        <v>12889</v>
      </c>
      <c r="D414" s="19">
        <v>413</v>
      </c>
      <c r="E414" s="19" t="str">
        <f t="shared" si="18"/>
        <v>E2_4_2_18</v>
      </c>
      <c r="F414" s="19" t="s">
        <v>13476</v>
      </c>
      <c r="G414" s="19" t="s">
        <v>14891</v>
      </c>
      <c r="H414" s="19" t="s">
        <v>14162</v>
      </c>
      <c r="I414" s="19" t="s">
        <v>15577</v>
      </c>
      <c r="J414" s="19" t="str">
        <f t="shared" si="19"/>
        <v>(${Variables:E2_4_2_18_kcat} * E2_4_2_18 * C04302 * C00013)/(${Variables:E2_4_2_18_km} + (E2_4_2_18 * C04302 * C00013))</v>
      </c>
      <c r="K414" s="37" t="str">
        <f t="shared" si="20"/>
        <v>r413: C04302 + C00013 -&gt; C00108 + C00119 | (${Variables:E2_4_2_18_kcat} * E2_4_2_18 * C04302 * C00013)/(${Variables:E2_4_2_18_km} + (E2_4_2_18 * C04302 * C00013))</v>
      </c>
    </row>
    <row r="415" spans="1:11" ht="46.25" customHeight="1">
      <c r="A415" t="s">
        <v>3046</v>
      </c>
      <c r="B415" t="s">
        <v>3047</v>
      </c>
      <c r="C415" t="s">
        <v>12890</v>
      </c>
      <c r="D415" s="19">
        <v>414</v>
      </c>
      <c r="E415" s="19" t="str">
        <f t="shared" si="18"/>
        <v>E2_4_2_19</v>
      </c>
      <c r="F415" s="19" t="s">
        <v>13477</v>
      </c>
      <c r="G415" s="19" t="s">
        <v>14892</v>
      </c>
      <c r="H415" s="19" t="s">
        <v>14163</v>
      </c>
      <c r="I415" s="19" t="s">
        <v>15578</v>
      </c>
      <c r="J415" s="19" t="str">
        <f t="shared" si="19"/>
        <v>(${Variables:E2_4_2_19_kcat} * E2_4_2_19 * C01185 * C00013 * C00011)/(${Variables:E2_4_2_19_km} + (E2_4_2_19 * C01185 * C00013 * C00011))</v>
      </c>
      <c r="K415" s="37" t="str">
        <f t="shared" si="20"/>
        <v>r414: C01185 + C00013 + C00011 -&gt; C03722 + C00119 | (${Variables:E2_4_2_19_kcat} * E2_4_2_19 * C01185 * C00013 * C00011)/(${Variables:E2_4_2_19_km} + (E2_4_2_19 * C01185 * C00013 * C00011))</v>
      </c>
    </row>
    <row r="416" spans="1:11" ht="46.25" customHeight="1">
      <c r="A416" t="s">
        <v>6077</v>
      </c>
      <c r="B416" t="s">
        <v>6078</v>
      </c>
      <c r="C416" t="s">
        <v>12891</v>
      </c>
      <c r="D416" s="19">
        <v>415</v>
      </c>
      <c r="E416" s="19" t="str">
        <f t="shared" si="18"/>
        <v>E2_4_2_21</v>
      </c>
      <c r="F416" s="19" t="s">
        <v>13478</v>
      </c>
      <c r="G416" s="19" t="s">
        <v>14893</v>
      </c>
      <c r="H416" s="19" t="s">
        <v>14164</v>
      </c>
      <c r="I416" s="19" t="s">
        <v>15579</v>
      </c>
      <c r="J416" s="19" t="str">
        <f t="shared" si="19"/>
        <v>(${Variables:E2_4_2_21_kcat} * E2_4_2_21 * C01185 * C03114)/(${Variables:E2_4_2_21_km} + (E2_4_2_21 * C01185 * C03114))</v>
      </c>
      <c r="K416" s="37" t="str">
        <f t="shared" si="20"/>
        <v>r415: C01185 + C03114 -&gt; C00253 + C04778 + C00080 | (${Variables:E2_4_2_21_kcat} * E2_4_2_21 * C01185 * C03114)/(${Variables:E2_4_2_21_km} + (E2_4_2_21 * C01185 * C03114))</v>
      </c>
    </row>
    <row r="417" spans="1:11" ht="46.25" customHeight="1">
      <c r="A417" t="s">
        <v>713</v>
      </c>
      <c r="B417" t="s">
        <v>714</v>
      </c>
      <c r="C417" t="s">
        <v>16028</v>
      </c>
      <c r="D417" s="19">
        <v>416</v>
      </c>
      <c r="E417" s="19" t="str">
        <f t="shared" si="18"/>
        <v>E2_4_2_29</v>
      </c>
      <c r="F417" s="19" t="s">
        <v>13479</v>
      </c>
      <c r="G417" s="19" t="s">
        <v>14894</v>
      </c>
      <c r="H417" s="19" t="s">
        <v>14165</v>
      </c>
      <c r="I417" s="19" t="s">
        <v>15580</v>
      </c>
      <c r="J417" s="19" t="str">
        <f t="shared" si="19"/>
        <v>(${Variables:E2_4_2_29_kcat} * E2_4_2_29 * C01977 * C16675)/(${Variables:E2_4_2_29_km} + (E2_4_2_29 * C01977 * C16675))</v>
      </c>
      <c r="K417" s="37" t="str">
        <f t="shared" si="20"/>
        <v>r416: C01977 + C16675 -&gt; C20446 + C00242 | (${Variables:E2_4_2_29_kcat} * E2_4_2_29 * C01977 * C16675)/(${Variables:E2_4_2_29_km} + (E2_4_2_29 * C01977 * C16675))</v>
      </c>
    </row>
    <row r="418" spans="1:11" ht="46.25" customHeight="1">
      <c r="A418" t="s">
        <v>7862</v>
      </c>
      <c r="B418" t="s">
        <v>7863</v>
      </c>
      <c r="C418" t="s">
        <v>12892</v>
      </c>
      <c r="D418" s="19">
        <v>417</v>
      </c>
      <c r="E418" s="19" t="str">
        <f t="shared" si="18"/>
        <v>E2_4_2_45</v>
      </c>
      <c r="F418" s="19" t="s">
        <v>13480</v>
      </c>
      <c r="G418" s="19" t="s">
        <v>14895</v>
      </c>
      <c r="H418" s="19" t="s">
        <v>14166</v>
      </c>
      <c r="I418" s="19" t="s">
        <v>15581</v>
      </c>
      <c r="J418" s="19" t="str">
        <f t="shared" si="19"/>
        <v>(${Variables:E2_4_2_45_kcat} * E2_4_2_45 * C02970 * C00119)/(${Variables:E2_4_2_45_km} + (E2_4_2_45 * C02970 * C00119))</v>
      </c>
      <c r="K418" s="37" t="str">
        <f t="shared" si="20"/>
        <v>r417: C02970 + C00119 -&gt; C20352 + C00013 | (${Variables:E2_4_2_45_kcat} * E2_4_2_45 * C02970 * C00119)/(${Variables:E2_4_2_45_km} + (E2_4_2_45 * C02970 * C00119))</v>
      </c>
    </row>
    <row r="419" spans="1:11" ht="46.25" customHeight="1">
      <c r="A419" t="s">
        <v>4679</v>
      </c>
      <c r="B419" t="s">
        <v>4680</v>
      </c>
      <c r="C419" t="s">
        <v>12894</v>
      </c>
      <c r="D419" s="19">
        <v>418</v>
      </c>
      <c r="E419" s="19" t="str">
        <f t="shared" si="18"/>
        <v>E2_4_2_7</v>
      </c>
      <c r="F419" s="19" t="s">
        <v>13481</v>
      </c>
      <c r="G419" s="19" t="s">
        <v>14896</v>
      </c>
      <c r="H419" s="19" t="s">
        <v>14167</v>
      </c>
      <c r="I419" s="19" t="s">
        <v>15582</v>
      </c>
      <c r="J419" s="19" t="str">
        <f t="shared" si="19"/>
        <v>(${Variables:E2_4_2_7_kcat} * E2_4_2_7 * C00020 * C00013)/(${Variables:E2_4_2_7_km} + (E2_4_2_7 * C00020 * C00013))</v>
      </c>
      <c r="K419" s="37" t="str">
        <f t="shared" si="20"/>
        <v>r418: C00020 + C00013 -&gt; C00147 + C00119 | (${Variables:E2_4_2_7_kcat} * E2_4_2_7 * C00020 * C00013)/(${Variables:E2_4_2_7_km} + (E2_4_2_7 * C00020 * C00013))</v>
      </c>
    </row>
    <row r="420" spans="1:11" ht="46.25" customHeight="1">
      <c r="A420" t="s">
        <v>4679</v>
      </c>
      <c r="B420" t="s">
        <v>4680</v>
      </c>
      <c r="C420" t="s">
        <v>12894</v>
      </c>
      <c r="D420" s="19">
        <v>419</v>
      </c>
      <c r="E420" s="19" t="str">
        <f t="shared" si="18"/>
        <v>E2_4_2_7</v>
      </c>
      <c r="F420" s="19" t="s">
        <v>13482</v>
      </c>
      <c r="G420" s="19" t="s">
        <v>14897</v>
      </c>
      <c r="H420" s="19" t="s">
        <v>14168</v>
      </c>
      <c r="I420" s="19" t="s">
        <v>15583</v>
      </c>
      <c r="J420" s="19" t="str">
        <f t="shared" si="19"/>
        <v>(${Variables:E2_4_2_7_kcat} * E2_4_2_7 * C04677 * C00013)/(${Variables:E2_4_2_7_km} + (E2_4_2_7 * C04677 * C00013))</v>
      </c>
      <c r="K420" s="37" t="str">
        <f t="shared" si="20"/>
        <v>r419: C04677 + C00013 -&gt; C04051 + C00119 | (${Variables:E2_4_2_7_kcat} * E2_4_2_7 * C04677 * C00013)/(${Variables:E2_4_2_7_km} + (E2_4_2_7 * C04677 * C00013))</v>
      </c>
    </row>
    <row r="421" spans="1:11" ht="46.25" customHeight="1">
      <c r="A421" t="s">
        <v>7410</v>
      </c>
      <c r="B421" t="s">
        <v>7411</v>
      </c>
      <c r="C421" t="s">
        <v>12895</v>
      </c>
      <c r="D421" s="19">
        <v>420</v>
      </c>
      <c r="E421" s="19" t="str">
        <f t="shared" si="18"/>
        <v>E2_4_2_8</v>
      </c>
      <c r="F421" s="19" t="s">
        <v>13483</v>
      </c>
      <c r="G421" s="19" t="s">
        <v>14898</v>
      </c>
      <c r="H421" s="19" t="s">
        <v>14169</v>
      </c>
      <c r="I421" s="19" t="s">
        <v>15584</v>
      </c>
      <c r="J421" s="19" t="str">
        <f t="shared" si="19"/>
        <v>(${Variables:E2_4_2_8_kcat} * E2_4_2_8 * C00130 * C00013)/(${Variables:E2_4_2_8_km} + (E2_4_2_8 * C00130 * C00013))</v>
      </c>
      <c r="K421" s="37" t="str">
        <f t="shared" si="20"/>
        <v>r420: C00130 + C00013 -&gt; C00262 + C00119 | (${Variables:E2_4_2_8_kcat} * E2_4_2_8 * C00130 * C00013)/(${Variables:E2_4_2_8_km} + (E2_4_2_8 * C00130 * C00013))</v>
      </c>
    </row>
    <row r="422" spans="1:11" ht="46.25" customHeight="1">
      <c r="A422" t="s">
        <v>7410</v>
      </c>
      <c r="B422" t="s">
        <v>7411</v>
      </c>
      <c r="C422" t="s">
        <v>12895</v>
      </c>
      <c r="D422" s="19">
        <v>421</v>
      </c>
      <c r="E422" s="19" t="str">
        <f t="shared" si="18"/>
        <v>E2_4_2_8</v>
      </c>
      <c r="F422" s="19" t="s">
        <v>13484</v>
      </c>
      <c r="G422" s="19" t="s">
        <v>14899</v>
      </c>
      <c r="H422" s="19" t="s">
        <v>14170</v>
      </c>
      <c r="I422" s="19" t="s">
        <v>15585</v>
      </c>
      <c r="J422" s="19" t="str">
        <f t="shared" si="19"/>
        <v>(${Variables:E2_4_2_8_kcat} * E2_4_2_8 * C00144 * C00013)/(${Variables:E2_4_2_8_km} + (E2_4_2_8 * C00144 * C00013))</v>
      </c>
      <c r="K422" s="37" t="str">
        <f t="shared" si="20"/>
        <v>r421: C00144 + C00013 -&gt; C00242 + C00119 | (${Variables:E2_4_2_8_kcat} * E2_4_2_8 * C00144 * C00013)/(${Variables:E2_4_2_8_km} + (E2_4_2_8 * C00144 * C00013))</v>
      </c>
    </row>
    <row r="423" spans="1:11" ht="46.25" customHeight="1">
      <c r="A423" t="s">
        <v>7410</v>
      </c>
      <c r="B423" t="s">
        <v>7411</v>
      </c>
      <c r="C423" t="s">
        <v>12895</v>
      </c>
      <c r="D423" s="19">
        <v>422</v>
      </c>
      <c r="E423" s="19" t="str">
        <f t="shared" si="18"/>
        <v>E2_4_2_8</v>
      </c>
      <c r="F423" s="19" t="s">
        <v>13485</v>
      </c>
      <c r="G423" s="19" t="s">
        <v>14900</v>
      </c>
      <c r="H423" s="19" t="s">
        <v>14171</v>
      </c>
      <c r="I423" s="19" t="s">
        <v>15586</v>
      </c>
      <c r="J423" s="19" t="str">
        <f t="shared" si="19"/>
        <v>(${Variables:E2_4_2_8_kcat} * E2_4_2_8 * C00655 * C00013)/(${Variables:E2_4_2_8_km} + (E2_4_2_8 * C00655 * C00013))</v>
      </c>
      <c r="K423" s="37" t="str">
        <f t="shared" si="20"/>
        <v>r422: C00655 + C00013 -&gt; C00385 + C00119 | (${Variables:E2_4_2_8_kcat} * E2_4_2_8 * C00655 * C00013)/(${Variables:E2_4_2_8_km} + (E2_4_2_8 * C00655 * C00013))</v>
      </c>
    </row>
    <row r="424" spans="1:11" ht="46.25" customHeight="1">
      <c r="A424" t="s">
        <v>7410</v>
      </c>
      <c r="B424" t="s">
        <v>7411</v>
      </c>
      <c r="C424" t="s">
        <v>12895</v>
      </c>
      <c r="D424" s="19">
        <v>423</v>
      </c>
      <c r="E424" s="19" t="str">
        <f t="shared" si="18"/>
        <v>E2_4_2_8</v>
      </c>
      <c r="F424" s="19" t="s">
        <v>13486</v>
      </c>
      <c r="G424" s="19" t="s">
        <v>14901</v>
      </c>
      <c r="H424" s="19" t="s">
        <v>14172</v>
      </c>
      <c r="I424" s="19" t="s">
        <v>15587</v>
      </c>
      <c r="J424" s="19" t="str">
        <f t="shared" si="19"/>
        <v>(${Variables:E2_4_2_8_kcat} * E2_4_2_8 * C02380 * C00119)/(${Variables:E2_4_2_8_km} + (E2_4_2_8 * C02380 * C00119))</v>
      </c>
      <c r="K424" s="37" t="str">
        <f t="shared" si="20"/>
        <v>r423: C02380 + C00119 -&gt; C04646 + C00013 | (${Variables:E2_4_2_8_kcat} * E2_4_2_8 * C02380 * C00119)/(${Variables:E2_4_2_8_km} + (E2_4_2_8 * C02380 * C00119))</v>
      </c>
    </row>
    <row r="425" spans="1:11" ht="46.25" customHeight="1">
      <c r="A425" t="s">
        <v>7410</v>
      </c>
      <c r="B425" t="s">
        <v>7411</v>
      </c>
      <c r="C425" t="s">
        <v>12895</v>
      </c>
      <c r="D425" s="19">
        <v>424</v>
      </c>
      <c r="E425" s="19" t="str">
        <f t="shared" si="18"/>
        <v>E2_4_2_8</v>
      </c>
      <c r="F425" s="19" t="s">
        <v>13487</v>
      </c>
      <c r="G425" s="19" t="s">
        <v>14902</v>
      </c>
      <c r="H425" s="19" t="s">
        <v>14173</v>
      </c>
      <c r="I425" s="19" t="s">
        <v>15588</v>
      </c>
      <c r="J425" s="19" t="str">
        <f t="shared" si="19"/>
        <v>(${Variables:E2_4_2_8_kcat} * E2_4_2_8 * C16614 * C00119)/(${Variables:E2_4_2_8_km} + (E2_4_2_8 * C16614 * C00119))</v>
      </c>
      <c r="K425" s="37" t="str">
        <f t="shared" si="20"/>
        <v>r424: C16614 + C00119 -&gt; C16615 + C00013 | (${Variables:E2_4_2_8_kcat} * E2_4_2_8 * C16614 * C00119)/(${Variables:E2_4_2_8_km} + (E2_4_2_8 * C16614 * C00119))</v>
      </c>
    </row>
    <row r="426" spans="1:11" ht="46.25" customHeight="1">
      <c r="A426" t="s">
        <v>7410</v>
      </c>
      <c r="B426" t="s">
        <v>7411</v>
      </c>
      <c r="C426" t="s">
        <v>12895</v>
      </c>
      <c r="D426" s="19">
        <v>425</v>
      </c>
      <c r="E426" s="19" t="str">
        <f t="shared" si="18"/>
        <v>E2_4_2_8</v>
      </c>
      <c r="F426" s="19" t="s">
        <v>13488</v>
      </c>
      <c r="G426" s="19" t="s">
        <v>14903</v>
      </c>
      <c r="H426" s="19" t="s">
        <v>14174</v>
      </c>
      <c r="I426" s="19" t="s">
        <v>15589</v>
      </c>
      <c r="J426" s="19" t="str">
        <f t="shared" si="19"/>
        <v>(${Variables:E2_4_2_8_kcat} * E2_4_2_8 * C07648 * C00119)/(${Variables:E2_4_2_8_km} + (E2_4_2_8 * C07648 * C00119))</v>
      </c>
      <c r="K426" s="37" t="str">
        <f t="shared" si="20"/>
        <v>r425: C07648 + C00119 -&gt; C16619 + C00013 | (${Variables:E2_4_2_8_kcat} * E2_4_2_8 * C07648 * C00119)/(${Variables:E2_4_2_8_km} + (E2_4_2_8 * C07648 * C00119))</v>
      </c>
    </row>
    <row r="427" spans="1:11" ht="46.25" customHeight="1">
      <c r="A427" t="s">
        <v>1985</v>
      </c>
      <c r="B427" t="s">
        <v>1986</v>
      </c>
      <c r="C427" t="s">
        <v>12896</v>
      </c>
      <c r="D427" s="19">
        <v>426</v>
      </c>
      <c r="E427" s="19" t="str">
        <f t="shared" si="18"/>
        <v>E2_4_2_9</v>
      </c>
      <c r="F427" s="19" t="s">
        <v>13489</v>
      </c>
      <c r="G427" s="19" t="s">
        <v>14904</v>
      </c>
      <c r="H427" s="19" t="s">
        <v>14175</v>
      </c>
      <c r="I427" s="19" t="s">
        <v>15590</v>
      </c>
      <c r="J427" s="19" t="str">
        <f t="shared" si="19"/>
        <v>(${Variables:E2_4_2_9_kcat} * E2_4_2_9 * C00105 * C00013)/(${Variables:E2_4_2_9_km} + (E2_4_2_9 * C00105 * C00013))</v>
      </c>
      <c r="K427" s="37" t="str">
        <f t="shared" si="20"/>
        <v>r426: C00105 + C00013 -&gt; C00106 + C00119 | (${Variables:E2_4_2_9_kcat} * E2_4_2_9 * C00105 * C00013)/(${Variables:E2_4_2_9_km} + (E2_4_2_9 * C00105 * C00013))</v>
      </c>
    </row>
    <row r="428" spans="1:11" ht="46.25" customHeight="1">
      <c r="A428" t="s">
        <v>4570</v>
      </c>
      <c r="B428" t="s">
        <v>4571</v>
      </c>
      <c r="C428" t="s">
        <v>12896</v>
      </c>
      <c r="D428" s="19">
        <v>427</v>
      </c>
      <c r="E428" s="19" t="str">
        <f t="shared" si="18"/>
        <v>E2_4_2_9</v>
      </c>
      <c r="F428" s="19" t="s">
        <v>13489</v>
      </c>
      <c r="G428" s="19" t="s">
        <v>14904</v>
      </c>
      <c r="H428" s="19" t="s">
        <v>14175</v>
      </c>
      <c r="I428" s="19" t="s">
        <v>15590</v>
      </c>
      <c r="J428" s="19" t="str">
        <f t="shared" si="19"/>
        <v>(${Variables:E2_4_2_9_kcat} * E2_4_2_9 * C00105 * C00013)/(${Variables:E2_4_2_9_km} + (E2_4_2_9 * C00105 * C00013))</v>
      </c>
      <c r="K428" s="37" t="str">
        <f t="shared" si="20"/>
        <v>r427: C00105 + C00013 -&gt; C00106 + C00119 | (${Variables:E2_4_2_9_kcat} * E2_4_2_9 * C00105 * C00013)/(${Variables:E2_4_2_9_km} + (E2_4_2_9 * C00105 * C00013))</v>
      </c>
    </row>
    <row r="429" spans="1:11" ht="46.25" customHeight="1">
      <c r="A429" t="s">
        <v>3491</v>
      </c>
      <c r="B429" t="s">
        <v>3492</v>
      </c>
      <c r="C429" t="s">
        <v>16029</v>
      </c>
      <c r="D429" s="19">
        <v>428</v>
      </c>
      <c r="E429" s="19" t="str">
        <f t="shared" si="18"/>
        <v>E2_4_99_16</v>
      </c>
      <c r="F429" s="19" t="s">
        <v>13490</v>
      </c>
      <c r="G429" s="19" t="s">
        <v>14905</v>
      </c>
      <c r="H429" s="19" t="s">
        <v>14176</v>
      </c>
      <c r="I429" s="19" t="s">
        <v>15591</v>
      </c>
      <c r="J429" s="19" t="str">
        <f t="shared" si="19"/>
        <v>(${Variables:E2_4_99_16_kcat} * E2_4_99_16 * C20237 * C00718)/(${Variables:E2_4_99_16_km} + (E2_4_99_16 * C20237 * C00718))</v>
      </c>
      <c r="K429" s="37" t="str">
        <f t="shared" si="20"/>
        <v>r428: C20237 + C00718 -&gt; C00009 + C00718 | (${Variables:E2_4_99_16_kcat} * E2_4_99_16 * C20237 * C00718)/(${Variables:E2_4_99_16_km} + (E2_4_99_16 * C20237 * C00718))</v>
      </c>
    </row>
    <row r="430" spans="1:11" ht="46.25" customHeight="1">
      <c r="A430" t="s">
        <v>168</v>
      </c>
      <c r="B430" t="s">
        <v>169</v>
      </c>
      <c r="C430" t="s">
        <v>16030</v>
      </c>
      <c r="D430" s="19">
        <v>429</v>
      </c>
      <c r="E430" s="19" t="str">
        <f t="shared" si="18"/>
        <v>E2_4_99_28</v>
      </c>
      <c r="F430" s="19" t="s">
        <v>13491</v>
      </c>
      <c r="G430" s="19" t="s">
        <v>14906</v>
      </c>
      <c r="H430" s="19" t="s">
        <v>14177</v>
      </c>
      <c r="I430" s="19" t="s">
        <v>15592</v>
      </c>
      <c r="J430" s="19" t="str">
        <f t="shared" si="19"/>
        <v>(${Variables:E2_4_99_28_kcat} * E2_4_99_28 * C05893 * C11826)/(${Variables:E2_4_99_28_km} + (E2_4_99_28 * C05893 * C11826))</v>
      </c>
      <c r="K430" s="37" t="str">
        <f t="shared" si="20"/>
        <v>r429: C05893 + C11826 -&gt; C04574 + C11826 | (${Variables:E2_4_99_28_kcat} * E2_4_99_28 * C05893 * C11826)/(${Variables:E2_4_99_28_km} + (E2_4_99_28 * C05893 * C11826))</v>
      </c>
    </row>
    <row r="431" spans="1:11" ht="46.25" customHeight="1">
      <c r="A431" t="s">
        <v>168</v>
      </c>
      <c r="B431" t="s">
        <v>169</v>
      </c>
      <c r="C431" t="s">
        <v>16030</v>
      </c>
      <c r="D431" s="19">
        <v>430</v>
      </c>
      <c r="E431" s="19" t="str">
        <f t="shared" si="18"/>
        <v>E2_4_99_28</v>
      </c>
      <c r="F431" s="19" t="s">
        <v>13492</v>
      </c>
      <c r="G431" s="19" t="s">
        <v>14907</v>
      </c>
      <c r="H431" s="19" t="s">
        <v>14178</v>
      </c>
      <c r="I431" s="19" t="s">
        <v>15593</v>
      </c>
      <c r="J431" s="19" t="str">
        <f t="shared" si="19"/>
        <v>(${Variables:E2_4_99_28_kcat} * E2_4_99_28 * G10553 * G10554)/(${Variables:E2_4_99_28_km} + (E2_4_99_28 * G10553 * G10554))</v>
      </c>
      <c r="K431" s="37" t="str">
        <f t="shared" si="20"/>
        <v>r430: G10553 + G10554 -&gt; C04574 + G10554 | (${Variables:E2_4_99_28_kcat} * E2_4_99_28 * G10553 * G10554)/(${Variables:E2_4_99_28_km} + (E2_4_99_28 * G10553 * G10554))</v>
      </c>
    </row>
    <row r="432" spans="1:11" ht="46.25" customHeight="1">
      <c r="A432" t="s">
        <v>168</v>
      </c>
      <c r="B432" t="s">
        <v>169</v>
      </c>
      <c r="C432" t="s">
        <v>16030</v>
      </c>
      <c r="D432" s="19">
        <v>431</v>
      </c>
      <c r="E432" s="19" t="str">
        <f t="shared" si="18"/>
        <v>E2_4_99_28</v>
      </c>
      <c r="F432" s="19" t="s">
        <v>13493</v>
      </c>
      <c r="G432" s="19" t="s">
        <v>14908</v>
      </c>
      <c r="H432" s="19" t="s">
        <v>14179</v>
      </c>
      <c r="I432" s="19" t="s">
        <v>15594</v>
      </c>
      <c r="J432" s="19" t="str">
        <f t="shared" si="19"/>
        <v>(${Variables:E2_4_99_28_kcat} * E2_4_99_28 * C05898 * C11827)/(${Variables:E2_4_99_28_km} + (E2_4_99_28 * C05898 * C11827))</v>
      </c>
      <c r="K432" s="37" t="str">
        <f t="shared" si="20"/>
        <v>r431: C05898 + C11827 -&gt; C04574 + C11827 | (${Variables:E2_4_99_28_kcat} * E2_4_99_28 * C05898 * C11827)/(${Variables:E2_4_99_28_km} + (E2_4_99_28 * C05898 * C11827))</v>
      </c>
    </row>
    <row r="433" spans="1:11" ht="46.25" customHeight="1">
      <c r="A433" t="s">
        <v>168</v>
      </c>
      <c r="B433" t="s">
        <v>169</v>
      </c>
      <c r="C433" t="s">
        <v>16030</v>
      </c>
      <c r="D433" s="19">
        <v>432</v>
      </c>
      <c r="E433" s="19" t="str">
        <f t="shared" si="18"/>
        <v>E2_4_99_28</v>
      </c>
      <c r="F433" s="19" t="s">
        <v>13494</v>
      </c>
      <c r="G433" s="19" t="s">
        <v>14909</v>
      </c>
      <c r="H433" s="19" t="s">
        <v>14180</v>
      </c>
      <c r="I433" s="19" t="s">
        <v>15595</v>
      </c>
      <c r="J433" s="19" t="str">
        <f t="shared" si="19"/>
        <v>(${Variables:E2_4_99_28_kcat} * E2_4_99_28 * G10555 * G10557)/(${Variables:E2_4_99_28_km} + (E2_4_99_28 * G10555 * G10557))</v>
      </c>
      <c r="K433" s="37" t="str">
        <f t="shared" si="20"/>
        <v>r432: G10555 + G10557 -&gt; C04574 + G10557 | (${Variables:E2_4_99_28_kcat} * E2_4_99_28 * G10555 * G10557)/(${Variables:E2_4_99_28_km} + (E2_4_99_28 * G10555 * G10557))</v>
      </c>
    </row>
    <row r="434" spans="1:11" ht="46.25" customHeight="1">
      <c r="A434" t="s">
        <v>4428</v>
      </c>
      <c r="B434" t="s">
        <v>4429</v>
      </c>
      <c r="C434" t="s">
        <v>12897</v>
      </c>
      <c r="D434" s="19">
        <v>433</v>
      </c>
      <c r="E434" s="19" t="str">
        <f t="shared" si="18"/>
        <v>E2_5_1_141</v>
      </c>
      <c r="F434" s="19" t="s">
        <v>13495</v>
      </c>
      <c r="G434" s="19" t="s">
        <v>14910</v>
      </c>
      <c r="H434" s="19" t="s">
        <v>14181</v>
      </c>
      <c r="I434" s="19" t="s">
        <v>15596</v>
      </c>
      <c r="J434" s="19" t="str">
        <f t="shared" si="19"/>
        <v>(${Variables:E2_5_1_141_kcat} * E2_5_1_141 * C00032 * C00001 * C00448)/(${Variables:E2_5_1_141_km} + (E2_5_1_141 * C00032 * C00001 * C00448))</v>
      </c>
      <c r="K434" s="37" t="str">
        <f t="shared" si="20"/>
        <v>r433: C00032 + C00001 + C00448 -&gt; C15672 + C00013 | (${Variables:E2_5_1_141_kcat} * E2_5_1_141 * C00032 * C00001 * C00448)/(${Variables:E2_5_1_141_km} + (E2_5_1_141 * C00032 * C00001 * C00448))</v>
      </c>
    </row>
    <row r="435" spans="1:11" ht="46.25" customHeight="1">
      <c r="A435" t="s">
        <v>3172</v>
      </c>
      <c r="B435" t="s">
        <v>3173</v>
      </c>
      <c r="C435" t="s">
        <v>12899</v>
      </c>
      <c r="D435" s="19">
        <v>434</v>
      </c>
      <c r="E435" s="19" t="str">
        <f t="shared" si="18"/>
        <v>E2_5_1_15</v>
      </c>
      <c r="F435" s="19" t="s">
        <v>13496</v>
      </c>
      <c r="G435" s="19" t="s">
        <v>14911</v>
      </c>
      <c r="H435" s="19" t="s">
        <v>14182</v>
      </c>
      <c r="I435" s="19" t="s">
        <v>15597</v>
      </c>
      <c r="J435" s="19" t="str">
        <f t="shared" si="19"/>
        <v>(${Variables:E2_5_1_15_kcat} * E2_5_1_15 * C04807 * C00568)/(${Variables:E2_5_1_15_km} + (E2_5_1_15 * C04807 * C00568))</v>
      </c>
      <c r="K435" s="37" t="str">
        <f t="shared" si="20"/>
        <v>r434: C04807 + C00568 -&gt; C00013 + C00921 | (${Variables:E2_5_1_15_kcat} * E2_5_1_15 * C04807 * C00568)/(${Variables:E2_5_1_15_km} + (E2_5_1_15 * C04807 * C00568))</v>
      </c>
    </row>
    <row r="436" spans="1:11" ht="46.25" customHeight="1">
      <c r="A436" t="s">
        <v>3172</v>
      </c>
      <c r="B436" t="s">
        <v>3173</v>
      </c>
      <c r="C436" t="s">
        <v>12899</v>
      </c>
      <c r="D436" s="19">
        <v>435</v>
      </c>
      <c r="E436" s="19" t="str">
        <f t="shared" si="18"/>
        <v>E2_5_1_15</v>
      </c>
      <c r="F436" s="19" t="s">
        <v>13497</v>
      </c>
      <c r="G436" s="19" t="s">
        <v>14912</v>
      </c>
      <c r="H436" s="19" t="s">
        <v>14183</v>
      </c>
      <c r="I436" s="19" t="s">
        <v>15598</v>
      </c>
      <c r="J436" s="19" t="str">
        <f t="shared" si="19"/>
        <v>(${Variables:E2_5_1_15_kcat} * E2_5_1_15 * C01300 * C00568)/(${Variables:E2_5_1_15_km} + (E2_5_1_15 * C01300 * C00568))</v>
      </c>
      <c r="K436" s="37" t="str">
        <f t="shared" si="20"/>
        <v>r435: C01300 + C00568 -&gt; C00921 + C00001 | (${Variables:E2_5_1_15_kcat} * E2_5_1_15 * C01300 * C00568)/(${Variables:E2_5_1_15_km} + (E2_5_1_15 * C01300 * C00568))</v>
      </c>
    </row>
    <row r="437" spans="1:11" ht="46.25" customHeight="1">
      <c r="A437" t="s">
        <v>7398</v>
      </c>
      <c r="B437" t="s">
        <v>7399</v>
      </c>
      <c r="C437" t="s">
        <v>12899</v>
      </c>
      <c r="D437" s="19">
        <v>436</v>
      </c>
      <c r="E437" s="19" t="str">
        <f t="shared" si="18"/>
        <v>E2_5_1_15</v>
      </c>
      <c r="F437" s="19" t="s">
        <v>13496</v>
      </c>
      <c r="G437" s="19" t="s">
        <v>14911</v>
      </c>
      <c r="H437" s="19" t="s">
        <v>14182</v>
      </c>
      <c r="I437" s="19" t="s">
        <v>15597</v>
      </c>
      <c r="J437" s="19" t="str">
        <f t="shared" si="19"/>
        <v>(${Variables:E2_5_1_15_kcat} * E2_5_1_15 * C04807 * C00568)/(${Variables:E2_5_1_15_km} + (E2_5_1_15 * C04807 * C00568))</v>
      </c>
      <c r="K437" s="37" t="str">
        <f t="shared" si="20"/>
        <v>r436: C04807 + C00568 -&gt; C00013 + C00921 | (${Variables:E2_5_1_15_kcat} * E2_5_1_15 * C04807 * C00568)/(${Variables:E2_5_1_15_km} + (E2_5_1_15 * C04807 * C00568))</v>
      </c>
    </row>
    <row r="438" spans="1:11" ht="46.25" customHeight="1">
      <c r="A438" t="s">
        <v>7398</v>
      </c>
      <c r="B438" t="s">
        <v>7399</v>
      </c>
      <c r="C438" t="s">
        <v>12899</v>
      </c>
      <c r="D438" s="19">
        <v>437</v>
      </c>
      <c r="E438" s="19" t="str">
        <f t="shared" si="18"/>
        <v>E2_5_1_15</v>
      </c>
      <c r="F438" s="19" t="s">
        <v>13497</v>
      </c>
      <c r="G438" s="19" t="s">
        <v>14912</v>
      </c>
      <c r="H438" s="19" t="s">
        <v>14183</v>
      </c>
      <c r="I438" s="19" t="s">
        <v>15598</v>
      </c>
      <c r="J438" s="19" t="str">
        <f t="shared" si="19"/>
        <v>(${Variables:E2_5_1_15_kcat} * E2_5_1_15 * C01300 * C00568)/(${Variables:E2_5_1_15_km} + (E2_5_1_15 * C01300 * C00568))</v>
      </c>
      <c r="K438" s="37" t="str">
        <f t="shared" si="20"/>
        <v>r437: C01300 + C00568 -&gt; C00921 + C00001 | (${Variables:E2_5_1_15_kcat} * E2_5_1_15 * C01300 * C00568)/(${Variables:E2_5_1_15_km} + (E2_5_1_15 * C01300 * C00568))</v>
      </c>
    </row>
    <row r="439" spans="1:11" ht="46.25" customHeight="1">
      <c r="A439" t="s">
        <v>3518</v>
      </c>
      <c r="B439" t="s">
        <v>3519</v>
      </c>
      <c r="C439" t="s">
        <v>12900</v>
      </c>
      <c r="D439" s="19">
        <v>438</v>
      </c>
      <c r="E439" s="19" t="str">
        <f t="shared" si="18"/>
        <v>E2_5_1_16</v>
      </c>
      <c r="F439" s="19" t="s">
        <v>13498</v>
      </c>
      <c r="G439" s="19" t="s">
        <v>14913</v>
      </c>
      <c r="H439" s="19" t="s">
        <v>14184</v>
      </c>
      <c r="I439" s="19" t="s">
        <v>15599</v>
      </c>
      <c r="J439" s="19" t="str">
        <f t="shared" si="19"/>
        <v>(${Variables:E2_5_1_16_kcat} * E2_5_1_16 * C01137 * C00134)/(${Variables:E2_5_1_16_km} + (E2_5_1_16 * C01137 * C00134))</v>
      </c>
      <c r="K439" s="37" t="str">
        <f t="shared" si="20"/>
        <v>r438: C01137 + C00134 -&gt; C00170 + C00315 | (${Variables:E2_5_1_16_kcat} * E2_5_1_16 * C01137 * C00134)/(${Variables:E2_5_1_16_km} + (E2_5_1_16 * C01137 * C00134))</v>
      </c>
    </row>
    <row r="440" spans="1:11" ht="46.25" customHeight="1">
      <c r="A440" t="s">
        <v>7424</v>
      </c>
      <c r="B440" t="s">
        <v>7425</v>
      </c>
      <c r="C440" t="s">
        <v>12900</v>
      </c>
      <c r="D440" s="19">
        <v>439</v>
      </c>
      <c r="E440" s="19" t="str">
        <f t="shared" si="18"/>
        <v>E2_5_1_16</v>
      </c>
      <c r="F440" s="19" t="s">
        <v>13498</v>
      </c>
      <c r="G440" s="19" t="s">
        <v>14913</v>
      </c>
      <c r="H440" s="19" t="s">
        <v>14184</v>
      </c>
      <c r="I440" s="19" t="s">
        <v>15599</v>
      </c>
      <c r="J440" s="19" t="str">
        <f t="shared" si="19"/>
        <v>(${Variables:E2_5_1_16_kcat} * E2_5_1_16 * C01137 * C00134)/(${Variables:E2_5_1_16_km} + (E2_5_1_16 * C01137 * C00134))</v>
      </c>
      <c r="K440" s="37" t="str">
        <f t="shared" si="20"/>
        <v>r439: C01137 + C00134 -&gt; C00170 + C00315 | (${Variables:E2_5_1_16_kcat} * E2_5_1_16 * C01137 * C00134)/(${Variables:E2_5_1_16_km} + (E2_5_1_16 * C01137 * C00134))</v>
      </c>
    </row>
    <row r="441" spans="1:11" ht="46.25" customHeight="1">
      <c r="A441" t="s">
        <v>7424</v>
      </c>
      <c r="B441" t="s">
        <v>7425</v>
      </c>
      <c r="C441" t="s">
        <v>12900</v>
      </c>
      <c r="D441" s="19">
        <v>440</v>
      </c>
      <c r="E441" s="19" t="str">
        <f t="shared" si="18"/>
        <v>E2_5_1_16</v>
      </c>
      <c r="F441" s="19" t="s">
        <v>13499</v>
      </c>
      <c r="G441" s="19" t="s">
        <v>14914</v>
      </c>
      <c r="H441" s="19" t="s">
        <v>14185</v>
      </c>
      <c r="I441" s="19" t="s">
        <v>15600</v>
      </c>
      <c r="J441" s="19" t="str">
        <f t="shared" si="19"/>
        <v>(${Variables:E2_5_1_16_kcat} * E2_5_1_16 * C01137 * C01672)/(${Variables:E2_5_1_16_km} + (E2_5_1_16 * C01137 * C01672))</v>
      </c>
      <c r="K441" s="37" t="str">
        <f t="shared" si="20"/>
        <v>r440: C01137 + C01672 -&gt; C00170 + C16565 | (${Variables:E2_5_1_16_kcat} * E2_5_1_16 * C01137 * C01672)/(${Variables:E2_5_1_16_km} + (E2_5_1_16 * C01137 * C01672))</v>
      </c>
    </row>
    <row r="442" spans="1:11" ht="46.25" customHeight="1">
      <c r="A442" t="s">
        <v>7027</v>
      </c>
      <c r="B442" t="s">
        <v>7028</v>
      </c>
      <c r="C442" t="s">
        <v>12901</v>
      </c>
      <c r="D442" s="19">
        <v>441</v>
      </c>
      <c r="E442" s="19" t="str">
        <f t="shared" si="18"/>
        <v>E2_5_1_17</v>
      </c>
      <c r="F442" s="19" t="s">
        <v>13500</v>
      </c>
      <c r="G442" s="19" t="s">
        <v>14915</v>
      </c>
      <c r="H442" s="19" t="s">
        <v>14186</v>
      </c>
      <c r="I442" s="19" t="s">
        <v>15601</v>
      </c>
      <c r="J442" s="19" t="str">
        <f t="shared" si="19"/>
        <v>(${Variables:E2_5_1_17_kcat} * E2_5_1_17 * C00002 * C00541 * C03024)/(${Variables:E2_5_1_17_km} + (E2_5_1_17 * C00002 * C00541 * C03024))</v>
      </c>
      <c r="K442" s="37" t="str">
        <f t="shared" si="20"/>
        <v>r441: C00002 + C00541 + C03024 -&gt; C00536 + C00194 + C03161 | (${Variables:E2_5_1_17_kcat} * E2_5_1_17 * C00002 * C00541 * C03024)/(${Variables:E2_5_1_17_km} + (E2_5_1_17 * C00002 * C00541 * C03024))</v>
      </c>
    </row>
    <row r="443" spans="1:11" ht="46.25" customHeight="1">
      <c r="A443" t="s">
        <v>7027</v>
      </c>
      <c r="B443" t="s">
        <v>7028</v>
      </c>
      <c r="C443" t="s">
        <v>12901</v>
      </c>
      <c r="D443" s="19">
        <v>442</v>
      </c>
      <c r="E443" s="19" t="str">
        <f t="shared" si="18"/>
        <v>E2_5_1_17</v>
      </c>
      <c r="F443" s="19" t="s">
        <v>13501</v>
      </c>
      <c r="G443" s="19" t="s">
        <v>14916</v>
      </c>
      <c r="H443" s="19" t="s">
        <v>14187</v>
      </c>
      <c r="I443" s="19" t="s">
        <v>15602</v>
      </c>
      <c r="J443" s="19" t="str">
        <f t="shared" si="19"/>
        <v>(${Variables:E2_5_1_17_kcat} * E2_5_1_17 * C00002 * C06504 * C03024)/(${Variables:E2_5_1_17_km} + (E2_5_1_17 * C00002 * C06504 * C03024))</v>
      </c>
      <c r="K443" s="37" t="str">
        <f t="shared" si="20"/>
        <v>r442: C00002 + C06504 + C03024 -&gt; C00536 + C06506 + C03161 | (${Variables:E2_5_1_17_kcat} * E2_5_1_17 * C00002 * C06504 * C03024)/(${Variables:E2_5_1_17_km} + (E2_5_1_17 * C00002 * C06504 * C03024))</v>
      </c>
    </row>
    <row r="444" spans="1:11" ht="46.25" customHeight="1">
      <c r="A444" t="s">
        <v>7027</v>
      </c>
      <c r="B444" t="s">
        <v>7028</v>
      </c>
      <c r="C444" t="s">
        <v>12901</v>
      </c>
      <c r="D444" s="19">
        <v>443</v>
      </c>
      <c r="E444" s="19" t="str">
        <f t="shared" si="18"/>
        <v>E2_5_1_17</v>
      </c>
      <c r="F444" s="19" t="s">
        <v>13502</v>
      </c>
      <c r="G444" s="19" t="s">
        <v>14917</v>
      </c>
      <c r="H444" s="19" t="s">
        <v>14188</v>
      </c>
      <c r="I444" s="19" t="s">
        <v>15603</v>
      </c>
      <c r="J444" s="19" t="str">
        <f t="shared" si="19"/>
        <v>(${Variables:E2_5_1_17_kcat} * E2_5_1_17 * C00002 * C00853)/(${Variables:E2_5_1_17_km} + (E2_5_1_17 * C00002 * C00853))</v>
      </c>
      <c r="K444" s="37" t="str">
        <f t="shared" si="20"/>
        <v>r443: C00002 + C00853 -&gt; C00536 + C00194  | (${Variables:E2_5_1_17_kcat} * E2_5_1_17 * C00002 * C00853)/(${Variables:E2_5_1_17_km} + (E2_5_1_17 * C00002 * C00853))</v>
      </c>
    </row>
    <row r="445" spans="1:11" ht="46.25" customHeight="1">
      <c r="A445" t="s">
        <v>7027</v>
      </c>
      <c r="B445" t="s">
        <v>7028</v>
      </c>
      <c r="C445" t="s">
        <v>12901</v>
      </c>
      <c r="D445" s="19">
        <v>444</v>
      </c>
      <c r="E445" s="19" t="str">
        <f t="shared" si="18"/>
        <v>E2_5_1_17</v>
      </c>
      <c r="F445" s="19" t="s">
        <v>13503</v>
      </c>
      <c r="G445" s="19" t="s">
        <v>14918</v>
      </c>
      <c r="H445" s="19" t="s">
        <v>14189</v>
      </c>
      <c r="I445" s="19" t="s">
        <v>15604</v>
      </c>
      <c r="J445" s="19" t="str">
        <f t="shared" si="19"/>
        <v>(${Variables:E2_5_1_17_kcat} * E2_5_1_17 * C06505 * C00002)/(${Variables:E2_5_1_17_km} + (E2_5_1_17 * C06505 * C00002))</v>
      </c>
      <c r="K445" s="37" t="str">
        <f t="shared" si="20"/>
        <v>r444: C06505 + C00002 -&gt; C06506 + C00536 | (${Variables:E2_5_1_17_kcat} * E2_5_1_17 * C06505 * C00002)/(${Variables:E2_5_1_17_km} + (E2_5_1_17 * C06505 * C00002))</v>
      </c>
    </row>
    <row r="446" spans="1:11" ht="46.25" customHeight="1">
      <c r="A446" t="s">
        <v>7027</v>
      </c>
      <c r="B446" t="s">
        <v>7028</v>
      </c>
      <c r="C446" t="s">
        <v>12901</v>
      </c>
      <c r="D446" s="19">
        <v>445</v>
      </c>
      <c r="E446" s="19" t="str">
        <f t="shared" si="18"/>
        <v>E2_5_1_17</v>
      </c>
      <c r="F446" s="19" t="s">
        <v>13504</v>
      </c>
      <c r="G446" s="19" t="s">
        <v>14919</v>
      </c>
      <c r="H446" s="19" t="s">
        <v>14190</v>
      </c>
      <c r="I446" s="19" t="s">
        <v>15605</v>
      </c>
      <c r="J446" s="19" t="str">
        <f t="shared" si="19"/>
        <v>(${Variables:E2_5_1_17_kcat} * E2_5_1_17 * C00002 * C05774)/(${Variables:E2_5_1_17_km} + (E2_5_1_17 * C00002 * C05774))</v>
      </c>
      <c r="K446" s="37" t="str">
        <f t="shared" si="20"/>
        <v>r445: C00002 + C05774 -&gt; C00536 + C06508 | (${Variables:E2_5_1_17_kcat} * E2_5_1_17 * C00002 * C05774)/(${Variables:E2_5_1_17_km} + (E2_5_1_17 * C00002 * C05774))</v>
      </c>
    </row>
    <row r="447" spans="1:11" ht="46.25" customHeight="1">
      <c r="A447" t="s">
        <v>2200</v>
      </c>
      <c r="B447" t="s">
        <v>2201</v>
      </c>
      <c r="C447" t="s">
        <v>12902</v>
      </c>
      <c r="D447" s="19">
        <v>446</v>
      </c>
      <c r="E447" s="19" t="str">
        <f t="shared" si="18"/>
        <v>E2_5_1_19</v>
      </c>
      <c r="F447" s="19" t="s">
        <v>13505</v>
      </c>
      <c r="G447" s="19" t="s">
        <v>14920</v>
      </c>
      <c r="H447" s="19" t="s">
        <v>14191</v>
      </c>
      <c r="I447" s="19" t="s">
        <v>15606</v>
      </c>
      <c r="J447" s="19" t="str">
        <f t="shared" si="19"/>
        <v>(${Variables:E2_5_1_19_kcat} * E2_5_1_19 * C00074 * C03175)/(${Variables:E2_5_1_19_km} + (E2_5_1_19 * C00074 * C03175))</v>
      </c>
      <c r="K447" s="37" t="str">
        <f t="shared" si="20"/>
        <v>r446: C00074 + C03175 -&gt; C00009 + C01269 | (${Variables:E2_5_1_19_kcat} * E2_5_1_19 * C00074 * C03175)/(${Variables:E2_5_1_19_km} + (E2_5_1_19 * C00074 * C03175))</v>
      </c>
    </row>
    <row r="448" spans="1:11" ht="46.25" customHeight="1">
      <c r="A448" t="s">
        <v>5621</v>
      </c>
      <c r="B448" t="s">
        <v>5622</v>
      </c>
      <c r="C448" t="s">
        <v>12903</v>
      </c>
      <c r="D448" s="19">
        <v>447</v>
      </c>
      <c r="E448" s="19" t="str">
        <f t="shared" si="18"/>
        <v>E2_5_1_3</v>
      </c>
      <c r="F448" s="19" t="s">
        <v>13506</v>
      </c>
      <c r="G448" s="19" t="s">
        <v>14921</v>
      </c>
      <c r="H448" s="19" t="s">
        <v>14192</v>
      </c>
      <c r="I448" s="19" t="s">
        <v>15607</v>
      </c>
      <c r="J448" s="19" t="str">
        <f t="shared" si="19"/>
        <v>(${Variables:E2_5_1_3_kcat} * E2_5_1_3 * C04752 * C04327)/(${Variables:E2_5_1_3_km} + (E2_5_1_3 * C04752 * C04327))</v>
      </c>
      <c r="K448" s="37" t="str">
        <f t="shared" si="20"/>
        <v>r447: C04752 + C04327 -&gt; C00013 + C01081 | (${Variables:E2_5_1_3_kcat} * E2_5_1_3 * C04752 * C04327)/(${Variables:E2_5_1_3_km} + (E2_5_1_3 * C04752 * C04327))</v>
      </c>
    </row>
    <row r="449" spans="1:11" ht="46.25" customHeight="1">
      <c r="A449" t="s">
        <v>5621</v>
      </c>
      <c r="B449" t="s">
        <v>5622</v>
      </c>
      <c r="C449" t="s">
        <v>12903</v>
      </c>
      <c r="D449" s="19">
        <v>448</v>
      </c>
      <c r="E449" s="19" t="str">
        <f t="shared" si="18"/>
        <v>E2_5_1_3</v>
      </c>
      <c r="F449" s="19" t="s">
        <v>13507</v>
      </c>
      <c r="G449" s="19" t="s">
        <v>14922</v>
      </c>
      <c r="H449" s="19" t="s">
        <v>14193</v>
      </c>
      <c r="I449" s="19" t="s">
        <v>15608</v>
      </c>
      <c r="J449" s="19" t="str">
        <f t="shared" si="19"/>
        <v>(${Variables:E2_5_1_3_kcat} * E2_5_1_3 * C04752 * C20247)/(${Variables:E2_5_1_3_km} + (E2_5_1_3 * C04752 * C20247))</v>
      </c>
      <c r="K449" s="37" t="str">
        <f t="shared" si="20"/>
        <v>r448: C04752 + C20247 -&gt; C01081 + C00013 + C00011 | (${Variables:E2_5_1_3_kcat} * E2_5_1_3 * C04752 * C20247)/(${Variables:E2_5_1_3_km} + (E2_5_1_3 * C04752 * C20247))</v>
      </c>
    </row>
    <row r="450" spans="1:11" ht="46.25" customHeight="1">
      <c r="A450" t="s">
        <v>5621</v>
      </c>
      <c r="B450" t="s">
        <v>5622</v>
      </c>
      <c r="C450" t="s">
        <v>12903</v>
      </c>
      <c r="D450" s="19">
        <v>449</v>
      </c>
      <c r="E450" s="19" t="str">
        <f t="shared" ref="E450:E521" si="21">CONCATENATE("E",C450)</f>
        <v>E2_5_1_3</v>
      </c>
      <c r="F450" s="19" t="s">
        <v>13508</v>
      </c>
      <c r="G450" s="19" t="s">
        <v>14923</v>
      </c>
      <c r="H450" s="19" t="s">
        <v>14194</v>
      </c>
      <c r="I450" s="19" t="s">
        <v>15609</v>
      </c>
      <c r="J450" s="19" t="str">
        <f t="shared" si="19"/>
        <v>(${Variables:E2_5_1_3_kcat} * E2_5_1_3 * C04752 * C20246)/(${Variables:E2_5_1_3_km} + (E2_5_1_3 * C04752 * C20246))</v>
      </c>
      <c r="K450" s="37" t="str">
        <f t="shared" si="20"/>
        <v>r449: C04752 + C20246 -&gt; C00013 + C01081 + C00011 | (${Variables:E2_5_1_3_kcat} * E2_5_1_3 * C04752 * C20246)/(${Variables:E2_5_1_3_km} + (E2_5_1_3 * C04752 * C20246))</v>
      </c>
    </row>
    <row r="451" spans="1:11" ht="46.25" customHeight="1">
      <c r="A451" t="s">
        <v>1907</v>
      </c>
      <c r="B451" t="s">
        <v>1908</v>
      </c>
      <c r="C451" t="s">
        <v>12904</v>
      </c>
      <c r="D451" s="19">
        <v>450</v>
      </c>
      <c r="E451" s="19" t="str">
        <f t="shared" si="21"/>
        <v>E2_5_1_47</v>
      </c>
      <c r="F451" s="19" t="s">
        <v>13509</v>
      </c>
      <c r="G451" s="19" t="s">
        <v>14924</v>
      </c>
      <c r="H451" s="19" t="s">
        <v>14195</v>
      </c>
      <c r="I451" s="19" t="s">
        <v>15610</v>
      </c>
      <c r="J451" s="19" t="str">
        <f t="shared" ref="J451:J522" si="22">CONCATENATE("(${Variables:",E451,"_kcat","} * ",E451," * ",G451,")","/(${Variables:",E451,"_km","} + (",E451," * ",G451,"))")</f>
        <v>(${Variables:E2_5_1_47_kcat} * E2_5_1_47 * C00979 * C00283)/(${Variables:E2_5_1_47_km} + (E2_5_1_47 * C00979 * C00283))</v>
      </c>
      <c r="K451" s="37" t="str">
        <f t="shared" ref="K451:K522" si="23">CONCATENATE("r",D451,": ",F451," -&gt; ",H451," | ",J451)</f>
        <v>r450: C00979 + C00283 -&gt; C00097 + C00033 | (${Variables:E2_5_1_47_kcat} * E2_5_1_47 * C00979 * C00283)/(${Variables:E2_5_1_47_km} + (E2_5_1_47 * C00979 * C00283))</v>
      </c>
    </row>
    <row r="452" spans="1:11" ht="46.25" customHeight="1">
      <c r="A452" t="s">
        <v>1907</v>
      </c>
      <c r="B452" t="s">
        <v>1908</v>
      </c>
      <c r="C452" t="s">
        <v>12904</v>
      </c>
      <c r="D452" s="19">
        <v>451</v>
      </c>
      <c r="E452" s="19" t="str">
        <f t="shared" si="21"/>
        <v>E2_5_1_47</v>
      </c>
      <c r="F452" s="19" t="s">
        <v>13510</v>
      </c>
      <c r="G452" s="19" t="s">
        <v>14925</v>
      </c>
      <c r="H452" s="19" t="s">
        <v>14196</v>
      </c>
      <c r="I452" s="19" t="s">
        <v>15611</v>
      </c>
      <c r="J452" s="19" t="str">
        <f t="shared" si="22"/>
        <v>(${Variables:E2_5_1_47_kcat} * E2_5_1_47 * C00979 * C01528)/(${Variables:E2_5_1_47_km} + (E2_5_1_47 * C00979 * C01528))</v>
      </c>
      <c r="K452" s="37" t="str">
        <f t="shared" si="23"/>
        <v>r451: C00979 + C01528 -&gt; C05688 + C00033 | (${Variables:E2_5_1_47_kcat} * E2_5_1_47 * C00979 * C01528)/(${Variables:E2_5_1_47_km} + (E2_5_1_47 * C00979 * C01528))</v>
      </c>
    </row>
    <row r="453" spans="1:11" ht="46.25" customHeight="1">
      <c r="A453" t="s">
        <v>1907</v>
      </c>
      <c r="B453" t="s">
        <v>1908</v>
      </c>
      <c r="C453" t="s">
        <v>12904</v>
      </c>
      <c r="D453" s="19">
        <v>452</v>
      </c>
      <c r="E453" s="19" t="str">
        <f t="shared" si="21"/>
        <v>E2_5_1_47</v>
      </c>
      <c r="F453" s="19" t="s">
        <v>13511</v>
      </c>
      <c r="G453" s="19" t="s">
        <v>14926</v>
      </c>
      <c r="H453" s="19" t="s">
        <v>14197</v>
      </c>
      <c r="I453" s="19" t="s">
        <v>15612</v>
      </c>
      <c r="J453" s="19" t="str">
        <f t="shared" si="22"/>
        <v>(${Variables:E2_5_1_47_kcat} * E2_5_1_47 * C00979 * C00320 * C00342 * C00080)/(${Variables:E2_5_1_47_km} + (E2_5_1_47 * C00979 * C00320 * C00342 * C00080))</v>
      </c>
      <c r="K453" s="37" t="str">
        <f t="shared" si="23"/>
        <v>r452: C00979 + C00320 + C00342 + C00080 -&gt; C00097 + C00094 + C00343 + C00033 | (${Variables:E2_5_1_47_kcat} * E2_5_1_47 * C00979 * C00320 * C00342 * C00080)/(${Variables:E2_5_1_47_km} + (E2_5_1_47 * C00979 * C00320 * C00342 * C00080))</v>
      </c>
    </row>
    <row r="454" spans="1:11" ht="46.25" customHeight="1">
      <c r="A454" t="s">
        <v>1907</v>
      </c>
      <c r="B454" t="s">
        <v>1908</v>
      </c>
      <c r="C454" t="s">
        <v>12904</v>
      </c>
      <c r="D454" s="19">
        <v>453</v>
      </c>
      <c r="E454" s="19" t="str">
        <f t="shared" si="21"/>
        <v>E2_5_1_47</v>
      </c>
      <c r="F454" s="19" t="s">
        <v>13512</v>
      </c>
      <c r="G454" s="19" t="s">
        <v>14927</v>
      </c>
      <c r="H454" s="19" t="s">
        <v>14198</v>
      </c>
      <c r="I454" s="19" t="s">
        <v>15613</v>
      </c>
      <c r="J454" s="19" t="str">
        <f t="shared" si="22"/>
        <v>(${Variables:E2_5_1_47_kcat} * E2_5_1_47 * C01005 * C00283)/(${Variables:E2_5_1_47_km} + (E2_5_1_47 * C01005 * C00283))</v>
      </c>
      <c r="K454" s="37" t="str">
        <f t="shared" si="23"/>
        <v>r453: C01005 + C00283 -&gt; C00097 + C00009 | (${Variables:E2_5_1_47_kcat} * E2_5_1_47 * C01005 * C00283)/(${Variables:E2_5_1_47_km} + (E2_5_1_47 * C01005 * C00283))</v>
      </c>
    </row>
    <row r="455" spans="1:11" ht="46.25" customHeight="1">
      <c r="A455" t="s">
        <v>7035</v>
      </c>
      <c r="B455" t="s">
        <v>7036</v>
      </c>
      <c r="C455" t="s">
        <v>12904</v>
      </c>
      <c r="D455" s="19">
        <v>454</v>
      </c>
      <c r="E455" s="19" t="str">
        <f t="shared" si="21"/>
        <v>E2_5_1_47</v>
      </c>
      <c r="F455" s="19" t="s">
        <v>13509</v>
      </c>
      <c r="G455" s="19" t="s">
        <v>14924</v>
      </c>
      <c r="H455" s="19" t="s">
        <v>14195</v>
      </c>
      <c r="I455" s="19" t="s">
        <v>15610</v>
      </c>
      <c r="J455" s="19" t="str">
        <f t="shared" si="22"/>
        <v>(${Variables:E2_5_1_47_kcat} * E2_5_1_47 * C00979 * C00283)/(${Variables:E2_5_1_47_km} + (E2_5_1_47 * C00979 * C00283))</v>
      </c>
      <c r="K455" s="37" t="str">
        <f t="shared" si="23"/>
        <v>r454: C00979 + C00283 -&gt; C00097 + C00033 | (${Variables:E2_5_1_47_kcat} * E2_5_1_47 * C00979 * C00283)/(${Variables:E2_5_1_47_km} + (E2_5_1_47 * C00979 * C00283))</v>
      </c>
    </row>
    <row r="456" spans="1:11" ht="46.25" customHeight="1">
      <c r="A456" t="s">
        <v>7035</v>
      </c>
      <c r="B456" t="s">
        <v>7036</v>
      </c>
      <c r="C456" t="s">
        <v>12904</v>
      </c>
      <c r="D456" s="19">
        <v>455</v>
      </c>
      <c r="E456" s="19" t="str">
        <f t="shared" si="21"/>
        <v>E2_5_1_47</v>
      </c>
      <c r="F456" s="19" t="s">
        <v>13510</v>
      </c>
      <c r="G456" s="19" t="s">
        <v>14925</v>
      </c>
      <c r="H456" s="19" t="s">
        <v>14196</v>
      </c>
      <c r="I456" s="19" t="s">
        <v>15611</v>
      </c>
      <c r="J456" s="19" t="str">
        <f t="shared" si="22"/>
        <v>(${Variables:E2_5_1_47_kcat} * E2_5_1_47 * C00979 * C01528)/(${Variables:E2_5_1_47_km} + (E2_5_1_47 * C00979 * C01528))</v>
      </c>
      <c r="K456" s="37" t="str">
        <f t="shared" si="23"/>
        <v>r455: C00979 + C01528 -&gt; C05688 + C00033 | (${Variables:E2_5_1_47_kcat} * E2_5_1_47 * C00979 * C01528)/(${Variables:E2_5_1_47_km} + (E2_5_1_47 * C00979 * C01528))</v>
      </c>
    </row>
    <row r="457" spans="1:11" ht="46.25" customHeight="1">
      <c r="A457" t="s">
        <v>7035</v>
      </c>
      <c r="B457" t="s">
        <v>7036</v>
      </c>
      <c r="C457" t="s">
        <v>12904</v>
      </c>
      <c r="D457" s="19">
        <v>456</v>
      </c>
      <c r="E457" s="19" t="str">
        <f t="shared" si="21"/>
        <v>E2_5_1_47</v>
      </c>
      <c r="F457" s="19" t="s">
        <v>13511</v>
      </c>
      <c r="G457" s="19" t="s">
        <v>14926</v>
      </c>
      <c r="H457" s="19" t="s">
        <v>14197</v>
      </c>
      <c r="I457" s="19" t="s">
        <v>15612</v>
      </c>
      <c r="J457" s="19" t="str">
        <f t="shared" si="22"/>
        <v>(${Variables:E2_5_1_47_kcat} * E2_5_1_47 * C00979 * C00320 * C00342 * C00080)/(${Variables:E2_5_1_47_km} + (E2_5_1_47 * C00979 * C00320 * C00342 * C00080))</v>
      </c>
      <c r="K457" s="37" t="str">
        <f t="shared" si="23"/>
        <v>r456: C00979 + C00320 + C00342 + C00080 -&gt; C00097 + C00094 + C00343 + C00033 | (${Variables:E2_5_1_47_kcat} * E2_5_1_47 * C00979 * C00320 * C00342 * C00080)/(${Variables:E2_5_1_47_km} + (E2_5_1_47 * C00979 * C00320 * C00342 * C00080))</v>
      </c>
    </row>
    <row r="458" spans="1:11" ht="46.25" customHeight="1">
      <c r="A458" t="s">
        <v>7035</v>
      </c>
      <c r="B458" t="s">
        <v>7036</v>
      </c>
      <c r="C458" t="s">
        <v>12904</v>
      </c>
      <c r="D458" s="19">
        <v>457</v>
      </c>
      <c r="E458" s="19" t="str">
        <f t="shared" si="21"/>
        <v>E2_5_1_47</v>
      </c>
      <c r="F458" s="19" t="s">
        <v>13512</v>
      </c>
      <c r="G458" s="19" t="s">
        <v>14927</v>
      </c>
      <c r="H458" s="19" t="s">
        <v>14198</v>
      </c>
      <c r="I458" s="19" t="s">
        <v>15613</v>
      </c>
      <c r="J458" s="19" t="str">
        <f t="shared" si="22"/>
        <v>(${Variables:E2_5_1_47_kcat} * E2_5_1_47 * C01005 * C00283)/(${Variables:E2_5_1_47_km} + (E2_5_1_47 * C01005 * C00283))</v>
      </c>
      <c r="K458" s="37" t="str">
        <f t="shared" si="23"/>
        <v>r457: C01005 + C00283 -&gt; C00097 + C00009 | (${Variables:E2_5_1_47_kcat} * E2_5_1_47 * C01005 * C00283)/(${Variables:E2_5_1_47_km} + (E2_5_1_47 * C01005 * C00283))</v>
      </c>
    </row>
    <row r="459" spans="1:11" ht="46.25" customHeight="1">
      <c r="A459" t="s">
        <v>6726</v>
      </c>
      <c r="B459" t="s">
        <v>6727</v>
      </c>
      <c r="C459" t="s">
        <v>12905</v>
      </c>
      <c r="D459" s="19">
        <v>458</v>
      </c>
      <c r="E459" s="19" t="str">
        <f t="shared" si="21"/>
        <v>E2_5_1_48</v>
      </c>
      <c r="F459" s="19" t="s">
        <v>13513</v>
      </c>
      <c r="G459" s="19" t="s">
        <v>14928</v>
      </c>
      <c r="H459" s="19" t="s">
        <v>14199</v>
      </c>
      <c r="I459" s="19" t="s">
        <v>15614</v>
      </c>
      <c r="J459" s="19" t="str">
        <f t="shared" si="22"/>
        <v>(${Variables:E2_5_1_48_kcat} * E2_5_1_48 * C01118 * C00097)/(${Variables:E2_5_1_48_km} + (E2_5_1_48 * C01118 * C00097))</v>
      </c>
      <c r="K459" s="37" t="str">
        <f t="shared" si="23"/>
        <v>r458: C01118 + C00097 -&gt; C02291 + C00042 | (${Variables:E2_5_1_48_kcat} * E2_5_1_48 * C01118 * C00097)/(${Variables:E2_5_1_48_km} + (E2_5_1_48 * C01118 * C00097))</v>
      </c>
    </row>
    <row r="460" spans="1:11" ht="46.25" customHeight="1">
      <c r="A460" t="s">
        <v>6726</v>
      </c>
      <c r="B460" t="s">
        <v>6727</v>
      </c>
      <c r="C460" t="s">
        <v>12905</v>
      </c>
      <c r="D460" s="19">
        <v>459</v>
      </c>
      <c r="E460" s="19" t="str">
        <f t="shared" si="21"/>
        <v>E2_5_1_48</v>
      </c>
      <c r="F460" s="19" t="s">
        <v>13514</v>
      </c>
      <c r="G460" s="19" t="s">
        <v>14929</v>
      </c>
      <c r="H460" s="19" t="s">
        <v>14200</v>
      </c>
      <c r="I460" s="19" t="s">
        <v>15615</v>
      </c>
      <c r="J460" s="19" t="str">
        <f t="shared" si="22"/>
        <v>(${Variables:E2_5_1_48_kcat} * E2_5_1_48 * C01118 * C00001)/(${Variables:E2_5_1_48_km} + (E2_5_1_48 * C01118 * C00001))</v>
      </c>
      <c r="K460" s="37" t="str">
        <f t="shared" si="23"/>
        <v>r459: C01118 + C00001 -&gt; C00109 + C00042 + C00014 | (${Variables:E2_5_1_48_kcat} * E2_5_1_48 * C01118 * C00001)/(${Variables:E2_5_1_48_km} + (E2_5_1_48 * C01118 * C00001))</v>
      </c>
    </row>
    <row r="461" spans="1:11" ht="46.25" customHeight="1">
      <c r="A461" t="s">
        <v>6726</v>
      </c>
      <c r="B461" t="s">
        <v>6727</v>
      </c>
      <c r="C461" t="s">
        <v>12905</v>
      </c>
      <c r="D461" s="19">
        <v>460</v>
      </c>
      <c r="E461" s="19" t="str">
        <f t="shared" si="21"/>
        <v>E2_5_1_48</v>
      </c>
      <c r="F461" s="19" t="s">
        <v>13515</v>
      </c>
      <c r="G461" s="19" t="s">
        <v>14930</v>
      </c>
      <c r="H461" s="19" t="s">
        <v>14201</v>
      </c>
      <c r="I461" s="19" t="s">
        <v>15616</v>
      </c>
      <c r="J461" s="19" t="str">
        <f t="shared" si="22"/>
        <v>(${Variables:E2_5_1_48_kcat} * E2_5_1_48 * C01118 * C00283)/(${Variables:E2_5_1_48_km} + (E2_5_1_48 * C01118 * C00283))</v>
      </c>
      <c r="K461" s="37" t="str">
        <f t="shared" si="23"/>
        <v>r460: C01118 + C00283 -&gt; C00155 + C00042 | (${Variables:E2_5_1_48_kcat} * E2_5_1_48 * C01118 * C00283)/(${Variables:E2_5_1_48_km} + (E2_5_1_48 * C01118 * C00283))</v>
      </c>
    </row>
    <row r="462" spans="1:11" ht="46.25" customHeight="1">
      <c r="A462" t="s">
        <v>6726</v>
      </c>
      <c r="B462" t="s">
        <v>6727</v>
      </c>
      <c r="C462" t="s">
        <v>12905</v>
      </c>
      <c r="D462" s="19">
        <v>461</v>
      </c>
      <c r="E462" s="19" t="str">
        <f t="shared" si="21"/>
        <v>E2_5_1_48</v>
      </c>
      <c r="F462" s="19" t="s">
        <v>13516</v>
      </c>
      <c r="G462" s="19" t="s">
        <v>14931</v>
      </c>
      <c r="H462" s="19" t="s">
        <v>13513</v>
      </c>
      <c r="I462" s="19" t="s">
        <v>14928</v>
      </c>
      <c r="J462" s="19" t="str">
        <f t="shared" si="22"/>
        <v>(${Variables:E2_5_1_48_kcat} * E2_5_1_48 * C00542 * C00042)/(${Variables:E2_5_1_48_km} + (E2_5_1_48 * C00542 * C00042))</v>
      </c>
      <c r="K462" s="37" t="str">
        <f t="shared" si="23"/>
        <v>r461: C00542 + C00042 -&gt; C01118 + C00097 | (${Variables:E2_5_1_48_kcat} * E2_5_1_48 * C00542 * C00042)/(${Variables:E2_5_1_48_km} + (E2_5_1_48 * C00542 * C00042))</v>
      </c>
    </row>
    <row r="463" spans="1:11" ht="46.25" customHeight="1">
      <c r="A463" t="s">
        <v>6726</v>
      </c>
      <c r="B463" t="s">
        <v>6727</v>
      </c>
      <c r="C463" t="s">
        <v>12905</v>
      </c>
      <c r="D463" s="19">
        <v>462</v>
      </c>
      <c r="E463" s="19" t="str">
        <f t="shared" si="21"/>
        <v>E2_5_1_48</v>
      </c>
      <c r="F463" s="19" t="s">
        <v>13517</v>
      </c>
      <c r="G463" s="19" t="s">
        <v>14932</v>
      </c>
      <c r="H463" s="19" t="s">
        <v>14202</v>
      </c>
      <c r="I463" s="19" t="s">
        <v>15617</v>
      </c>
      <c r="J463" s="19" t="str">
        <f t="shared" si="22"/>
        <v>(${Variables:E2_5_1_48_kcat} * E2_5_1_48 * C01077 * C00097)/(${Variables:E2_5_1_48_km} + (E2_5_1_48 * C01077 * C00097))</v>
      </c>
      <c r="K463" s="37" t="str">
        <f t="shared" si="23"/>
        <v>r462: C01077 + C00097 -&gt; C02291 + C00033 | (${Variables:E2_5_1_48_kcat} * E2_5_1_48 * C01077 * C00097)/(${Variables:E2_5_1_48_km} + (E2_5_1_48 * C01077 * C00097))</v>
      </c>
    </row>
    <row r="464" spans="1:11" ht="46.25" customHeight="1">
      <c r="A464" t="s">
        <v>6726</v>
      </c>
      <c r="B464" t="s">
        <v>6727</v>
      </c>
      <c r="C464" t="s">
        <v>12905</v>
      </c>
      <c r="D464" s="19">
        <v>463</v>
      </c>
      <c r="E464" s="19" t="str">
        <f t="shared" si="21"/>
        <v>E2_5_1_48</v>
      </c>
      <c r="F464" s="19" t="s">
        <v>13518</v>
      </c>
      <c r="G464" s="19" t="s">
        <v>14933</v>
      </c>
      <c r="H464" s="19" t="s">
        <v>14203</v>
      </c>
      <c r="I464" s="19" t="s">
        <v>15618</v>
      </c>
      <c r="J464" s="19" t="str">
        <f t="shared" si="22"/>
        <v>(${Variables:E2_5_1_48_kcat} * E2_5_1_48 * C05702 * C05688)/(${Variables:E2_5_1_48_km} + (E2_5_1_48 * C05702 * C05688))</v>
      </c>
      <c r="K464" s="37" t="str">
        <f t="shared" si="23"/>
        <v>r463: C05702 + C05688 -&gt; C05699 + C00009 | (${Variables:E2_5_1_48_kcat} * E2_5_1_48 * C05702 * C05688)/(${Variables:E2_5_1_48_km} + (E2_5_1_48 * C05702 * C05688))</v>
      </c>
    </row>
    <row r="465" spans="1:11" ht="46.25" customHeight="1">
      <c r="A465" t="s">
        <v>6726</v>
      </c>
      <c r="B465" t="s">
        <v>6727</v>
      </c>
      <c r="C465" t="s">
        <v>12905</v>
      </c>
      <c r="D465" s="19">
        <v>464</v>
      </c>
      <c r="E465" s="19" t="str">
        <f t="shared" si="21"/>
        <v>E2_5_1_48</v>
      </c>
      <c r="F465" s="19" t="s">
        <v>13519</v>
      </c>
      <c r="G465" s="19" t="s">
        <v>14934</v>
      </c>
      <c r="H465" s="19" t="s">
        <v>14204</v>
      </c>
      <c r="I465" s="19" t="s">
        <v>15619</v>
      </c>
      <c r="J465" s="19" t="str">
        <f t="shared" si="22"/>
        <v>(${Variables:E2_5_1_48_kcat} * E2_5_1_48 * C01077 * C05688)/(${Variables:E2_5_1_48_km} + (E2_5_1_48 * C01077 * C05688))</v>
      </c>
      <c r="K465" s="37" t="str">
        <f t="shared" si="23"/>
        <v>r464: C01077 + C05688 -&gt; C05699 + C00033 | (${Variables:E2_5_1_48_kcat} * E2_5_1_48 * C01077 * C05688)/(${Variables:E2_5_1_48_km} + (E2_5_1_48 * C01077 * C05688))</v>
      </c>
    </row>
    <row r="466" spans="1:11" ht="46.25" customHeight="1">
      <c r="A466" t="s">
        <v>6726</v>
      </c>
      <c r="B466" t="s">
        <v>6727</v>
      </c>
      <c r="C466" t="s">
        <v>12905</v>
      </c>
      <c r="D466" s="19">
        <v>465</v>
      </c>
      <c r="E466" s="19" t="str">
        <f t="shared" si="21"/>
        <v>E2_5_1_48</v>
      </c>
      <c r="F466" s="19" t="s">
        <v>13520</v>
      </c>
      <c r="G466" s="19" t="s">
        <v>14935</v>
      </c>
      <c r="H466" s="19" t="s">
        <v>14205</v>
      </c>
      <c r="I466" s="19" t="s">
        <v>15620</v>
      </c>
      <c r="J466" s="19" t="str">
        <f t="shared" si="22"/>
        <v>(${Variables:E2_5_1_48_kcat} * E2_5_1_48 * C01118 * C05688)/(${Variables:E2_5_1_48_km} + (E2_5_1_48 * C01118 * C05688))</v>
      </c>
      <c r="K466" s="37" t="str">
        <f t="shared" si="23"/>
        <v>r465: C01118 + C05688 -&gt; C05699 + C00042 | (${Variables:E2_5_1_48_kcat} * E2_5_1_48 * C01118 * C05688)/(${Variables:E2_5_1_48_km} + (E2_5_1_48 * C01118 * C05688))</v>
      </c>
    </row>
    <row r="467" spans="1:11" ht="46.25" customHeight="1">
      <c r="A467" t="s">
        <v>2850</v>
      </c>
      <c r="B467" t="s">
        <v>2851</v>
      </c>
      <c r="C467" t="s">
        <v>12906</v>
      </c>
      <c r="D467" s="19">
        <v>466</v>
      </c>
      <c r="E467" s="19" t="str">
        <f t="shared" si="21"/>
        <v>E2_5_1_54</v>
      </c>
      <c r="F467" s="19" t="s">
        <v>13521</v>
      </c>
      <c r="G467" s="19" t="s">
        <v>14936</v>
      </c>
      <c r="H467" s="19" t="s">
        <v>14206</v>
      </c>
      <c r="I467" s="19" t="s">
        <v>15621</v>
      </c>
      <c r="J467" s="19" t="str">
        <f t="shared" si="22"/>
        <v>(${Variables:E2_5_1_54_kcat} * E2_5_1_54 * C00074 * C00279 * C00001)/(${Variables:E2_5_1_54_km} + (E2_5_1_54 * C00074 * C00279 * C00001))</v>
      </c>
      <c r="K467" s="37" t="str">
        <f t="shared" si="23"/>
        <v>r466: C00074 + C00279 + C00001 -&gt; C04691 + C00009 | (${Variables:E2_5_1_54_kcat} * E2_5_1_54 * C00074 * C00279 * C00001)/(${Variables:E2_5_1_54_km} + (E2_5_1_54 * C00074 * C00279 * C00001))</v>
      </c>
    </row>
    <row r="468" spans="1:11" ht="46.25" customHeight="1">
      <c r="A468" t="s">
        <v>6013</v>
      </c>
      <c r="B468" t="s">
        <v>6014</v>
      </c>
      <c r="C468" t="s">
        <v>12906</v>
      </c>
      <c r="D468" s="19">
        <v>467</v>
      </c>
      <c r="E468" s="19" t="str">
        <f t="shared" si="21"/>
        <v>E2_5_1_54</v>
      </c>
      <c r="F468" s="19" t="s">
        <v>13521</v>
      </c>
      <c r="G468" s="19" t="s">
        <v>14936</v>
      </c>
      <c r="H468" s="19" t="s">
        <v>14206</v>
      </c>
      <c r="I468" s="19" t="s">
        <v>15621</v>
      </c>
      <c r="J468" s="19" t="str">
        <f t="shared" si="22"/>
        <v>(${Variables:E2_5_1_54_kcat} * E2_5_1_54 * C00074 * C00279 * C00001)/(${Variables:E2_5_1_54_km} + (E2_5_1_54 * C00074 * C00279 * C00001))</v>
      </c>
      <c r="K468" s="37" t="str">
        <f t="shared" si="23"/>
        <v>r467: C00074 + C00279 + C00001 -&gt; C04691 + C00009 | (${Variables:E2_5_1_54_kcat} * E2_5_1_54 * C00074 * C00279 * C00001)/(${Variables:E2_5_1_54_km} + (E2_5_1_54 * C00074 * C00279 * C00001))</v>
      </c>
    </row>
    <row r="469" spans="1:11" ht="46.25" customHeight="1">
      <c r="A469" t="s">
        <v>4532</v>
      </c>
      <c r="B469" t="s">
        <v>4533</v>
      </c>
      <c r="C469" t="s">
        <v>16031</v>
      </c>
      <c r="D469" s="19">
        <v>468</v>
      </c>
      <c r="E469" s="19" t="str">
        <f t="shared" si="21"/>
        <v>E2_5_1_6</v>
      </c>
      <c r="F469" s="19" t="s">
        <v>13522</v>
      </c>
      <c r="G469" s="19" t="s">
        <v>14937</v>
      </c>
      <c r="H469" s="19" t="s">
        <v>14207</v>
      </c>
      <c r="I469" s="19" t="s">
        <v>15622</v>
      </c>
      <c r="J469" s="19" t="str">
        <f t="shared" si="22"/>
        <v>(${Variables:E2_5_1_6_kcat} * E2_5_1_6 * C00009 * C00013 * C00019)/(${Variables:E2_5_1_6_km} + (E2_5_1_6 * C00009 * C00013 * C00019))</v>
      </c>
      <c r="K469" s="37" t="str">
        <f t="shared" si="23"/>
        <v>r468: C00009 + C00013 + C00019 -&gt; C00002 + C00073 + C00001 | (${Variables:E2_5_1_6_kcat} * E2_5_1_6 * C00009 * C00013 * C00019)/(${Variables:E2_5_1_6_km} + (E2_5_1_6 * C00009 * C00013 * C00019))</v>
      </c>
    </row>
    <row r="470" spans="1:11" ht="46.25" customHeight="1">
      <c r="A470" t="s">
        <v>4532</v>
      </c>
      <c r="B470" t="s">
        <v>4533</v>
      </c>
      <c r="C470" t="s">
        <v>16031</v>
      </c>
      <c r="D470" s="19">
        <v>469</v>
      </c>
      <c r="E470" s="19" t="str">
        <f t="shared" si="21"/>
        <v>E2_5_1_6</v>
      </c>
      <c r="F470" s="19" t="s">
        <v>13523</v>
      </c>
      <c r="G470" s="19" t="s">
        <v>14938</v>
      </c>
      <c r="H470" s="19" t="s">
        <v>14208</v>
      </c>
      <c r="I470" s="19" t="s">
        <v>15623</v>
      </c>
      <c r="J470" s="19" t="str">
        <f t="shared" si="22"/>
        <v>(${Variables:E2_5_1_6_kcat} * E2_5_1_6 * C00002 * C05335 * C00001)/(${Variables:E2_5_1_6_km} + (E2_5_1_6 * C00002 * C05335 * C00001))</v>
      </c>
      <c r="K470" s="37" t="str">
        <f t="shared" si="23"/>
        <v>r469: C00002 + C05335 + C00001 -&gt; C00009 + C00013 + C05691 | (${Variables:E2_5_1_6_kcat} * E2_5_1_6 * C00002 * C05335 * C00001)/(${Variables:E2_5_1_6_km} + (E2_5_1_6 * C00002 * C05335 * C00001))</v>
      </c>
    </row>
    <row r="471" spans="1:11" ht="46.25" customHeight="1">
      <c r="A471" t="s">
        <v>1224</v>
      </c>
      <c r="B471" t="s">
        <v>1225</v>
      </c>
      <c r="C471" t="s">
        <v>12907</v>
      </c>
      <c r="D471" s="19">
        <v>470</v>
      </c>
      <c r="E471" s="19" t="str">
        <f t="shared" si="21"/>
        <v>E2_5_1_61</v>
      </c>
      <c r="F471" s="19" t="s">
        <v>13524</v>
      </c>
      <c r="G471" s="19" t="s">
        <v>14939</v>
      </c>
      <c r="H471" s="19" t="s">
        <v>14209</v>
      </c>
      <c r="I471" s="19" t="s">
        <v>15624</v>
      </c>
      <c r="J471" s="19" t="str">
        <f t="shared" si="22"/>
        <v>(${Variables:E2_5_1_61_kcat} * E2_5_1_61 * C00931 * C00001)/(${Variables:E2_5_1_61_km} + (E2_5_1_61 * C00931 * C00001))</v>
      </c>
      <c r="K471" s="37" t="str">
        <f t="shared" si="23"/>
        <v>r470: C00931 + C00001 -&gt; C01024 + C00014 | (${Variables:E2_5_1_61_kcat} * E2_5_1_61 * C00931 * C00001)/(${Variables:E2_5_1_61_km} + (E2_5_1_61 * C00931 * C00001))</v>
      </c>
    </row>
    <row r="472" spans="1:11" ht="46.25" customHeight="1">
      <c r="A472" t="s">
        <v>1053</v>
      </c>
      <c r="B472" t="s">
        <v>1054</v>
      </c>
      <c r="C472" t="s">
        <v>12908</v>
      </c>
      <c r="D472" s="19">
        <v>471</v>
      </c>
      <c r="E472" s="19" t="str">
        <f t="shared" si="21"/>
        <v>E2_5_1_7</v>
      </c>
      <c r="F472" s="19" t="s">
        <v>13525</v>
      </c>
      <c r="G472" s="19" t="s">
        <v>14940</v>
      </c>
      <c r="H472" s="19" t="s">
        <v>14210</v>
      </c>
      <c r="I472" s="19" t="s">
        <v>15625</v>
      </c>
      <c r="J472" s="19" t="str">
        <f t="shared" si="22"/>
        <v>(${Variables:E2_5_1_7_kcat} * E2_5_1_7 * C00074 * C00043)/(${Variables:E2_5_1_7_km} + (E2_5_1_7 * C00074 * C00043))</v>
      </c>
      <c r="K472" s="37" t="str">
        <f t="shared" si="23"/>
        <v>r471: C00074 + C00043 -&gt; C04631 + C00009 | (${Variables:E2_5_1_7_kcat} * E2_5_1_7 * C00074 * C00043)/(${Variables:E2_5_1_7_km} + (E2_5_1_7 * C00074 * C00043))</v>
      </c>
    </row>
    <row r="473" spans="1:11" ht="46.25" customHeight="1">
      <c r="A473" t="s">
        <v>7024</v>
      </c>
      <c r="B473" t="s">
        <v>7025</v>
      </c>
      <c r="C473" t="s">
        <v>12908</v>
      </c>
      <c r="D473" s="19">
        <v>472</v>
      </c>
      <c r="E473" s="19" t="str">
        <f t="shared" si="21"/>
        <v>E2_5_1_7</v>
      </c>
      <c r="F473" s="19" t="s">
        <v>13525</v>
      </c>
      <c r="G473" s="19" t="s">
        <v>14940</v>
      </c>
      <c r="H473" s="19" t="s">
        <v>14210</v>
      </c>
      <c r="I473" s="19" t="s">
        <v>15625</v>
      </c>
      <c r="J473" s="19" t="str">
        <f t="shared" si="22"/>
        <v>(${Variables:E2_5_1_7_kcat} * E2_5_1_7 * C00074 * C00043)/(${Variables:E2_5_1_7_km} + (E2_5_1_7 * C00074 * C00043))</v>
      </c>
      <c r="K473" s="37" t="str">
        <f t="shared" si="23"/>
        <v>r472: C00074 + C00043 -&gt; C04631 + C00009 | (${Variables:E2_5_1_7_kcat} * E2_5_1_7 * C00074 * C00043)/(${Variables:E2_5_1_7_km} + (E2_5_1_7 * C00074 * C00043))</v>
      </c>
    </row>
    <row r="474" spans="1:11" ht="46.25" customHeight="1">
      <c r="A474" t="s">
        <v>3050</v>
      </c>
      <c r="B474" t="s">
        <v>3051</v>
      </c>
      <c r="C474" t="s">
        <v>12909</v>
      </c>
      <c r="D474" s="19">
        <v>473</v>
      </c>
      <c r="E474" s="19" t="str">
        <f t="shared" si="21"/>
        <v>E2_5_1_72</v>
      </c>
      <c r="F474" s="19" t="s">
        <v>13526</v>
      </c>
      <c r="G474" s="19" t="s">
        <v>14941</v>
      </c>
      <c r="H474" s="19" t="s">
        <v>14211</v>
      </c>
      <c r="I474" s="19" t="s">
        <v>15626</v>
      </c>
      <c r="J474" s="19" t="str">
        <f t="shared" si="22"/>
        <v>(${Variables:E2_5_1_72_kcat} * E2_5_1_72 * C03722 * C00001 * C00009)/(${Variables:E2_5_1_72_km} + (E2_5_1_72 * C03722 * C00001 * C00009))</v>
      </c>
      <c r="K474" s="37" t="str">
        <f t="shared" si="23"/>
        <v>r473: C03722 + C00001 + C00009 -&gt; C05840 + C00111 | (${Variables:E2_5_1_72_kcat} * E2_5_1_72 * C03722 * C00001 * C00009)/(${Variables:E2_5_1_72_km} + (E2_5_1_72 * C03722 * C00001 * C00009))</v>
      </c>
    </row>
    <row r="475" spans="1:11" ht="46.25" customHeight="1">
      <c r="A475" t="s">
        <v>1307</v>
      </c>
      <c r="B475" t="s">
        <v>1308</v>
      </c>
      <c r="C475" t="s">
        <v>12910</v>
      </c>
      <c r="D475" s="19">
        <v>474</v>
      </c>
      <c r="E475" s="19" t="str">
        <f t="shared" si="21"/>
        <v>E2_5_1_74</v>
      </c>
      <c r="F475" s="19" t="s">
        <v>13527</v>
      </c>
      <c r="G475" s="19" t="s">
        <v>14942</v>
      </c>
      <c r="H475" s="19" t="s">
        <v>14212</v>
      </c>
      <c r="I475" s="19" t="s">
        <v>15627</v>
      </c>
      <c r="J475" s="19" t="str">
        <f t="shared" si="22"/>
        <v>(${Variables:E2_5_1_74_kcat} * E2_5_1_74 * C05847 * C03657)/(${Variables:E2_5_1_74_km} + (E2_5_1_74 * C05847 * C03657))</v>
      </c>
      <c r="K475" s="37" t="str">
        <f t="shared" si="23"/>
        <v>r474: C05847 + C03657 -&gt; C19847 + C00013 + C00011 | (${Variables:E2_5_1_74_kcat} * E2_5_1_74 * C05847 * C03657)/(${Variables:E2_5_1_74_km} + (E2_5_1_74 * C05847 * C03657))</v>
      </c>
    </row>
    <row r="476" spans="1:11" ht="46.25" customHeight="1">
      <c r="A476" t="s">
        <v>5348</v>
      </c>
      <c r="B476" t="s">
        <v>5349</v>
      </c>
      <c r="C476" t="s">
        <v>12911</v>
      </c>
      <c r="D476" s="19">
        <v>475</v>
      </c>
      <c r="E476" s="19" t="str">
        <f t="shared" si="21"/>
        <v>E2_5_1_75</v>
      </c>
      <c r="F476" s="19" t="s">
        <v>13528</v>
      </c>
      <c r="G476" s="19" t="s">
        <v>14943</v>
      </c>
      <c r="H476" s="19" t="s">
        <v>14213</v>
      </c>
      <c r="I476" s="19" t="s">
        <v>15628</v>
      </c>
      <c r="J476" s="19" t="str">
        <f t="shared" si="22"/>
        <v>(${Variables:E2_5_1_75_kcat} * E2_5_1_75 * C00235 * C17324)/(${Variables:E2_5_1_75_km} + (E2_5_1_75 * C00235 * C17324))</v>
      </c>
      <c r="K476" s="37" t="str">
        <f t="shared" si="23"/>
        <v>r475: C00235 + C17324 -&gt; C00013 + C04432 | (${Variables:E2_5_1_75_kcat} * E2_5_1_75 * C00235 * C17324)/(${Variables:E2_5_1_75_km} + (E2_5_1_75 * C00235 * C17324))</v>
      </c>
    </row>
    <row r="477" spans="1:11" ht="46.25" customHeight="1">
      <c r="A477" t="s">
        <v>4500</v>
      </c>
      <c r="B477" t="s">
        <v>4501</v>
      </c>
      <c r="C477" t="s">
        <v>12912</v>
      </c>
      <c r="D477" s="19">
        <v>476</v>
      </c>
      <c r="E477" s="19" t="str">
        <f t="shared" si="21"/>
        <v>E2_5_1_78</v>
      </c>
      <c r="F477" s="19" t="s">
        <v>13529</v>
      </c>
      <c r="G477" s="19" t="s">
        <v>14944</v>
      </c>
      <c r="H477" s="19" t="s">
        <v>14214</v>
      </c>
      <c r="I477" s="19" t="s">
        <v>15629</v>
      </c>
      <c r="J477" s="19" t="str">
        <f t="shared" si="22"/>
        <v>(${Variables:E2_5_1_78_kcat} * E2_5_1_78 * C04732 * C15556)/(${Variables:E2_5_1_78_km} + (E2_5_1_78 * C04732 * C15556))</v>
      </c>
      <c r="K477" s="37" t="str">
        <f t="shared" si="23"/>
        <v>r476: C04732 + C15556 -&gt; C04332 + C00001 + C00009 | (${Variables:E2_5_1_78_kcat} * E2_5_1_78 * C04732 * C15556)/(${Variables:E2_5_1_78_km} + (E2_5_1_78 * C04732 * C15556))</v>
      </c>
    </row>
    <row r="478" spans="1:11" ht="46.25" customHeight="1">
      <c r="A478" t="s">
        <v>4506</v>
      </c>
      <c r="B478" t="s">
        <v>4507</v>
      </c>
      <c r="C478" t="s">
        <v>12913</v>
      </c>
      <c r="D478" s="19">
        <v>477</v>
      </c>
      <c r="E478" s="19" t="str">
        <f t="shared" si="21"/>
        <v>E2_5_1_9</v>
      </c>
      <c r="F478" s="19" t="s">
        <v>9608</v>
      </c>
      <c r="G478" s="19" t="s">
        <v>9608</v>
      </c>
      <c r="H478" s="19" t="s">
        <v>14215</v>
      </c>
      <c r="I478" s="19" t="s">
        <v>15630</v>
      </c>
      <c r="J478" s="19" t="str">
        <f t="shared" si="22"/>
        <v>(${Variables:E2_5_1_9_kcat} * E2_5_1_9 * C04332)/(${Variables:E2_5_1_9_km} + (E2_5_1_9 * C04332))</v>
      </c>
      <c r="K478" s="37" t="str">
        <f t="shared" si="23"/>
        <v>r477: C04332 -&gt; C00255 + C04732 | (${Variables:E2_5_1_9_kcat} * E2_5_1_9 * C04332)/(${Variables:E2_5_1_9_km} + (E2_5_1_9 * C04332))</v>
      </c>
    </row>
    <row r="479" spans="1:11" ht="46.25" customHeight="1">
      <c r="A479" t="s">
        <v>5685</v>
      </c>
      <c r="B479" t="s">
        <v>5686</v>
      </c>
      <c r="C479" t="s">
        <v>17637</v>
      </c>
      <c r="D479" s="19">
        <v>478</v>
      </c>
      <c r="E479" s="19" t="str">
        <f t="shared" si="21"/>
        <v>E2_6_1_1</v>
      </c>
      <c r="F479" t="s">
        <v>17638</v>
      </c>
      <c r="G479" t="s">
        <v>17649</v>
      </c>
      <c r="H479" t="s">
        <v>17643</v>
      </c>
      <c r="I479" t="s">
        <v>17654</v>
      </c>
      <c r="J479" s="19" t="str">
        <f t="shared" ref="J479:J486" si="24">CONCATENATE("(${Variables:",E479,"_kcat","} * ",E479," * ",G479,")","/(${Variables:",E479,"_km","} + (",E479," * ",G479,"))")</f>
        <v>(${Variables:E2_6_1_1_kcat} * E2_6_1_1 * C00049 * C00026)/(${Variables:E2_6_1_1_km} + (E2_6_1_1 * C00049 * C00026))</v>
      </c>
      <c r="K479" s="37" t="str">
        <f t="shared" ref="K479:K486" si="25">CONCATENATE("r",D479,": ",F479," -&gt; ",H479," | ",J479)</f>
        <v>r478: C00049 + C00026 -&gt; C00036 + C00025 | (${Variables:E2_6_1_1_kcat} * E2_6_1_1 * C00049 * C00026)/(${Variables:E2_6_1_1_km} + (E2_6_1_1 * C00049 * C00026))</v>
      </c>
    </row>
    <row r="480" spans="1:11" ht="46.25" customHeight="1">
      <c r="A480" t="s">
        <v>5685</v>
      </c>
      <c r="B480" t="s">
        <v>5686</v>
      </c>
      <c r="C480" t="s">
        <v>17637</v>
      </c>
      <c r="D480" s="19">
        <v>479</v>
      </c>
      <c r="E480" s="19" t="str">
        <f t="shared" si="21"/>
        <v>E2_6_1_1</v>
      </c>
      <c r="F480" t="s">
        <v>13545</v>
      </c>
      <c r="G480" t="s">
        <v>14960</v>
      </c>
      <c r="H480" t="s">
        <v>14231</v>
      </c>
      <c r="I480" t="s">
        <v>15646</v>
      </c>
      <c r="J480" s="19" t="str">
        <f t="shared" si="24"/>
        <v>(${Variables:E2_6_1_1_kcat} * E2_6_1_1 * C00079 * C00026)/(${Variables:E2_6_1_1_km} + (E2_6_1_1 * C00079 * C00026))</v>
      </c>
      <c r="K480" s="37" t="str">
        <f t="shared" si="25"/>
        <v>r479: C00079 + C00026 -&gt; C00166 + C00025 | (${Variables:E2_6_1_1_kcat} * E2_6_1_1 * C00079 * C00026)/(${Variables:E2_6_1_1_km} + (E2_6_1_1 * C00079 * C00026))</v>
      </c>
    </row>
    <row r="481" spans="1:11" ht="46.25" customHeight="1">
      <c r="A481" t="s">
        <v>5685</v>
      </c>
      <c r="B481" t="s">
        <v>5686</v>
      </c>
      <c r="C481" t="s">
        <v>17637</v>
      </c>
      <c r="D481" s="19">
        <v>480</v>
      </c>
      <c r="E481" s="19" t="str">
        <f t="shared" si="21"/>
        <v>E2_6_1_1</v>
      </c>
      <c r="F481" t="s">
        <v>13546</v>
      </c>
      <c r="G481" t="s">
        <v>14961</v>
      </c>
      <c r="H481" t="s">
        <v>14232</v>
      </c>
      <c r="I481" t="s">
        <v>15647</v>
      </c>
      <c r="J481" s="19" t="str">
        <f t="shared" si="24"/>
        <v>(${Variables:E2_6_1_1_kcat} * E2_6_1_1 * C00082 * C00026)/(${Variables:E2_6_1_1_km} + (E2_6_1_1 * C00082 * C00026))</v>
      </c>
      <c r="K481" s="37" t="str">
        <f t="shared" si="25"/>
        <v>r480: C00082 + C00026 -&gt; C01179 + C00025 | (${Variables:E2_6_1_1_kcat} * E2_6_1_1 * C00082 * C00026)/(${Variables:E2_6_1_1_km} + (E2_6_1_1 * C00082 * C00026))</v>
      </c>
    </row>
    <row r="482" spans="1:11" ht="46.25" customHeight="1">
      <c r="A482" t="s">
        <v>5685</v>
      </c>
      <c r="B482" t="s">
        <v>5686</v>
      </c>
      <c r="C482" t="s">
        <v>17637</v>
      </c>
      <c r="D482" s="19">
        <v>481</v>
      </c>
      <c r="E482" s="19" t="str">
        <f t="shared" si="21"/>
        <v>E2_6_1_1</v>
      </c>
      <c r="F482" t="s">
        <v>17639</v>
      </c>
      <c r="G482" t="s">
        <v>17650</v>
      </c>
      <c r="H482" t="s">
        <v>17644</v>
      </c>
      <c r="I482" t="s">
        <v>17655</v>
      </c>
      <c r="J482" s="19" t="str">
        <f t="shared" si="24"/>
        <v>(${Variables:E2_6_1_1_kcat} * E2_6_1_1 * C00097 * C00026)/(${Variables:E2_6_1_1_km} + (E2_6_1_1 * C00097 * C00026))</v>
      </c>
      <c r="K482" s="37" t="str">
        <f t="shared" si="25"/>
        <v>r481: C00097 + C00026 -&gt; C00957 + C00025 | (${Variables:E2_6_1_1_kcat} * E2_6_1_1 * C00097 * C00026)/(${Variables:E2_6_1_1_km} + (E2_6_1_1 * C00097 * C00026))</v>
      </c>
    </row>
    <row r="483" spans="1:11" ht="46.25" customHeight="1">
      <c r="A483" t="s">
        <v>5685</v>
      </c>
      <c r="B483" t="s">
        <v>5686</v>
      </c>
      <c r="C483" t="s">
        <v>17637</v>
      </c>
      <c r="D483" s="19">
        <v>482</v>
      </c>
      <c r="E483" s="19" t="str">
        <f t="shared" si="21"/>
        <v>E2_6_1_1</v>
      </c>
      <c r="F483" t="s">
        <v>17639</v>
      </c>
      <c r="G483" t="s">
        <v>17650</v>
      </c>
      <c r="H483" t="s">
        <v>17645</v>
      </c>
      <c r="I483" t="s">
        <v>17656</v>
      </c>
      <c r="J483" s="19" t="str">
        <f t="shared" si="24"/>
        <v>(${Variables:E2_6_1_1_kcat} * E2_6_1_1 * C00097 * C00026)/(${Variables:E2_6_1_1_km} + (E2_6_1_1 * C00097 * C00026))</v>
      </c>
      <c r="K483" s="37" t="str">
        <f t="shared" si="25"/>
        <v>r482: C00097 + C00026 -&gt; C00957 + C00302 | (${Variables:E2_6_1_1_kcat} * E2_6_1_1 * C00097 * C00026)/(${Variables:E2_6_1_1_km} + (E2_6_1_1 * C00097 * C00026))</v>
      </c>
    </row>
    <row r="484" spans="1:11" ht="46.25" customHeight="1">
      <c r="A484" t="s">
        <v>5685</v>
      </c>
      <c r="B484" t="s">
        <v>5686</v>
      </c>
      <c r="C484" t="s">
        <v>17637</v>
      </c>
      <c r="D484" s="19">
        <v>483</v>
      </c>
      <c r="E484" s="19" t="str">
        <f t="shared" si="21"/>
        <v>E2_6_1_1</v>
      </c>
      <c r="F484" t="s">
        <v>17640</v>
      </c>
      <c r="G484" t="s">
        <v>17651</v>
      </c>
      <c r="H484" t="s">
        <v>17646</v>
      </c>
      <c r="I484" t="s">
        <v>17657</v>
      </c>
      <c r="J484" s="19" t="str">
        <f t="shared" si="24"/>
        <v>(${Variables:E2_6_1_1_kcat} * E2_6_1_1 * C00506 * C00026)/(${Variables:E2_6_1_1_km} + (E2_6_1_1 * C00506 * C00026))</v>
      </c>
      <c r="K484" s="37" t="str">
        <f t="shared" si="25"/>
        <v>r483: C00506 + C00026 -&gt; C05528 + C00025 | (${Variables:E2_6_1_1_kcat} * E2_6_1_1 * C00506 * C00026)/(${Variables:E2_6_1_1_km} + (E2_6_1_1 * C00506 * C00026))</v>
      </c>
    </row>
    <row r="485" spans="1:11" ht="46.25" customHeight="1">
      <c r="A485" t="s">
        <v>5685</v>
      </c>
      <c r="B485" t="s">
        <v>5686</v>
      </c>
      <c r="C485" t="s">
        <v>17637</v>
      </c>
      <c r="D485" s="19">
        <v>484</v>
      </c>
      <c r="E485" s="19" t="str">
        <f t="shared" si="21"/>
        <v>E2_6_1_1</v>
      </c>
      <c r="F485" t="s">
        <v>17641</v>
      </c>
      <c r="G485" t="s">
        <v>17652</v>
      </c>
      <c r="H485" t="s">
        <v>17647</v>
      </c>
      <c r="I485" t="s">
        <v>17658</v>
      </c>
      <c r="J485" s="19" t="str">
        <f t="shared" si="24"/>
        <v>(${Variables:E2_6_1_1_kcat} * E2_6_1_1 * C00606 * C00026)/(${Variables:E2_6_1_1_km} + (E2_6_1_1 * C00606 * C00026))</v>
      </c>
      <c r="K485" s="37" t="str">
        <f t="shared" si="25"/>
        <v>r484: C00606 + C00026 -&gt; C05527 + C00025 | (${Variables:E2_6_1_1_kcat} * E2_6_1_1 * C00606 * C00026)/(${Variables:E2_6_1_1_km} + (E2_6_1_1 * C00606 * C00026))</v>
      </c>
    </row>
    <row r="486" spans="1:11" ht="46.25" customHeight="1">
      <c r="A486" t="s">
        <v>5685</v>
      </c>
      <c r="B486" t="s">
        <v>5686</v>
      </c>
      <c r="C486" t="s">
        <v>17637</v>
      </c>
      <c r="D486" s="19">
        <v>485</v>
      </c>
      <c r="E486" s="19" t="str">
        <f t="shared" si="21"/>
        <v>E2_6_1_1</v>
      </c>
      <c r="F486" t="s">
        <v>17642</v>
      </c>
      <c r="G486" t="s">
        <v>17653</v>
      </c>
      <c r="H486" t="s">
        <v>17648</v>
      </c>
      <c r="I486" t="s">
        <v>17659</v>
      </c>
      <c r="J486" s="19" t="str">
        <f t="shared" si="24"/>
        <v>(${Variables:E2_6_1_1_kcat} * E2_6_1_1 * C05947 * C00026)/(${Variables:E2_6_1_1_km} + (E2_6_1_1 * C05947 * C00026))</v>
      </c>
      <c r="K486" s="37" t="str">
        <f t="shared" si="25"/>
        <v>r485: C05947 + C00026 -&gt; C05946 + C00025 | (${Variables:E2_6_1_1_kcat} * E2_6_1_1 * C05947 * C00026)/(${Variables:E2_6_1_1_km} + (E2_6_1_1 * C05947 * C00026))</v>
      </c>
    </row>
    <row r="487" spans="1:11" ht="46.25" customHeight="1">
      <c r="A487" t="s">
        <v>3942</v>
      </c>
      <c r="B487" t="s">
        <v>3943</v>
      </c>
      <c r="C487" t="s">
        <v>12914</v>
      </c>
      <c r="D487" s="19">
        <v>486</v>
      </c>
      <c r="E487" s="19" t="str">
        <f t="shared" si="21"/>
        <v>E2_6_1_11</v>
      </c>
      <c r="F487" s="19" t="s">
        <v>13530</v>
      </c>
      <c r="G487" s="19" t="s">
        <v>14945</v>
      </c>
      <c r="H487" s="19" t="s">
        <v>14216</v>
      </c>
      <c r="I487" s="19" t="s">
        <v>15631</v>
      </c>
      <c r="J487" s="19" t="str">
        <f t="shared" si="22"/>
        <v>(${Variables:E2_6_1_11_kcat} * E2_6_1_11 * C00437 * C00026)/(${Variables:E2_6_1_11_km} + (E2_6_1_11 * C00437 * C00026))</v>
      </c>
      <c r="K487" s="37" t="str">
        <f t="shared" si="23"/>
        <v>r486: C00437 + C00026 -&gt; C01250 + C00025 | (${Variables:E2_6_1_11_kcat} * E2_6_1_11 * C00437 * C00026)/(${Variables:E2_6_1_11_km} + (E2_6_1_11 * C00437 * C00026))</v>
      </c>
    </row>
    <row r="488" spans="1:11" ht="46.25" customHeight="1">
      <c r="A488" t="s">
        <v>6260</v>
      </c>
      <c r="B488" t="s">
        <v>6261</v>
      </c>
      <c r="C488" t="s">
        <v>12915</v>
      </c>
      <c r="D488" s="19">
        <v>487</v>
      </c>
      <c r="E488" s="19" t="str">
        <f t="shared" si="21"/>
        <v>E2_6_1_16</v>
      </c>
      <c r="F488" s="19" t="s">
        <v>13531</v>
      </c>
      <c r="G488" s="19" t="s">
        <v>14946</v>
      </c>
      <c r="H488" s="19" t="s">
        <v>14217</v>
      </c>
      <c r="I488" s="19" t="s">
        <v>15632</v>
      </c>
      <c r="J488" s="19" t="str">
        <f t="shared" si="22"/>
        <v>(${Variables:E2_6_1_16_kcat} * E2_6_1_16 * C00064 * C00085)/(${Variables:E2_6_1_16_km} + (E2_6_1_16 * C00064 * C00085))</v>
      </c>
      <c r="K488" s="37" t="str">
        <f t="shared" si="23"/>
        <v>r487: C00064 + C00085 -&gt; C00025 + C00352 | (${Variables:E2_6_1_16_kcat} * E2_6_1_16 * C00064 * C00085)/(${Variables:E2_6_1_16_km} + (E2_6_1_16 * C00064 * C00085))</v>
      </c>
    </row>
    <row r="489" spans="1:11" ht="46.25" customHeight="1">
      <c r="A489" t="s">
        <v>3146</v>
      </c>
      <c r="B489" t="s">
        <v>3147</v>
      </c>
      <c r="C489" t="s">
        <v>12916</v>
      </c>
      <c r="D489" s="19">
        <v>488</v>
      </c>
      <c r="E489" s="19" t="str">
        <f t="shared" si="21"/>
        <v>E2_6_1_17</v>
      </c>
      <c r="F489" s="19" t="s">
        <v>13532</v>
      </c>
      <c r="G489" s="19" t="s">
        <v>14947</v>
      </c>
      <c r="H489" s="19" t="s">
        <v>14218</v>
      </c>
      <c r="I489" s="19" t="s">
        <v>15633</v>
      </c>
      <c r="J489" s="19" t="str">
        <f t="shared" si="22"/>
        <v>(${Variables:E2_6_1_17_kcat} * E2_6_1_17 * C04421 * C00026)/(${Variables:E2_6_1_17_km} + (E2_6_1_17 * C04421 * C00026))</v>
      </c>
      <c r="K489" s="37" t="str">
        <f t="shared" si="23"/>
        <v>r488: C04421 + C00026 -&gt; C04462 + C00025 | (${Variables:E2_6_1_17_kcat} * E2_6_1_17 * C04421 * C00026)/(${Variables:E2_6_1_17_km} + (E2_6_1_17 * C04421 * C00026))</v>
      </c>
    </row>
    <row r="490" spans="1:11" ht="46.25" customHeight="1">
      <c r="A490" t="s">
        <v>1407</v>
      </c>
      <c r="B490" t="s">
        <v>1408</v>
      </c>
      <c r="C490" t="s">
        <v>12917</v>
      </c>
      <c r="D490" s="19">
        <v>489</v>
      </c>
      <c r="E490" s="19" t="str">
        <f t="shared" si="21"/>
        <v>E2_6_1_19</v>
      </c>
      <c r="F490" s="19" t="s">
        <v>13533</v>
      </c>
      <c r="G490" s="19" t="s">
        <v>14948</v>
      </c>
      <c r="H490" s="19" t="s">
        <v>14219</v>
      </c>
      <c r="I490" s="19" t="s">
        <v>15634</v>
      </c>
      <c r="J490" s="19" t="str">
        <f t="shared" si="22"/>
        <v>(${Variables:E2_6_1_19_kcat} * E2_6_1_19 * C00334 * C00026)/(${Variables:E2_6_1_19_km} + (E2_6_1_19 * C00334 * C00026))</v>
      </c>
      <c r="K490" s="37" t="str">
        <f t="shared" si="23"/>
        <v>r489: C00334 + C00026 -&gt; C00232 + C00025 | (${Variables:E2_6_1_19_kcat} * E2_6_1_19 * C00334 * C00026)/(${Variables:E2_6_1_19_km} + (E2_6_1_19 * C00334 * C00026))</v>
      </c>
    </row>
    <row r="491" spans="1:11" ht="46.25" customHeight="1">
      <c r="A491" t="s">
        <v>1407</v>
      </c>
      <c r="B491" t="s">
        <v>1408</v>
      </c>
      <c r="C491" t="s">
        <v>12917</v>
      </c>
      <c r="D491" s="19">
        <v>490</v>
      </c>
      <c r="E491" s="19" t="str">
        <f t="shared" si="21"/>
        <v>E2_6_1_19</v>
      </c>
      <c r="F491" s="19" t="s">
        <v>13534</v>
      </c>
      <c r="G491" s="19" t="s">
        <v>14949</v>
      </c>
      <c r="H491" s="19" t="s">
        <v>14220</v>
      </c>
      <c r="I491" s="19" t="s">
        <v>15635</v>
      </c>
      <c r="J491" s="19" t="str">
        <f t="shared" si="22"/>
        <v>(${Variables:E2_6_1_19_kcat} * E2_6_1_19 * C00099 * C00026)/(${Variables:E2_6_1_19_km} + (E2_6_1_19 * C00099 * C00026))</v>
      </c>
      <c r="K491" s="37" t="str">
        <f t="shared" si="23"/>
        <v>r490: C00099 + C00026 -&gt; C00222 + C00025 | (${Variables:E2_6_1_19_kcat} * E2_6_1_19 * C00099 * C00026)/(${Variables:E2_6_1_19_km} + (E2_6_1_19 * C00099 * C00026))</v>
      </c>
    </row>
    <row r="492" spans="1:11" ht="46.25" customHeight="1">
      <c r="A492" t="s">
        <v>6085</v>
      </c>
      <c r="B492" t="s">
        <v>6086</v>
      </c>
      <c r="C492" t="s">
        <v>12918</v>
      </c>
      <c r="D492" s="19">
        <v>491</v>
      </c>
      <c r="E492" s="19" t="str">
        <f t="shared" si="21"/>
        <v>E2_6_1_42</v>
      </c>
      <c r="F492" s="19" t="s">
        <v>13535</v>
      </c>
      <c r="G492" s="19" t="s">
        <v>14950</v>
      </c>
      <c r="H492" s="19" t="s">
        <v>14221</v>
      </c>
      <c r="I492" s="19" t="s">
        <v>15636</v>
      </c>
      <c r="J492" s="19" t="str">
        <f t="shared" si="22"/>
        <v>(${Variables:E2_6_1_42_kcat} * E2_6_1_42 * C00123 * C00026)/(${Variables:E2_6_1_42_km} + (E2_6_1_42 * C00123 * C00026))</v>
      </c>
      <c r="K492" s="37" t="str">
        <f t="shared" si="23"/>
        <v>r491: C00123 + C00026 -&gt; C00233 + C00025 | (${Variables:E2_6_1_42_kcat} * E2_6_1_42 * C00123 * C00026)/(${Variables:E2_6_1_42_km} + (E2_6_1_42 * C00123 * C00026))</v>
      </c>
    </row>
    <row r="493" spans="1:11" ht="46.25" customHeight="1">
      <c r="A493" t="s">
        <v>6085</v>
      </c>
      <c r="B493" t="s">
        <v>6086</v>
      </c>
      <c r="C493" t="s">
        <v>12918</v>
      </c>
      <c r="D493" s="19">
        <v>492</v>
      </c>
      <c r="E493" s="19" t="str">
        <f t="shared" si="21"/>
        <v>E2_6_1_42</v>
      </c>
      <c r="F493" s="19" t="s">
        <v>13536</v>
      </c>
      <c r="G493" s="19" t="s">
        <v>14951</v>
      </c>
      <c r="H493" s="19" t="s">
        <v>14222</v>
      </c>
      <c r="I493" s="19" t="s">
        <v>15637</v>
      </c>
      <c r="J493" s="19" t="str">
        <f t="shared" si="22"/>
        <v>(${Variables:E2_6_1_42_kcat} * E2_6_1_42 * C00183 * C00026)/(${Variables:E2_6_1_42_km} + (E2_6_1_42 * C00183 * C00026))</v>
      </c>
      <c r="K493" s="37" t="str">
        <f t="shared" si="23"/>
        <v>r492: C00183 + C00026 -&gt; C00141 + C00025 | (${Variables:E2_6_1_42_kcat} * E2_6_1_42 * C00183 * C00026)/(${Variables:E2_6_1_42_km} + (E2_6_1_42 * C00183 * C00026))</v>
      </c>
    </row>
    <row r="494" spans="1:11" ht="46.25" customHeight="1">
      <c r="A494" t="s">
        <v>6085</v>
      </c>
      <c r="B494" t="s">
        <v>6086</v>
      </c>
      <c r="C494" t="s">
        <v>12918</v>
      </c>
      <c r="D494" s="19">
        <v>493</v>
      </c>
      <c r="E494" s="19" t="str">
        <f t="shared" si="21"/>
        <v>E2_6_1_42</v>
      </c>
      <c r="F494" s="19" t="s">
        <v>13537</v>
      </c>
      <c r="G494" s="19" t="s">
        <v>14952</v>
      </c>
      <c r="H494" s="19" t="s">
        <v>14223</v>
      </c>
      <c r="I494" s="19" t="s">
        <v>15638</v>
      </c>
      <c r="J494" s="19" t="str">
        <f t="shared" si="22"/>
        <v>(${Variables:E2_6_1_42_kcat} * E2_6_1_42 * C00407 * C00026)/(${Variables:E2_6_1_42_km} + (E2_6_1_42 * C00407 * C00026))</v>
      </c>
      <c r="K494" s="37" t="str">
        <f t="shared" si="23"/>
        <v>r493: C00407 + C00026 -&gt; C00671 + C00025 | (${Variables:E2_6_1_42_kcat} * E2_6_1_42 * C00407 * C00026)/(${Variables:E2_6_1_42_km} + (E2_6_1_42 * C00407 * C00026))</v>
      </c>
    </row>
    <row r="495" spans="1:11" ht="46.25" customHeight="1">
      <c r="A495" t="s">
        <v>6085</v>
      </c>
      <c r="B495" t="s">
        <v>6086</v>
      </c>
      <c r="C495" t="s">
        <v>12918</v>
      </c>
      <c r="D495" s="19">
        <v>494</v>
      </c>
      <c r="E495" s="19" t="str">
        <f t="shared" si="21"/>
        <v>E2_6_1_42</v>
      </c>
      <c r="F495" s="19" t="s">
        <v>13538</v>
      </c>
      <c r="G495" s="19" t="s">
        <v>14953</v>
      </c>
      <c r="H495" s="19" t="s">
        <v>14224</v>
      </c>
      <c r="I495" s="19" t="s">
        <v>15639</v>
      </c>
      <c r="J495" s="19" t="str">
        <f t="shared" si="22"/>
        <v>(${Variables:E2_6_1_42_kcat} * E2_6_1_42 * C02356 * C00026)/(${Variables:E2_6_1_42_km} + (E2_6_1_42 * C02356 * C00026))</v>
      </c>
      <c r="K495" s="37" t="str">
        <f t="shared" si="23"/>
        <v>r494: C02356 + C00026 -&gt; C00109 + C00025 | (${Variables:E2_6_1_42_kcat} * E2_6_1_42 * C02356 * C00026)/(${Variables:E2_6_1_42_km} + (E2_6_1_42 * C02356 * C00026))</v>
      </c>
    </row>
    <row r="496" spans="1:11" ht="46.25" customHeight="1">
      <c r="A496" t="s">
        <v>2399</v>
      </c>
      <c r="B496" t="s">
        <v>2400</v>
      </c>
      <c r="C496" t="s">
        <v>12919</v>
      </c>
      <c r="D496" s="19">
        <v>495</v>
      </c>
      <c r="E496" s="19" t="str">
        <f t="shared" si="21"/>
        <v>E2_6_1_52</v>
      </c>
      <c r="F496" s="19" t="s">
        <v>13539</v>
      </c>
      <c r="G496" s="19" t="s">
        <v>14954</v>
      </c>
      <c r="H496" s="19" t="s">
        <v>14225</v>
      </c>
      <c r="I496" s="19" t="s">
        <v>15640</v>
      </c>
      <c r="J496" s="19" t="str">
        <f t="shared" si="22"/>
        <v>(${Variables:E2_6_1_52_kcat} * E2_6_1_52 * C01005 * C00026)/(${Variables:E2_6_1_52_km} + (E2_6_1_52 * C01005 * C00026))</v>
      </c>
      <c r="K496" s="37" t="str">
        <f t="shared" si="23"/>
        <v>r495: C01005 + C00026 -&gt; C03232 + C00025 | (${Variables:E2_6_1_52_kcat} * E2_6_1_52 * C01005 * C00026)/(${Variables:E2_6_1_52_km} + (E2_6_1_52 * C01005 * C00026))</v>
      </c>
    </row>
    <row r="497" spans="1:11" ht="46.25" customHeight="1">
      <c r="A497" t="s">
        <v>2399</v>
      </c>
      <c r="B497" t="s">
        <v>2400</v>
      </c>
      <c r="C497" t="s">
        <v>12919</v>
      </c>
      <c r="D497" s="19">
        <v>496</v>
      </c>
      <c r="E497" s="19" t="str">
        <f t="shared" si="21"/>
        <v>E2_6_1_52</v>
      </c>
      <c r="F497" s="19" t="s">
        <v>13540</v>
      </c>
      <c r="G497" s="19" t="s">
        <v>14955</v>
      </c>
      <c r="H497" s="19" t="s">
        <v>14226</v>
      </c>
      <c r="I497" s="19" t="s">
        <v>15641</v>
      </c>
      <c r="J497" s="19" t="str">
        <f t="shared" si="22"/>
        <v>(${Variables:E2_6_1_52_kcat} * E2_6_1_52 * C06055 * C00026)/(${Variables:E2_6_1_52_km} + (E2_6_1_52 * C06055 * C00026))</v>
      </c>
      <c r="K497" s="37" t="str">
        <f t="shared" si="23"/>
        <v>r496: C06055 + C00026 -&gt; C06054 + C00025 | (${Variables:E2_6_1_52_kcat} * E2_6_1_52 * C06055 * C00026)/(${Variables:E2_6_1_52_km} + (E2_6_1_52 * C06055 * C00026))</v>
      </c>
    </row>
    <row r="498" spans="1:11" ht="46.25" customHeight="1">
      <c r="A498" t="s">
        <v>7174</v>
      </c>
      <c r="B498" t="s">
        <v>7175</v>
      </c>
      <c r="C498" t="s">
        <v>12920</v>
      </c>
      <c r="D498" s="19">
        <v>497</v>
      </c>
      <c r="E498" s="19" t="str">
        <f t="shared" si="21"/>
        <v>E2_6_1_62</v>
      </c>
      <c r="F498" s="19" t="s">
        <v>13541</v>
      </c>
      <c r="G498" s="19" t="s">
        <v>14956</v>
      </c>
      <c r="H498" s="19" t="s">
        <v>14227</v>
      </c>
      <c r="I498" s="19" t="s">
        <v>15642</v>
      </c>
      <c r="J498" s="19" t="str">
        <f t="shared" si="22"/>
        <v>(${Variables:E2_6_1_62_kcat} * E2_6_1_62 * C00019 * C01092)/(${Variables:E2_6_1_62_km} + (E2_6_1_62 * C00019 * C01092))</v>
      </c>
      <c r="K498" s="37" t="str">
        <f t="shared" si="23"/>
        <v>r497: C00019 + C01092 -&gt; C04425 + C01037 | (${Variables:E2_6_1_62_kcat} * E2_6_1_62 * C00019 * C01092)/(${Variables:E2_6_1_62_km} + (E2_6_1_62 * C00019 * C01092))</v>
      </c>
    </row>
    <row r="499" spans="1:11" ht="46.25" customHeight="1">
      <c r="A499" t="s">
        <v>2868</v>
      </c>
      <c r="B499" t="s">
        <v>2869</v>
      </c>
      <c r="C499" t="s">
        <v>16032</v>
      </c>
      <c r="D499" s="19">
        <v>498</v>
      </c>
      <c r="E499" s="19" t="str">
        <f t="shared" si="21"/>
        <v>E2_6_1_85</v>
      </c>
      <c r="F499" s="19" t="s">
        <v>13319</v>
      </c>
      <c r="G499" s="19" t="s">
        <v>14734</v>
      </c>
      <c r="H499" s="19" t="s">
        <v>13998</v>
      </c>
      <c r="I499" s="19" t="s">
        <v>15413</v>
      </c>
      <c r="J499" s="19" t="str">
        <f t="shared" si="22"/>
        <v>(${Variables:E2_6_1_85_kcat} * E2_6_1_85 * C00064 * C00001)/(${Variables:E2_6_1_85_km} + (E2_6_1_85 * C00064 * C00001))</v>
      </c>
      <c r="K499" s="37" t="str">
        <f t="shared" si="23"/>
        <v>r498: C00064 + C00001 -&gt; C00025 + C00014 | (${Variables:E2_6_1_85_kcat} * E2_6_1_85 * C00064 * C00001)/(${Variables:E2_6_1_85_km} + (E2_6_1_85 * C00064 * C00001))</v>
      </c>
    </row>
    <row r="500" spans="1:11" ht="46.25" customHeight="1">
      <c r="A500" t="s">
        <v>2868</v>
      </c>
      <c r="B500" t="s">
        <v>2869</v>
      </c>
      <c r="C500" t="s">
        <v>16032</v>
      </c>
      <c r="D500" s="19">
        <v>499</v>
      </c>
      <c r="E500" s="19" t="str">
        <f t="shared" si="21"/>
        <v>E2_6_1_85</v>
      </c>
      <c r="F500" s="19" t="s">
        <v>13542</v>
      </c>
      <c r="G500" s="19" t="s">
        <v>14957</v>
      </c>
      <c r="H500" s="19" t="s">
        <v>14228</v>
      </c>
      <c r="I500" s="19" t="s">
        <v>15643</v>
      </c>
      <c r="J500" s="19" t="str">
        <f t="shared" si="22"/>
        <v>(${Variables:E2_6_1_85_kcat} * E2_6_1_85 * C00251 * C00064)/(${Variables:E2_6_1_85_km} + (E2_6_1_85 * C00251 * C00064))</v>
      </c>
      <c r="K500" s="37" t="str">
        <f t="shared" si="23"/>
        <v>r499: C00251 + C00064 -&gt; C11355 + C00025 | (${Variables:E2_6_1_85_kcat} * E2_6_1_85 * C00251 * C00064)/(${Variables:E2_6_1_85_km} + (E2_6_1_85 * C00251 * C00064))</v>
      </c>
    </row>
    <row r="501" spans="1:11" ht="46.25" customHeight="1">
      <c r="A501" t="s">
        <v>2868</v>
      </c>
      <c r="B501" t="s">
        <v>2869</v>
      </c>
      <c r="C501" t="s">
        <v>16032</v>
      </c>
      <c r="D501" s="19">
        <v>500</v>
      </c>
      <c r="E501" s="19" t="str">
        <f t="shared" si="21"/>
        <v>E2_6_1_85</v>
      </c>
      <c r="F501" s="19" t="s">
        <v>13543</v>
      </c>
      <c r="G501" s="19" t="s">
        <v>14958</v>
      </c>
      <c r="H501" s="19" t="s">
        <v>14229</v>
      </c>
      <c r="I501" s="19" t="s">
        <v>15644</v>
      </c>
      <c r="J501" s="19" t="str">
        <f t="shared" si="22"/>
        <v>(${Variables:E2_6_1_85_kcat} * E2_6_1_85 * C00251 * C00014)/(${Variables:E2_6_1_85_km} + (E2_6_1_85 * C00251 * C00014))</v>
      </c>
      <c r="K501" s="37" t="str">
        <f t="shared" si="23"/>
        <v>r500: C00251 + C00014 -&gt; C11355 + C00001 | (${Variables:E2_6_1_85_kcat} * E2_6_1_85 * C00251 * C00014)/(${Variables:E2_6_1_85_km} + (E2_6_1_85 * C00251 * C00014))</v>
      </c>
    </row>
    <row r="502" spans="1:11" ht="46.25" customHeight="1">
      <c r="A502" t="s">
        <v>666</v>
      </c>
      <c r="B502" t="s">
        <v>667</v>
      </c>
      <c r="C502" t="s">
        <v>12921</v>
      </c>
      <c r="D502" s="19">
        <v>501</v>
      </c>
      <c r="E502" s="19" t="str">
        <f t="shared" si="21"/>
        <v>E2_6_1_9</v>
      </c>
      <c r="F502" s="19" t="s">
        <v>13544</v>
      </c>
      <c r="G502" s="19" t="s">
        <v>14959</v>
      </c>
      <c r="H502" s="19" t="s">
        <v>14230</v>
      </c>
      <c r="I502" s="19" t="s">
        <v>15645</v>
      </c>
      <c r="J502" s="19" t="str">
        <f t="shared" si="22"/>
        <v>(${Variables:E2_6_1_9_kcat} * E2_6_1_9 * C01100 * C00026)/(${Variables:E2_6_1_9_km} + (E2_6_1_9 * C01100 * C00026))</v>
      </c>
      <c r="K502" s="37" t="str">
        <f t="shared" si="23"/>
        <v>r501: C01100 + C00026 -&gt; C01267 + C00025 | (${Variables:E2_6_1_9_kcat} * E2_6_1_9 * C01100 * C00026)/(${Variables:E2_6_1_9_km} + (E2_6_1_9 * C01100 * C00026))</v>
      </c>
    </row>
    <row r="503" spans="1:11" ht="46.25" customHeight="1">
      <c r="A503" t="s">
        <v>666</v>
      </c>
      <c r="B503" t="s">
        <v>667</v>
      </c>
      <c r="C503" t="s">
        <v>12921</v>
      </c>
      <c r="D503" s="19">
        <v>502</v>
      </c>
      <c r="E503" s="19" t="str">
        <f t="shared" si="21"/>
        <v>E2_6_1_9</v>
      </c>
      <c r="F503" s="19" t="s">
        <v>13545</v>
      </c>
      <c r="G503" s="19" t="s">
        <v>14960</v>
      </c>
      <c r="H503" s="19" t="s">
        <v>14231</v>
      </c>
      <c r="I503" s="19" t="s">
        <v>15646</v>
      </c>
      <c r="J503" s="19" t="str">
        <f t="shared" si="22"/>
        <v>(${Variables:E2_6_1_9_kcat} * E2_6_1_9 * C00079 * C00026)/(${Variables:E2_6_1_9_km} + (E2_6_1_9 * C00079 * C00026))</v>
      </c>
      <c r="K503" s="37" t="str">
        <f t="shared" si="23"/>
        <v>r502: C00079 + C00026 -&gt; C00166 + C00025 | (${Variables:E2_6_1_9_kcat} * E2_6_1_9 * C00079 * C00026)/(${Variables:E2_6_1_9_km} + (E2_6_1_9 * C00079 * C00026))</v>
      </c>
    </row>
    <row r="504" spans="1:11" ht="46.25" customHeight="1">
      <c r="A504" t="s">
        <v>666</v>
      </c>
      <c r="B504" t="s">
        <v>667</v>
      </c>
      <c r="C504" t="s">
        <v>12921</v>
      </c>
      <c r="D504" s="19">
        <v>503</v>
      </c>
      <c r="E504" s="19" t="str">
        <f t="shared" si="21"/>
        <v>E2_6_1_9</v>
      </c>
      <c r="F504" s="19" t="s">
        <v>13546</v>
      </c>
      <c r="G504" s="19" t="s">
        <v>14961</v>
      </c>
      <c r="H504" s="19" t="s">
        <v>14232</v>
      </c>
      <c r="I504" s="19" t="s">
        <v>15647</v>
      </c>
      <c r="J504" s="19" t="str">
        <f t="shared" si="22"/>
        <v>(${Variables:E2_6_1_9_kcat} * E2_6_1_9 * C00082 * C00026)/(${Variables:E2_6_1_9_km} + (E2_6_1_9 * C00082 * C00026))</v>
      </c>
      <c r="K504" s="37" t="str">
        <f t="shared" si="23"/>
        <v>r503: C00082 + C00026 -&gt; C01179 + C00025 | (${Variables:E2_6_1_9_kcat} * E2_6_1_9 * C00082 * C00026)/(${Variables:E2_6_1_9_km} + (E2_6_1_9 * C00082 * C00026))</v>
      </c>
    </row>
    <row r="505" spans="1:11" ht="46.25" customHeight="1">
      <c r="A505" t="s">
        <v>5795</v>
      </c>
      <c r="B505" t="s">
        <v>5796</v>
      </c>
      <c r="C505" t="s">
        <v>12921</v>
      </c>
      <c r="D505" s="19">
        <v>504</v>
      </c>
      <c r="E505" s="19" t="str">
        <f t="shared" si="21"/>
        <v>E2_6_1_9</v>
      </c>
      <c r="F505" s="19" t="s">
        <v>13544</v>
      </c>
      <c r="G505" s="19" t="s">
        <v>14959</v>
      </c>
      <c r="H505" s="19" t="s">
        <v>14230</v>
      </c>
      <c r="I505" s="19" t="s">
        <v>15645</v>
      </c>
      <c r="J505" s="19" t="str">
        <f t="shared" si="22"/>
        <v>(${Variables:E2_6_1_9_kcat} * E2_6_1_9 * C01100 * C00026)/(${Variables:E2_6_1_9_km} + (E2_6_1_9 * C01100 * C00026))</v>
      </c>
      <c r="K505" s="37" t="str">
        <f t="shared" si="23"/>
        <v>r504: C01100 + C00026 -&gt; C01267 + C00025 | (${Variables:E2_6_1_9_kcat} * E2_6_1_9 * C01100 * C00026)/(${Variables:E2_6_1_9_km} + (E2_6_1_9 * C01100 * C00026))</v>
      </c>
    </row>
    <row r="506" spans="1:11" ht="46.25" customHeight="1">
      <c r="A506" t="s">
        <v>5795</v>
      </c>
      <c r="B506" t="s">
        <v>5796</v>
      </c>
      <c r="C506" t="s">
        <v>12921</v>
      </c>
      <c r="D506" s="19">
        <v>505</v>
      </c>
      <c r="E506" s="19" t="str">
        <f t="shared" si="21"/>
        <v>E2_6_1_9</v>
      </c>
      <c r="F506" s="19" t="s">
        <v>13545</v>
      </c>
      <c r="G506" s="19" t="s">
        <v>14960</v>
      </c>
      <c r="H506" s="19" t="s">
        <v>14231</v>
      </c>
      <c r="I506" s="19" t="s">
        <v>15646</v>
      </c>
      <c r="J506" s="19" t="str">
        <f t="shared" si="22"/>
        <v>(${Variables:E2_6_1_9_kcat} * E2_6_1_9 * C00079 * C00026)/(${Variables:E2_6_1_9_km} + (E2_6_1_9 * C00079 * C00026))</v>
      </c>
      <c r="K506" s="37" t="str">
        <f t="shared" si="23"/>
        <v>r505: C00079 + C00026 -&gt; C00166 + C00025 | (${Variables:E2_6_1_9_kcat} * E2_6_1_9 * C00079 * C00026)/(${Variables:E2_6_1_9_km} + (E2_6_1_9 * C00079 * C00026))</v>
      </c>
    </row>
    <row r="507" spans="1:11" ht="46.25" customHeight="1">
      <c r="A507" t="s">
        <v>5795</v>
      </c>
      <c r="B507" t="s">
        <v>5796</v>
      </c>
      <c r="C507" t="s">
        <v>12921</v>
      </c>
      <c r="D507" s="19">
        <v>506</v>
      </c>
      <c r="E507" s="19" t="str">
        <f t="shared" si="21"/>
        <v>E2_6_1_9</v>
      </c>
      <c r="F507" s="19" t="s">
        <v>13546</v>
      </c>
      <c r="G507" s="19" t="s">
        <v>14961</v>
      </c>
      <c r="H507" s="19" t="s">
        <v>14232</v>
      </c>
      <c r="I507" s="19" t="s">
        <v>15647</v>
      </c>
      <c r="J507" s="19" t="str">
        <f t="shared" si="22"/>
        <v>(${Variables:E2_6_1_9_kcat} * E2_6_1_9 * C00082 * C00026)/(${Variables:E2_6_1_9_km} + (E2_6_1_9 * C00082 * C00026))</v>
      </c>
      <c r="K507" s="37" t="str">
        <f t="shared" si="23"/>
        <v>r506: C00082 + C00026 -&gt; C01179 + C00025 | (${Variables:E2_6_1_9_kcat} * E2_6_1_9 * C00082 * C00026)/(${Variables:E2_6_1_9_km} + (E2_6_1_9 * C00082 * C00026))</v>
      </c>
    </row>
    <row r="508" spans="1:11" ht="46.25" customHeight="1">
      <c r="A508" t="s">
        <v>8177</v>
      </c>
      <c r="B508" t="s">
        <v>8178</v>
      </c>
      <c r="C508" t="s">
        <v>12922</v>
      </c>
      <c r="D508" s="19">
        <v>507</v>
      </c>
      <c r="E508" s="19" t="str">
        <f t="shared" si="21"/>
        <v>E2_7_1_12</v>
      </c>
      <c r="F508" s="19" t="s">
        <v>13547</v>
      </c>
      <c r="G508" s="19" t="s">
        <v>14962</v>
      </c>
      <c r="H508" s="19" t="s">
        <v>14233</v>
      </c>
      <c r="I508" s="19" t="s">
        <v>15648</v>
      </c>
      <c r="J508" s="19" t="str">
        <f t="shared" si="22"/>
        <v>(${Variables:E2_7_1_12_kcat} * E2_7_1_12 * C00002 * C00257)/(${Variables:E2_7_1_12_km} + (E2_7_1_12 * C00002 * C00257))</v>
      </c>
      <c r="K508" s="37" t="str">
        <f t="shared" si="23"/>
        <v>r507: C00002 + C00257 -&gt; C00008 + C00345 | (${Variables:E2_7_1_12_kcat} * E2_7_1_12 * C00002 * C00257)/(${Variables:E2_7_1_12_km} + (E2_7_1_12 * C00002 * C00257))</v>
      </c>
    </row>
    <row r="509" spans="1:11" ht="46.25" customHeight="1">
      <c r="A509" t="s">
        <v>2633</v>
      </c>
      <c r="B509" t="s">
        <v>2634</v>
      </c>
      <c r="C509" t="s">
        <v>12923</v>
      </c>
      <c r="D509" s="19">
        <v>508</v>
      </c>
      <c r="E509" s="19" t="str">
        <f t="shared" si="21"/>
        <v>E2_7_1_148</v>
      </c>
      <c r="F509" s="19" t="s">
        <v>13548</v>
      </c>
      <c r="G509" s="19" t="s">
        <v>14963</v>
      </c>
      <c r="H509" s="19" t="s">
        <v>14234</v>
      </c>
      <c r="I509" s="19" t="s">
        <v>15649</v>
      </c>
      <c r="J509" s="19" t="str">
        <f t="shared" si="22"/>
        <v>(${Variables:E2_7_1_148_kcat} * E2_7_1_148 * C11435 * C00002)/(${Variables:E2_7_1_148_km} + (E2_7_1_148 * C11435 * C00002))</v>
      </c>
      <c r="K509" s="37" t="str">
        <f t="shared" si="23"/>
        <v>r508: C11435 + C00002 -&gt; C11436 + C00008 | (${Variables:E2_7_1_148_kcat} * E2_7_1_148 * C11435 * C00002)/(${Variables:E2_7_1_148_km} + (E2_7_1_148 * C11435 * C00002))</v>
      </c>
    </row>
    <row r="510" spans="1:11" ht="46.25" customHeight="1">
      <c r="A510" t="s">
        <v>6073</v>
      </c>
      <c r="B510" t="s">
        <v>6074</v>
      </c>
      <c r="C510" t="s">
        <v>12924</v>
      </c>
      <c r="D510" s="19">
        <v>509</v>
      </c>
      <c r="E510" s="19" t="str">
        <f t="shared" si="21"/>
        <v>E2_7_1_156</v>
      </c>
      <c r="F510" s="19" t="s">
        <v>13549</v>
      </c>
      <c r="G510" s="19" t="s">
        <v>14964</v>
      </c>
      <c r="H510" s="19" t="s">
        <v>14235</v>
      </c>
      <c r="I510" s="19" t="s">
        <v>15650</v>
      </c>
      <c r="J510" s="19" t="str">
        <f t="shared" si="22"/>
        <v>(${Variables:E2_7_1_156_kcat} * E2_7_1_156 * C06508 * C00002)/(${Variables:E2_7_1_156_km} + (E2_7_1_156 * C06508 * C00002))</v>
      </c>
      <c r="K510" s="37" t="str">
        <f t="shared" si="23"/>
        <v>r509: C06508 + C00002 -&gt; C06509 + C00008 | (${Variables:E2_7_1_156_kcat} * E2_7_1_156 * C06508 * C00002)/(${Variables:E2_7_1_156_km} + (E2_7_1_156 * C06508 * C00002))</v>
      </c>
    </row>
    <row r="511" spans="1:11" ht="46.25" customHeight="1">
      <c r="A511" t="s">
        <v>6073</v>
      </c>
      <c r="B511" t="s">
        <v>6074</v>
      </c>
      <c r="C511" t="s">
        <v>12924</v>
      </c>
      <c r="D511" s="19">
        <v>510</v>
      </c>
      <c r="E511" s="19" t="str">
        <f t="shared" si="21"/>
        <v>E2_7_1_156</v>
      </c>
      <c r="F511" s="19" t="s">
        <v>13550</v>
      </c>
      <c r="G511" s="19" t="s">
        <v>14965</v>
      </c>
      <c r="H511" s="19" t="s">
        <v>14236</v>
      </c>
      <c r="I511" s="19" t="s">
        <v>15651</v>
      </c>
      <c r="J511" s="19" t="str">
        <f t="shared" si="22"/>
        <v>(${Variables:E2_7_1_156_kcat} * E2_7_1_156 * C06508 * C00044)/(${Variables:E2_7_1_156_km} + (E2_7_1_156 * C06508 * C00044))</v>
      </c>
      <c r="K511" s="37" t="str">
        <f t="shared" si="23"/>
        <v>r510: C06508 + C00044 -&gt; C06509 + C00035 | (${Variables:E2_7_1_156_kcat} * E2_7_1_156 * C06508 * C00044)/(${Variables:E2_7_1_156_km} + (E2_7_1_156 * C06508 * C00044))</v>
      </c>
    </row>
    <row r="512" spans="1:11" ht="46.25" customHeight="1">
      <c r="A512" t="s">
        <v>372</v>
      </c>
      <c r="B512" t="s">
        <v>373</v>
      </c>
      <c r="C512" t="s">
        <v>12925</v>
      </c>
      <c r="D512" s="19">
        <v>511</v>
      </c>
      <c r="E512" s="19" t="str">
        <f t="shared" si="21"/>
        <v>E2_7_1_17</v>
      </c>
      <c r="F512" s="19" t="s">
        <v>13551</v>
      </c>
      <c r="G512" s="19" t="s">
        <v>14966</v>
      </c>
      <c r="H512" s="19" t="s">
        <v>14237</v>
      </c>
      <c r="I512" s="19" t="s">
        <v>15652</v>
      </c>
      <c r="J512" s="19" t="str">
        <f t="shared" si="22"/>
        <v>(${Variables:E2_7_1_17_kcat} * E2_7_1_17 * C00002 * C00310)/(${Variables:E2_7_1_17_km} + (E2_7_1_17 * C00002 * C00310))</v>
      </c>
      <c r="K512" s="37" t="str">
        <f t="shared" si="23"/>
        <v>r511: C00002 + C00310 -&gt; C00008 + C00231 | (${Variables:E2_7_1_17_kcat} * E2_7_1_17 * C00002 * C00310)/(${Variables:E2_7_1_17_km} + (E2_7_1_17 * C00002 * C00310))</v>
      </c>
    </row>
    <row r="513" spans="1:11" ht="46.25" customHeight="1">
      <c r="A513" t="s">
        <v>6032</v>
      </c>
      <c r="B513" t="s">
        <v>6033</v>
      </c>
      <c r="C513" t="s">
        <v>12926</v>
      </c>
      <c r="D513" s="19">
        <v>512</v>
      </c>
      <c r="E513" s="19" t="str">
        <f t="shared" si="21"/>
        <v>E2_7_1_2</v>
      </c>
      <c r="F513" s="19" t="s">
        <v>13552</v>
      </c>
      <c r="G513" s="19" t="s">
        <v>14967</v>
      </c>
      <c r="H513" s="19" t="s">
        <v>14238</v>
      </c>
      <c r="I513" s="19" t="s">
        <v>15653</v>
      </c>
      <c r="J513" s="19" t="str">
        <f t="shared" si="22"/>
        <v>(${Variables:E2_7_1_2_kcat} * E2_7_1_2 * C00002 * C00031)/(${Variables:E2_7_1_2_km} + (E2_7_1_2 * C00002 * C00031))</v>
      </c>
      <c r="K513" s="37" t="str">
        <f t="shared" si="23"/>
        <v>r512: C00002 + C00031 -&gt; C00008 + C00092 | (${Variables:E2_7_1_2_kcat} * E2_7_1_2 * C00002 * C00031)/(${Variables:E2_7_1_2_km} + (E2_7_1_2 * C00002 * C00031))</v>
      </c>
    </row>
    <row r="514" spans="1:11" ht="46.25" customHeight="1">
      <c r="A514" t="s">
        <v>6032</v>
      </c>
      <c r="B514" t="s">
        <v>6033</v>
      </c>
      <c r="C514" t="s">
        <v>12926</v>
      </c>
      <c r="D514" s="19">
        <v>513</v>
      </c>
      <c r="E514" s="19" t="str">
        <f t="shared" si="21"/>
        <v>E2_7_1_2</v>
      </c>
      <c r="F514" s="19" t="s">
        <v>13553</v>
      </c>
      <c r="G514" s="19" t="s">
        <v>14968</v>
      </c>
      <c r="H514" s="19" t="s">
        <v>14239</v>
      </c>
      <c r="I514" s="19" t="s">
        <v>15654</v>
      </c>
      <c r="J514" s="19" t="str">
        <f t="shared" si="22"/>
        <v>(${Variables:E2_7_1_2_kcat} * E2_7_1_2 * C00002 * C00221)/(${Variables:E2_7_1_2_km} + (E2_7_1_2 * C00002 * C00221))</v>
      </c>
      <c r="K514" s="37" t="str">
        <f t="shared" si="23"/>
        <v>r513: C00002 + C00221 -&gt; C00008 + C01172 | (${Variables:E2_7_1_2_kcat} * E2_7_1_2 * C00002 * C00221)/(${Variables:E2_7_1_2_km} + (E2_7_1_2 * C00002 * C00221))</v>
      </c>
    </row>
    <row r="515" spans="1:11" ht="46.25" customHeight="1">
      <c r="A515" t="s">
        <v>6032</v>
      </c>
      <c r="B515" t="s">
        <v>6033</v>
      </c>
      <c r="C515" t="s">
        <v>12926</v>
      </c>
      <c r="D515" s="19">
        <v>514</v>
      </c>
      <c r="E515" s="19" t="str">
        <f t="shared" si="21"/>
        <v>E2_7_1_2</v>
      </c>
      <c r="F515" s="19" t="s">
        <v>13554</v>
      </c>
      <c r="G515" s="19" t="s">
        <v>14969</v>
      </c>
      <c r="H515" s="19" t="s">
        <v>14240</v>
      </c>
      <c r="I515" s="19" t="s">
        <v>15655</v>
      </c>
      <c r="J515" s="19" t="str">
        <f t="shared" si="22"/>
        <v>(${Variables:E2_7_1_2_kcat} * E2_7_1_2 * C00002 * C00267)/(${Variables:E2_7_1_2_km} + (E2_7_1_2 * C00002 * C00267))</v>
      </c>
      <c r="K515" s="37" t="str">
        <f t="shared" si="23"/>
        <v>r514: C00002 + C00267 -&gt; C00008 + C00668 | (${Variables:E2_7_1_2_kcat} * E2_7_1_2 * C00002 * C00267)/(${Variables:E2_7_1_2_km} + (E2_7_1_2 * C00002 * C00267))</v>
      </c>
    </row>
    <row r="516" spans="1:11" ht="46.25" customHeight="1">
      <c r="A516" t="s">
        <v>7265</v>
      </c>
      <c r="B516" t="s">
        <v>7266</v>
      </c>
      <c r="C516" t="s">
        <v>12927</v>
      </c>
      <c r="D516" s="19">
        <v>515</v>
      </c>
      <c r="E516" s="19" t="str">
        <f t="shared" si="21"/>
        <v>E2_7_1_211</v>
      </c>
      <c r="F516" s="19" t="s">
        <v>13555</v>
      </c>
      <c r="G516" s="19" t="s">
        <v>14970</v>
      </c>
      <c r="H516" s="19" t="s">
        <v>14241</v>
      </c>
      <c r="I516" s="19" t="s">
        <v>15656</v>
      </c>
      <c r="J516" s="19" t="str">
        <f t="shared" si="22"/>
        <v>(${Variables:E2_7_1_211_kcat} * E2_7_1_211 * C00089 * C04261)/(${Variables:E2_7_1_211_km} + (E2_7_1_211 * C00089 * C04261))</v>
      </c>
      <c r="K516" s="37" t="str">
        <f t="shared" si="23"/>
        <v>r515: C00089 + C04261 -&gt; C16688 + C00615 | (${Variables:E2_7_1_211_kcat} * E2_7_1_211 * C00089 * C04261)/(${Variables:E2_7_1_211_km} + (E2_7_1_211 * C00089 * C04261))</v>
      </c>
    </row>
    <row r="517" spans="1:11" ht="46.25" customHeight="1">
      <c r="A517" t="s">
        <v>3987</v>
      </c>
      <c r="B517" t="s">
        <v>3988</v>
      </c>
      <c r="C517" t="s">
        <v>12928</v>
      </c>
      <c r="D517" s="19">
        <v>516</v>
      </c>
      <c r="E517" s="19" t="str">
        <f t="shared" si="21"/>
        <v>E2_7_1_23</v>
      </c>
      <c r="F517" s="19" t="s">
        <v>13556</v>
      </c>
      <c r="G517" s="19" t="s">
        <v>14971</v>
      </c>
      <c r="H517" s="19" t="s">
        <v>14242</v>
      </c>
      <c r="I517" s="19" t="s">
        <v>15657</v>
      </c>
      <c r="J517" s="19" t="str">
        <f t="shared" si="22"/>
        <v>(${Variables:E2_7_1_23_kcat} * E2_7_1_23 * C00002 * C00003)/(${Variables:E2_7_1_23_km} + (E2_7_1_23 * C00002 * C00003))</v>
      </c>
      <c r="K517" s="37" t="str">
        <f t="shared" si="23"/>
        <v>r516: C00002 + C00003 -&gt; C00008 + C00006 | (${Variables:E2_7_1_23_kcat} * E2_7_1_23 * C00002 * C00003)/(${Variables:E2_7_1_23_km} + (E2_7_1_23 * C00002 * C00003))</v>
      </c>
    </row>
    <row r="518" spans="1:11" ht="46.25" customHeight="1">
      <c r="A518" t="s">
        <v>3837</v>
      </c>
      <c r="B518" t="s">
        <v>3838</v>
      </c>
      <c r="C518" t="s">
        <v>12929</v>
      </c>
      <c r="D518" s="19">
        <v>517</v>
      </c>
      <c r="E518" s="19" t="str">
        <f t="shared" si="21"/>
        <v>E2_7_1_24</v>
      </c>
      <c r="F518" s="19" t="s">
        <v>13557</v>
      </c>
      <c r="G518" s="19" t="s">
        <v>14972</v>
      </c>
      <c r="H518" s="19" t="s">
        <v>14243</v>
      </c>
      <c r="I518" s="19" t="s">
        <v>15658</v>
      </c>
      <c r="J518" s="19" t="str">
        <f t="shared" si="22"/>
        <v>(${Variables:E2_7_1_24_kcat} * E2_7_1_24 * C00002 * C00882)/(${Variables:E2_7_1_24_km} + (E2_7_1_24 * C00002 * C00882))</v>
      </c>
      <c r="K518" s="37" t="str">
        <f t="shared" si="23"/>
        <v>r517: C00002 + C00882 -&gt; C00008 + C00010 | (${Variables:E2_7_1_24_kcat} * E2_7_1_24 * C00002 * C00882)/(${Variables:E2_7_1_24_km} + (E2_7_1_24 * C00002 * C00882))</v>
      </c>
    </row>
    <row r="519" spans="1:11" ht="46.25" customHeight="1">
      <c r="A519" t="s">
        <v>5450</v>
      </c>
      <c r="B519" t="s">
        <v>5451</v>
      </c>
      <c r="C519" t="s">
        <v>12930</v>
      </c>
      <c r="D519" s="19">
        <v>518</v>
      </c>
      <c r="E519" s="19" t="str">
        <f t="shared" si="21"/>
        <v>E2_7_1_26</v>
      </c>
      <c r="F519" s="19" t="s">
        <v>13558</v>
      </c>
      <c r="G519" s="19" t="s">
        <v>14973</v>
      </c>
      <c r="H519" s="19" t="s">
        <v>14244</v>
      </c>
      <c r="I519" s="19" t="s">
        <v>15659</v>
      </c>
      <c r="J519" s="19" t="str">
        <f t="shared" si="22"/>
        <v>(${Variables:E2_7_1_26_kcat} * E2_7_1_26 * C00002 * C00255)/(${Variables:E2_7_1_26_km} + (E2_7_1_26 * C00002 * C00255))</v>
      </c>
      <c r="K519" s="37" t="str">
        <f t="shared" si="23"/>
        <v>r518: C00002 + C00255 -&gt; C00008 + C00061 | (${Variables:E2_7_1_26_kcat} * E2_7_1_26 * C00002 * C00255)/(${Variables:E2_7_1_26_km} + (E2_7_1_26 * C00002 * C00255))</v>
      </c>
    </row>
    <row r="520" spans="1:11" ht="46.25" customHeight="1">
      <c r="A520" t="s">
        <v>7886</v>
      </c>
      <c r="B520" t="s">
        <v>7887</v>
      </c>
      <c r="C520" t="s">
        <v>12931</v>
      </c>
      <c r="D520" s="19">
        <v>519</v>
      </c>
      <c r="E520" s="19" t="str">
        <f t="shared" si="21"/>
        <v>E2_7_1_30</v>
      </c>
      <c r="F520" s="19" t="s">
        <v>13559</v>
      </c>
      <c r="G520" s="19" t="s">
        <v>14974</v>
      </c>
      <c r="H520" s="19" t="s">
        <v>14245</v>
      </c>
      <c r="I520" s="19" t="s">
        <v>15660</v>
      </c>
      <c r="J520" s="19" t="str">
        <f t="shared" si="22"/>
        <v>(${Variables:E2_7_1_30_kcat} * E2_7_1_30 * C00002 * C00116)/(${Variables:E2_7_1_30_km} + (E2_7_1_30 * C00002 * C00116))</v>
      </c>
      <c r="K520" s="37" t="str">
        <f t="shared" si="23"/>
        <v>r519: C00002 + C00116 -&gt; C00008 + C00093 | (${Variables:E2_7_1_30_kcat} * E2_7_1_30 * C00002 * C00116)/(${Variables:E2_7_1_30_km} + (E2_7_1_30 * C00002 * C00116))</v>
      </c>
    </row>
    <row r="521" spans="1:11" ht="46.25" customHeight="1">
      <c r="A521" t="s">
        <v>5734</v>
      </c>
      <c r="B521" t="s">
        <v>5735</v>
      </c>
      <c r="C521" t="s">
        <v>12932</v>
      </c>
      <c r="D521" s="19">
        <v>520</v>
      </c>
      <c r="E521" s="19" t="str">
        <f t="shared" si="21"/>
        <v>E2_7_1_31</v>
      </c>
      <c r="F521" s="19" t="s">
        <v>13560</v>
      </c>
      <c r="G521" s="19" t="s">
        <v>14975</v>
      </c>
      <c r="H521" s="19" t="s">
        <v>14246</v>
      </c>
      <c r="I521" s="19" t="s">
        <v>15661</v>
      </c>
      <c r="J521" s="19" t="str">
        <f t="shared" si="22"/>
        <v>(${Variables:E2_7_1_31_kcat} * E2_7_1_31 * C00002 * C00258)/(${Variables:E2_7_1_31_km} + (E2_7_1_31 * C00002 * C00258))</v>
      </c>
      <c r="K521" s="37" t="str">
        <f t="shared" si="23"/>
        <v>r520: C00002 + C00258 -&gt; C00008 + C00197 | (${Variables:E2_7_1_31_kcat} * E2_7_1_31 * C00002 * C00258)/(${Variables:E2_7_1_31_km} + (E2_7_1_31 * C00002 * C00258))</v>
      </c>
    </row>
    <row r="522" spans="1:11" ht="46.25" customHeight="1">
      <c r="A522" t="s">
        <v>2860</v>
      </c>
      <c r="B522" t="s">
        <v>2861</v>
      </c>
      <c r="C522" t="s">
        <v>12933</v>
      </c>
      <c r="D522" s="19">
        <v>521</v>
      </c>
      <c r="E522" s="19" t="str">
        <f t="shared" ref="E522:E585" si="26">CONCATENATE("E",C522)</f>
        <v>E2_7_1_33</v>
      </c>
      <c r="F522" s="19" t="s">
        <v>13561</v>
      </c>
      <c r="G522" s="19" t="s">
        <v>14976</v>
      </c>
      <c r="H522" s="19" t="s">
        <v>14247</v>
      </c>
      <c r="I522" s="19" t="s">
        <v>15662</v>
      </c>
      <c r="J522" s="19" t="str">
        <f t="shared" si="22"/>
        <v>(${Variables:E2_7_1_33_kcat} * E2_7_1_33 * C00002 * C00864)/(${Variables:E2_7_1_33_km} + (E2_7_1_33 * C00002 * C00864))</v>
      </c>
      <c r="K522" s="37" t="str">
        <f t="shared" si="23"/>
        <v>r521: C00002 + C00864 -&gt; C00008 + C03492 | (${Variables:E2_7_1_33_kcat} * E2_7_1_33 * C00002 * C00864)/(${Variables:E2_7_1_33_km} + (E2_7_1_33 * C00002 * C00864))</v>
      </c>
    </row>
    <row r="523" spans="1:11" ht="46.25" customHeight="1">
      <c r="A523" t="s">
        <v>2860</v>
      </c>
      <c r="B523" t="s">
        <v>2861</v>
      </c>
      <c r="C523" t="s">
        <v>12933</v>
      </c>
      <c r="D523" s="19">
        <v>522</v>
      </c>
      <c r="E523" s="19" t="str">
        <f t="shared" si="26"/>
        <v>E2_7_1_33</v>
      </c>
      <c r="F523" s="19" t="s">
        <v>13562</v>
      </c>
      <c r="G523" s="19" t="s">
        <v>14977</v>
      </c>
      <c r="H523" s="19" t="s">
        <v>14248</v>
      </c>
      <c r="I523" s="19" t="s">
        <v>15663</v>
      </c>
      <c r="J523" s="19" t="str">
        <f t="shared" ref="J523:J586" si="27">CONCATENATE("(${Variables:",E523,"_kcat","} * ",E523," * ",G523,")","/(${Variables:",E523,"_km","} + (",E523," * ",G523,"))")</f>
        <v>(${Variables:E2_7_1_33_kcat} * E2_7_1_33 * C00002 * C00831)/(${Variables:E2_7_1_33_km} + (E2_7_1_33 * C00002 * C00831))</v>
      </c>
      <c r="K523" s="37" t="str">
        <f t="shared" ref="K523:K586" si="28">CONCATENATE("r",D523,": ",F523," -&gt; ",H523," | ",J523)</f>
        <v>r522: C00002 + C00831 -&gt; C00008 + C01134 | (${Variables:E2_7_1_33_kcat} * E2_7_1_33 * C00002 * C00831)/(${Variables:E2_7_1_33_km} + (E2_7_1_33 * C00002 * C00831))</v>
      </c>
    </row>
    <row r="524" spans="1:11" ht="46.25" customHeight="1">
      <c r="A524" t="s">
        <v>2860</v>
      </c>
      <c r="B524" t="s">
        <v>2861</v>
      </c>
      <c r="C524" t="s">
        <v>12933</v>
      </c>
      <c r="D524" s="19">
        <v>523</v>
      </c>
      <c r="E524" s="19" t="str">
        <f t="shared" si="26"/>
        <v>E2_7_1_33</v>
      </c>
      <c r="F524" s="19" t="s">
        <v>13563</v>
      </c>
      <c r="G524" s="19" t="s">
        <v>14978</v>
      </c>
      <c r="H524" s="19" t="s">
        <v>14249</v>
      </c>
      <c r="I524" s="19" t="s">
        <v>15664</v>
      </c>
      <c r="J524" s="19" t="str">
        <f t="shared" si="27"/>
        <v>(${Variables:E2_7_1_33_kcat} * E2_7_1_33 * C00002 * C04079)/(${Variables:E2_7_1_33_km} + (E2_7_1_33 * C00002 * C04079))</v>
      </c>
      <c r="K524" s="37" t="str">
        <f t="shared" si="28"/>
        <v>r523: C00002 + C04079 -&gt; C00008 + C04352 | (${Variables:E2_7_1_33_kcat} * E2_7_1_33 * C00002 * C04079)/(${Variables:E2_7_1_33_km} + (E2_7_1_33 * C00002 * C04079))</v>
      </c>
    </row>
    <row r="525" spans="1:11" ht="46.25" customHeight="1">
      <c r="A525" t="s">
        <v>2639</v>
      </c>
      <c r="B525" t="s">
        <v>2640</v>
      </c>
      <c r="C525" t="s">
        <v>12934</v>
      </c>
      <c r="D525" s="19">
        <v>524</v>
      </c>
      <c r="E525" s="19" t="str">
        <f t="shared" si="26"/>
        <v>E2_7_1_35</v>
      </c>
      <c r="F525" s="19" t="s">
        <v>13564</v>
      </c>
      <c r="G525" s="19" t="s">
        <v>14979</v>
      </c>
      <c r="H525" s="19" t="s">
        <v>14250</v>
      </c>
      <c r="I525" s="19" t="s">
        <v>15665</v>
      </c>
      <c r="J525" s="19" t="str">
        <f t="shared" si="27"/>
        <v>(${Variables:E2_7_1_35_kcat} * E2_7_1_35 * C00002 * C00250)/(${Variables:E2_7_1_35_km} + (E2_7_1_35 * C00002 * C00250))</v>
      </c>
      <c r="K525" s="37" t="str">
        <f t="shared" si="28"/>
        <v>r524: C00002 + C00250 -&gt; C00008 + C00018 | (${Variables:E2_7_1_35_kcat} * E2_7_1_35 * C00002 * C00250)/(${Variables:E2_7_1_35_km} + (E2_7_1_35 * C00002 * C00250))</v>
      </c>
    </row>
    <row r="526" spans="1:11" ht="46.25" customHeight="1">
      <c r="A526" t="s">
        <v>2639</v>
      </c>
      <c r="B526" t="s">
        <v>2640</v>
      </c>
      <c r="C526" t="s">
        <v>12934</v>
      </c>
      <c r="D526" s="19">
        <v>525</v>
      </c>
      <c r="E526" s="19" t="str">
        <f t="shared" si="26"/>
        <v>E2_7_1_35</v>
      </c>
      <c r="F526" s="19" t="s">
        <v>13565</v>
      </c>
      <c r="G526" s="19" t="s">
        <v>14980</v>
      </c>
      <c r="H526" s="19" t="s">
        <v>14251</v>
      </c>
      <c r="I526" s="19" t="s">
        <v>15666</v>
      </c>
      <c r="J526" s="19" t="str">
        <f t="shared" si="27"/>
        <v>(${Variables:E2_7_1_35_kcat} * E2_7_1_35 * C00002 * C00314)/(${Variables:E2_7_1_35_km} + (E2_7_1_35 * C00002 * C00314))</v>
      </c>
      <c r="K526" s="37" t="str">
        <f t="shared" si="28"/>
        <v>r525: C00002 + C00314 -&gt; C00008 + C00627 | (${Variables:E2_7_1_35_kcat} * E2_7_1_35 * C00002 * C00314)/(${Variables:E2_7_1_35_km} + (E2_7_1_35 * C00002 * C00314))</v>
      </c>
    </row>
    <row r="527" spans="1:11" ht="46.25" customHeight="1">
      <c r="A527" t="s">
        <v>2639</v>
      </c>
      <c r="B527" t="s">
        <v>2640</v>
      </c>
      <c r="C527" t="s">
        <v>12934</v>
      </c>
      <c r="D527" s="19">
        <v>526</v>
      </c>
      <c r="E527" s="19" t="str">
        <f t="shared" si="26"/>
        <v>E2_7_1_35</v>
      </c>
      <c r="F527" s="19" t="s">
        <v>13566</v>
      </c>
      <c r="G527" s="19" t="s">
        <v>14981</v>
      </c>
      <c r="H527" s="19" t="s">
        <v>14252</v>
      </c>
      <c r="I527" s="19" t="s">
        <v>15667</v>
      </c>
      <c r="J527" s="19" t="str">
        <f t="shared" si="27"/>
        <v>(${Variables:E2_7_1_35_kcat} * E2_7_1_35 * C00002 * C00534)/(${Variables:E2_7_1_35_km} + (E2_7_1_35 * C00002 * C00534))</v>
      </c>
      <c r="K527" s="37" t="str">
        <f t="shared" si="28"/>
        <v>r526: C00002 + C00534 -&gt; C00008 + C00647 | (${Variables:E2_7_1_35_kcat} * E2_7_1_35 * C00002 * C00534)/(${Variables:E2_7_1_35_km} + (E2_7_1_35 * C00002 * C00534))</v>
      </c>
    </row>
    <row r="528" spans="1:11" ht="46.25" customHeight="1">
      <c r="A528" t="s">
        <v>3366</v>
      </c>
      <c r="B528" t="s">
        <v>3367</v>
      </c>
      <c r="C528" t="s">
        <v>12935</v>
      </c>
      <c r="D528" s="19">
        <v>527</v>
      </c>
      <c r="E528" s="19" t="str">
        <f t="shared" si="26"/>
        <v>E2_7_1_39</v>
      </c>
      <c r="F528" s="19" t="s">
        <v>13567</v>
      </c>
      <c r="G528" s="19" t="s">
        <v>14982</v>
      </c>
      <c r="H528" s="19" t="s">
        <v>14253</v>
      </c>
      <c r="I528" s="19" t="s">
        <v>15668</v>
      </c>
      <c r="J528" s="19" t="str">
        <f t="shared" si="27"/>
        <v>(${Variables:E2_7_1_39_kcat} * E2_7_1_39 * C00002 * C00263)/(${Variables:E2_7_1_39_km} + (E2_7_1_39 * C00002 * C00263))</v>
      </c>
      <c r="K528" s="37" t="str">
        <f t="shared" si="28"/>
        <v>r527: C00002 + C00263 -&gt; C00008 + C01102 | (${Variables:E2_7_1_39_kcat} * E2_7_1_39 * C00002 * C00263)/(${Variables:E2_7_1_39_km} + (E2_7_1_39 * C00002 * C00263))</v>
      </c>
    </row>
    <row r="529" spans="1:11" ht="46.25" customHeight="1">
      <c r="A529" t="s">
        <v>5756</v>
      </c>
      <c r="B529" t="s">
        <v>5757</v>
      </c>
      <c r="C529" t="s">
        <v>12936</v>
      </c>
      <c r="D529" s="19">
        <v>528</v>
      </c>
      <c r="E529" s="19" t="str">
        <f t="shared" si="26"/>
        <v>E2_7_1_40</v>
      </c>
      <c r="F529" s="19" t="s">
        <v>13568</v>
      </c>
      <c r="G529" s="19" t="s">
        <v>14983</v>
      </c>
      <c r="H529" s="19" t="s">
        <v>14254</v>
      </c>
      <c r="I529" s="19" t="s">
        <v>15669</v>
      </c>
      <c r="J529" s="19" t="str">
        <f t="shared" si="27"/>
        <v>(${Variables:E2_7_1_40_kcat} * E2_7_1_40 * C00002 * C00022)/(${Variables:E2_7_1_40_km} + (E2_7_1_40 * C00002 * C00022))</v>
      </c>
      <c r="K529" s="37" t="str">
        <f t="shared" si="28"/>
        <v>r528: C00002 + C00022 -&gt; C00008 + C00074 | (${Variables:E2_7_1_40_kcat} * E2_7_1_40 * C00002 * C00022)/(${Variables:E2_7_1_40_km} + (E2_7_1_40 * C00002 * C00022))</v>
      </c>
    </row>
    <row r="530" spans="1:11" ht="46.25" customHeight="1">
      <c r="A530" t="s">
        <v>5756</v>
      </c>
      <c r="B530" t="s">
        <v>5757</v>
      </c>
      <c r="C530" t="s">
        <v>12936</v>
      </c>
      <c r="D530" s="19">
        <v>529</v>
      </c>
      <c r="E530" s="19" t="str">
        <f t="shared" si="26"/>
        <v>E2_7_1_40</v>
      </c>
      <c r="F530" s="19" t="s">
        <v>13569</v>
      </c>
      <c r="G530" s="19" t="s">
        <v>14984</v>
      </c>
      <c r="H530" s="19" t="s">
        <v>14255</v>
      </c>
      <c r="I530" s="19" t="s">
        <v>15670</v>
      </c>
      <c r="J530" s="19" t="str">
        <f t="shared" si="27"/>
        <v>(${Variables:E2_7_1_40_kcat} * E2_7_1_40 * C00044 * C00022)/(${Variables:E2_7_1_40_km} + (E2_7_1_40 * C00044 * C00022))</v>
      </c>
      <c r="K530" s="37" t="str">
        <f t="shared" si="28"/>
        <v>r529: C00044 + C00022 -&gt; C00035 + C00074 | (${Variables:E2_7_1_40_kcat} * E2_7_1_40 * C00044 * C00022)/(${Variables:E2_7_1_40_km} + (E2_7_1_40 * C00044 * C00022))</v>
      </c>
    </row>
    <row r="531" spans="1:11" ht="46.25" customHeight="1">
      <c r="A531" t="s">
        <v>5756</v>
      </c>
      <c r="B531" t="s">
        <v>5757</v>
      </c>
      <c r="C531" t="s">
        <v>12936</v>
      </c>
      <c r="D531" s="19">
        <v>530</v>
      </c>
      <c r="E531" s="19" t="str">
        <f t="shared" si="26"/>
        <v>E2_7_1_40</v>
      </c>
      <c r="F531" s="19" t="s">
        <v>13570</v>
      </c>
      <c r="G531" s="19" t="s">
        <v>14985</v>
      </c>
      <c r="H531" s="19" t="s">
        <v>14256</v>
      </c>
      <c r="I531" s="19" t="s">
        <v>15671</v>
      </c>
      <c r="J531" s="19" t="str">
        <f t="shared" si="27"/>
        <v>(${Variables:E2_7_1_40_kcat} * E2_7_1_40 * C00063 * C00022)/(${Variables:E2_7_1_40_km} + (E2_7_1_40 * C00063 * C00022))</v>
      </c>
      <c r="K531" s="37" t="str">
        <f t="shared" si="28"/>
        <v>r530: C00063 + C00022 -&gt; C00112 + C00074 | (${Variables:E2_7_1_40_kcat} * E2_7_1_40 * C00063 * C00022)/(${Variables:E2_7_1_40_km} + (E2_7_1_40 * C00063 * C00022))</v>
      </c>
    </row>
    <row r="532" spans="1:11" ht="46.25" customHeight="1">
      <c r="A532" t="s">
        <v>5756</v>
      </c>
      <c r="B532" t="s">
        <v>5757</v>
      </c>
      <c r="C532" t="s">
        <v>12936</v>
      </c>
      <c r="D532" s="19">
        <v>531</v>
      </c>
      <c r="E532" s="19" t="str">
        <f t="shared" si="26"/>
        <v>E2_7_1_40</v>
      </c>
      <c r="F532" s="19" t="s">
        <v>13571</v>
      </c>
      <c r="G532" s="19" t="s">
        <v>14986</v>
      </c>
      <c r="H532" s="19" t="s">
        <v>14257</v>
      </c>
      <c r="I532" s="19" t="s">
        <v>15672</v>
      </c>
      <c r="J532" s="19" t="str">
        <f t="shared" si="27"/>
        <v>(${Variables:E2_7_1_40_kcat} * E2_7_1_40 * C00075 * C00022)/(${Variables:E2_7_1_40_km} + (E2_7_1_40 * C00075 * C00022))</v>
      </c>
      <c r="K532" s="37" t="str">
        <f t="shared" si="28"/>
        <v>r531: C00075 + C00022 -&gt; C00015 + C00074 | (${Variables:E2_7_1_40_kcat} * E2_7_1_40 * C00075 * C00022)/(${Variables:E2_7_1_40_km} + (E2_7_1_40 * C00075 * C00022))</v>
      </c>
    </row>
    <row r="533" spans="1:11" ht="46.25" customHeight="1">
      <c r="A533" t="s">
        <v>5756</v>
      </c>
      <c r="B533" t="s">
        <v>5757</v>
      </c>
      <c r="C533" t="s">
        <v>12936</v>
      </c>
      <c r="D533" s="19">
        <v>532</v>
      </c>
      <c r="E533" s="19" t="str">
        <f t="shared" si="26"/>
        <v>E2_7_1_40</v>
      </c>
      <c r="F533" s="19" t="s">
        <v>13572</v>
      </c>
      <c r="G533" s="19" t="s">
        <v>14987</v>
      </c>
      <c r="H533" s="19" t="s">
        <v>14258</v>
      </c>
      <c r="I533" s="19" t="s">
        <v>15673</v>
      </c>
      <c r="J533" s="19" t="str">
        <f t="shared" si="27"/>
        <v>(${Variables:E2_7_1_40_kcat} * E2_7_1_40 * C00081 * C00022)/(${Variables:E2_7_1_40_km} + (E2_7_1_40 * C00081 * C00022))</v>
      </c>
      <c r="K533" s="37" t="str">
        <f t="shared" si="28"/>
        <v>r532: C00081 + C00022 -&gt; C00104 + C00074 | (${Variables:E2_7_1_40_kcat} * E2_7_1_40 * C00081 * C00022)/(${Variables:E2_7_1_40_km} + (E2_7_1_40 * C00081 * C00022))</v>
      </c>
    </row>
    <row r="534" spans="1:11" ht="46.25" customHeight="1">
      <c r="A534" t="s">
        <v>5756</v>
      </c>
      <c r="B534" t="s">
        <v>5757</v>
      </c>
      <c r="C534" t="s">
        <v>12936</v>
      </c>
      <c r="D534" s="19">
        <v>533</v>
      </c>
      <c r="E534" s="19" t="str">
        <f t="shared" si="26"/>
        <v>E2_7_1_40</v>
      </c>
      <c r="F534" s="19" t="s">
        <v>13573</v>
      </c>
      <c r="G534" s="19" t="s">
        <v>14988</v>
      </c>
      <c r="H534" s="19" t="s">
        <v>14259</v>
      </c>
      <c r="I534" s="19" t="s">
        <v>15674</v>
      </c>
      <c r="J534" s="19" t="str">
        <f t="shared" si="27"/>
        <v>(${Variables:E2_7_1_40_kcat} * E2_7_1_40 * C00131 * C00022)/(${Variables:E2_7_1_40_km} + (E2_7_1_40 * C00131 * C00022))</v>
      </c>
      <c r="K534" s="37" t="str">
        <f t="shared" si="28"/>
        <v>r533: C00131 + C00022 -&gt; C00206 + C00074 | (${Variables:E2_7_1_40_kcat} * E2_7_1_40 * C00131 * C00022)/(${Variables:E2_7_1_40_km} + (E2_7_1_40 * C00131 * C00022))</v>
      </c>
    </row>
    <row r="535" spans="1:11" ht="46.25" customHeight="1">
      <c r="A535" t="s">
        <v>5756</v>
      </c>
      <c r="B535" t="s">
        <v>5757</v>
      </c>
      <c r="C535" t="s">
        <v>12936</v>
      </c>
      <c r="D535" s="19">
        <v>534</v>
      </c>
      <c r="E535" s="19" t="str">
        <f t="shared" si="26"/>
        <v>E2_7_1_40</v>
      </c>
      <c r="F535" s="19" t="s">
        <v>13574</v>
      </c>
      <c r="G535" s="19" t="s">
        <v>14989</v>
      </c>
      <c r="H535" s="19" t="s">
        <v>14260</v>
      </c>
      <c r="I535" s="19" t="s">
        <v>15675</v>
      </c>
      <c r="J535" s="19" t="str">
        <f t="shared" si="27"/>
        <v>(${Variables:E2_7_1_40_kcat} * E2_7_1_40 * C00286 * C00022)/(${Variables:E2_7_1_40_km} + (E2_7_1_40 * C00286 * C00022))</v>
      </c>
      <c r="K535" s="37" t="str">
        <f t="shared" si="28"/>
        <v>r534: C00286 + C00022 -&gt; C00361 + C00074 | (${Variables:E2_7_1_40_kcat} * E2_7_1_40 * C00286 * C00022)/(${Variables:E2_7_1_40_km} + (E2_7_1_40 * C00286 * C00022))</v>
      </c>
    </row>
    <row r="536" spans="1:11" ht="46.25" customHeight="1">
      <c r="A536" t="s">
        <v>5756</v>
      </c>
      <c r="B536" t="s">
        <v>5757</v>
      </c>
      <c r="C536" t="s">
        <v>12936</v>
      </c>
      <c r="D536" s="19">
        <v>535</v>
      </c>
      <c r="E536" s="19" t="str">
        <f t="shared" si="26"/>
        <v>E2_7_1_40</v>
      </c>
      <c r="F536" s="19" t="s">
        <v>13575</v>
      </c>
      <c r="G536" s="19" t="s">
        <v>14990</v>
      </c>
      <c r="H536" s="19" t="s">
        <v>14261</v>
      </c>
      <c r="I536" s="19" t="s">
        <v>15676</v>
      </c>
      <c r="J536" s="19" t="str">
        <f t="shared" si="27"/>
        <v>(${Variables:E2_7_1_40_kcat} * E2_7_1_40 * C00201 * C00022)/(${Variables:E2_7_1_40_km} + (E2_7_1_40 * C00201 * C00022))</v>
      </c>
      <c r="K536" s="37" t="str">
        <f t="shared" si="28"/>
        <v>r535: C00201 + C00022 -&gt; C00454 + C00074 | (${Variables:E2_7_1_40_kcat} * E2_7_1_40 * C00201 * C00022)/(${Variables:E2_7_1_40_km} + (E2_7_1_40 * C00201 * C00022))</v>
      </c>
    </row>
    <row r="537" spans="1:11" ht="46.25" customHeight="1">
      <c r="A537" t="s">
        <v>4127</v>
      </c>
      <c r="B537" t="s">
        <v>4128</v>
      </c>
      <c r="C537" t="s">
        <v>12937</v>
      </c>
      <c r="D537" s="19">
        <v>536</v>
      </c>
      <c r="E537" s="19" t="str">
        <f t="shared" si="26"/>
        <v>E2_7_1_49</v>
      </c>
      <c r="F537" s="19" t="s">
        <v>13576</v>
      </c>
      <c r="G537" s="19" t="s">
        <v>14991</v>
      </c>
      <c r="H537" s="19" t="s">
        <v>14262</v>
      </c>
      <c r="I537" s="19" t="s">
        <v>15677</v>
      </c>
      <c r="J537" s="19" t="str">
        <f t="shared" si="27"/>
        <v>(${Variables:E2_7_1_49_kcat} * E2_7_1_49 * C00002 * C01279)/(${Variables:E2_7_1_49_km} + (E2_7_1_49 * C00002 * C01279))</v>
      </c>
      <c r="K537" s="37" t="str">
        <f t="shared" si="28"/>
        <v>r536: C00002 + C01279 -&gt; C00008 + C04556 | (${Variables:E2_7_1_49_kcat} * E2_7_1_49 * C00002 * C01279)/(${Variables:E2_7_1_49_km} + (E2_7_1_49 * C00002 * C01279))</v>
      </c>
    </row>
    <row r="538" spans="1:11" ht="46.25" customHeight="1">
      <c r="A538" t="s">
        <v>8354</v>
      </c>
      <c r="B538" t="s">
        <v>8355</v>
      </c>
      <c r="C538" t="s">
        <v>12937</v>
      </c>
      <c r="D538" s="19">
        <v>537</v>
      </c>
      <c r="E538" s="19" t="str">
        <f t="shared" si="26"/>
        <v>E2_7_1_49</v>
      </c>
      <c r="F538" s="19" t="s">
        <v>13576</v>
      </c>
      <c r="G538" s="19" t="s">
        <v>14991</v>
      </c>
      <c r="H538" s="19" t="s">
        <v>14262</v>
      </c>
      <c r="I538" s="19" t="s">
        <v>15677</v>
      </c>
      <c r="J538" s="19" t="str">
        <f t="shared" si="27"/>
        <v>(${Variables:E2_7_1_49_kcat} * E2_7_1_49 * C00002 * C01279)/(${Variables:E2_7_1_49_km} + (E2_7_1_49 * C00002 * C01279))</v>
      </c>
      <c r="K538" s="37" t="str">
        <f t="shared" si="28"/>
        <v>r537: C00002 + C01279 -&gt; C00008 + C04556 | (${Variables:E2_7_1_49_kcat} * E2_7_1_49 * C00002 * C01279)/(${Variables:E2_7_1_49_km} + (E2_7_1_49 * C00002 * C01279))</v>
      </c>
    </row>
    <row r="539" spans="1:11" ht="46.25" customHeight="1">
      <c r="A539" t="s">
        <v>4131</v>
      </c>
      <c r="B539" t="s">
        <v>4132</v>
      </c>
      <c r="C539" t="s">
        <v>12938</v>
      </c>
      <c r="D539" s="19">
        <v>538</v>
      </c>
      <c r="E539" s="19" t="str">
        <f t="shared" si="26"/>
        <v>E2_7_1_50</v>
      </c>
      <c r="F539" s="19" t="s">
        <v>13577</v>
      </c>
      <c r="G539" s="19" t="s">
        <v>14992</v>
      </c>
      <c r="H539" s="19" t="s">
        <v>14263</v>
      </c>
      <c r="I539" s="19" t="s">
        <v>15678</v>
      </c>
      <c r="J539" s="19" t="str">
        <f t="shared" si="27"/>
        <v>(${Variables:E2_7_1_50_kcat} * E2_7_1_50 * C00002 * C04294)/(${Variables:E2_7_1_50_km} + (E2_7_1_50 * C00002 * C04294))</v>
      </c>
      <c r="K539" s="37" t="str">
        <f t="shared" si="28"/>
        <v>r538: C00002 + C04294 -&gt; C00008 + C04327 | (${Variables:E2_7_1_50_kcat} * E2_7_1_50 * C00002 * C04294)/(${Variables:E2_7_1_50_km} + (E2_7_1_50 * C00002 * C04294))</v>
      </c>
    </row>
    <row r="540" spans="1:11" ht="46.25" customHeight="1">
      <c r="A540" t="s">
        <v>5321</v>
      </c>
      <c r="B540" t="s">
        <v>5322</v>
      </c>
      <c r="C540" t="s">
        <v>16033</v>
      </c>
      <c r="D540" s="19">
        <v>539</v>
      </c>
      <c r="E540" s="19" t="str">
        <f t="shared" si="26"/>
        <v>E2_7_1_56</v>
      </c>
      <c r="F540" s="19" t="s">
        <v>13578</v>
      </c>
      <c r="G540" s="19" t="s">
        <v>14993</v>
      </c>
      <c r="H540" s="19" t="s">
        <v>14264</v>
      </c>
      <c r="I540" s="19" t="s">
        <v>15679</v>
      </c>
      <c r="J540" s="19" t="str">
        <f t="shared" si="27"/>
        <v>(${Variables:E2_7_1_56_kcat} * E2_7_1_56 * C00002 * C01094)/(${Variables:E2_7_1_56_km} + (E2_7_1_56 * C00002 * C01094))</v>
      </c>
      <c r="K540" s="37" t="str">
        <f t="shared" si="28"/>
        <v>r539: C00002 + C01094 -&gt; C00008 + C00354 | (${Variables:E2_7_1_56_kcat} * E2_7_1_56 * C00002 * C01094)/(${Variables:E2_7_1_56_km} + (E2_7_1_56 * C00002 * C01094))</v>
      </c>
    </row>
    <row r="541" spans="1:11" ht="46.25" customHeight="1">
      <c r="A541" t="s">
        <v>5321</v>
      </c>
      <c r="B541" t="s">
        <v>5322</v>
      </c>
      <c r="C541" t="s">
        <v>16033</v>
      </c>
      <c r="D541" s="19">
        <v>540</v>
      </c>
      <c r="E541" s="19" t="str">
        <f t="shared" si="26"/>
        <v>E2_7_1_56</v>
      </c>
      <c r="F541" s="19" t="s">
        <v>13578</v>
      </c>
      <c r="G541" s="19" t="s">
        <v>14993</v>
      </c>
      <c r="H541" s="19" t="s">
        <v>14265</v>
      </c>
      <c r="I541" s="19" t="s">
        <v>15680</v>
      </c>
      <c r="J541" s="19" t="str">
        <f t="shared" si="27"/>
        <v>(${Variables:E2_7_1_56_kcat} * E2_7_1_56 * C00002 * C01094)/(${Variables:E2_7_1_56_km} + (E2_7_1_56 * C00002 * C01094))</v>
      </c>
      <c r="K541" s="37" t="str">
        <f t="shared" si="28"/>
        <v>r540: C00002 + C01094 -&gt; C00008 + C05378 | (${Variables:E2_7_1_56_kcat} * E2_7_1_56 * C00002 * C01094)/(${Variables:E2_7_1_56_km} + (E2_7_1_56 * C00002 * C01094))</v>
      </c>
    </row>
    <row r="542" spans="1:11" ht="46.25" customHeight="1">
      <c r="A542" t="s">
        <v>5321</v>
      </c>
      <c r="B542" t="s">
        <v>5322</v>
      </c>
      <c r="C542" t="s">
        <v>16033</v>
      </c>
      <c r="D542" s="19">
        <v>541</v>
      </c>
      <c r="E542" s="19" t="str">
        <f t="shared" si="26"/>
        <v>E2_7_1_56</v>
      </c>
      <c r="F542" s="19" t="s">
        <v>13579</v>
      </c>
      <c r="G542" s="19" t="s">
        <v>14994</v>
      </c>
      <c r="H542" s="19" t="s">
        <v>14266</v>
      </c>
      <c r="I542" s="19" t="s">
        <v>15681</v>
      </c>
      <c r="J542" s="19" t="str">
        <f t="shared" si="27"/>
        <v>(${Variables:E2_7_1_56_kcat} * E2_7_1_56 * C01097 * C00002)/(${Variables:E2_7_1_56_km} + (E2_7_1_56 * C01097 * C00002))</v>
      </c>
      <c r="K542" s="37" t="str">
        <f t="shared" si="28"/>
        <v>r541: C01097 + C00002 -&gt; C03785 + C00008 | (${Variables:E2_7_1_56_kcat} * E2_7_1_56 * C01097 * C00002)/(${Variables:E2_7_1_56_km} + (E2_7_1_56 * C01097 * C00002))</v>
      </c>
    </row>
    <row r="543" spans="1:11" ht="46.25" customHeight="1">
      <c r="A543" t="s">
        <v>5248</v>
      </c>
      <c r="B543" t="s">
        <v>5249</v>
      </c>
      <c r="C543" t="s">
        <v>12939</v>
      </c>
      <c r="D543" s="19">
        <v>542</v>
      </c>
      <c r="E543" s="19" t="str">
        <f t="shared" si="26"/>
        <v>E2_7_1_63</v>
      </c>
      <c r="F543" s="19" t="s">
        <v>13580</v>
      </c>
      <c r="G543" s="19" t="s">
        <v>14995</v>
      </c>
      <c r="H543" s="19" t="s">
        <v>14267</v>
      </c>
      <c r="I543" s="19" t="s">
        <v>15682</v>
      </c>
      <c r="J543" s="19" t="str">
        <f t="shared" si="27"/>
        <v>(${Variables:E2_7_1_63_kcat} * E2_7_1_63 * C00404 * C00031)/(${Variables:E2_7_1_63_km} + (E2_7_1_63 * C00404 * C00031))</v>
      </c>
      <c r="K543" s="37" t="str">
        <f t="shared" si="28"/>
        <v>r542: C00404 + C00031 -&gt; C00404 + C00092 | (${Variables:E2_7_1_63_kcat} * E2_7_1_63 * C00404 * C00031)/(${Variables:E2_7_1_63_km} + (E2_7_1_63 * C00404 * C00031))</v>
      </c>
    </row>
    <row r="544" spans="1:11" ht="46.25" customHeight="1">
      <c r="A544" t="s">
        <v>5248</v>
      </c>
      <c r="B544" t="s">
        <v>5249</v>
      </c>
      <c r="C544" t="s">
        <v>12939</v>
      </c>
      <c r="D544" s="19">
        <v>543</v>
      </c>
      <c r="E544" s="19" t="str">
        <f t="shared" si="26"/>
        <v>E2_7_1_63</v>
      </c>
      <c r="F544" s="19" t="s">
        <v>13581</v>
      </c>
      <c r="G544" s="19" t="s">
        <v>14996</v>
      </c>
      <c r="H544" s="19" t="s">
        <v>14268</v>
      </c>
      <c r="I544" s="19" t="s">
        <v>15683</v>
      </c>
      <c r="J544" s="19" t="str">
        <f t="shared" si="27"/>
        <v>(${Variables:E2_7_1_63_kcat} * E2_7_1_63 * C00404 * C00221)/(${Variables:E2_7_1_63_km} + (E2_7_1_63 * C00404 * C00221))</v>
      </c>
      <c r="K544" s="37" t="str">
        <f t="shared" si="28"/>
        <v>r543: C00404 + C00221 -&gt; C00404 + C01172 | (${Variables:E2_7_1_63_kcat} * E2_7_1_63 * C00404 * C00221)/(${Variables:E2_7_1_63_km} + (E2_7_1_63 * C00404 * C00221))</v>
      </c>
    </row>
    <row r="545" spans="1:11" ht="46.25" customHeight="1">
      <c r="A545" t="s">
        <v>5248</v>
      </c>
      <c r="B545" t="s">
        <v>5249</v>
      </c>
      <c r="C545" t="s">
        <v>12939</v>
      </c>
      <c r="D545" s="19">
        <v>544</v>
      </c>
      <c r="E545" s="19" t="str">
        <f t="shared" si="26"/>
        <v>E2_7_1_63</v>
      </c>
      <c r="F545" s="19" t="s">
        <v>13582</v>
      </c>
      <c r="G545" s="19" t="s">
        <v>14997</v>
      </c>
      <c r="H545" s="19" t="s">
        <v>14269</v>
      </c>
      <c r="I545" s="19" t="s">
        <v>15684</v>
      </c>
      <c r="J545" s="19" t="str">
        <f t="shared" si="27"/>
        <v>(${Variables:E2_7_1_63_kcat} * E2_7_1_63 * C00404 * C00267)/(${Variables:E2_7_1_63_km} + (E2_7_1_63 * C00404 * C00267))</v>
      </c>
      <c r="K545" s="37" t="str">
        <f t="shared" si="28"/>
        <v>r544: C00404 + C00267 -&gt; C00404 + C00668 | (${Variables:E2_7_1_63_kcat} * E2_7_1_63 * C00404 * C00267)/(${Variables:E2_7_1_63_km} + (E2_7_1_63 * C00404 * C00267))</v>
      </c>
    </row>
    <row r="546" spans="1:11" ht="46.25" customHeight="1">
      <c r="A546" t="s">
        <v>4597</v>
      </c>
      <c r="B546" t="s">
        <v>4598</v>
      </c>
      <c r="C546" t="s">
        <v>12940</v>
      </c>
      <c r="D546" s="19">
        <v>545</v>
      </c>
      <c r="E546" s="19" t="str">
        <f t="shared" si="26"/>
        <v>E2_7_1_71</v>
      </c>
      <c r="F546" s="19" t="s">
        <v>13583</v>
      </c>
      <c r="G546" s="19" t="s">
        <v>14998</v>
      </c>
      <c r="H546" s="19" t="s">
        <v>14270</v>
      </c>
      <c r="I546" s="19" t="s">
        <v>15685</v>
      </c>
      <c r="J546" s="19" t="str">
        <f t="shared" si="27"/>
        <v>(${Variables:E2_7_1_71_kcat} * E2_7_1_71 * C00002 * C00493)/(${Variables:E2_7_1_71_km} + (E2_7_1_71 * C00002 * C00493))</v>
      </c>
      <c r="K546" s="37" t="str">
        <f t="shared" si="28"/>
        <v>r545: C00002 + C00493 -&gt; C00008 + C03175 | (${Variables:E2_7_1_71_kcat} * E2_7_1_71 * C00002 * C00493)/(${Variables:E2_7_1_71_km} + (E2_7_1_71 * C00002 * C00493))</v>
      </c>
    </row>
    <row r="547" spans="1:11" ht="46.25" customHeight="1">
      <c r="A547" t="s">
        <v>498</v>
      </c>
      <c r="B547" t="s">
        <v>499</v>
      </c>
      <c r="C547" t="s">
        <v>12941</v>
      </c>
      <c r="D547" s="19">
        <v>546</v>
      </c>
      <c r="E547" s="19" t="str">
        <f t="shared" si="26"/>
        <v>E2_7_1_92</v>
      </c>
      <c r="F547" s="19" t="s">
        <v>13584</v>
      </c>
      <c r="G547" s="19" t="s">
        <v>14999</v>
      </c>
      <c r="H547" s="19" t="s">
        <v>14271</v>
      </c>
      <c r="I547" s="19" t="s">
        <v>15686</v>
      </c>
      <c r="J547" s="19" t="str">
        <f t="shared" si="27"/>
        <v>(${Variables:E2_7_1_92_kcat} * E2_7_1_92 * C06892 * C00002)/(${Variables:E2_7_1_92_km} + (E2_7_1_92 * C06892 * C00002))</v>
      </c>
      <c r="K547" s="37" t="str">
        <f t="shared" si="28"/>
        <v>r546: C06892 + C00002 -&gt; C06893 + C00008 | (${Variables:E2_7_1_92_kcat} * E2_7_1_92 * C06892 * C00002)/(${Variables:E2_7_1_92_km} + (E2_7_1_92 * C06892 * C00002))</v>
      </c>
    </row>
    <row r="548" spans="1:11" ht="46.25" customHeight="1">
      <c r="A548" t="s">
        <v>3511</v>
      </c>
      <c r="B548" t="s">
        <v>3512</v>
      </c>
      <c r="C548" t="s">
        <v>12942</v>
      </c>
      <c r="D548" s="19">
        <v>547</v>
      </c>
      <c r="E548" s="19" t="str">
        <f t="shared" si="26"/>
        <v>E2_7_11_1</v>
      </c>
      <c r="F548" s="19" t="s">
        <v>13585</v>
      </c>
      <c r="G548" s="19" t="s">
        <v>15000</v>
      </c>
      <c r="H548" s="19" t="s">
        <v>14272</v>
      </c>
      <c r="I548" s="19" t="s">
        <v>15687</v>
      </c>
      <c r="J548" s="19" t="str">
        <f t="shared" si="27"/>
        <v>(${Variables:E2_7_11_1_kcat} * E2_7_11_1 * C00002 * C00017)/(${Variables:E2_7_11_1_km} + (E2_7_11_1 * C00002 * C00017))</v>
      </c>
      <c r="K548" s="37" t="str">
        <f t="shared" si="28"/>
        <v>r547: C00002 + C00017 -&gt; C00008 + C00562 | (${Variables:E2_7_11_1_kcat} * E2_7_11_1 * C00002 * C00017)/(${Variables:E2_7_11_1_km} + (E2_7_11_1 * C00002 * C00017))</v>
      </c>
    </row>
    <row r="549" spans="1:11" ht="46.25" customHeight="1">
      <c r="A549" t="s">
        <v>7548</v>
      </c>
      <c r="B549" t="s">
        <v>7549</v>
      </c>
      <c r="C549" t="s">
        <v>12942</v>
      </c>
      <c r="D549" s="19">
        <v>548</v>
      </c>
      <c r="E549" s="19" t="str">
        <f t="shared" si="26"/>
        <v>E2_7_11_1</v>
      </c>
      <c r="F549" s="19" t="s">
        <v>13585</v>
      </c>
      <c r="G549" s="19" t="s">
        <v>15000</v>
      </c>
      <c r="H549" s="19" t="s">
        <v>14272</v>
      </c>
      <c r="I549" s="19" t="s">
        <v>15687</v>
      </c>
      <c r="J549" s="19" t="str">
        <f t="shared" si="27"/>
        <v>(${Variables:E2_7_11_1_kcat} * E2_7_11_1 * C00002 * C00017)/(${Variables:E2_7_11_1_km} + (E2_7_11_1 * C00002 * C00017))</v>
      </c>
      <c r="K549" s="37" t="str">
        <f t="shared" si="28"/>
        <v>r548: C00002 + C00017 -&gt; C00008 + C00562 | (${Variables:E2_7_11_1_kcat} * E2_7_11_1 * C00002 * C00017)/(${Variables:E2_7_11_1_km} + (E2_7_11_1 * C00002 * C00017))</v>
      </c>
    </row>
    <row r="550" spans="1:11" ht="46.25" customHeight="1">
      <c r="A550" t="s">
        <v>7548</v>
      </c>
      <c r="B550" t="s">
        <v>7549</v>
      </c>
      <c r="C550" t="s">
        <v>12942</v>
      </c>
      <c r="D550" s="19">
        <v>549</v>
      </c>
      <c r="E550" s="19" t="str">
        <f t="shared" si="26"/>
        <v>E2_7_11_1</v>
      </c>
      <c r="F550" s="19" t="s">
        <v>13586</v>
      </c>
      <c r="G550" s="19" t="s">
        <v>15001</v>
      </c>
      <c r="H550" s="19" t="s">
        <v>14273</v>
      </c>
      <c r="I550" s="19" t="s">
        <v>15688</v>
      </c>
      <c r="J550" s="19" t="str">
        <f t="shared" si="27"/>
        <v>(${Variables:E2_7_11_1_kcat} * E2_7_11_1 * C00002 * C01609)/(${Variables:E2_7_11_1_km} + (E2_7_11_1 * C00002 * C01609))</v>
      </c>
      <c r="K550" s="37" t="str">
        <f t="shared" si="28"/>
        <v>r549: C00002 + C01609 -&gt; C00008 + C02729 | (${Variables:E2_7_11_1_kcat} * E2_7_11_1 * C00002 * C01609)/(${Variables:E2_7_11_1_km} + (E2_7_11_1 * C00002 * C01609))</v>
      </c>
    </row>
    <row r="551" spans="1:11" ht="46.25" customHeight="1">
      <c r="A551" t="s">
        <v>7551</v>
      </c>
      <c r="B551" t="s">
        <v>7552</v>
      </c>
      <c r="C551" t="s">
        <v>12944</v>
      </c>
      <c r="D551" s="19">
        <v>550</v>
      </c>
      <c r="E551" s="19" t="str">
        <f t="shared" si="26"/>
        <v>E2_7_2_1</v>
      </c>
      <c r="F551" s="19" t="s">
        <v>13587</v>
      </c>
      <c r="G551" s="19" t="s">
        <v>15002</v>
      </c>
      <c r="H551" s="19" t="s">
        <v>14274</v>
      </c>
      <c r="I551" s="19" t="s">
        <v>15689</v>
      </c>
      <c r="J551" s="19" t="str">
        <f t="shared" si="27"/>
        <v>(${Variables:E2_7_2_1_kcat} * E2_7_2_1 * C00002 * C00033)/(${Variables:E2_7_2_1_km} + (E2_7_2_1 * C00002 * C00033))</v>
      </c>
      <c r="K551" s="37" t="str">
        <f t="shared" si="28"/>
        <v>r550: C00002 + C00033 -&gt; C00008 + C00227 | (${Variables:E2_7_2_1_kcat} * E2_7_2_1 * C00002 * C00033)/(${Variables:E2_7_2_1_km} + (E2_7_2_1 * C00002 * C00033))</v>
      </c>
    </row>
    <row r="552" spans="1:11" ht="46.25" customHeight="1">
      <c r="A552" t="s">
        <v>7551</v>
      </c>
      <c r="B552" t="s">
        <v>7552</v>
      </c>
      <c r="C552" t="s">
        <v>12944</v>
      </c>
      <c r="D552" s="19">
        <v>551</v>
      </c>
      <c r="E552" s="19" t="str">
        <f t="shared" si="26"/>
        <v>E2_7_2_1</v>
      </c>
      <c r="F552" s="19" t="s">
        <v>13588</v>
      </c>
      <c r="G552" s="19" t="s">
        <v>15003</v>
      </c>
      <c r="H552" s="19" t="s">
        <v>14275</v>
      </c>
      <c r="I552" s="19" t="s">
        <v>15690</v>
      </c>
      <c r="J552" s="19" t="str">
        <f t="shared" si="27"/>
        <v>(${Variables:E2_7_2_1_kcat} * E2_7_2_1 * C00002 * C00163)/(${Variables:E2_7_2_1_km} + (E2_7_2_1 * C00002 * C00163))</v>
      </c>
      <c r="K552" s="37" t="str">
        <f t="shared" si="28"/>
        <v>r551: C00002 + C00163 -&gt; C00008 + C02876 | (${Variables:E2_7_2_1_kcat} * E2_7_2_1 * C00002 * C00163)/(${Variables:E2_7_2_1_km} + (E2_7_2_1 * C00002 * C00163))</v>
      </c>
    </row>
    <row r="553" spans="1:11" ht="46.25" customHeight="1">
      <c r="A553" t="s">
        <v>6499</v>
      </c>
      <c r="B553" t="s">
        <v>6500</v>
      </c>
      <c r="C553" t="s">
        <v>12945</v>
      </c>
      <c r="D553" s="19">
        <v>552</v>
      </c>
      <c r="E553" s="19" t="str">
        <f t="shared" si="26"/>
        <v>E2_7_2_11</v>
      </c>
      <c r="F553" s="19" t="s">
        <v>13589</v>
      </c>
      <c r="G553" s="19" t="s">
        <v>15004</v>
      </c>
      <c r="H553" s="19" t="s">
        <v>14276</v>
      </c>
      <c r="I553" s="19" t="s">
        <v>15691</v>
      </c>
      <c r="J553" s="19" t="str">
        <f t="shared" si="27"/>
        <v>(${Variables:E2_7_2_11_kcat} * E2_7_2_11 * C00002 * C00025)/(${Variables:E2_7_2_11_km} + (E2_7_2_11 * C00002 * C00025))</v>
      </c>
      <c r="K553" s="37" t="str">
        <f t="shared" si="28"/>
        <v>r552: C00002 + C00025 -&gt; C00008 + C03287 | (${Variables:E2_7_2_11_kcat} * E2_7_2_11 * C00002 * C00025)/(${Variables:E2_7_2_11_km} + (E2_7_2_11 * C00002 * C00025))</v>
      </c>
    </row>
    <row r="554" spans="1:11" ht="46.25" customHeight="1">
      <c r="A554" t="s">
        <v>4474</v>
      </c>
      <c r="B554" t="s">
        <v>4475</v>
      </c>
      <c r="C554" t="s">
        <v>12946</v>
      </c>
      <c r="D554" s="19">
        <v>553</v>
      </c>
      <c r="E554" s="19" t="str">
        <f t="shared" si="26"/>
        <v>E2_7_2_3</v>
      </c>
      <c r="F554" s="19" t="s">
        <v>13590</v>
      </c>
      <c r="G554" s="19" t="s">
        <v>15005</v>
      </c>
      <c r="H554" s="19" t="s">
        <v>14277</v>
      </c>
      <c r="I554" s="19" t="s">
        <v>15692</v>
      </c>
      <c r="J554" s="19" t="str">
        <f t="shared" si="27"/>
        <v>(${Variables:E2_7_2_3_kcat} * E2_7_2_3 * C00002 * C00197)/(${Variables:E2_7_2_3_km} + (E2_7_2_3 * C00002 * C00197))</v>
      </c>
      <c r="K554" s="37" t="str">
        <f t="shared" si="28"/>
        <v>r553: C00002 + C00197 -&gt; C00008 + C00236 | (${Variables:E2_7_2_3_kcat} * E2_7_2_3 * C00002 * C00197)/(${Variables:E2_7_2_3_km} + (E2_7_2_3 * C00002 * C00197))</v>
      </c>
    </row>
    <row r="555" spans="1:11" ht="46.25" customHeight="1">
      <c r="A555" t="s">
        <v>773</v>
      </c>
      <c r="B555" t="s">
        <v>774</v>
      </c>
      <c r="C555" t="s">
        <v>12947</v>
      </c>
      <c r="D555" s="19">
        <v>554</v>
      </c>
      <c r="E555" s="19" t="str">
        <f t="shared" si="26"/>
        <v>E2_7_2_4</v>
      </c>
      <c r="F555" s="19" t="s">
        <v>13591</v>
      </c>
      <c r="G555" s="19" t="s">
        <v>15006</v>
      </c>
      <c r="H555" s="19" t="s">
        <v>14278</v>
      </c>
      <c r="I555" s="19" t="s">
        <v>15693</v>
      </c>
      <c r="J555" s="19" t="str">
        <f t="shared" si="27"/>
        <v>(${Variables:E2_7_2_4_kcat} * E2_7_2_4 * C00002 * C00049)/(${Variables:E2_7_2_4_km} + (E2_7_2_4 * C00002 * C00049))</v>
      </c>
      <c r="K555" s="37" t="str">
        <f t="shared" si="28"/>
        <v>r554: C00002 + C00049 -&gt; C00008 + C03082 | (${Variables:E2_7_2_4_kcat} * E2_7_2_4 * C00002 * C00049)/(${Variables:E2_7_2_4_km} + (E2_7_2_4 * C00002 * C00049))</v>
      </c>
    </row>
    <row r="556" spans="1:11" ht="46.25" customHeight="1">
      <c r="A556" t="s">
        <v>3939</v>
      </c>
      <c r="B556" t="s">
        <v>3940</v>
      </c>
      <c r="C556" t="s">
        <v>16034</v>
      </c>
      <c r="D556" s="19">
        <v>555</v>
      </c>
      <c r="E556" s="19" t="str">
        <f t="shared" si="26"/>
        <v>E2_7_2_8</v>
      </c>
      <c r="F556" s="19" t="s">
        <v>13592</v>
      </c>
      <c r="G556" s="19" t="s">
        <v>15007</v>
      </c>
      <c r="H556" s="19" t="s">
        <v>14279</v>
      </c>
      <c r="I556" s="19" t="s">
        <v>15694</v>
      </c>
      <c r="J556" s="19" t="str">
        <f t="shared" si="27"/>
        <v>(${Variables:E2_7_2_8_kcat} * E2_7_2_8 * C00002 * C00624)/(${Variables:E2_7_2_8_km} + (E2_7_2_8 * C00002 * C00624))</v>
      </c>
      <c r="K556" s="37" t="str">
        <f t="shared" si="28"/>
        <v>r555: C00002 + C00624 -&gt; C00008 + C04133 | (${Variables:E2_7_2_8_kcat} * E2_7_2_8 * C00002 * C00624)/(${Variables:E2_7_2_8_km} + (E2_7_2_8 * C00002 * C00624))</v>
      </c>
    </row>
    <row r="557" spans="1:11" ht="46.25" customHeight="1">
      <c r="A557" t="s">
        <v>5316</v>
      </c>
      <c r="B557" t="s">
        <v>5317</v>
      </c>
      <c r="C557" t="s">
        <v>16035</v>
      </c>
      <c r="D557" s="19">
        <v>556</v>
      </c>
      <c r="E557" s="19" t="str">
        <f t="shared" si="26"/>
        <v>E2_7_3_9</v>
      </c>
      <c r="F557" s="19" t="s">
        <v>13593</v>
      </c>
      <c r="G557" s="19" t="s">
        <v>15008</v>
      </c>
      <c r="H557" s="19" t="s">
        <v>14280</v>
      </c>
      <c r="I557" s="19" t="s">
        <v>15695</v>
      </c>
      <c r="J557" s="19" t="str">
        <f t="shared" si="27"/>
        <v>(${Variables:E2_7_3_9_kcat} * E2_7_3_9 * C00074 * C00615)/(${Variables:E2_7_3_9_km} + (E2_7_3_9 * C00074 * C00615))</v>
      </c>
      <c r="K557" s="37" t="str">
        <f t="shared" si="28"/>
        <v>r556: C00074 + C00615 -&gt; C00022 + C04261 | (${Variables:E2_7_3_9_kcat} * E2_7_3_9 * C00074 * C00615)/(${Variables:E2_7_3_9_km} + (E2_7_3_9 * C00074 * C00615))</v>
      </c>
    </row>
    <row r="558" spans="1:11" ht="46.25" customHeight="1">
      <c r="A558" t="s">
        <v>2651</v>
      </c>
      <c r="B558" t="s">
        <v>2652</v>
      </c>
      <c r="C558" t="s">
        <v>12948</v>
      </c>
      <c r="D558" s="19">
        <v>557</v>
      </c>
      <c r="E558" s="19" t="str">
        <f t="shared" si="26"/>
        <v>E2_7_4_1</v>
      </c>
      <c r="F558" s="19" t="s">
        <v>13594</v>
      </c>
      <c r="G558" s="19" t="s">
        <v>15009</v>
      </c>
      <c r="H558" s="19" t="s">
        <v>14281</v>
      </c>
      <c r="I558" s="19" t="s">
        <v>15696</v>
      </c>
      <c r="J558" s="19" t="str">
        <f t="shared" si="27"/>
        <v>(${Variables:E2_7_4_1_kcat} * E2_7_4_1 * C00002 * C00404)/(${Variables:E2_7_4_1_km} + (E2_7_4_1 * C00002 * C00404))</v>
      </c>
      <c r="K558" s="37" t="str">
        <f t="shared" si="28"/>
        <v>r557: C00002 + C00404 -&gt; C00008 + C00404 | (${Variables:E2_7_4_1_kcat} * E2_7_4_1 * C00002 * C00404)/(${Variables:E2_7_4_1_km} + (E2_7_4_1 * C00002 * C00404))</v>
      </c>
    </row>
    <row r="559" spans="1:11" ht="46.25" customHeight="1">
      <c r="A559" t="s">
        <v>7452</v>
      </c>
      <c r="B559" t="s">
        <v>7453</v>
      </c>
      <c r="C559" t="s">
        <v>12948</v>
      </c>
      <c r="D559" s="19">
        <v>558</v>
      </c>
      <c r="E559" s="19" t="str">
        <f t="shared" si="26"/>
        <v>E2_7_4_1</v>
      </c>
      <c r="F559" s="19" t="s">
        <v>13594</v>
      </c>
      <c r="G559" s="19" t="s">
        <v>15009</v>
      </c>
      <c r="H559" s="19" t="s">
        <v>14281</v>
      </c>
      <c r="I559" s="19" t="s">
        <v>15696</v>
      </c>
      <c r="J559" s="19" t="str">
        <f t="shared" si="27"/>
        <v>(${Variables:E2_7_4_1_kcat} * E2_7_4_1 * C00002 * C00404)/(${Variables:E2_7_4_1_km} + (E2_7_4_1 * C00002 * C00404))</v>
      </c>
      <c r="K559" s="37" t="str">
        <f t="shared" si="28"/>
        <v>r558: C00002 + C00404 -&gt; C00008 + C00404 | (${Variables:E2_7_4_1_kcat} * E2_7_4_1 * C00002 * C00404)/(${Variables:E2_7_4_1_km} + (E2_7_4_1 * C00002 * C00404))</v>
      </c>
    </row>
    <row r="560" spans="1:11" ht="46.25" customHeight="1">
      <c r="A560" t="s">
        <v>3742</v>
      </c>
      <c r="B560" t="s">
        <v>3743</v>
      </c>
      <c r="C560" t="s">
        <v>12949</v>
      </c>
      <c r="D560" s="19">
        <v>559</v>
      </c>
      <c r="E560" s="19" t="str">
        <f t="shared" si="26"/>
        <v>E2_7_4_16</v>
      </c>
      <c r="F560" s="19" t="s">
        <v>13595</v>
      </c>
      <c r="G560" s="19" t="s">
        <v>15010</v>
      </c>
      <c r="H560" s="19" t="s">
        <v>14282</v>
      </c>
      <c r="I560" s="19" t="s">
        <v>15697</v>
      </c>
      <c r="J560" s="19" t="str">
        <f t="shared" si="27"/>
        <v>(${Variables:E2_7_4_16_kcat} * E2_7_4_16 * C00002 * C01081)/(${Variables:E2_7_4_16_km} + (E2_7_4_16 * C00002 * C01081))</v>
      </c>
      <c r="K560" s="37" t="str">
        <f t="shared" si="28"/>
        <v>r559: C00002 + C01081 -&gt; C00008 + C00068 | (${Variables:E2_7_4_16_kcat} * E2_7_4_16 * C00002 * C01081)/(${Variables:E2_7_4_16_km} + (E2_7_4_16 * C00002 * C01081))</v>
      </c>
    </row>
    <row r="561" spans="1:11" ht="46.25" customHeight="1">
      <c r="A561" t="s">
        <v>5579</v>
      </c>
      <c r="B561" t="s">
        <v>5580</v>
      </c>
      <c r="C561" t="s">
        <v>12950</v>
      </c>
      <c r="D561" s="19">
        <v>560</v>
      </c>
      <c r="E561" s="19" t="str">
        <f t="shared" si="26"/>
        <v>E2_7_4_22</v>
      </c>
      <c r="F561" s="19" t="s">
        <v>13596</v>
      </c>
      <c r="G561" s="19" t="s">
        <v>15011</v>
      </c>
      <c r="H561" s="19" t="s">
        <v>14283</v>
      </c>
      <c r="I561" s="19" t="s">
        <v>15698</v>
      </c>
      <c r="J561" s="19" t="str">
        <f t="shared" si="27"/>
        <v>(${Variables:E2_7_4_22_kcat} * E2_7_4_22 * C00002 * C00105)/(${Variables:E2_7_4_22_km} + (E2_7_4_22 * C00002 * C00105))</v>
      </c>
      <c r="K561" s="37" t="str">
        <f t="shared" si="28"/>
        <v>r560: C00002 + C00105 -&gt; C00008 + C00015 | (${Variables:E2_7_4_22_kcat} * E2_7_4_22 * C00002 * C00105)/(${Variables:E2_7_4_22_km} + (E2_7_4_22 * C00002 * C00105))</v>
      </c>
    </row>
    <row r="562" spans="1:11" ht="46.25" customHeight="1">
      <c r="A562" t="s">
        <v>4030</v>
      </c>
      <c r="B562" t="s">
        <v>4031</v>
      </c>
      <c r="C562" t="s">
        <v>12951</v>
      </c>
      <c r="D562" s="19">
        <v>561</v>
      </c>
      <c r="E562" s="19" t="str">
        <f t="shared" si="26"/>
        <v>E2_7_4_25</v>
      </c>
      <c r="F562" s="19" t="s">
        <v>13597</v>
      </c>
      <c r="G562" s="19" t="s">
        <v>15012</v>
      </c>
      <c r="H562" s="19" t="s">
        <v>14284</v>
      </c>
      <c r="I562" s="19" t="s">
        <v>15699</v>
      </c>
      <c r="J562" s="19" t="str">
        <f t="shared" si="27"/>
        <v>(${Variables:E2_7_4_25_kcat} * E2_7_4_25 * C00002 * C00055)/(${Variables:E2_7_4_25_km} + (E2_7_4_25 * C00002 * C00055))</v>
      </c>
      <c r="K562" s="37" t="str">
        <f t="shared" si="28"/>
        <v>r561: C00002 + C00055 -&gt; C00008 + C00112 | (${Variables:E2_7_4_25_kcat} * E2_7_4_25 * C00002 * C00055)/(${Variables:E2_7_4_25_km} + (E2_7_4_25 * C00002 * C00055))</v>
      </c>
    </row>
    <row r="563" spans="1:11" ht="46.25" customHeight="1">
      <c r="A563" t="s">
        <v>4030</v>
      </c>
      <c r="B563" t="s">
        <v>4031</v>
      </c>
      <c r="C563" t="s">
        <v>12951</v>
      </c>
      <c r="D563" s="19">
        <v>562</v>
      </c>
      <c r="E563" s="19" t="str">
        <f t="shared" si="26"/>
        <v>E2_7_4_25</v>
      </c>
      <c r="F563" s="19" t="s">
        <v>13598</v>
      </c>
      <c r="G563" s="19" t="s">
        <v>15013</v>
      </c>
      <c r="H563" s="19" t="s">
        <v>14285</v>
      </c>
      <c r="I563" s="19" t="s">
        <v>15700</v>
      </c>
      <c r="J563" s="19" t="str">
        <f t="shared" si="27"/>
        <v>(${Variables:E2_7_4_25_kcat} * E2_7_4_25 * C00002 * C00239)/(${Variables:E2_7_4_25_km} + (E2_7_4_25 * C00002 * C00239))</v>
      </c>
      <c r="K563" s="37" t="str">
        <f t="shared" si="28"/>
        <v>r562: C00002 + C00239 -&gt; C00008 + C00705 | (${Variables:E2_7_4_25_kcat} * E2_7_4_25 * C00002 * C00239)/(${Variables:E2_7_4_25_km} + (E2_7_4_25 * C00002 * C00239))</v>
      </c>
    </row>
    <row r="564" spans="1:11" ht="46.25" customHeight="1">
      <c r="A564" t="s">
        <v>1625</v>
      </c>
      <c r="B564" t="s">
        <v>1626</v>
      </c>
      <c r="C564" t="s">
        <v>12952</v>
      </c>
      <c r="D564" s="19">
        <v>563</v>
      </c>
      <c r="E564" s="19" t="str">
        <f t="shared" si="26"/>
        <v>E2_7_4_3</v>
      </c>
      <c r="F564" s="19" t="s">
        <v>13599</v>
      </c>
      <c r="G564" s="19" t="s">
        <v>15014</v>
      </c>
      <c r="H564" s="19" t="s">
        <v>10233</v>
      </c>
      <c r="I564" s="19" t="s">
        <v>10233</v>
      </c>
      <c r="J564" s="19" t="str">
        <f t="shared" si="27"/>
        <v>(${Variables:E2_7_4_3_kcat} * E2_7_4_3 * C00002 * C00020)/(${Variables:E2_7_4_3_km} + (E2_7_4_3 * C00002 * C00020))</v>
      </c>
      <c r="K564" s="37" t="str">
        <f t="shared" si="28"/>
        <v>r563: C00002 + C00020 -&gt; C00008 | (${Variables:E2_7_4_3_kcat} * E2_7_4_3 * C00002 * C00020)/(${Variables:E2_7_4_3_km} + (E2_7_4_3 * C00002 * C00020))</v>
      </c>
    </row>
    <row r="565" spans="1:11" ht="46.25" customHeight="1">
      <c r="A565" t="s">
        <v>1625</v>
      </c>
      <c r="B565" t="s">
        <v>1626</v>
      </c>
      <c r="C565" t="s">
        <v>12952</v>
      </c>
      <c r="D565" s="19">
        <v>564</v>
      </c>
      <c r="E565" s="19" t="str">
        <f t="shared" si="26"/>
        <v>E2_7_4_3</v>
      </c>
      <c r="F565" s="19" t="s">
        <v>13600</v>
      </c>
      <c r="G565" s="19" t="s">
        <v>15015</v>
      </c>
      <c r="H565" s="19" t="s">
        <v>14286</v>
      </c>
      <c r="I565" s="19" t="s">
        <v>15701</v>
      </c>
      <c r="J565" s="19" t="str">
        <f t="shared" si="27"/>
        <v>(${Variables:E2_7_4_3_kcat} * E2_7_4_3 * C00002 * C00360)/(${Variables:E2_7_4_3_km} + (E2_7_4_3 * C00002 * C00360))</v>
      </c>
      <c r="K565" s="37" t="str">
        <f t="shared" si="28"/>
        <v>r564: C00002 + C00360 -&gt; C00008 + C00206 | (${Variables:E2_7_4_3_kcat} * E2_7_4_3 * C00002 * C00360)/(${Variables:E2_7_4_3_km} + (E2_7_4_3 * C00002 * C00360))</v>
      </c>
    </row>
    <row r="566" spans="1:11" ht="46.25" customHeight="1">
      <c r="A566" t="s">
        <v>1625</v>
      </c>
      <c r="B566" t="s">
        <v>1626</v>
      </c>
      <c r="C566" t="s">
        <v>12952</v>
      </c>
      <c r="D566" s="19">
        <v>565</v>
      </c>
      <c r="E566" s="19" t="str">
        <f t="shared" si="26"/>
        <v>E2_7_4_3</v>
      </c>
      <c r="F566" s="19" t="s">
        <v>13601</v>
      </c>
      <c r="G566" s="19" t="s">
        <v>15016</v>
      </c>
      <c r="H566" s="19" t="s">
        <v>14287</v>
      </c>
      <c r="I566" s="19" t="s">
        <v>15702</v>
      </c>
      <c r="J566" s="19" t="str">
        <f t="shared" si="27"/>
        <v>(${Variables:E2_7_4_3_kcat} * E2_7_4_3 * C00068 * C00008)/(${Variables:E2_7_4_3_km} + (E2_7_4_3 * C00068 * C00008))</v>
      </c>
      <c r="K566" s="37" t="str">
        <f t="shared" si="28"/>
        <v>r565: C00068 + C00008 -&gt; C03028 + C00020 | (${Variables:E2_7_4_3_kcat} * E2_7_4_3 * C00068 * C00008)/(${Variables:E2_7_4_3_km} + (E2_7_4_3 * C00068 * C00008))</v>
      </c>
    </row>
    <row r="567" spans="1:11" ht="46.25" customHeight="1">
      <c r="A567" t="s">
        <v>6535</v>
      </c>
      <c r="B567" t="s">
        <v>6536</v>
      </c>
      <c r="C567" t="s">
        <v>12953</v>
      </c>
      <c r="D567" s="19">
        <v>566</v>
      </c>
      <c r="E567" s="19" t="str">
        <f t="shared" si="26"/>
        <v>E2_7_4_6</v>
      </c>
      <c r="F567" s="19" t="s">
        <v>13602</v>
      </c>
      <c r="G567" s="19" t="s">
        <v>15017</v>
      </c>
      <c r="H567" s="19" t="s">
        <v>14288</v>
      </c>
      <c r="I567" s="19" t="s">
        <v>15703</v>
      </c>
      <c r="J567" s="19" t="str">
        <f t="shared" si="27"/>
        <v>(${Variables:E2_7_4_6_kcat} * E2_7_4_6 * C00002 * C00454)/(${Variables:E2_7_4_6_km} + (E2_7_4_6 * C00002 * C00454))</v>
      </c>
      <c r="K567" s="37" t="str">
        <f t="shared" si="28"/>
        <v>r566: C00002 + C00454 -&gt; C00008 + C00201 | (${Variables:E2_7_4_6_kcat} * E2_7_4_6 * C00002 * C00454)/(${Variables:E2_7_4_6_km} + (E2_7_4_6 * C00002 * C00454))</v>
      </c>
    </row>
    <row r="568" spans="1:11" ht="46.25" customHeight="1">
      <c r="A568" t="s">
        <v>6535</v>
      </c>
      <c r="B568" t="s">
        <v>6536</v>
      </c>
      <c r="C568" t="s">
        <v>12953</v>
      </c>
      <c r="D568" s="19">
        <v>567</v>
      </c>
      <c r="E568" s="19" t="str">
        <f t="shared" si="26"/>
        <v>E2_7_4_6</v>
      </c>
      <c r="F568" s="19" t="s">
        <v>13603</v>
      </c>
      <c r="G568" s="19" t="s">
        <v>15018</v>
      </c>
      <c r="H568" s="19" t="s">
        <v>14289</v>
      </c>
      <c r="I568" s="19" t="s">
        <v>15704</v>
      </c>
      <c r="J568" s="19" t="str">
        <f t="shared" si="27"/>
        <v>(${Variables:E2_7_4_6_kcat} * E2_7_4_6 * C00002 * C00008)/(${Variables:E2_7_4_6_km} + (E2_7_4_6 * C00002 * C00008))</v>
      </c>
      <c r="K568" s="37" t="str">
        <f t="shared" si="28"/>
        <v>r567: C00002 + C00008 -&gt; C00008 + C00002 | (${Variables:E2_7_4_6_kcat} * E2_7_4_6 * C00002 * C00008)/(${Variables:E2_7_4_6_km} + (E2_7_4_6 * C00002 * C00008))</v>
      </c>
    </row>
    <row r="569" spans="1:11" ht="46.25" customHeight="1">
      <c r="A569" t="s">
        <v>6535</v>
      </c>
      <c r="B569" t="s">
        <v>6536</v>
      </c>
      <c r="C569" t="s">
        <v>12953</v>
      </c>
      <c r="D569" s="19">
        <v>568</v>
      </c>
      <c r="E569" s="19" t="str">
        <f t="shared" si="26"/>
        <v>E2_7_4_6</v>
      </c>
      <c r="F569" s="19" t="s">
        <v>13604</v>
      </c>
      <c r="G569" s="19" t="s">
        <v>15019</v>
      </c>
      <c r="H569" s="19" t="s">
        <v>14290</v>
      </c>
      <c r="I569" s="19" t="s">
        <v>15705</v>
      </c>
      <c r="J569" s="19" t="str">
        <f t="shared" si="27"/>
        <v>(${Variables:E2_7_4_6_kcat} * E2_7_4_6 * C11038 * C00002)/(${Variables:E2_7_4_6_km} + (E2_7_4_6 * C11038 * C00002))</v>
      </c>
      <c r="K569" s="37" t="str">
        <f t="shared" si="28"/>
        <v>r568: C11038 + C00002 -&gt; C11039 + C00008 | (${Variables:E2_7_4_6_kcat} * E2_7_4_6 * C11038 * C00002)/(${Variables:E2_7_4_6_km} + (E2_7_4_6 * C11038 * C00002))</v>
      </c>
    </row>
    <row r="570" spans="1:11" ht="46.25" customHeight="1">
      <c r="A570" t="s">
        <v>6535</v>
      </c>
      <c r="B570" t="s">
        <v>6536</v>
      </c>
      <c r="C570" t="s">
        <v>12953</v>
      </c>
      <c r="D570" s="19">
        <v>569</v>
      </c>
      <c r="E570" s="19" t="str">
        <f t="shared" si="26"/>
        <v>E2_7_4_6</v>
      </c>
      <c r="F570" s="19" t="s">
        <v>13605</v>
      </c>
      <c r="G570" s="19" t="s">
        <v>15020</v>
      </c>
      <c r="H570" s="19" t="s">
        <v>14291</v>
      </c>
      <c r="I570" s="19" t="s">
        <v>15706</v>
      </c>
      <c r="J570" s="19" t="str">
        <f t="shared" si="27"/>
        <v>(${Variables:E2_7_4_6_kcat} * E2_7_4_6 * C00002 * C00015)/(${Variables:E2_7_4_6_km} + (E2_7_4_6 * C00002 * C00015))</v>
      </c>
      <c r="K570" s="37" t="str">
        <f t="shared" si="28"/>
        <v>r569: C00002 + C00015 -&gt; C00008 + C00075 | (${Variables:E2_7_4_6_kcat} * E2_7_4_6 * C00002 * C00015)/(${Variables:E2_7_4_6_km} + (E2_7_4_6 * C00002 * C00015))</v>
      </c>
    </row>
    <row r="571" spans="1:11" ht="46.25" customHeight="1">
      <c r="A571" t="s">
        <v>6535</v>
      </c>
      <c r="B571" t="s">
        <v>6536</v>
      </c>
      <c r="C571" t="s">
        <v>12953</v>
      </c>
      <c r="D571" s="19">
        <v>570</v>
      </c>
      <c r="E571" s="19" t="str">
        <f t="shared" si="26"/>
        <v>E2_7_4_6</v>
      </c>
      <c r="F571" s="19" t="s">
        <v>13606</v>
      </c>
      <c r="G571" s="19" t="s">
        <v>15021</v>
      </c>
      <c r="H571" s="19" t="s">
        <v>14292</v>
      </c>
      <c r="I571" s="19" t="s">
        <v>15707</v>
      </c>
      <c r="J571" s="19" t="str">
        <f t="shared" si="27"/>
        <v>(${Variables:E2_7_4_6_kcat} * E2_7_4_6 * C00002 * C00035)/(${Variables:E2_7_4_6_km} + (E2_7_4_6 * C00002 * C00035))</v>
      </c>
      <c r="K571" s="37" t="str">
        <f t="shared" si="28"/>
        <v>r570: C00002 + C00035 -&gt; C00008 + C00044 | (${Variables:E2_7_4_6_kcat} * E2_7_4_6 * C00002 * C00035)/(${Variables:E2_7_4_6_km} + (E2_7_4_6 * C00002 * C00035))</v>
      </c>
    </row>
    <row r="572" spans="1:11" ht="46.25" customHeight="1">
      <c r="A572" t="s">
        <v>6535</v>
      </c>
      <c r="B572" t="s">
        <v>6536</v>
      </c>
      <c r="C572" t="s">
        <v>12953</v>
      </c>
      <c r="D572" s="19">
        <v>571</v>
      </c>
      <c r="E572" s="19" t="str">
        <f t="shared" si="26"/>
        <v>E2_7_4_6</v>
      </c>
      <c r="F572" s="19" t="s">
        <v>13607</v>
      </c>
      <c r="G572" s="19" t="s">
        <v>15022</v>
      </c>
      <c r="H572" s="19" t="s">
        <v>14293</v>
      </c>
      <c r="I572" s="19" t="s">
        <v>15708</v>
      </c>
      <c r="J572" s="19" t="str">
        <f t="shared" si="27"/>
        <v>(${Variables:E2_7_4_6_kcat} * E2_7_4_6 * C00002 * C00112)/(${Variables:E2_7_4_6_km} + (E2_7_4_6 * C00002 * C00112))</v>
      </c>
      <c r="K572" s="37" t="str">
        <f t="shared" si="28"/>
        <v>r571: C00002 + C00112 -&gt; C00008 + C00063 | (${Variables:E2_7_4_6_kcat} * E2_7_4_6 * C00002 * C00112)/(${Variables:E2_7_4_6_km} + (E2_7_4_6 * C00002 * C00112))</v>
      </c>
    </row>
    <row r="573" spans="1:11" ht="46.25" customHeight="1">
      <c r="A573" t="s">
        <v>6535</v>
      </c>
      <c r="B573" t="s">
        <v>6536</v>
      </c>
      <c r="C573" t="s">
        <v>12953</v>
      </c>
      <c r="D573" s="19">
        <v>572</v>
      </c>
      <c r="E573" s="19" t="str">
        <f t="shared" si="26"/>
        <v>E2_7_4_6</v>
      </c>
      <c r="F573" s="19" t="s">
        <v>13608</v>
      </c>
      <c r="G573" s="19" t="s">
        <v>15023</v>
      </c>
      <c r="H573" s="19" t="s">
        <v>14294</v>
      </c>
      <c r="I573" s="19" t="s">
        <v>15709</v>
      </c>
      <c r="J573" s="19" t="str">
        <f t="shared" si="27"/>
        <v>(${Variables:E2_7_4_6_kcat} * E2_7_4_6 * C00002 * C00104)/(${Variables:E2_7_4_6_km} + (E2_7_4_6 * C00002 * C00104))</v>
      </c>
      <c r="K573" s="37" t="str">
        <f t="shared" si="28"/>
        <v>r572: C00002 + C00104 -&gt; C00008 + C00081 | (${Variables:E2_7_4_6_kcat} * E2_7_4_6 * C00002 * C00104)/(${Variables:E2_7_4_6_km} + (E2_7_4_6 * C00002 * C00104))</v>
      </c>
    </row>
    <row r="574" spans="1:11" ht="46.25" customHeight="1">
      <c r="A574" t="s">
        <v>6535</v>
      </c>
      <c r="B574" t="s">
        <v>6536</v>
      </c>
      <c r="C574" t="s">
        <v>12953</v>
      </c>
      <c r="D574" s="19">
        <v>573</v>
      </c>
      <c r="E574" s="19" t="str">
        <f t="shared" si="26"/>
        <v>E2_7_4_6</v>
      </c>
      <c r="F574" s="19" t="s">
        <v>13609</v>
      </c>
      <c r="G574" s="19" t="s">
        <v>15024</v>
      </c>
      <c r="H574" s="19" t="s">
        <v>14295</v>
      </c>
      <c r="I574" s="19" t="s">
        <v>15710</v>
      </c>
      <c r="J574" s="19" t="str">
        <f t="shared" si="27"/>
        <v>(${Variables:E2_7_4_6_kcat} * E2_7_4_6 * C00002 * C00206)/(${Variables:E2_7_4_6_km} + (E2_7_4_6 * C00002 * C00206))</v>
      </c>
      <c r="K574" s="37" t="str">
        <f t="shared" si="28"/>
        <v>r573: C00002 + C00206 -&gt; C00008 + C00131 | (${Variables:E2_7_4_6_kcat} * E2_7_4_6 * C00002 * C00206)/(${Variables:E2_7_4_6_km} + (E2_7_4_6 * C00002 * C00206))</v>
      </c>
    </row>
    <row r="575" spans="1:11" ht="46.25" customHeight="1">
      <c r="A575" t="s">
        <v>6535</v>
      </c>
      <c r="B575" t="s">
        <v>6536</v>
      </c>
      <c r="C575" t="s">
        <v>12953</v>
      </c>
      <c r="D575" s="19">
        <v>574</v>
      </c>
      <c r="E575" s="19" t="str">
        <f t="shared" si="26"/>
        <v>E2_7_4_6</v>
      </c>
      <c r="F575" s="19" t="s">
        <v>13610</v>
      </c>
      <c r="G575" s="19" t="s">
        <v>15025</v>
      </c>
      <c r="H575" s="19" t="s">
        <v>14296</v>
      </c>
      <c r="I575" s="19" t="s">
        <v>15711</v>
      </c>
      <c r="J575" s="19" t="str">
        <f t="shared" si="27"/>
        <v>(${Variables:E2_7_4_6_kcat} * E2_7_4_6 * C00002 * C00361)/(${Variables:E2_7_4_6_km} + (E2_7_4_6 * C00002 * C00361))</v>
      </c>
      <c r="K575" s="37" t="str">
        <f t="shared" si="28"/>
        <v>r574: C00002 + C00361 -&gt; C00008 + C00286 | (${Variables:E2_7_4_6_kcat} * E2_7_4_6 * C00002 * C00361)/(${Variables:E2_7_4_6_km} + (E2_7_4_6 * C00002 * C00361))</v>
      </c>
    </row>
    <row r="576" spans="1:11" ht="46.25" customHeight="1">
      <c r="A576" t="s">
        <v>6535</v>
      </c>
      <c r="B576" t="s">
        <v>6536</v>
      </c>
      <c r="C576" t="s">
        <v>12953</v>
      </c>
      <c r="D576" s="19">
        <v>575</v>
      </c>
      <c r="E576" s="19" t="str">
        <f t="shared" si="26"/>
        <v>E2_7_4_6</v>
      </c>
      <c r="F576" s="19" t="s">
        <v>13611</v>
      </c>
      <c r="G576" s="19" t="s">
        <v>15026</v>
      </c>
      <c r="H576" s="19" t="s">
        <v>14297</v>
      </c>
      <c r="I576" s="19" t="s">
        <v>15712</v>
      </c>
      <c r="J576" s="19" t="str">
        <f t="shared" si="27"/>
        <v>(${Variables:E2_7_4_6_kcat} * E2_7_4_6 * C00002 * C00363)/(${Variables:E2_7_4_6_km} + (E2_7_4_6 * C00002 * C00363))</v>
      </c>
      <c r="K576" s="37" t="str">
        <f t="shared" si="28"/>
        <v>r575: C00002 + C00363 -&gt; C00008 + C00459 | (${Variables:E2_7_4_6_kcat} * E2_7_4_6 * C00002 * C00363)/(${Variables:E2_7_4_6_km} + (E2_7_4_6 * C00002 * C00363))</v>
      </c>
    </row>
    <row r="577" spans="1:11" ht="46.25" customHeight="1">
      <c r="A577" t="s">
        <v>6535</v>
      </c>
      <c r="B577" t="s">
        <v>6536</v>
      </c>
      <c r="C577" t="s">
        <v>12953</v>
      </c>
      <c r="D577" s="19">
        <v>576</v>
      </c>
      <c r="E577" s="19" t="str">
        <f t="shared" si="26"/>
        <v>E2_7_4_6</v>
      </c>
      <c r="F577" s="19" t="s">
        <v>13612</v>
      </c>
      <c r="G577" s="19" t="s">
        <v>15027</v>
      </c>
      <c r="H577" s="19" t="s">
        <v>14298</v>
      </c>
      <c r="I577" s="19" t="s">
        <v>15713</v>
      </c>
      <c r="J577" s="19" t="str">
        <f t="shared" si="27"/>
        <v>(${Variables:E2_7_4_6_kcat} * E2_7_4_6 * C00002 * C00705)/(${Variables:E2_7_4_6_km} + (E2_7_4_6 * C00002 * C00705))</v>
      </c>
      <c r="K577" s="37" t="str">
        <f t="shared" si="28"/>
        <v>r576: C00002 + C00705 -&gt; C00008 + C00458 | (${Variables:E2_7_4_6_kcat} * E2_7_4_6 * C00002 * C00705)/(${Variables:E2_7_4_6_km} + (E2_7_4_6 * C00002 * C00705))</v>
      </c>
    </row>
    <row r="578" spans="1:11" ht="46.25" customHeight="1">
      <c r="A578" t="s">
        <v>6535</v>
      </c>
      <c r="B578" t="s">
        <v>6536</v>
      </c>
      <c r="C578" t="s">
        <v>12953</v>
      </c>
      <c r="D578" s="19">
        <v>577</v>
      </c>
      <c r="E578" s="19" t="str">
        <f t="shared" si="26"/>
        <v>E2_7_4_6</v>
      </c>
      <c r="F578" s="19" t="s">
        <v>13613</v>
      </c>
      <c r="G578" s="19" t="s">
        <v>15028</v>
      </c>
      <c r="H578" s="19" t="s">
        <v>14299</v>
      </c>
      <c r="I578" s="19" t="s">
        <v>15714</v>
      </c>
      <c r="J578" s="19" t="str">
        <f t="shared" si="27"/>
        <v>(${Variables:E2_7_4_6_kcat} * E2_7_4_6 * C00002 * C01346)/(${Variables:E2_7_4_6_km} + (E2_7_4_6 * C00002 * C01346))</v>
      </c>
      <c r="K578" s="37" t="str">
        <f t="shared" si="28"/>
        <v>r577: C00002 + C01346 -&gt; C00008 + C00460 | (${Variables:E2_7_4_6_kcat} * E2_7_4_6 * C00002 * C01346)/(${Variables:E2_7_4_6_km} + (E2_7_4_6 * C00002 * C01346))</v>
      </c>
    </row>
    <row r="579" spans="1:11" ht="46.25" customHeight="1">
      <c r="A579" t="s">
        <v>6535</v>
      </c>
      <c r="B579" t="s">
        <v>6536</v>
      </c>
      <c r="C579" t="s">
        <v>12953</v>
      </c>
      <c r="D579" s="19">
        <v>578</v>
      </c>
      <c r="E579" s="19" t="str">
        <f t="shared" si="26"/>
        <v>E2_7_4_6</v>
      </c>
      <c r="F579" s="19" t="s">
        <v>13614</v>
      </c>
      <c r="G579" s="19" t="s">
        <v>15029</v>
      </c>
      <c r="H579" s="19" t="s">
        <v>14300</v>
      </c>
      <c r="I579" s="19" t="s">
        <v>15715</v>
      </c>
      <c r="J579" s="19" t="str">
        <f t="shared" si="27"/>
        <v>(${Variables:E2_7_4_6_kcat} * E2_7_4_6 * C00002 * C01344)/(${Variables:E2_7_4_6_km} + (E2_7_4_6 * C00002 * C01344))</v>
      </c>
      <c r="K579" s="37" t="str">
        <f t="shared" si="28"/>
        <v>r578: C00002 + C01344 -&gt; C00008 + C01345 | (${Variables:E2_7_4_6_kcat} * E2_7_4_6 * C00002 * C01344)/(${Variables:E2_7_4_6_km} + (E2_7_4_6 * C00002 * C01344))</v>
      </c>
    </row>
    <row r="580" spans="1:11" ht="46.25" customHeight="1">
      <c r="A580" t="s">
        <v>6535</v>
      </c>
      <c r="B580" t="s">
        <v>6536</v>
      </c>
      <c r="C580" t="s">
        <v>12953</v>
      </c>
      <c r="D580" s="19">
        <v>579</v>
      </c>
      <c r="E580" s="19" t="str">
        <f t="shared" si="26"/>
        <v>E2_7_4_6</v>
      </c>
      <c r="F580" s="19" t="s">
        <v>13615</v>
      </c>
      <c r="G580" s="19" t="s">
        <v>15030</v>
      </c>
      <c r="H580" s="19" t="s">
        <v>14301</v>
      </c>
      <c r="I580" s="19" t="s">
        <v>15716</v>
      </c>
      <c r="J580" s="19" t="str">
        <f t="shared" si="27"/>
        <v>(${Variables:E2_7_4_6_kcat} * E2_7_4_6 * C22442 * C00002)/(${Variables:E2_7_4_6_km} + (E2_7_4_6 * C22442 * C00002))</v>
      </c>
      <c r="K580" s="37" t="str">
        <f t="shared" si="28"/>
        <v>r579: C22442 + C00002 -&gt; C22443 + C00008 | (${Variables:E2_7_4_6_kcat} * E2_7_4_6 * C22442 * C00002)/(${Variables:E2_7_4_6_km} + (E2_7_4_6 * C22442 * C00002))</v>
      </c>
    </row>
    <row r="581" spans="1:11" ht="46.25" customHeight="1">
      <c r="A581" t="s">
        <v>6535</v>
      </c>
      <c r="B581" t="s">
        <v>6536</v>
      </c>
      <c r="C581" t="s">
        <v>12953</v>
      </c>
      <c r="D581" s="19">
        <v>580</v>
      </c>
      <c r="E581" s="19" t="str">
        <f t="shared" si="26"/>
        <v>E2_7_4_6</v>
      </c>
      <c r="F581" s="19" t="s">
        <v>13616</v>
      </c>
      <c r="G581" s="19" t="s">
        <v>15031</v>
      </c>
      <c r="H581" s="19" t="s">
        <v>14302</v>
      </c>
      <c r="I581" s="19" t="s">
        <v>15717</v>
      </c>
      <c r="J581" s="19" t="str">
        <f t="shared" si="27"/>
        <v>(${Variables:E2_7_4_6_kcat} * E2_7_4_6 * C00002 * C21748)/(${Variables:E2_7_4_6_km} + (E2_7_4_6 * C00002 * C21748))</v>
      </c>
      <c r="K581" s="37" t="str">
        <f t="shared" si="28"/>
        <v>r580: C00002 + C21748 -&gt; C00008 + C21749 | (${Variables:E2_7_4_6_kcat} * E2_7_4_6 * C00002 * C21748)/(${Variables:E2_7_4_6_km} + (E2_7_4_6 * C00002 * C21748))</v>
      </c>
    </row>
    <row r="582" spans="1:11" ht="46.25" customHeight="1">
      <c r="A582" t="s">
        <v>6535</v>
      </c>
      <c r="B582" t="s">
        <v>6536</v>
      </c>
      <c r="C582" t="s">
        <v>12953</v>
      </c>
      <c r="D582" s="19">
        <v>581</v>
      </c>
      <c r="E582" s="19" t="str">
        <f t="shared" si="26"/>
        <v>E2_7_4_6</v>
      </c>
      <c r="F582" s="19" t="s">
        <v>13617</v>
      </c>
      <c r="G582" s="19" t="s">
        <v>15032</v>
      </c>
      <c r="H582" s="19" t="s">
        <v>14303</v>
      </c>
      <c r="I582" s="19" t="s">
        <v>15718</v>
      </c>
      <c r="J582" s="19" t="str">
        <f t="shared" si="27"/>
        <v>(${Variables:E2_7_4_6_kcat} * E2_7_4_6 * C00002 * C21750)/(${Variables:E2_7_4_6_km} + (E2_7_4_6 * C00002 * C21750))</v>
      </c>
      <c r="K582" s="37" t="str">
        <f t="shared" si="28"/>
        <v>r581: C00002 + C21750 -&gt; C00008 + C21751 | (${Variables:E2_7_4_6_kcat} * E2_7_4_6 * C00002 * C21750)/(${Variables:E2_7_4_6_km} + (E2_7_4_6 * C00002 * C21750))</v>
      </c>
    </row>
    <row r="583" spans="1:11" ht="46.25" customHeight="1">
      <c r="A583" t="s">
        <v>4127</v>
      </c>
      <c r="B583" t="s">
        <v>4128</v>
      </c>
      <c r="C583" t="s">
        <v>12954</v>
      </c>
      <c r="D583" s="19">
        <v>582</v>
      </c>
      <c r="E583" s="19" t="str">
        <f t="shared" si="26"/>
        <v>E2_7_4_7</v>
      </c>
      <c r="F583" s="19" t="s">
        <v>13618</v>
      </c>
      <c r="G583" s="19" t="s">
        <v>15033</v>
      </c>
      <c r="H583" s="19" t="s">
        <v>14304</v>
      </c>
      <c r="I583" s="19" t="s">
        <v>15719</v>
      </c>
      <c r="J583" s="19" t="str">
        <f t="shared" si="27"/>
        <v>(${Variables:E2_7_4_7_kcat} * E2_7_4_7 * C00002 * C04556)/(${Variables:E2_7_4_7_km} + (E2_7_4_7 * C00002 * C04556))</v>
      </c>
      <c r="K583" s="37" t="str">
        <f t="shared" si="28"/>
        <v>r582: C00002 + C04556 -&gt; C00008 + C04752 | (${Variables:E2_7_4_7_kcat} * E2_7_4_7 * C00002 * C04556)/(${Variables:E2_7_4_7_km} + (E2_7_4_7 * C00002 * C04556))</v>
      </c>
    </row>
    <row r="584" spans="1:11" ht="46.25" customHeight="1">
      <c r="A584" t="s">
        <v>8354</v>
      </c>
      <c r="B584" t="s">
        <v>8355</v>
      </c>
      <c r="C584" t="s">
        <v>12954</v>
      </c>
      <c r="D584" s="19">
        <v>583</v>
      </c>
      <c r="E584" s="19" t="str">
        <f t="shared" si="26"/>
        <v>E2_7_4_7</v>
      </c>
      <c r="F584" s="19" t="s">
        <v>13618</v>
      </c>
      <c r="G584" s="19" t="s">
        <v>15033</v>
      </c>
      <c r="H584" s="19" t="s">
        <v>14304</v>
      </c>
      <c r="I584" s="19" t="s">
        <v>15719</v>
      </c>
      <c r="J584" s="19" t="str">
        <f t="shared" si="27"/>
        <v>(${Variables:E2_7_4_7_kcat} * E2_7_4_7 * C00002 * C04556)/(${Variables:E2_7_4_7_km} + (E2_7_4_7 * C00002 * C04556))</v>
      </c>
      <c r="K584" s="37" t="str">
        <f t="shared" si="28"/>
        <v>r583: C00002 + C04556 -&gt; C00008 + C04752 | (${Variables:E2_7_4_7_kcat} * E2_7_4_7 * C00002 * C04556)/(${Variables:E2_7_4_7_km} + (E2_7_4_7 * C00002 * C04556))</v>
      </c>
    </row>
    <row r="585" spans="1:11" ht="46.25" customHeight="1">
      <c r="A585" t="s">
        <v>4544</v>
      </c>
      <c r="B585" t="s">
        <v>4545</v>
      </c>
      <c r="C585" t="s">
        <v>12955</v>
      </c>
      <c r="D585" s="19">
        <v>584</v>
      </c>
      <c r="E585" s="19" t="str">
        <f t="shared" si="26"/>
        <v>E2_7_4_8</v>
      </c>
      <c r="F585" s="19" t="s">
        <v>13619</v>
      </c>
      <c r="G585" s="19" t="s">
        <v>15034</v>
      </c>
      <c r="H585" s="19" t="s">
        <v>14305</v>
      </c>
      <c r="I585" s="19" t="s">
        <v>15720</v>
      </c>
      <c r="J585" s="19" t="str">
        <f t="shared" si="27"/>
        <v>(${Variables:E2_7_4_8_kcat} * E2_7_4_8 * C00002 * C00144)/(${Variables:E2_7_4_8_km} + (E2_7_4_8 * C00002 * C00144))</v>
      </c>
      <c r="K585" s="37" t="str">
        <f t="shared" si="28"/>
        <v>r584: C00002 + C00144 -&gt; C00008 + C00035 | (${Variables:E2_7_4_8_kcat} * E2_7_4_8 * C00002 * C00144)/(${Variables:E2_7_4_8_km} + (E2_7_4_8 * C00002 * C00144))</v>
      </c>
    </row>
    <row r="586" spans="1:11" ht="46.25" customHeight="1">
      <c r="A586" t="s">
        <v>4544</v>
      </c>
      <c r="B586" t="s">
        <v>4545</v>
      </c>
      <c r="C586" t="s">
        <v>12955</v>
      </c>
      <c r="D586" s="19">
        <v>585</v>
      </c>
      <c r="E586" s="19" t="str">
        <f t="shared" ref="E586:E649" si="29">CONCATENATE("E",C586)</f>
        <v>E2_7_4_8</v>
      </c>
      <c r="F586" s="19" t="s">
        <v>13620</v>
      </c>
      <c r="G586" s="19" t="s">
        <v>15035</v>
      </c>
      <c r="H586" s="19" t="s">
        <v>14306</v>
      </c>
      <c r="I586" s="19" t="s">
        <v>15721</v>
      </c>
      <c r="J586" s="19" t="str">
        <f t="shared" si="27"/>
        <v>(${Variables:E2_7_4_8_kcat} * E2_7_4_8 * C00002 * C00362)/(${Variables:E2_7_4_8_km} + (E2_7_4_8 * C00002 * C00362))</v>
      </c>
      <c r="K586" s="37" t="str">
        <f t="shared" si="28"/>
        <v>r585: C00002 + C00362 -&gt; C00008 + C00361 | (${Variables:E2_7_4_8_kcat} * E2_7_4_8 * C00002 * C00362)/(${Variables:E2_7_4_8_km} + (E2_7_4_8 * C00002 * C00362))</v>
      </c>
    </row>
    <row r="587" spans="1:11" ht="46.25" customHeight="1">
      <c r="A587" t="s">
        <v>4544</v>
      </c>
      <c r="B587" t="s">
        <v>4545</v>
      </c>
      <c r="C587" t="s">
        <v>12955</v>
      </c>
      <c r="D587" s="19">
        <v>586</v>
      </c>
      <c r="E587" s="19" t="str">
        <f t="shared" si="29"/>
        <v>E2_7_4_8</v>
      </c>
      <c r="F587" s="19" t="s">
        <v>13621</v>
      </c>
      <c r="G587" s="19" t="s">
        <v>15036</v>
      </c>
      <c r="H587" s="19" t="s">
        <v>14307</v>
      </c>
      <c r="I587" s="19" t="s">
        <v>15722</v>
      </c>
      <c r="J587" s="19" t="str">
        <f t="shared" ref="J587:J650" si="30">CONCATENATE("(${Variables:",E587,"_kcat","} * ",E587," * ",G587,")","/(${Variables:",E587,"_km","} + (",E587," * ",G587,"))")</f>
        <v>(${Variables:E2_7_4_8_kcat} * E2_7_4_8 * C22441 * C00002)/(${Variables:E2_7_4_8_km} + (E2_7_4_8 * C22441 * C00002))</v>
      </c>
      <c r="K587" s="37" t="str">
        <f t="shared" ref="K587:K650" si="31">CONCATENATE("r",D587,": ",F587," -&gt; ",H587," | ",J587)</f>
        <v>r586: C22441 + C00002 -&gt; C22442 + C00008 | (${Variables:E2_7_4_8_kcat} * E2_7_4_8 * C22441 * C00002)/(${Variables:E2_7_4_8_km} + (E2_7_4_8 * C22441 * C00002))</v>
      </c>
    </row>
    <row r="588" spans="1:11" ht="46.25" customHeight="1">
      <c r="A588" t="s">
        <v>2160</v>
      </c>
      <c r="B588" t="s">
        <v>2161</v>
      </c>
      <c r="C588" t="s">
        <v>12956</v>
      </c>
      <c r="D588" s="19">
        <v>587</v>
      </c>
      <c r="E588" s="19" t="str">
        <f t="shared" si="29"/>
        <v>E2_7_4_9</v>
      </c>
      <c r="F588" s="19" t="s">
        <v>13622</v>
      </c>
      <c r="G588" s="19" t="s">
        <v>15037</v>
      </c>
      <c r="H588" s="19" t="s">
        <v>14308</v>
      </c>
      <c r="I588" s="19" t="s">
        <v>15723</v>
      </c>
      <c r="J588" s="19" t="str">
        <f t="shared" si="30"/>
        <v>(${Variables:E2_7_4_9_kcat} * E2_7_4_9 * C00002 * C00364)/(${Variables:E2_7_4_9_km} + (E2_7_4_9 * C00002 * C00364))</v>
      </c>
      <c r="K588" s="37" t="str">
        <f t="shared" si="31"/>
        <v>r587: C00002 + C00364 -&gt; C00008 + C00363 | (${Variables:E2_7_4_9_kcat} * E2_7_4_9 * C00002 * C00364)/(${Variables:E2_7_4_9_km} + (E2_7_4_9 * C00002 * C00364))</v>
      </c>
    </row>
    <row r="589" spans="1:11" ht="46.25" customHeight="1">
      <c r="A589" t="s">
        <v>2160</v>
      </c>
      <c r="B589" t="s">
        <v>2161</v>
      </c>
      <c r="C589" t="s">
        <v>12956</v>
      </c>
      <c r="D589" s="19">
        <v>588</v>
      </c>
      <c r="E589" s="19" t="str">
        <f t="shared" si="29"/>
        <v>E2_7_4_9</v>
      </c>
      <c r="F589" s="19" t="s">
        <v>13623</v>
      </c>
      <c r="G589" s="19" t="s">
        <v>15038</v>
      </c>
      <c r="H589" s="19" t="s">
        <v>14309</v>
      </c>
      <c r="I589" s="19" t="s">
        <v>15724</v>
      </c>
      <c r="J589" s="19" t="str">
        <f t="shared" si="30"/>
        <v>(${Variables:E2_7_4_9_kcat} * E2_7_4_9 * C00002 * C00365)/(${Variables:E2_7_4_9_km} + (E2_7_4_9 * C00002 * C00365))</v>
      </c>
      <c r="K589" s="37" t="str">
        <f t="shared" si="31"/>
        <v>r588: C00002 + C00365 -&gt; C00008 + C01346 | (${Variables:E2_7_4_9_kcat} * E2_7_4_9 * C00002 * C00365)/(${Variables:E2_7_4_9_km} + (E2_7_4_9 * C00002 * C00365))</v>
      </c>
    </row>
    <row r="590" spans="1:11" ht="46.25" customHeight="1">
      <c r="A590" t="s">
        <v>2725</v>
      </c>
      <c r="B590" t="s">
        <v>2726</v>
      </c>
      <c r="C590" t="s">
        <v>12957</v>
      </c>
      <c r="D590" s="19">
        <v>589</v>
      </c>
      <c r="E590" s="19" t="str">
        <f t="shared" si="29"/>
        <v>E2_7_6_1</v>
      </c>
      <c r="F590" s="19" t="s">
        <v>13624</v>
      </c>
      <c r="G590" s="19" t="s">
        <v>15039</v>
      </c>
      <c r="H590" s="19" t="s">
        <v>14310</v>
      </c>
      <c r="I590" s="19" t="s">
        <v>15725</v>
      </c>
      <c r="J590" s="19" t="str">
        <f t="shared" si="30"/>
        <v>(${Variables:E2_7_6_1_kcat} * E2_7_6_1 * C00002 * C00117)/(${Variables:E2_7_6_1_km} + (E2_7_6_1 * C00002 * C00117))</v>
      </c>
      <c r="K590" s="37" t="str">
        <f t="shared" si="31"/>
        <v>r589: C00002 + C00117 -&gt; C00020 + C00119 | (${Variables:E2_7_6_1_kcat} * E2_7_6_1 * C00002 * C00117)/(${Variables:E2_7_6_1_km} + (E2_7_6_1 * C00002 * C00117))</v>
      </c>
    </row>
    <row r="591" spans="1:11" ht="46.25" customHeight="1">
      <c r="A591" t="s">
        <v>7392</v>
      </c>
      <c r="B591" t="s">
        <v>7393</v>
      </c>
      <c r="C591" t="s">
        <v>12958</v>
      </c>
      <c r="D591" s="19">
        <v>590</v>
      </c>
      <c r="E591" s="19" t="str">
        <f t="shared" si="29"/>
        <v>E2_7_6_3</v>
      </c>
      <c r="F591" s="19" t="s">
        <v>13625</v>
      </c>
      <c r="G591" s="19" t="s">
        <v>15040</v>
      </c>
      <c r="H591" s="19" t="s">
        <v>14311</v>
      </c>
      <c r="I591" s="19" t="s">
        <v>15726</v>
      </c>
      <c r="J591" s="19" t="str">
        <f t="shared" si="30"/>
        <v>(${Variables:E2_7_6_3_kcat} * E2_7_6_3 * C00002 * C01300)/(${Variables:E2_7_6_3_km} + (E2_7_6_3 * C00002 * C01300))</v>
      </c>
      <c r="K591" s="37" t="str">
        <f t="shared" si="31"/>
        <v>r590: C00002 + C01300 -&gt; C00020 + C04807 | (${Variables:E2_7_6_3_kcat} * E2_7_6_3 * C00002 * C01300)/(${Variables:E2_7_6_3_km} + (E2_7_6_3 * C00002 * C01300))</v>
      </c>
    </row>
    <row r="592" spans="1:11" ht="46.25" customHeight="1">
      <c r="A592" t="s">
        <v>3346</v>
      </c>
      <c r="B592" t="s">
        <v>3347</v>
      </c>
      <c r="C592" t="s">
        <v>12959</v>
      </c>
      <c r="D592" s="19">
        <v>591</v>
      </c>
      <c r="E592" s="19" t="str">
        <f t="shared" si="29"/>
        <v>E2_7_6_5</v>
      </c>
      <c r="F592" s="19" t="s">
        <v>13626</v>
      </c>
      <c r="G592" s="19" t="s">
        <v>15041</v>
      </c>
      <c r="H592" s="19" t="s">
        <v>14312</v>
      </c>
      <c r="I592" s="19" t="s">
        <v>15727</v>
      </c>
      <c r="J592" s="19" t="str">
        <f t="shared" si="30"/>
        <v>(${Variables:E2_7_6_5_kcat} * E2_7_6_5 * C00002 * C00044)/(${Variables:E2_7_6_5_km} + (E2_7_6_5 * C00002 * C00044))</v>
      </c>
      <c r="K592" s="37" t="str">
        <f t="shared" si="31"/>
        <v>r591: C00002 + C00044 -&gt; C00020 + C04494 | (${Variables:E2_7_6_5_kcat} * E2_7_6_5 * C00002 * C00044)/(${Variables:E2_7_6_5_km} + (E2_7_6_5 * C00002 * C00044))</v>
      </c>
    </row>
    <row r="593" spans="1:11" ht="46.25" customHeight="1">
      <c r="A593" t="s">
        <v>4676</v>
      </c>
      <c r="B593" t="s">
        <v>4677</v>
      </c>
      <c r="C593" t="s">
        <v>12959</v>
      </c>
      <c r="D593" s="19">
        <v>592</v>
      </c>
      <c r="E593" s="19" t="str">
        <f t="shared" si="29"/>
        <v>E2_7_6_5</v>
      </c>
      <c r="F593" s="19" t="s">
        <v>13626</v>
      </c>
      <c r="G593" s="19" t="s">
        <v>15041</v>
      </c>
      <c r="H593" s="19" t="s">
        <v>14312</v>
      </c>
      <c r="I593" s="19" t="s">
        <v>15727</v>
      </c>
      <c r="J593" s="19" t="str">
        <f t="shared" si="30"/>
        <v>(${Variables:E2_7_6_5_kcat} * E2_7_6_5 * C00002 * C00044)/(${Variables:E2_7_6_5_km} + (E2_7_6_5 * C00002 * C00044))</v>
      </c>
      <c r="K593" s="37" t="str">
        <f t="shared" si="31"/>
        <v>r592: C00002 + C00044 -&gt; C00020 + C04494 | (${Variables:E2_7_6_5_kcat} * E2_7_6_5 * C00002 * C00044)/(${Variables:E2_7_6_5_km} + (E2_7_6_5 * C00002 * C00044))</v>
      </c>
    </row>
    <row r="594" spans="1:11" ht="46.25" customHeight="1">
      <c r="A594" t="s">
        <v>5838</v>
      </c>
      <c r="B594" t="s">
        <v>5839</v>
      </c>
      <c r="C594" t="s">
        <v>12959</v>
      </c>
      <c r="D594" s="19">
        <v>593</v>
      </c>
      <c r="E594" s="19" t="str">
        <f t="shared" si="29"/>
        <v>E2_7_6_5</v>
      </c>
      <c r="F594" s="19" t="s">
        <v>13626</v>
      </c>
      <c r="G594" s="19" t="s">
        <v>15041</v>
      </c>
      <c r="H594" s="19" t="s">
        <v>14312</v>
      </c>
      <c r="I594" s="19" t="s">
        <v>15727</v>
      </c>
      <c r="J594" s="19" t="str">
        <f t="shared" si="30"/>
        <v>(${Variables:E2_7_6_5_kcat} * E2_7_6_5 * C00002 * C00044)/(${Variables:E2_7_6_5_km} + (E2_7_6_5 * C00002 * C00044))</v>
      </c>
      <c r="K594" s="37" t="str">
        <f t="shared" si="31"/>
        <v>r593: C00002 + C00044 -&gt; C00020 + C04494 | (${Variables:E2_7_6_5_kcat} * E2_7_6_5 * C00002 * C00044)/(${Variables:E2_7_6_5_km} + (E2_7_6_5 * C00002 * C00044))</v>
      </c>
    </row>
    <row r="595" spans="1:11" ht="46.25" customHeight="1">
      <c r="A595" t="s">
        <v>2131</v>
      </c>
      <c r="B595" t="s">
        <v>2132</v>
      </c>
      <c r="C595" t="s">
        <v>12961</v>
      </c>
      <c r="D595" s="19">
        <v>594</v>
      </c>
      <c r="E595" s="19" t="str">
        <f t="shared" si="29"/>
        <v>E2_7_7_13</v>
      </c>
      <c r="F595" s="19" t="s">
        <v>13627</v>
      </c>
      <c r="G595" s="19" t="s">
        <v>15042</v>
      </c>
      <c r="H595" s="19" t="s">
        <v>14313</v>
      </c>
      <c r="I595" s="19" t="s">
        <v>15728</v>
      </c>
      <c r="J595" s="19" t="str">
        <f t="shared" si="30"/>
        <v>(${Variables:E2_7_7_13_kcat} * E2_7_7_13 * C00044 * C00636)/(${Variables:E2_7_7_13_km} + (E2_7_7_13 * C00044 * C00636))</v>
      </c>
      <c r="K595" s="37" t="str">
        <f t="shared" si="31"/>
        <v>r594: C00044 + C00636 -&gt; C00013 + C00096 | (${Variables:E2_7_7_13_kcat} * E2_7_7_13 * C00044 * C00636)/(${Variables:E2_7_7_13_km} + (E2_7_7_13 * C00044 * C00636))</v>
      </c>
    </row>
    <row r="596" spans="1:11" ht="46.25" customHeight="1">
      <c r="A596" t="s">
        <v>6487</v>
      </c>
      <c r="B596" t="s">
        <v>6488</v>
      </c>
      <c r="C596" t="s">
        <v>12962</v>
      </c>
      <c r="D596" s="19">
        <v>595</v>
      </c>
      <c r="E596" s="19" t="str">
        <f t="shared" si="29"/>
        <v>E2_7_7_18</v>
      </c>
      <c r="F596" s="19" t="s">
        <v>13628</v>
      </c>
      <c r="G596" s="19" t="s">
        <v>15043</v>
      </c>
      <c r="H596" s="19" t="s">
        <v>14314</v>
      </c>
      <c r="I596" s="19" t="s">
        <v>15729</v>
      </c>
      <c r="J596" s="19" t="str">
        <f t="shared" si="30"/>
        <v>(${Variables:E2_7_7_18_kcat} * E2_7_7_18 * C00002 * C01185)/(${Variables:E2_7_7_18_km} + (E2_7_7_18 * C00002 * C01185))</v>
      </c>
      <c r="K596" s="37" t="str">
        <f t="shared" si="31"/>
        <v>r595: C00002 + C01185 -&gt; C00013 + C00857 | (${Variables:E2_7_7_18_kcat} * E2_7_7_18 * C00002 * C01185)/(${Variables:E2_7_7_18_km} + (E2_7_7_18 * C00002 * C01185))</v>
      </c>
    </row>
    <row r="597" spans="1:11" ht="46.25" customHeight="1">
      <c r="A597" t="s">
        <v>6487</v>
      </c>
      <c r="B597" t="s">
        <v>6488</v>
      </c>
      <c r="C597" t="s">
        <v>12962</v>
      </c>
      <c r="D597" s="19">
        <v>596</v>
      </c>
      <c r="E597" s="19" t="str">
        <f t="shared" si="29"/>
        <v>E2_7_7_18</v>
      </c>
      <c r="F597" s="19" t="s">
        <v>13629</v>
      </c>
      <c r="G597" s="19" t="s">
        <v>15044</v>
      </c>
      <c r="H597" s="19" t="s">
        <v>14315</v>
      </c>
      <c r="I597" s="19" t="s">
        <v>15730</v>
      </c>
      <c r="J597" s="19" t="str">
        <f t="shared" si="30"/>
        <v>(${Variables:E2_7_7_18_kcat} * E2_7_7_18 * C00002 * C00455)/(${Variables:E2_7_7_18_km} + (E2_7_7_18 * C00002 * C00455))</v>
      </c>
      <c r="K597" s="37" t="str">
        <f t="shared" si="31"/>
        <v>r596: C00002 + C00455 -&gt; C00013 + C00003 | (${Variables:E2_7_7_18_kcat} * E2_7_7_18 * C00002 * C00455)/(${Variables:E2_7_7_18_km} + (E2_7_7_18 * C00002 * C00455))</v>
      </c>
    </row>
    <row r="598" spans="1:11" ht="46.25" customHeight="1">
      <c r="A598" t="s">
        <v>5450</v>
      </c>
      <c r="B598" t="s">
        <v>5451</v>
      </c>
      <c r="C598" t="s">
        <v>12963</v>
      </c>
      <c r="D598" s="19">
        <v>597</v>
      </c>
      <c r="E598" s="19" t="str">
        <f t="shared" si="29"/>
        <v>E2_7_7_2</v>
      </c>
      <c r="F598" s="19" t="s">
        <v>13630</v>
      </c>
      <c r="G598" s="19" t="s">
        <v>15045</v>
      </c>
      <c r="H598" s="19" t="s">
        <v>14316</v>
      </c>
      <c r="I598" s="19" t="s">
        <v>15731</v>
      </c>
      <c r="J598" s="19" t="str">
        <f t="shared" si="30"/>
        <v>(${Variables:E2_7_7_2_kcat} * E2_7_7_2 * C00002 * C00061)/(${Variables:E2_7_7_2_km} + (E2_7_7_2 * C00002 * C00061))</v>
      </c>
      <c r="K598" s="37" t="str">
        <f t="shared" si="31"/>
        <v>r597: C00002 + C00061 -&gt; C00013 + C00016 | (${Variables:E2_7_7_2_kcat} * E2_7_7_2 * C00002 * C00061)/(${Variables:E2_7_7_2_km} + (E2_7_7_2 * C00002 * C00061))</v>
      </c>
    </row>
    <row r="599" spans="1:11" ht="46.25" customHeight="1">
      <c r="A599" t="s">
        <v>2729</v>
      </c>
      <c r="B599" t="s">
        <v>2730</v>
      </c>
      <c r="C599" t="s">
        <v>12964</v>
      </c>
      <c r="D599" s="19">
        <v>598</v>
      </c>
      <c r="E599" s="19" t="str">
        <f t="shared" si="29"/>
        <v>E2_7_7_23</v>
      </c>
      <c r="F599" s="19" t="s">
        <v>13631</v>
      </c>
      <c r="G599" s="19" t="s">
        <v>15046</v>
      </c>
      <c r="H599" s="19" t="s">
        <v>14317</v>
      </c>
      <c r="I599" s="19" t="s">
        <v>15732</v>
      </c>
      <c r="J599" s="19" t="str">
        <f t="shared" si="30"/>
        <v>(${Variables:E2_7_7_23_kcat} * E2_7_7_23 * C00075 * C04501)/(${Variables:E2_7_7_23_km} + (E2_7_7_23 * C00075 * C04501))</v>
      </c>
      <c r="K599" s="37" t="str">
        <f t="shared" si="31"/>
        <v>r598: C00075 + C04501 -&gt; C00013 + C00043 | (${Variables:E2_7_7_23_kcat} * E2_7_7_23 * C00075 * C04501)/(${Variables:E2_7_7_23_km} + (E2_7_7_23 * C00075 * C04501))</v>
      </c>
    </row>
    <row r="600" spans="1:11" ht="46.25" customHeight="1">
      <c r="A600" t="s">
        <v>996</v>
      </c>
      <c r="B600" t="s">
        <v>997</v>
      </c>
      <c r="C600" t="s">
        <v>12965</v>
      </c>
      <c r="D600" s="19">
        <v>599</v>
      </c>
      <c r="E600" s="19" t="str">
        <f t="shared" si="29"/>
        <v>E2_7_7_24</v>
      </c>
      <c r="F600" s="19" t="s">
        <v>13632</v>
      </c>
      <c r="G600" s="19" t="s">
        <v>15047</v>
      </c>
      <c r="H600" s="19" t="s">
        <v>14318</v>
      </c>
      <c r="I600" s="19" t="s">
        <v>15733</v>
      </c>
      <c r="J600" s="19" t="str">
        <f t="shared" si="30"/>
        <v>(${Variables:E2_7_7_24_kcat} * E2_7_7_24 * C00459 * C00103)/(${Variables:E2_7_7_24_km} + (E2_7_7_24 * C00459 * C00103))</v>
      </c>
      <c r="K600" s="37" t="str">
        <f t="shared" si="31"/>
        <v>r599: C00459 + C00103 -&gt; C00013 + C00842 | (${Variables:E2_7_7_24_kcat} * E2_7_7_24 * C00459 * C00103)/(${Variables:E2_7_7_24_km} + (E2_7_7_24 * C00459 * C00103))</v>
      </c>
    </row>
    <row r="601" spans="1:11" ht="46.25" customHeight="1">
      <c r="A601" t="s">
        <v>3194</v>
      </c>
      <c r="B601" t="s">
        <v>3195</v>
      </c>
      <c r="C601" t="s">
        <v>12966</v>
      </c>
      <c r="D601" s="19">
        <v>600</v>
      </c>
      <c r="E601" s="19" t="str">
        <f t="shared" si="29"/>
        <v>E2_7_7_27</v>
      </c>
      <c r="F601" s="19" t="s">
        <v>13633</v>
      </c>
      <c r="G601" s="19" t="s">
        <v>15048</v>
      </c>
      <c r="H601" s="19" t="s">
        <v>14319</v>
      </c>
      <c r="I601" s="19" t="s">
        <v>15734</v>
      </c>
      <c r="J601" s="19" t="str">
        <f t="shared" si="30"/>
        <v>(${Variables:E2_7_7_27_kcat} * E2_7_7_27 * C00002 * C00103)/(${Variables:E2_7_7_27_km} + (E2_7_7_27 * C00002 * C00103))</v>
      </c>
      <c r="K601" s="37" t="str">
        <f t="shared" si="31"/>
        <v>r600: C00002 + C00103 -&gt; C00013 + C00498 | (${Variables:E2_7_7_27_kcat} * E2_7_7_27 * C00002 * C00103)/(${Variables:E2_7_7_27_km} + (E2_7_7_27 * C00002 * C00103))</v>
      </c>
    </row>
    <row r="602" spans="1:11" ht="46.25" customHeight="1">
      <c r="A602" t="s">
        <v>3762</v>
      </c>
      <c r="B602" t="s">
        <v>3763</v>
      </c>
      <c r="C602" t="s">
        <v>12967</v>
      </c>
      <c r="D602" s="19">
        <v>601</v>
      </c>
      <c r="E602" s="19" t="str">
        <f t="shared" si="29"/>
        <v>E2_7_7_3</v>
      </c>
      <c r="F602" s="19" t="s">
        <v>13634</v>
      </c>
      <c r="G602" s="19" t="s">
        <v>15049</v>
      </c>
      <c r="H602" s="19" t="s">
        <v>14320</v>
      </c>
      <c r="I602" s="19" t="s">
        <v>15735</v>
      </c>
      <c r="J602" s="19" t="str">
        <f t="shared" si="30"/>
        <v>(${Variables:E2_7_7_3_kcat} * E2_7_7_3 * C00002 * C01134)/(${Variables:E2_7_7_3_km} + (E2_7_7_3 * C00002 * C01134))</v>
      </c>
      <c r="K602" s="37" t="str">
        <f t="shared" si="31"/>
        <v>r601: C00002 + C01134 -&gt; C00013 + C00882 | (${Variables:E2_7_7_3_kcat} * E2_7_7_3 * C00002 * C01134)/(${Variables:E2_7_7_3_km} + (E2_7_7_3 * C00002 * C01134))</v>
      </c>
    </row>
    <row r="603" spans="1:11" ht="46.25" customHeight="1">
      <c r="A603" t="s">
        <v>7700</v>
      </c>
      <c r="B603" t="s">
        <v>7701</v>
      </c>
      <c r="C603" t="s">
        <v>12968</v>
      </c>
      <c r="D603" s="19">
        <v>602</v>
      </c>
      <c r="E603" s="19" t="str">
        <f t="shared" si="29"/>
        <v>E2_7_7_4</v>
      </c>
      <c r="F603" s="19" t="s">
        <v>13635</v>
      </c>
      <c r="G603" s="19" t="s">
        <v>15050</v>
      </c>
      <c r="H603" s="19" t="s">
        <v>14321</v>
      </c>
      <c r="I603" s="19" t="s">
        <v>15736</v>
      </c>
      <c r="J603" s="19" t="str">
        <f t="shared" si="30"/>
        <v>(${Variables:E2_7_7_4_kcat} * E2_7_7_4 * C00002 * C00059)/(${Variables:E2_7_7_4_km} + (E2_7_7_4 * C00002 * C00059))</v>
      </c>
      <c r="K603" s="37" t="str">
        <f t="shared" si="31"/>
        <v>r602: C00002 + C00059 -&gt; C00013 + C00224 | (${Variables:E2_7_7_4_kcat} * E2_7_7_4 * C00002 * C00059)/(${Variables:E2_7_7_4_km} + (E2_7_7_4 * C00002 * C00059))</v>
      </c>
    </row>
    <row r="604" spans="1:11" ht="46.25" customHeight="1">
      <c r="A604" t="s">
        <v>7700</v>
      </c>
      <c r="B604" t="s">
        <v>7701</v>
      </c>
      <c r="C604" t="s">
        <v>12968</v>
      </c>
      <c r="D604" s="19">
        <v>603</v>
      </c>
      <c r="E604" s="19" t="str">
        <f t="shared" si="29"/>
        <v>E2_7_7_4</v>
      </c>
      <c r="F604" s="19" t="s">
        <v>13636</v>
      </c>
      <c r="G604" s="19" t="s">
        <v>15051</v>
      </c>
      <c r="H604" s="19" t="s">
        <v>14322</v>
      </c>
      <c r="I604" s="19" t="s">
        <v>15737</v>
      </c>
      <c r="J604" s="19" t="str">
        <f t="shared" si="30"/>
        <v>(${Variables:E2_7_7_4_kcat} * E2_7_7_4 * C00002 * C05697)/(${Variables:E2_7_7_4_km} + (E2_7_7_4 * C00002 * C05697))</v>
      </c>
      <c r="K604" s="37" t="str">
        <f t="shared" si="31"/>
        <v>r603: C00002 + C05697 -&gt; C00013 + C05686 | (${Variables:E2_7_7_4_kcat} * E2_7_7_4 * C00002 * C05697)/(${Variables:E2_7_7_4_km} + (E2_7_7_4 * C00002 * C05697))</v>
      </c>
    </row>
    <row r="605" spans="1:11" ht="46.25" customHeight="1">
      <c r="A605" t="s">
        <v>5571</v>
      </c>
      <c r="B605" t="s">
        <v>5572</v>
      </c>
      <c r="C605" t="s">
        <v>16036</v>
      </c>
      <c r="D605" s="19">
        <v>604</v>
      </c>
      <c r="E605" s="19" t="str">
        <f t="shared" si="29"/>
        <v>E2_7_7_41</v>
      </c>
      <c r="F605" s="19" t="s">
        <v>13637</v>
      </c>
      <c r="G605" s="19" t="s">
        <v>15052</v>
      </c>
      <c r="H605" s="19" t="s">
        <v>14323</v>
      </c>
      <c r="I605" s="19" t="s">
        <v>15738</v>
      </c>
      <c r="J605" s="19" t="str">
        <f t="shared" si="30"/>
        <v>(${Variables:E2_7_7_41_kcat} * E2_7_7_41 * C00063 * C00416)/(${Variables:E2_7_7_41_km} + (E2_7_7_41 * C00063 * C00416))</v>
      </c>
      <c r="K605" s="37" t="str">
        <f t="shared" si="31"/>
        <v>r604: C00063 + C00416 -&gt; C00013 + C00269 | (${Variables:E2_7_7_41_kcat} * E2_7_7_41 * C00063 * C00416)/(${Variables:E2_7_7_41_km} + (E2_7_7_41 * C00063 * C00416))</v>
      </c>
    </row>
    <row r="606" spans="1:11" ht="46.25" customHeight="1">
      <c r="A606" t="s">
        <v>6147</v>
      </c>
      <c r="B606" t="s">
        <v>6148</v>
      </c>
      <c r="C606" t="s">
        <v>16037</v>
      </c>
      <c r="D606" s="19">
        <v>605</v>
      </c>
      <c r="E606" s="19" t="str">
        <f t="shared" si="29"/>
        <v>E2_7_7_42</v>
      </c>
      <c r="F606" s="19" t="s">
        <v>13638</v>
      </c>
      <c r="G606" s="19" t="s">
        <v>15053</v>
      </c>
      <c r="H606" s="19" t="s">
        <v>14324</v>
      </c>
      <c r="I606" s="19" t="s">
        <v>15739</v>
      </c>
      <c r="J606" s="19" t="str">
        <f t="shared" si="30"/>
        <v>(${Variables:E2_7_7_42_kcat} * E2_7_7_42 * C00002 * C01281)/(${Variables:E2_7_7_42_km} + (E2_7_7_42 * C00002 * C01281))</v>
      </c>
      <c r="K606" s="37" t="str">
        <f t="shared" si="31"/>
        <v>r605: C00002 + C01281 -&gt; C00013 + C01299 | (${Variables:E2_7_7_42_kcat} * E2_7_7_42 * C00002 * C01281)/(${Variables:E2_7_7_42_km} + (E2_7_7_42 * C00002 * C01281))</v>
      </c>
    </row>
    <row r="607" spans="1:11" ht="46.25" customHeight="1">
      <c r="A607" t="s">
        <v>6876</v>
      </c>
      <c r="B607" t="s">
        <v>6877</v>
      </c>
      <c r="C607" t="s">
        <v>12969</v>
      </c>
      <c r="D607" s="19">
        <v>606</v>
      </c>
      <c r="E607" s="19" t="str">
        <f t="shared" si="29"/>
        <v>E2_7_7_56</v>
      </c>
      <c r="F607" s="19" t="s">
        <v>13639</v>
      </c>
      <c r="G607" s="19" t="s">
        <v>15054</v>
      </c>
      <c r="H607" s="19" t="s">
        <v>14325</v>
      </c>
      <c r="I607" s="19" t="s">
        <v>15740</v>
      </c>
      <c r="J607" s="19" t="str">
        <f t="shared" si="30"/>
        <v>(${Variables:E2_7_7_56_kcat} * E2_7_7_56 * C00066 * C00009)/(${Variables:E2_7_7_56_km} + (E2_7_7_56 * C00066 * C00009))</v>
      </c>
      <c r="K607" s="37" t="str">
        <f t="shared" si="31"/>
        <v>r606: C00066 + C00009 -&gt; C00066 + C00454 | (${Variables:E2_7_7_56_kcat} * E2_7_7_56 * C00066 * C00009)/(${Variables:E2_7_7_56_km} + (E2_7_7_56 * C00066 * C00009))</v>
      </c>
    </row>
    <row r="608" spans="1:11" ht="46.25" customHeight="1">
      <c r="A608" t="s">
        <v>5679</v>
      </c>
      <c r="B608" t="s">
        <v>5680</v>
      </c>
      <c r="C608" t="s">
        <v>12970</v>
      </c>
      <c r="D608" s="19">
        <v>607</v>
      </c>
      <c r="E608" s="19" t="str">
        <f t="shared" si="29"/>
        <v>E2_7_7_59</v>
      </c>
      <c r="F608" s="19" t="s">
        <v>13640</v>
      </c>
      <c r="G608" s="19" t="s">
        <v>15055</v>
      </c>
      <c r="H608" s="19" t="s">
        <v>14326</v>
      </c>
      <c r="I608" s="19" t="s">
        <v>15741</v>
      </c>
      <c r="J608" s="19" t="str">
        <f t="shared" si="30"/>
        <v>(${Variables:E2_7_7_59_kcat} * E2_7_7_59 * C00075 * C05250)/(${Variables:E2_7_7_59_km} + (E2_7_7_59 * C00075 * C05250))</v>
      </c>
      <c r="K608" s="37" t="str">
        <f t="shared" si="31"/>
        <v>r607: C00075 + C05250 -&gt; C00013 + C05326 | (${Variables:E2_7_7_59_kcat} * E2_7_7_59 * C00075 * C05250)/(${Variables:E2_7_7_59_km} + (E2_7_7_59 * C00075 * C05250))</v>
      </c>
    </row>
    <row r="609" spans="1:11" ht="46.25" customHeight="1">
      <c r="A609" t="s">
        <v>1434</v>
      </c>
      <c r="B609" t="s">
        <v>1435</v>
      </c>
      <c r="C609" t="s">
        <v>12971</v>
      </c>
      <c r="D609" s="19">
        <v>608</v>
      </c>
      <c r="E609" s="19" t="str">
        <f t="shared" si="29"/>
        <v>E2_7_7_6</v>
      </c>
      <c r="F609" s="19" t="s">
        <v>13641</v>
      </c>
      <c r="G609" s="19" t="s">
        <v>15056</v>
      </c>
      <c r="H609" s="19" t="s">
        <v>14327</v>
      </c>
      <c r="I609" s="19" t="s">
        <v>15742</v>
      </c>
      <c r="J609" s="19" t="str">
        <f t="shared" si="30"/>
        <v>(${Variables:E2_7_7_6_kcat} * E2_7_7_6 * C00201 * C00046)/(${Variables:E2_7_7_6_km} + (E2_7_7_6 * C00201 * C00046))</v>
      </c>
      <c r="K609" s="37" t="str">
        <f t="shared" si="31"/>
        <v>r608: C00201 + C00046 -&gt; C00013 + C00046 | (${Variables:E2_7_7_6_kcat} * E2_7_7_6 * C00201 * C00046)/(${Variables:E2_7_7_6_km} + (E2_7_7_6 * C00201 * C00046))</v>
      </c>
    </row>
    <row r="610" spans="1:11" ht="46.25" customHeight="1">
      <c r="A610" t="s">
        <v>1434</v>
      </c>
      <c r="B610" t="s">
        <v>1435</v>
      </c>
      <c r="C610" t="s">
        <v>12971</v>
      </c>
      <c r="D610" s="19">
        <v>609</v>
      </c>
      <c r="E610" s="19" t="str">
        <f t="shared" si="29"/>
        <v>E2_7_7_6</v>
      </c>
      <c r="F610" s="19" t="s">
        <v>13642</v>
      </c>
      <c r="G610" s="19" t="s">
        <v>15057</v>
      </c>
      <c r="H610" s="19" t="s">
        <v>14327</v>
      </c>
      <c r="I610" s="19" t="s">
        <v>15742</v>
      </c>
      <c r="J610" s="19" t="str">
        <f t="shared" si="30"/>
        <v>(${Variables:E2_7_7_6_kcat} * E2_7_7_6 * C00002 * C00046)/(${Variables:E2_7_7_6_km} + (E2_7_7_6 * C00002 * C00046))</v>
      </c>
      <c r="K610" s="37" t="str">
        <f t="shared" si="31"/>
        <v>r609: C00002 + C00046 -&gt; C00013 + C00046 | (${Variables:E2_7_7_6_kcat} * E2_7_7_6 * C00002 * C00046)/(${Variables:E2_7_7_6_km} + (E2_7_7_6 * C00002 * C00046))</v>
      </c>
    </row>
    <row r="611" spans="1:11" ht="46.25" customHeight="1">
      <c r="A611" t="s">
        <v>1434</v>
      </c>
      <c r="B611" t="s">
        <v>1435</v>
      </c>
      <c r="C611" t="s">
        <v>12971</v>
      </c>
      <c r="D611" s="19">
        <v>610</v>
      </c>
      <c r="E611" s="19" t="str">
        <f t="shared" si="29"/>
        <v>E2_7_7_6</v>
      </c>
      <c r="F611" s="19" t="s">
        <v>13643</v>
      </c>
      <c r="G611" s="19" t="s">
        <v>15058</v>
      </c>
      <c r="H611" s="19" t="s">
        <v>14327</v>
      </c>
      <c r="I611" s="19" t="s">
        <v>15742</v>
      </c>
      <c r="J611" s="19" t="str">
        <f t="shared" si="30"/>
        <v>(${Variables:E2_7_7_6_kcat} * E2_7_7_6 * C00044 * C00046)/(${Variables:E2_7_7_6_km} + (E2_7_7_6 * C00044 * C00046))</v>
      </c>
      <c r="K611" s="37" t="str">
        <f t="shared" si="31"/>
        <v>r610: C00044 + C00046 -&gt; C00013 + C00046 | (${Variables:E2_7_7_6_kcat} * E2_7_7_6 * C00044 * C00046)/(${Variables:E2_7_7_6_km} + (E2_7_7_6 * C00044 * C00046))</v>
      </c>
    </row>
    <row r="612" spans="1:11" ht="46.25" customHeight="1">
      <c r="A612" t="s">
        <v>1434</v>
      </c>
      <c r="B612" t="s">
        <v>1435</v>
      </c>
      <c r="C612" t="s">
        <v>12971</v>
      </c>
      <c r="D612" s="19">
        <v>611</v>
      </c>
      <c r="E612" s="19" t="str">
        <f t="shared" si="29"/>
        <v>E2_7_7_6</v>
      </c>
      <c r="F612" s="19" t="s">
        <v>13644</v>
      </c>
      <c r="G612" s="19" t="s">
        <v>15059</v>
      </c>
      <c r="H612" s="19" t="s">
        <v>14327</v>
      </c>
      <c r="I612" s="19" t="s">
        <v>15742</v>
      </c>
      <c r="J612" s="19" t="str">
        <f t="shared" si="30"/>
        <v>(${Variables:E2_7_7_6_kcat} * E2_7_7_6 * C00063 * C00046)/(${Variables:E2_7_7_6_km} + (E2_7_7_6 * C00063 * C00046))</v>
      </c>
      <c r="K612" s="37" t="str">
        <f t="shared" si="31"/>
        <v>r611: C00063 + C00046 -&gt; C00013 + C00046 | (${Variables:E2_7_7_6_kcat} * E2_7_7_6 * C00063 * C00046)/(${Variables:E2_7_7_6_km} + (E2_7_7_6 * C00063 * C00046))</v>
      </c>
    </row>
    <row r="613" spans="1:11" ht="46.25" customHeight="1">
      <c r="A613" t="s">
        <v>1434</v>
      </c>
      <c r="B613" t="s">
        <v>1435</v>
      </c>
      <c r="C613" t="s">
        <v>12971</v>
      </c>
      <c r="D613" s="19">
        <v>612</v>
      </c>
      <c r="E613" s="19" t="str">
        <f t="shared" si="29"/>
        <v>E2_7_7_6</v>
      </c>
      <c r="F613" s="19" t="s">
        <v>13645</v>
      </c>
      <c r="G613" s="19" t="s">
        <v>15060</v>
      </c>
      <c r="H613" s="19" t="s">
        <v>14327</v>
      </c>
      <c r="I613" s="19" t="s">
        <v>15742</v>
      </c>
      <c r="J613" s="19" t="str">
        <f t="shared" si="30"/>
        <v>(${Variables:E2_7_7_6_kcat} * E2_7_7_6 * C00075 * C00046)/(${Variables:E2_7_7_6_km} + (E2_7_7_6 * C00075 * C00046))</v>
      </c>
      <c r="K613" s="37" t="str">
        <f t="shared" si="31"/>
        <v>r612: C00075 + C00046 -&gt; C00013 + C00046 | (${Variables:E2_7_7_6_kcat} * E2_7_7_6 * C00075 * C00046)/(${Variables:E2_7_7_6_km} + (E2_7_7_6 * C00075 * C00046))</v>
      </c>
    </row>
    <row r="614" spans="1:11" ht="46.25" customHeight="1">
      <c r="A614" t="s">
        <v>1434</v>
      </c>
      <c r="B614" t="s">
        <v>1435</v>
      </c>
      <c r="C614" t="s">
        <v>12971</v>
      </c>
      <c r="D614" s="19">
        <v>613</v>
      </c>
      <c r="E614" s="19" t="str">
        <f t="shared" si="29"/>
        <v>E2_7_7_6</v>
      </c>
      <c r="F614" s="19" t="s">
        <v>9579</v>
      </c>
      <c r="G614" s="19" t="s">
        <v>9579</v>
      </c>
      <c r="H614" s="19" t="s">
        <v>14328</v>
      </c>
      <c r="I614" s="19" t="s">
        <v>15743</v>
      </c>
      <c r="J614" s="19" t="str">
        <f t="shared" si="30"/>
        <v>(${Variables:E2_7_7_6_kcat} * E2_7_7_6 * C00201)/(${Variables:E2_7_7_6_km} + (E2_7_7_6 * C00201))</v>
      </c>
      <c r="K614" s="37" t="str">
        <f t="shared" si="31"/>
        <v>r613: C00201 -&gt; C20864 + C00013 | (${Variables:E2_7_7_6_kcat} * E2_7_7_6 * C00201)/(${Variables:E2_7_7_6_km} + (E2_7_7_6 * C00201))</v>
      </c>
    </row>
    <row r="615" spans="1:11" ht="46.25" customHeight="1">
      <c r="A615" t="s">
        <v>1437</v>
      </c>
      <c r="B615" t="s">
        <v>1438</v>
      </c>
      <c r="C615" t="s">
        <v>12971</v>
      </c>
      <c r="D615" s="19">
        <v>614</v>
      </c>
      <c r="E615" s="19" t="str">
        <f t="shared" si="29"/>
        <v>E2_7_7_6</v>
      </c>
      <c r="F615" s="19" t="s">
        <v>13641</v>
      </c>
      <c r="G615" s="19" t="s">
        <v>15056</v>
      </c>
      <c r="H615" s="19" t="s">
        <v>14327</v>
      </c>
      <c r="I615" s="19" t="s">
        <v>15742</v>
      </c>
      <c r="J615" s="19" t="str">
        <f t="shared" si="30"/>
        <v>(${Variables:E2_7_7_6_kcat} * E2_7_7_6 * C00201 * C00046)/(${Variables:E2_7_7_6_km} + (E2_7_7_6 * C00201 * C00046))</v>
      </c>
      <c r="K615" s="37" t="str">
        <f t="shared" si="31"/>
        <v>r614: C00201 + C00046 -&gt; C00013 + C00046 | (${Variables:E2_7_7_6_kcat} * E2_7_7_6 * C00201 * C00046)/(${Variables:E2_7_7_6_km} + (E2_7_7_6 * C00201 * C00046))</v>
      </c>
    </row>
    <row r="616" spans="1:11" ht="46.25" customHeight="1">
      <c r="A616" t="s">
        <v>1437</v>
      </c>
      <c r="B616" t="s">
        <v>1438</v>
      </c>
      <c r="C616" t="s">
        <v>12971</v>
      </c>
      <c r="D616" s="19">
        <v>615</v>
      </c>
      <c r="E616" s="19" t="str">
        <f t="shared" si="29"/>
        <v>E2_7_7_6</v>
      </c>
      <c r="F616" s="19" t="s">
        <v>13642</v>
      </c>
      <c r="G616" s="19" t="s">
        <v>15057</v>
      </c>
      <c r="H616" s="19" t="s">
        <v>14327</v>
      </c>
      <c r="I616" s="19" t="s">
        <v>15742</v>
      </c>
      <c r="J616" s="19" t="str">
        <f t="shared" si="30"/>
        <v>(${Variables:E2_7_7_6_kcat} * E2_7_7_6 * C00002 * C00046)/(${Variables:E2_7_7_6_km} + (E2_7_7_6 * C00002 * C00046))</v>
      </c>
      <c r="K616" s="37" t="str">
        <f t="shared" si="31"/>
        <v>r615: C00002 + C00046 -&gt; C00013 + C00046 | (${Variables:E2_7_7_6_kcat} * E2_7_7_6 * C00002 * C00046)/(${Variables:E2_7_7_6_km} + (E2_7_7_6 * C00002 * C00046))</v>
      </c>
    </row>
    <row r="617" spans="1:11" ht="46.25" customHeight="1">
      <c r="A617" t="s">
        <v>1437</v>
      </c>
      <c r="B617" t="s">
        <v>1438</v>
      </c>
      <c r="C617" t="s">
        <v>12971</v>
      </c>
      <c r="D617" s="19">
        <v>616</v>
      </c>
      <c r="E617" s="19" t="str">
        <f t="shared" si="29"/>
        <v>E2_7_7_6</v>
      </c>
      <c r="F617" s="19" t="s">
        <v>13643</v>
      </c>
      <c r="G617" s="19" t="s">
        <v>15058</v>
      </c>
      <c r="H617" s="19" t="s">
        <v>14327</v>
      </c>
      <c r="I617" s="19" t="s">
        <v>15742</v>
      </c>
      <c r="J617" s="19" t="str">
        <f t="shared" si="30"/>
        <v>(${Variables:E2_7_7_6_kcat} * E2_7_7_6 * C00044 * C00046)/(${Variables:E2_7_7_6_km} + (E2_7_7_6 * C00044 * C00046))</v>
      </c>
      <c r="K617" s="37" t="str">
        <f t="shared" si="31"/>
        <v>r616: C00044 + C00046 -&gt; C00013 + C00046 | (${Variables:E2_7_7_6_kcat} * E2_7_7_6 * C00044 * C00046)/(${Variables:E2_7_7_6_km} + (E2_7_7_6 * C00044 * C00046))</v>
      </c>
    </row>
    <row r="618" spans="1:11" ht="46.25" customHeight="1">
      <c r="A618" t="s">
        <v>1437</v>
      </c>
      <c r="B618" t="s">
        <v>1438</v>
      </c>
      <c r="C618" t="s">
        <v>12971</v>
      </c>
      <c r="D618" s="19">
        <v>617</v>
      </c>
      <c r="E618" s="19" t="str">
        <f t="shared" si="29"/>
        <v>E2_7_7_6</v>
      </c>
      <c r="F618" s="19" t="s">
        <v>13644</v>
      </c>
      <c r="G618" s="19" t="s">
        <v>15059</v>
      </c>
      <c r="H618" s="19" t="s">
        <v>14327</v>
      </c>
      <c r="I618" s="19" t="s">
        <v>15742</v>
      </c>
      <c r="J618" s="19" t="str">
        <f t="shared" si="30"/>
        <v>(${Variables:E2_7_7_6_kcat} * E2_7_7_6 * C00063 * C00046)/(${Variables:E2_7_7_6_km} + (E2_7_7_6 * C00063 * C00046))</v>
      </c>
      <c r="K618" s="37" t="str">
        <f t="shared" si="31"/>
        <v>r617: C00063 + C00046 -&gt; C00013 + C00046 | (${Variables:E2_7_7_6_kcat} * E2_7_7_6 * C00063 * C00046)/(${Variables:E2_7_7_6_km} + (E2_7_7_6 * C00063 * C00046))</v>
      </c>
    </row>
    <row r="619" spans="1:11" ht="46.25" customHeight="1">
      <c r="A619" t="s">
        <v>1437</v>
      </c>
      <c r="B619" t="s">
        <v>1438</v>
      </c>
      <c r="C619" t="s">
        <v>12971</v>
      </c>
      <c r="D619" s="19">
        <v>618</v>
      </c>
      <c r="E619" s="19" t="str">
        <f t="shared" si="29"/>
        <v>E2_7_7_6</v>
      </c>
      <c r="F619" s="19" t="s">
        <v>13645</v>
      </c>
      <c r="G619" s="19" t="s">
        <v>15060</v>
      </c>
      <c r="H619" s="19" t="s">
        <v>14327</v>
      </c>
      <c r="I619" s="19" t="s">
        <v>15742</v>
      </c>
      <c r="J619" s="19" t="str">
        <f t="shared" si="30"/>
        <v>(${Variables:E2_7_7_6_kcat} * E2_7_7_6 * C00075 * C00046)/(${Variables:E2_7_7_6_km} + (E2_7_7_6 * C00075 * C00046))</v>
      </c>
      <c r="K619" s="37" t="str">
        <f t="shared" si="31"/>
        <v>r618: C00075 + C00046 -&gt; C00013 + C00046 | (${Variables:E2_7_7_6_kcat} * E2_7_7_6 * C00075 * C00046)/(${Variables:E2_7_7_6_km} + (E2_7_7_6 * C00075 * C00046))</v>
      </c>
    </row>
    <row r="620" spans="1:11" ht="46.25" customHeight="1">
      <c r="A620" t="s">
        <v>1437</v>
      </c>
      <c r="B620" t="s">
        <v>1438</v>
      </c>
      <c r="C620" t="s">
        <v>12971</v>
      </c>
      <c r="D620" s="19">
        <v>619</v>
      </c>
      <c r="E620" s="19" t="str">
        <f t="shared" si="29"/>
        <v>E2_7_7_6</v>
      </c>
      <c r="F620" s="19" t="s">
        <v>9579</v>
      </c>
      <c r="G620" s="19" t="s">
        <v>9579</v>
      </c>
      <c r="H620" s="19" t="s">
        <v>14328</v>
      </c>
      <c r="I620" s="19" t="s">
        <v>15743</v>
      </c>
      <c r="J620" s="19" t="str">
        <f t="shared" si="30"/>
        <v>(${Variables:E2_7_7_6_kcat} * E2_7_7_6 * C00201)/(${Variables:E2_7_7_6_km} + (E2_7_7_6 * C00201))</v>
      </c>
      <c r="K620" s="37" t="str">
        <f t="shared" si="31"/>
        <v>r619: C00201 -&gt; C20864 + C00013 | (${Variables:E2_7_7_6_kcat} * E2_7_7_6 * C00201)/(${Variables:E2_7_7_6_km} + (E2_7_7_6 * C00201))</v>
      </c>
    </row>
    <row r="621" spans="1:11" ht="46.25" customHeight="1">
      <c r="A621" t="s">
        <v>1651</v>
      </c>
      <c r="B621" t="s">
        <v>1652</v>
      </c>
      <c r="C621" t="s">
        <v>12971</v>
      </c>
      <c r="D621" s="19">
        <v>620</v>
      </c>
      <c r="E621" s="19" t="str">
        <f t="shared" si="29"/>
        <v>E2_7_7_6</v>
      </c>
      <c r="F621" s="19" t="s">
        <v>13641</v>
      </c>
      <c r="G621" s="19" t="s">
        <v>15056</v>
      </c>
      <c r="H621" s="19" t="s">
        <v>14327</v>
      </c>
      <c r="I621" s="19" t="s">
        <v>15742</v>
      </c>
      <c r="J621" s="19" t="str">
        <f t="shared" si="30"/>
        <v>(${Variables:E2_7_7_6_kcat} * E2_7_7_6 * C00201 * C00046)/(${Variables:E2_7_7_6_km} + (E2_7_7_6 * C00201 * C00046))</v>
      </c>
      <c r="K621" s="37" t="str">
        <f t="shared" si="31"/>
        <v>r620: C00201 + C00046 -&gt; C00013 + C00046 | (${Variables:E2_7_7_6_kcat} * E2_7_7_6 * C00201 * C00046)/(${Variables:E2_7_7_6_km} + (E2_7_7_6 * C00201 * C00046))</v>
      </c>
    </row>
    <row r="622" spans="1:11" ht="46.25" customHeight="1">
      <c r="A622" t="s">
        <v>1651</v>
      </c>
      <c r="B622" t="s">
        <v>1652</v>
      </c>
      <c r="C622" t="s">
        <v>12971</v>
      </c>
      <c r="D622" s="19">
        <v>621</v>
      </c>
      <c r="E622" s="19" t="str">
        <f t="shared" si="29"/>
        <v>E2_7_7_6</v>
      </c>
      <c r="F622" s="19" t="s">
        <v>13642</v>
      </c>
      <c r="G622" s="19" t="s">
        <v>15057</v>
      </c>
      <c r="H622" s="19" t="s">
        <v>14327</v>
      </c>
      <c r="I622" s="19" t="s">
        <v>15742</v>
      </c>
      <c r="J622" s="19" t="str">
        <f t="shared" si="30"/>
        <v>(${Variables:E2_7_7_6_kcat} * E2_7_7_6 * C00002 * C00046)/(${Variables:E2_7_7_6_km} + (E2_7_7_6 * C00002 * C00046))</v>
      </c>
      <c r="K622" s="37" t="str">
        <f t="shared" si="31"/>
        <v>r621: C00002 + C00046 -&gt; C00013 + C00046 | (${Variables:E2_7_7_6_kcat} * E2_7_7_6 * C00002 * C00046)/(${Variables:E2_7_7_6_km} + (E2_7_7_6 * C00002 * C00046))</v>
      </c>
    </row>
    <row r="623" spans="1:11" ht="46.25" customHeight="1">
      <c r="A623" t="s">
        <v>1651</v>
      </c>
      <c r="B623" t="s">
        <v>1652</v>
      </c>
      <c r="C623" t="s">
        <v>12971</v>
      </c>
      <c r="D623" s="19">
        <v>622</v>
      </c>
      <c r="E623" s="19" t="str">
        <f t="shared" si="29"/>
        <v>E2_7_7_6</v>
      </c>
      <c r="F623" s="19" t="s">
        <v>13643</v>
      </c>
      <c r="G623" s="19" t="s">
        <v>15058</v>
      </c>
      <c r="H623" s="19" t="s">
        <v>14327</v>
      </c>
      <c r="I623" s="19" t="s">
        <v>15742</v>
      </c>
      <c r="J623" s="19" t="str">
        <f t="shared" si="30"/>
        <v>(${Variables:E2_7_7_6_kcat} * E2_7_7_6 * C00044 * C00046)/(${Variables:E2_7_7_6_km} + (E2_7_7_6 * C00044 * C00046))</v>
      </c>
      <c r="K623" s="37" t="str">
        <f t="shared" si="31"/>
        <v>r622: C00044 + C00046 -&gt; C00013 + C00046 | (${Variables:E2_7_7_6_kcat} * E2_7_7_6 * C00044 * C00046)/(${Variables:E2_7_7_6_km} + (E2_7_7_6 * C00044 * C00046))</v>
      </c>
    </row>
    <row r="624" spans="1:11" ht="46.25" customHeight="1">
      <c r="A624" t="s">
        <v>1651</v>
      </c>
      <c r="B624" t="s">
        <v>1652</v>
      </c>
      <c r="C624" t="s">
        <v>12971</v>
      </c>
      <c r="D624" s="19">
        <v>623</v>
      </c>
      <c r="E624" s="19" t="str">
        <f t="shared" si="29"/>
        <v>E2_7_7_6</v>
      </c>
      <c r="F624" s="19" t="s">
        <v>13644</v>
      </c>
      <c r="G624" s="19" t="s">
        <v>15059</v>
      </c>
      <c r="H624" s="19" t="s">
        <v>14327</v>
      </c>
      <c r="I624" s="19" t="s">
        <v>15742</v>
      </c>
      <c r="J624" s="19" t="str">
        <f t="shared" si="30"/>
        <v>(${Variables:E2_7_7_6_kcat} * E2_7_7_6 * C00063 * C00046)/(${Variables:E2_7_7_6_km} + (E2_7_7_6 * C00063 * C00046))</v>
      </c>
      <c r="K624" s="37" t="str">
        <f t="shared" si="31"/>
        <v>r623: C00063 + C00046 -&gt; C00013 + C00046 | (${Variables:E2_7_7_6_kcat} * E2_7_7_6 * C00063 * C00046)/(${Variables:E2_7_7_6_km} + (E2_7_7_6 * C00063 * C00046))</v>
      </c>
    </row>
    <row r="625" spans="1:11" ht="46.25" customHeight="1">
      <c r="A625" t="s">
        <v>1651</v>
      </c>
      <c r="B625" t="s">
        <v>1652</v>
      </c>
      <c r="C625" t="s">
        <v>12971</v>
      </c>
      <c r="D625" s="19">
        <v>624</v>
      </c>
      <c r="E625" s="19" t="str">
        <f t="shared" si="29"/>
        <v>E2_7_7_6</v>
      </c>
      <c r="F625" s="19" t="s">
        <v>13645</v>
      </c>
      <c r="G625" s="19" t="s">
        <v>15060</v>
      </c>
      <c r="H625" s="19" t="s">
        <v>14327</v>
      </c>
      <c r="I625" s="19" t="s">
        <v>15742</v>
      </c>
      <c r="J625" s="19" t="str">
        <f t="shared" si="30"/>
        <v>(${Variables:E2_7_7_6_kcat} * E2_7_7_6 * C00075 * C00046)/(${Variables:E2_7_7_6_km} + (E2_7_7_6 * C00075 * C00046))</v>
      </c>
      <c r="K625" s="37" t="str">
        <f t="shared" si="31"/>
        <v>r624: C00075 + C00046 -&gt; C00013 + C00046 | (${Variables:E2_7_7_6_kcat} * E2_7_7_6 * C00075 * C00046)/(${Variables:E2_7_7_6_km} + (E2_7_7_6 * C00075 * C00046))</v>
      </c>
    </row>
    <row r="626" spans="1:11" ht="46.25" customHeight="1">
      <c r="A626" t="s">
        <v>1651</v>
      </c>
      <c r="B626" t="s">
        <v>1652</v>
      </c>
      <c r="C626" t="s">
        <v>12971</v>
      </c>
      <c r="D626" s="19">
        <v>625</v>
      </c>
      <c r="E626" s="19" t="str">
        <f t="shared" si="29"/>
        <v>E2_7_7_6</v>
      </c>
      <c r="F626" s="19" t="s">
        <v>9579</v>
      </c>
      <c r="G626" s="19" t="s">
        <v>9579</v>
      </c>
      <c r="H626" s="19" t="s">
        <v>14328</v>
      </c>
      <c r="I626" s="19" t="s">
        <v>15743</v>
      </c>
      <c r="J626" s="19" t="str">
        <f t="shared" si="30"/>
        <v>(${Variables:E2_7_7_6_kcat} * E2_7_7_6 * C00201)/(${Variables:E2_7_7_6_km} + (E2_7_7_6 * C00201))</v>
      </c>
      <c r="K626" s="37" t="str">
        <f t="shared" si="31"/>
        <v>r625: C00201 -&gt; C20864 + C00013 | (${Variables:E2_7_7_6_kcat} * E2_7_7_6 * C00201)/(${Variables:E2_7_7_6_km} + (E2_7_7_6 * C00201))</v>
      </c>
    </row>
    <row r="627" spans="1:11" ht="46.25" customHeight="1">
      <c r="A627" t="s">
        <v>4540</v>
      </c>
      <c r="B627" t="s">
        <v>4541</v>
      </c>
      <c r="C627" t="s">
        <v>12971</v>
      </c>
      <c r="D627" s="19">
        <v>626</v>
      </c>
      <c r="E627" s="19" t="str">
        <f t="shared" si="29"/>
        <v>E2_7_7_6</v>
      </c>
      <c r="F627" s="19" t="s">
        <v>13641</v>
      </c>
      <c r="G627" s="19" t="s">
        <v>15056</v>
      </c>
      <c r="H627" s="19" t="s">
        <v>14327</v>
      </c>
      <c r="I627" s="19" t="s">
        <v>15742</v>
      </c>
      <c r="J627" s="19" t="str">
        <f t="shared" si="30"/>
        <v>(${Variables:E2_7_7_6_kcat} * E2_7_7_6 * C00201 * C00046)/(${Variables:E2_7_7_6_km} + (E2_7_7_6 * C00201 * C00046))</v>
      </c>
      <c r="K627" s="37" t="str">
        <f t="shared" si="31"/>
        <v>r626: C00201 + C00046 -&gt; C00013 + C00046 | (${Variables:E2_7_7_6_kcat} * E2_7_7_6 * C00201 * C00046)/(${Variables:E2_7_7_6_km} + (E2_7_7_6 * C00201 * C00046))</v>
      </c>
    </row>
    <row r="628" spans="1:11" ht="46.25" customHeight="1">
      <c r="A628" t="s">
        <v>4540</v>
      </c>
      <c r="B628" t="s">
        <v>4541</v>
      </c>
      <c r="C628" t="s">
        <v>12971</v>
      </c>
      <c r="D628" s="19">
        <v>627</v>
      </c>
      <c r="E628" s="19" t="str">
        <f t="shared" si="29"/>
        <v>E2_7_7_6</v>
      </c>
      <c r="F628" s="19" t="s">
        <v>13642</v>
      </c>
      <c r="G628" s="19" t="s">
        <v>15057</v>
      </c>
      <c r="H628" s="19" t="s">
        <v>14327</v>
      </c>
      <c r="I628" s="19" t="s">
        <v>15742</v>
      </c>
      <c r="J628" s="19" t="str">
        <f t="shared" si="30"/>
        <v>(${Variables:E2_7_7_6_kcat} * E2_7_7_6 * C00002 * C00046)/(${Variables:E2_7_7_6_km} + (E2_7_7_6 * C00002 * C00046))</v>
      </c>
      <c r="K628" s="37" t="str">
        <f t="shared" si="31"/>
        <v>r627: C00002 + C00046 -&gt; C00013 + C00046 | (${Variables:E2_7_7_6_kcat} * E2_7_7_6 * C00002 * C00046)/(${Variables:E2_7_7_6_km} + (E2_7_7_6 * C00002 * C00046))</v>
      </c>
    </row>
    <row r="629" spans="1:11" ht="46.25" customHeight="1">
      <c r="A629" t="s">
        <v>4540</v>
      </c>
      <c r="B629" t="s">
        <v>4541</v>
      </c>
      <c r="C629" t="s">
        <v>12971</v>
      </c>
      <c r="D629" s="19">
        <v>628</v>
      </c>
      <c r="E629" s="19" t="str">
        <f t="shared" si="29"/>
        <v>E2_7_7_6</v>
      </c>
      <c r="F629" s="19" t="s">
        <v>13643</v>
      </c>
      <c r="G629" s="19" t="s">
        <v>15058</v>
      </c>
      <c r="H629" s="19" t="s">
        <v>14327</v>
      </c>
      <c r="I629" s="19" t="s">
        <v>15742</v>
      </c>
      <c r="J629" s="19" t="str">
        <f t="shared" si="30"/>
        <v>(${Variables:E2_7_7_6_kcat} * E2_7_7_6 * C00044 * C00046)/(${Variables:E2_7_7_6_km} + (E2_7_7_6 * C00044 * C00046))</v>
      </c>
      <c r="K629" s="37" t="str">
        <f t="shared" si="31"/>
        <v>r628: C00044 + C00046 -&gt; C00013 + C00046 | (${Variables:E2_7_7_6_kcat} * E2_7_7_6 * C00044 * C00046)/(${Variables:E2_7_7_6_km} + (E2_7_7_6 * C00044 * C00046))</v>
      </c>
    </row>
    <row r="630" spans="1:11" ht="46.25" customHeight="1">
      <c r="A630" t="s">
        <v>4540</v>
      </c>
      <c r="B630" t="s">
        <v>4541</v>
      </c>
      <c r="C630" t="s">
        <v>12971</v>
      </c>
      <c r="D630" s="19">
        <v>629</v>
      </c>
      <c r="E630" s="19" t="str">
        <f t="shared" si="29"/>
        <v>E2_7_7_6</v>
      </c>
      <c r="F630" s="19" t="s">
        <v>13644</v>
      </c>
      <c r="G630" s="19" t="s">
        <v>15059</v>
      </c>
      <c r="H630" s="19" t="s">
        <v>14327</v>
      </c>
      <c r="I630" s="19" t="s">
        <v>15742</v>
      </c>
      <c r="J630" s="19" t="str">
        <f t="shared" si="30"/>
        <v>(${Variables:E2_7_7_6_kcat} * E2_7_7_6 * C00063 * C00046)/(${Variables:E2_7_7_6_km} + (E2_7_7_6 * C00063 * C00046))</v>
      </c>
      <c r="K630" s="37" t="str">
        <f t="shared" si="31"/>
        <v>r629: C00063 + C00046 -&gt; C00013 + C00046 | (${Variables:E2_7_7_6_kcat} * E2_7_7_6 * C00063 * C00046)/(${Variables:E2_7_7_6_km} + (E2_7_7_6 * C00063 * C00046))</v>
      </c>
    </row>
    <row r="631" spans="1:11" ht="46.25" customHeight="1">
      <c r="A631" t="s">
        <v>4540</v>
      </c>
      <c r="B631" t="s">
        <v>4541</v>
      </c>
      <c r="C631" t="s">
        <v>12971</v>
      </c>
      <c r="D631" s="19">
        <v>630</v>
      </c>
      <c r="E631" s="19" t="str">
        <f t="shared" si="29"/>
        <v>E2_7_7_6</v>
      </c>
      <c r="F631" s="19" t="s">
        <v>13645</v>
      </c>
      <c r="G631" s="19" t="s">
        <v>15060</v>
      </c>
      <c r="H631" s="19" t="s">
        <v>14327</v>
      </c>
      <c r="I631" s="19" t="s">
        <v>15742</v>
      </c>
      <c r="J631" s="19" t="str">
        <f t="shared" si="30"/>
        <v>(${Variables:E2_7_7_6_kcat} * E2_7_7_6 * C00075 * C00046)/(${Variables:E2_7_7_6_km} + (E2_7_7_6 * C00075 * C00046))</v>
      </c>
      <c r="K631" s="37" t="str">
        <f t="shared" si="31"/>
        <v>r630: C00075 + C00046 -&gt; C00013 + C00046 | (${Variables:E2_7_7_6_kcat} * E2_7_7_6 * C00075 * C00046)/(${Variables:E2_7_7_6_km} + (E2_7_7_6 * C00075 * C00046))</v>
      </c>
    </row>
    <row r="632" spans="1:11" ht="46.25" customHeight="1">
      <c r="A632" t="s">
        <v>4540</v>
      </c>
      <c r="B632" t="s">
        <v>4541</v>
      </c>
      <c r="C632" t="s">
        <v>12971</v>
      </c>
      <c r="D632" s="19">
        <v>631</v>
      </c>
      <c r="E632" s="19" t="str">
        <f t="shared" si="29"/>
        <v>E2_7_7_6</v>
      </c>
      <c r="F632" s="19" t="s">
        <v>9579</v>
      </c>
      <c r="G632" s="19" t="s">
        <v>9579</v>
      </c>
      <c r="H632" s="19" t="s">
        <v>14328</v>
      </c>
      <c r="I632" s="19" t="s">
        <v>15743</v>
      </c>
      <c r="J632" s="19" t="str">
        <f t="shared" si="30"/>
        <v>(${Variables:E2_7_7_6_kcat} * E2_7_7_6 * C00201)/(${Variables:E2_7_7_6_km} + (E2_7_7_6 * C00201))</v>
      </c>
      <c r="K632" s="37" t="str">
        <f t="shared" si="31"/>
        <v>r631: C00201 -&gt; C20864 + C00013 | (${Variables:E2_7_7_6_kcat} * E2_7_7_6 * C00201)/(${Variables:E2_7_7_6_km} + (E2_7_7_6 * C00201))</v>
      </c>
    </row>
    <row r="633" spans="1:11" ht="46.25" customHeight="1">
      <c r="A633" t="s">
        <v>7312</v>
      </c>
      <c r="B633" t="s">
        <v>7313</v>
      </c>
      <c r="C633" t="s">
        <v>12972</v>
      </c>
      <c r="D633" s="19">
        <v>632</v>
      </c>
      <c r="E633" s="19" t="str">
        <f t="shared" si="29"/>
        <v>E2_7_7_60</v>
      </c>
      <c r="F633" s="19" t="s">
        <v>13646</v>
      </c>
      <c r="G633" s="19" t="s">
        <v>15061</v>
      </c>
      <c r="H633" s="19" t="s">
        <v>14329</v>
      </c>
      <c r="I633" s="19" t="s">
        <v>15744</v>
      </c>
      <c r="J633" s="19" t="str">
        <f t="shared" si="30"/>
        <v>(${Variables:E2_7_7_60_kcat} * E2_7_7_60 * C11434 * C00063)/(${Variables:E2_7_7_60_km} + (E2_7_7_60 * C11434 * C00063))</v>
      </c>
      <c r="K633" s="37" t="str">
        <f t="shared" si="31"/>
        <v>r632: C11434 + C00063 -&gt; C11435 + C00013 | (${Variables:E2_7_7_60_kcat} * E2_7_7_60 * C11434 * C00063)/(${Variables:E2_7_7_60_km} + (E2_7_7_60 * C11434 * C00063))</v>
      </c>
    </row>
    <row r="634" spans="1:11" ht="46.25" customHeight="1">
      <c r="A634" t="s">
        <v>6073</v>
      </c>
      <c r="B634" t="s">
        <v>6074</v>
      </c>
      <c r="C634" t="s">
        <v>12973</v>
      </c>
      <c r="D634" s="19">
        <v>633</v>
      </c>
      <c r="E634" s="19" t="str">
        <f t="shared" si="29"/>
        <v>E2_7_7_62</v>
      </c>
      <c r="F634" s="19" t="s">
        <v>13647</v>
      </c>
      <c r="G634" s="19" t="s">
        <v>15062</v>
      </c>
      <c r="H634" s="19" t="s">
        <v>14330</v>
      </c>
      <c r="I634" s="19" t="s">
        <v>15745</v>
      </c>
      <c r="J634" s="19" t="str">
        <f t="shared" si="30"/>
        <v>(${Variables:E2_7_7_62_kcat} * E2_7_7_62 * C06509 * C00044)/(${Variables:E2_7_7_62_km} + (E2_7_7_62 * C06509 * C00044))</v>
      </c>
      <c r="K634" s="37" t="str">
        <f t="shared" si="31"/>
        <v>r633: C06509 + C00044 -&gt; C06510 + C00013 | (${Variables:E2_7_7_62_kcat} * E2_7_7_62 * C06509 * C00044)/(${Variables:E2_7_7_62_km} + (E2_7_7_62 * C06509 * C00044))</v>
      </c>
    </row>
    <row r="635" spans="1:11" ht="46.25" customHeight="1">
      <c r="A635" t="s">
        <v>22</v>
      </c>
      <c r="B635" t="s">
        <v>23</v>
      </c>
      <c r="C635" t="s">
        <v>12974</v>
      </c>
      <c r="D635" s="19">
        <v>634</v>
      </c>
      <c r="E635" s="19" t="str">
        <f t="shared" si="29"/>
        <v>E2_7_7_7</v>
      </c>
      <c r="F635" s="19" t="s">
        <v>13648</v>
      </c>
      <c r="G635" s="19" t="s">
        <v>15063</v>
      </c>
      <c r="H635" s="19" t="s">
        <v>14331</v>
      </c>
      <c r="I635" s="19" t="s">
        <v>15746</v>
      </c>
      <c r="J635" s="19" t="str">
        <f t="shared" si="30"/>
        <v>(${Variables:E2_7_7_7_kcat} * E2_7_7_7 * C00677 * C00039)/(${Variables:E2_7_7_7_km} + (E2_7_7_7 * C00677 * C00039))</v>
      </c>
      <c r="K635" s="37" t="str">
        <f t="shared" si="31"/>
        <v>r634: C00677 + C00039 -&gt; C00013 + C00039 | (${Variables:E2_7_7_7_kcat} * E2_7_7_7 * C00677 * C00039)/(${Variables:E2_7_7_7_km} + (E2_7_7_7 * C00677 * C00039))</v>
      </c>
    </row>
    <row r="636" spans="1:11" ht="46.25" customHeight="1">
      <c r="A636" t="s">
        <v>22</v>
      </c>
      <c r="B636" t="s">
        <v>23</v>
      </c>
      <c r="C636" t="s">
        <v>12974</v>
      </c>
      <c r="D636" s="19">
        <v>635</v>
      </c>
      <c r="E636" s="19" t="str">
        <f t="shared" si="29"/>
        <v>E2_7_7_7</v>
      </c>
      <c r="F636" s="19" t="s">
        <v>13649</v>
      </c>
      <c r="G636" s="19" t="s">
        <v>15064</v>
      </c>
      <c r="H636" s="19" t="s">
        <v>14331</v>
      </c>
      <c r="I636" s="19" t="s">
        <v>15746</v>
      </c>
      <c r="J636" s="19" t="str">
        <f t="shared" si="30"/>
        <v>(${Variables:E2_7_7_7_kcat} * E2_7_7_7 * C00131 * C00039)/(${Variables:E2_7_7_7_km} + (E2_7_7_7 * C00131 * C00039))</v>
      </c>
      <c r="K636" s="37" t="str">
        <f t="shared" si="31"/>
        <v>r635: C00131 + C00039 -&gt; C00013 + C00039 | (${Variables:E2_7_7_7_kcat} * E2_7_7_7 * C00131 * C00039)/(${Variables:E2_7_7_7_km} + (E2_7_7_7 * C00131 * C00039))</v>
      </c>
    </row>
    <row r="637" spans="1:11" ht="46.25" customHeight="1">
      <c r="A637" t="s">
        <v>22</v>
      </c>
      <c r="B637" t="s">
        <v>23</v>
      </c>
      <c r="C637" t="s">
        <v>12974</v>
      </c>
      <c r="D637" s="19">
        <v>636</v>
      </c>
      <c r="E637" s="19" t="str">
        <f t="shared" si="29"/>
        <v>E2_7_7_7</v>
      </c>
      <c r="F637" s="19" t="s">
        <v>13650</v>
      </c>
      <c r="G637" s="19" t="s">
        <v>15065</v>
      </c>
      <c r="H637" s="19" t="s">
        <v>14331</v>
      </c>
      <c r="I637" s="19" t="s">
        <v>15746</v>
      </c>
      <c r="J637" s="19" t="str">
        <f t="shared" si="30"/>
        <v>(${Variables:E2_7_7_7_kcat} * E2_7_7_7 * C00286 * C00039)/(${Variables:E2_7_7_7_km} + (E2_7_7_7 * C00286 * C00039))</v>
      </c>
      <c r="K637" s="37" t="str">
        <f t="shared" si="31"/>
        <v>r636: C00286 + C00039 -&gt; C00013 + C00039 | (${Variables:E2_7_7_7_kcat} * E2_7_7_7 * C00286 * C00039)/(${Variables:E2_7_7_7_km} + (E2_7_7_7 * C00286 * C00039))</v>
      </c>
    </row>
    <row r="638" spans="1:11" ht="46.25" customHeight="1">
      <c r="A638" t="s">
        <v>22</v>
      </c>
      <c r="B638" t="s">
        <v>23</v>
      </c>
      <c r="C638" t="s">
        <v>12974</v>
      </c>
      <c r="D638" s="19">
        <v>637</v>
      </c>
      <c r="E638" s="19" t="str">
        <f t="shared" si="29"/>
        <v>E2_7_7_7</v>
      </c>
      <c r="F638" s="19" t="s">
        <v>13651</v>
      </c>
      <c r="G638" s="19" t="s">
        <v>15066</v>
      </c>
      <c r="H638" s="19" t="s">
        <v>14331</v>
      </c>
      <c r="I638" s="19" t="s">
        <v>15746</v>
      </c>
      <c r="J638" s="19" t="str">
        <f t="shared" si="30"/>
        <v>(${Variables:E2_7_7_7_kcat} * E2_7_7_7 * C00458 * C00039)/(${Variables:E2_7_7_7_km} + (E2_7_7_7 * C00458 * C00039))</v>
      </c>
      <c r="K638" s="37" t="str">
        <f t="shared" si="31"/>
        <v>r637: C00458 + C00039 -&gt; C00013 + C00039 | (${Variables:E2_7_7_7_kcat} * E2_7_7_7 * C00458 * C00039)/(${Variables:E2_7_7_7_km} + (E2_7_7_7 * C00458 * C00039))</v>
      </c>
    </row>
    <row r="639" spans="1:11" ht="46.25" customHeight="1">
      <c r="A639" t="s">
        <v>22</v>
      </c>
      <c r="B639" t="s">
        <v>23</v>
      </c>
      <c r="C639" t="s">
        <v>12974</v>
      </c>
      <c r="D639" s="19">
        <v>638</v>
      </c>
      <c r="E639" s="19" t="str">
        <f t="shared" si="29"/>
        <v>E2_7_7_7</v>
      </c>
      <c r="F639" s="19" t="s">
        <v>13652</v>
      </c>
      <c r="G639" s="19" t="s">
        <v>15067</v>
      </c>
      <c r="H639" s="19" t="s">
        <v>14331</v>
      </c>
      <c r="I639" s="19" t="s">
        <v>15746</v>
      </c>
      <c r="J639" s="19" t="str">
        <f t="shared" si="30"/>
        <v>(${Variables:E2_7_7_7_kcat} * E2_7_7_7 * C00459 * C00039)/(${Variables:E2_7_7_7_km} + (E2_7_7_7 * C00459 * C00039))</v>
      </c>
      <c r="K639" s="37" t="str">
        <f t="shared" si="31"/>
        <v>r638: C00459 + C00039 -&gt; C00013 + C00039 | (${Variables:E2_7_7_7_kcat} * E2_7_7_7 * C00459 * C00039)/(${Variables:E2_7_7_7_km} + (E2_7_7_7 * C00459 * C00039))</v>
      </c>
    </row>
    <row r="640" spans="1:11" ht="46.25" customHeight="1">
      <c r="A640" t="s">
        <v>22</v>
      </c>
      <c r="B640" t="s">
        <v>23</v>
      </c>
      <c r="C640" t="s">
        <v>12974</v>
      </c>
      <c r="D640" s="19">
        <v>639</v>
      </c>
      <c r="E640" s="19" t="str">
        <f t="shared" si="29"/>
        <v>E2_7_7_7</v>
      </c>
      <c r="F640" s="19" t="s">
        <v>9241</v>
      </c>
      <c r="G640" s="19" t="s">
        <v>9241</v>
      </c>
      <c r="H640" s="19" t="s">
        <v>9242</v>
      </c>
      <c r="I640" s="19" t="s">
        <v>9242</v>
      </c>
      <c r="J640" s="19" t="str">
        <f t="shared" si="30"/>
        <v>(${Variables:E2_7_7_7_kcat} * E2_7_7_7 * C11039)/(${Variables:E2_7_7_7_km} + (E2_7_7_7 * C11039))</v>
      </c>
      <c r="K640" s="37" t="str">
        <f t="shared" si="31"/>
        <v>r639: C11039 -&gt; C21031 | (${Variables:E2_7_7_7_kcat} * E2_7_7_7 * C11039)/(${Variables:E2_7_7_7_km} + (E2_7_7_7 * C11039))</v>
      </c>
    </row>
    <row r="641" spans="1:11" ht="46.25" customHeight="1">
      <c r="A641" t="s">
        <v>748</v>
      </c>
      <c r="B641" t="s">
        <v>749</v>
      </c>
      <c r="C641" t="s">
        <v>12974</v>
      </c>
      <c r="D641" s="19">
        <v>640</v>
      </c>
      <c r="E641" s="19" t="str">
        <f t="shared" si="29"/>
        <v>E2_7_7_7</v>
      </c>
      <c r="F641" s="19" t="s">
        <v>13648</v>
      </c>
      <c r="G641" s="19" t="s">
        <v>15063</v>
      </c>
      <c r="H641" s="19" t="s">
        <v>14331</v>
      </c>
      <c r="I641" s="19" t="s">
        <v>15746</v>
      </c>
      <c r="J641" s="19" t="str">
        <f t="shared" si="30"/>
        <v>(${Variables:E2_7_7_7_kcat} * E2_7_7_7 * C00677 * C00039)/(${Variables:E2_7_7_7_km} + (E2_7_7_7 * C00677 * C00039))</v>
      </c>
      <c r="K641" s="37" t="str">
        <f t="shared" si="31"/>
        <v>r640: C00677 + C00039 -&gt; C00013 + C00039 | (${Variables:E2_7_7_7_kcat} * E2_7_7_7 * C00677 * C00039)/(${Variables:E2_7_7_7_km} + (E2_7_7_7 * C00677 * C00039))</v>
      </c>
    </row>
    <row r="642" spans="1:11" ht="46.25" customHeight="1">
      <c r="A642" t="s">
        <v>748</v>
      </c>
      <c r="B642" t="s">
        <v>749</v>
      </c>
      <c r="C642" t="s">
        <v>12974</v>
      </c>
      <c r="D642" s="19">
        <v>641</v>
      </c>
      <c r="E642" s="19" t="str">
        <f t="shared" si="29"/>
        <v>E2_7_7_7</v>
      </c>
      <c r="F642" s="19" t="s">
        <v>13649</v>
      </c>
      <c r="G642" s="19" t="s">
        <v>15064</v>
      </c>
      <c r="H642" s="19" t="s">
        <v>14331</v>
      </c>
      <c r="I642" s="19" t="s">
        <v>15746</v>
      </c>
      <c r="J642" s="19" t="str">
        <f t="shared" si="30"/>
        <v>(${Variables:E2_7_7_7_kcat} * E2_7_7_7 * C00131 * C00039)/(${Variables:E2_7_7_7_km} + (E2_7_7_7 * C00131 * C00039))</v>
      </c>
      <c r="K642" s="37" t="str">
        <f t="shared" si="31"/>
        <v>r641: C00131 + C00039 -&gt; C00013 + C00039 | (${Variables:E2_7_7_7_kcat} * E2_7_7_7 * C00131 * C00039)/(${Variables:E2_7_7_7_km} + (E2_7_7_7 * C00131 * C00039))</v>
      </c>
    </row>
    <row r="643" spans="1:11" ht="46.25" customHeight="1">
      <c r="A643" t="s">
        <v>748</v>
      </c>
      <c r="B643" t="s">
        <v>749</v>
      </c>
      <c r="C643" t="s">
        <v>12974</v>
      </c>
      <c r="D643" s="19">
        <v>642</v>
      </c>
      <c r="E643" s="19" t="str">
        <f t="shared" si="29"/>
        <v>E2_7_7_7</v>
      </c>
      <c r="F643" s="19" t="s">
        <v>13650</v>
      </c>
      <c r="G643" s="19" t="s">
        <v>15065</v>
      </c>
      <c r="H643" s="19" t="s">
        <v>14331</v>
      </c>
      <c r="I643" s="19" t="s">
        <v>15746</v>
      </c>
      <c r="J643" s="19" t="str">
        <f t="shared" si="30"/>
        <v>(${Variables:E2_7_7_7_kcat} * E2_7_7_7 * C00286 * C00039)/(${Variables:E2_7_7_7_km} + (E2_7_7_7 * C00286 * C00039))</v>
      </c>
      <c r="K643" s="37" t="str">
        <f t="shared" si="31"/>
        <v>r642: C00286 + C00039 -&gt; C00013 + C00039 | (${Variables:E2_7_7_7_kcat} * E2_7_7_7 * C00286 * C00039)/(${Variables:E2_7_7_7_km} + (E2_7_7_7 * C00286 * C00039))</v>
      </c>
    </row>
    <row r="644" spans="1:11" ht="46.25" customHeight="1">
      <c r="A644" t="s">
        <v>748</v>
      </c>
      <c r="B644" t="s">
        <v>749</v>
      </c>
      <c r="C644" t="s">
        <v>12974</v>
      </c>
      <c r="D644" s="19">
        <v>643</v>
      </c>
      <c r="E644" s="19" t="str">
        <f t="shared" si="29"/>
        <v>E2_7_7_7</v>
      </c>
      <c r="F644" s="19" t="s">
        <v>13651</v>
      </c>
      <c r="G644" s="19" t="s">
        <v>15066</v>
      </c>
      <c r="H644" s="19" t="s">
        <v>14331</v>
      </c>
      <c r="I644" s="19" t="s">
        <v>15746</v>
      </c>
      <c r="J644" s="19" t="str">
        <f t="shared" si="30"/>
        <v>(${Variables:E2_7_7_7_kcat} * E2_7_7_7 * C00458 * C00039)/(${Variables:E2_7_7_7_km} + (E2_7_7_7 * C00458 * C00039))</v>
      </c>
      <c r="K644" s="37" t="str">
        <f t="shared" si="31"/>
        <v>r643: C00458 + C00039 -&gt; C00013 + C00039 | (${Variables:E2_7_7_7_kcat} * E2_7_7_7 * C00458 * C00039)/(${Variables:E2_7_7_7_km} + (E2_7_7_7 * C00458 * C00039))</v>
      </c>
    </row>
    <row r="645" spans="1:11" ht="46.25" customHeight="1">
      <c r="A645" t="s">
        <v>748</v>
      </c>
      <c r="B645" t="s">
        <v>749</v>
      </c>
      <c r="C645" t="s">
        <v>12974</v>
      </c>
      <c r="D645" s="19">
        <v>644</v>
      </c>
      <c r="E645" s="19" t="str">
        <f t="shared" si="29"/>
        <v>E2_7_7_7</v>
      </c>
      <c r="F645" s="19" t="s">
        <v>13652</v>
      </c>
      <c r="G645" s="19" t="s">
        <v>15067</v>
      </c>
      <c r="H645" s="19" t="s">
        <v>14331</v>
      </c>
      <c r="I645" s="19" t="s">
        <v>15746</v>
      </c>
      <c r="J645" s="19" t="str">
        <f t="shared" si="30"/>
        <v>(${Variables:E2_7_7_7_kcat} * E2_7_7_7 * C00459 * C00039)/(${Variables:E2_7_7_7_km} + (E2_7_7_7 * C00459 * C00039))</v>
      </c>
      <c r="K645" s="37" t="str">
        <f t="shared" si="31"/>
        <v>r644: C00459 + C00039 -&gt; C00013 + C00039 | (${Variables:E2_7_7_7_kcat} * E2_7_7_7 * C00459 * C00039)/(${Variables:E2_7_7_7_km} + (E2_7_7_7 * C00459 * C00039))</v>
      </c>
    </row>
    <row r="646" spans="1:11" ht="46.25" customHeight="1">
      <c r="A646" t="s">
        <v>748</v>
      </c>
      <c r="B646" t="s">
        <v>749</v>
      </c>
      <c r="C646" t="s">
        <v>12974</v>
      </c>
      <c r="D646" s="19">
        <v>645</v>
      </c>
      <c r="E646" s="19" t="str">
        <f t="shared" si="29"/>
        <v>E2_7_7_7</v>
      </c>
      <c r="F646" s="19" t="s">
        <v>9241</v>
      </c>
      <c r="G646" s="19" t="s">
        <v>9241</v>
      </c>
      <c r="H646" s="19" t="s">
        <v>9242</v>
      </c>
      <c r="I646" s="19" t="s">
        <v>9242</v>
      </c>
      <c r="J646" s="19" t="str">
        <f t="shared" si="30"/>
        <v>(${Variables:E2_7_7_7_kcat} * E2_7_7_7 * C11039)/(${Variables:E2_7_7_7_km} + (E2_7_7_7 * C11039))</v>
      </c>
      <c r="K646" s="37" t="str">
        <f t="shared" si="31"/>
        <v>r645: C11039 -&gt; C21031 | (${Variables:E2_7_7_7_kcat} * E2_7_7_7 * C11039)/(${Variables:E2_7_7_7_km} + (E2_7_7_7 * C11039))</v>
      </c>
    </row>
    <row r="647" spans="1:11" ht="46.25" customHeight="1">
      <c r="A647" t="s">
        <v>946</v>
      </c>
      <c r="B647" t="s">
        <v>947</v>
      </c>
      <c r="C647" t="s">
        <v>12974</v>
      </c>
      <c r="D647" s="19">
        <v>646</v>
      </c>
      <c r="E647" s="19" t="str">
        <f t="shared" si="29"/>
        <v>E2_7_7_7</v>
      </c>
      <c r="F647" s="19" t="s">
        <v>13648</v>
      </c>
      <c r="G647" s="19" t="s">
        <v>15063</v>
      </c>
      <c r="H647" s="19" t="s">
        <v>14331</v>
      </c>
      <c r="I647" s="19" t="s">
        <v>15746</v>
      </c>
      <c r="J647" s="19" t="str">
        <f t="shared" si="30"/>
        <v>(${Variables:E2_7_7_7_kcat} * E2_7_7_7 * C00677 * C00039)/(${Variables:E2_7_7_7_km} + (E2_7_7_7 * C00677 * C00039))</v>
      </c>
      <c r="K647" s="37" t="str">
        <f t="shared" si="31"/>
        <v>r646: C00677 + C00039 -&gt; C00013 + C00039 | (${Variables:E2_7_7_7_kcat} * E2_7_7_7 * C00677 * C00039)/(${Variables:E2_7_7_7_km} + (E2_7_7_7 * C00677 * C00039))</v>
      </c>
    </row>
    <row r="648" spans="1:11" ht="46.25" customHeight="1">
      <c r="A648" t="s">
        <v>946</v>
      </c>
      <c r="B648" t="s">
        <v>947</v>
      </c>
      <c r="C648" t="s">
        <v>12974</v>
      </c>
      <c r="D648" s="19">
        <v>647</v>
      </c>
      <c r="E648" s="19" t="str">
        <f t="shared" si="29"/>
        <v>E2_7_7_7</v>
      </c>
      <c r="F648" s="19" t="s">
        <v>13649</v>
      </c>
      <c r="G648" s="19" t="s">
        <v>15064</v>
      </c>
      <c r="H648" s="19" t="s">
        <v>14331</v>
      </c>
      <c r="I648" s="19" t="s">
        <v>15746</v>
      </c>
      <c r="J648" s="19" t="str">
        <f t="shared" si="30"/>
        <v>(${Variables:E2_7_7_7_kcat} * E2_7_7_7 * C00131 * C00039)/(${Variables:E2_7_7_7_km} + (E2_7_7_7 * C00131 * C00039))</v>
      </c>
      <c r="K648" s="37" t="str">
        <f t="shared" si="31"/>
        <v>r647: C00131 + C00039 -&gt; C00013 + C00039 | (${Variables:E2_7_7_7_kcat} * E2_7_7_7 * C00131 * C00039)/(${Variables:E2_7_7_7_km} + (E2_7_7_7 * C00131 * C00039))</v>
      </c>
    </row>
    <row r="649" spans="1:11" ht="46.25" customHeight="1">
      <c r="A649" t="s">
        <v>946</v>
      </c>
      <c r="B649" t="s">
        <v>947</v>
      </c>
      <c r="C649" t="s">
        <v>12974</v>
      </c>
      <c r="D649" s="19">
        <v>648</v>
      </c>
      <c r="E649" s="19" t="str">
        <f t="shared" si="29"/>
        <v>E2_7_7_7</v>
      </c>
      <c r="F649" s="19" t="s">
        <v>13650</v>
      </c>
      <c r="G649" s="19" t="s">
        <v>15065</v>
      </c>
      <c r="H649" s="19" t="s">
        <v>14331</v>
      </c>
      <c r="I649" s="19" t="s">
        <v>15746</v>
      </c>
      <c r="J649" s="19" t="str">
        <f t="shared" si="30"/>
        <v>(${Variables:E2_7_7_7_kcat} * E2_7_7_7 * C00286 * C00039)/(${Variables:E2_7_7_7_km} + (E2_7_7_7 * C00286 * C00039))</v>
      </c>
      <c r="K649" s="37" t="str">
        <f t="shared" si="31"/>
        <v>r648: C00286 + C00039 -&gt; C00013 + C00039 | (${Variables:E2_7_7_7_kcat} * E2_7_7_7 * C00286 * C00039)/(${Variables:E2_7_7_7_km} + (E2_7_7_7 * C00286 * C00039))</v>
      </c>
    </row>
    <row r="650" spans="1:11" ht="46.25" customHeight="1">
      <c r="A650" t="s">
        <v>946</v>
      </c>
      <c r="B650" t="s">
        <v>947</v>
      </c>
      <c r="C650" t="s">
        <v>12974</v>
      </c>
      <c r="D650" s="19">
        <v>649</v>
      </c>
      <c r="E650" s="19" t="str">
        <f t="shared" ref="E650:E713" si="32">CONCATENATE("E",C650)</f>
        <v>E2_7_7_7</v>
      </c>
      <c r="F650" s="19" t="s">
        <v>13651</v>
      </c>
      <c r="G650" s="19" t="s">
        <v>15066</v>
      </c>
      <c r="H650" s="19" t="s">
        <v>14331</v>
      </c>
      <c r="I650" s="19" t="s">
        <v>15746</v>
      </c>
      <c r="J650" s="19" t="str">
        <f t="shared" si="30"/>
        <v>(${Variables:E2_7_7_7_kcat} * E2_7_7_7 * C00458 * C00039)/(${Variables:E2_7_7_7_km} + (E2_7_7_7 * C00458 * C00039))</v>
      </c>
      <c r="K650" s="37" t="str">
        <f t="shared" si="31"/>
        <v>r649: C00458 + C00039 -&gt; C00013 + C00039 | (${Variables:E2_7_7_7_kcat} * E2_7_7_7 * C00458 * C00039)/(${Variables:E2_7_7_7_km} + (E2_7_7_7 * C00458 * C00039))</v>
      </c>
    </row>
    <row r="651" spans="1:11" ht="46.25" customHeight="1">
      <c r="A651" t="s">
        <v>946</v>
      </c>
      <c r="B651" t="s">
        <v>947</v>
      </c>
      <c r="C651" t="s">
        <v>12974</v>
      </c>
      <c r="D651" s="19">
        <v>650</v>
      </c>
      <c r="E651" s="19" t="str">
        <f t="shared" si="32"/>
        <v>E2_7_7_7</v>
      </c>
      <c r="F651" s="19" t="s">
        <v>13652</v>
      </c>
      <c r="G651" s="19" t="s">
        <v>15067</v>
      </c>
      <c r="H651" s="19" t="s">
        <v>14331</v>
      </c>
      <c r="I651" s="19" t="s">
        <v>15746</v>
      </c>
      <c r="J651" s="19" t="str">
        <f t="shared" ref="J651:J714" si="33">CONCATENATE("(${Variables:",E651,"_kcat","} * ",E651," * ",G651,")","/(${Variables:",E651,"_km","} + (",E651," * ",G651,"))")</f>
        <v>(${Variables:E2_7_7_7_kcat} * E2_7_7_7 * C00459 * C00039)/(${Variables:E2_7_7_7_km} + (E2_7_7_7 * C00459 * C00039))</v>
      </c>
      <c r="K651" s="37" t="str">
        <f t="shared" ref="K651:K714" si="34">CONCATENATE("r",D651,": ",F651," -&gt; ",H651," | ",J651)</f>
        <v>r650: C00459 + C00039 -&gt; C00013 + C00039 | (${Variables:E2_7_7_7_kcat} * E2_7_7_7 * C00459 * C00039)/(${Variables:E2_7_7_7_km} + (E2_7_7_7 * C00459 * C00039))</v>
      </c>
    </row>
    <row r="652" spans="1:11" ht="46.25" customHeight="1">
      <c r="A652" t="s">
        <v>946</v>
      </c>
      <c r="B652" t="s">
        <v>947</v>
      </c>
      <c r="C652" t="s">
        <v>12974</v>
      </c>
      <c r="D652" s="19">
        <v>651</v>
      </c>
      <c r="E652" s="19" t="str">
        <f t="shared" si="32"/>
        <v>E2_7_7_7</v>
      </c>
      <c r="F652" s="19" t="s">
        <v>9241</v>
      </c>
      <c r="G652" s="19" t="s">
        <v>9241</v>
      </c>
      <c r="H652" s="19" t="s">
        <v>9242</v>
      </c>
      <c r="I652" s="19" t="s">
        <v>9242</v>
      </c>
      <c r="J652" s="19" t="str">
        <f t="shared" si="33"/>
        <v>(${Variables:E2_7_7_7_kcat} * E2_7_7_7 * C11039)/(${Variables:E2_7_7_7_km} + (E2_7_7_7 * C11039))</v>
      </c>
      <c r="K652" s="37" t="str">
        <f t="shared" si="34"/>
        <v>r651: C11039 -&gt; C21031 | (${Variables:E2_7_7_7_kcat} * E2_7_7_7 * C11039)/(${Variables:E2_7_7_7_km} + (E2_7_7_7 * C11039))</v>
      </c>
    </row>
    <row r="653" spans="1:11" ht="46.25" customHeight="1">
      <c r="A653" t="s">
        <v>1810</v>
      </c>
      <c r="B653" t="s">
        <v>1811</v>
      </c>
      <c r="C653" t="s">
        <v>12974</v>
      </c>
      <c r="D653" s="19">
        <v>652</v>
      </c>
      <c r="E653" s="19" t="str">
        <f t="shared" si="32"/>
        <v>E2_7_7_7</v>
      </c>
      <c r="F653" s="19" t="s">
        <v>13648</v>
      </c>
      <c r="G653" s="19" t="s">
        <v>15063</v>
      </c>
      <c r="H653" s="19" t="s">
        <v>14331</v>
      </c>
      <c r="I653" s="19" t="s">
        <v>15746</v>
      </c>
      <c r="J653" s="19" t="str">
        <f t="shared" si="33"/>
        <v>(${Variables:E2_7_7_7_kcat} * E2_7_7_7 * C00677 * C00039)/(${Variables:E2_7_7_7_km} + (E2_7_7_7 * C00677 * C00039))</v>
      </c>
      <c r="K653" s="37" t="str">
        <f t="shared" si="34"/>
        <v>r652: C00677 + C00039 -&gt; C00013 + C00039 | (${Variables:E2_7_7_7_kcat} * E2_7_7_7 * C00677 * C00039)/(${Variables:E2_7_7_7_km} + (E2_7_7_7 * C00677 * C00039))</v>
      </c>
    </row>
    <row r="654" spans="1:11" ht="46.25" customHeight="1">
      <c r="A654" t="s">
        <v>1810</v>
      </c>
      <c r="B654" t="s">
        <v>1811</v>
      </c>
      <c r="C654" t="s">
        <v>12974</v>
      </c>
      <c r="D654" s="19">
        <v>653</v>
      </c>
      <c r="E654" s="19" t="str">
        <f t="shared" si="32"/>
        <v>E2_7_7_7</v>
      </c>
      <c r="F654" s="19" t="s">
        <v>13649</v>
      </c>
      <c r="G654" s="19" t="s">
        <v>15064</v>
      </c>
      <c r="H654" s="19" t="s">
        <v>14331</v>
      </c>
      <c r="I654" s="19" t="s">
        <v>15746</v>
      </c>
      <c r="J654" s="19" t="str">
        <f t="shared" si="33"/>
        <v>(${Variables:E2_7_7_7_kcat} * E2_7_7_7 * C00131 * C00039)/(${Variables:E2_7_7_7_km} + (E2_7_7_7 * C00131 * C00039))</v>
      </c>
      <c r="K654" s="37" t="str">
        <f t="shared" si="34"/>
        <v>r653: C00131 + C00039 -&gt; C00013 + C00039 | (${Variables:E2_7_7_7_kcat} * E2_7_7_7 * C00131 * C00039)/(${Variables:E2_7_7_7_km} + (E2_7_7_7 * C00131 * C00039))</v>
      </c>
    </row>
    <row r="655" spans="1:11" ht="46.25" customHeight="1">
      <c r="A655" t="s">
        <v>1810</v>
      </c>
      <c r="B655" t="s">
        <v>1811</v>
      </c>
      <c r="C655" t="s">
        <v>12974</v>
      </c>
      <c r="D655" s="19">
        <v>654</v>
      </c>
      <c r="E655" s="19" t="str">
        <f t="shared" si="32"/>
        <v>E2_7_7_7</v>
      </c>
      <c r="F655" s="19" t="s">
        <v>13650</v>
      </c>
      <c r="G655" s="19" t="s">
        <v>15065</v>
      </c>
      <c r="H655" s="19" t="s">
        <v>14331</v>
      </c>
      <c r="I655" s="19" t="s">
        <v>15746</v>
      </c>
      <c r="J655" s="19" t="str">
        <f t="shared" si="33"/>
        <v>(${Variables:E2_7_7_7_kcat} * E2_7_7_7 * C00286 * C00039)/(${Variables:E2_7_7_7_km} + (E2_7_7_7 * C00286 * C00039))</v>
      </c>
      <c r="K655" s="37" t="str">
        <f t="shared" si="34"/>
        <v>r654: C00286 + C00039 -&gt; C00013 + C00039 | (${Variables:E2_7_7_7_kcat} * E2_7_7_7 * C00286 * C00039)/(${Variables:E2_7_7_7_km} + (E2_7_7_7 * C00286 * C00039))</v>
      </c>
    </row>
    <row r="656" spans="1:11" ht="46.25" customHeight="1">
      <c r="A656" t="s">
        <v>1810</v>
      </c>
      <c r="B656" t="s">
        <v>1811</v>
      </c>
      <c r="C656" t="s">
        <v>12974</v>
      </c>
      <c r="D656" s="19">
        <v>655</v>
      </c>
      <c r="E656" s="19" t="str">
        <f t="shared" si="32"/>
        <v>E2_7_7_7</v>
      </c>
      <c r="F656" s="19" t="s">
        <v>13651</v>
      </c>
      <c r="G656" s="19" t="s">
        <v>15066</v>
      </c>
      <c r="H656" s="19" t="s">
        <v>14331</v>
      </c>
      <c r="I656" s="19" t="s">
        <v>15746</v>
      </c>
      <c r="J656" s="19" t="str">
        <f t="shared" si="33"/>
        <v>(${Variables:E2_7_7_7_kcat} * E2_7_7_7 * C00458 * C00039)/(${Variables:E2_7_7_7_km} + (E2_7_7_7 * C00458 * C00039))</v>
      </c>
      <c r="K656" s="37" t="str">
        <f t="shared" si="34"/>
        <v>r655: C00458 + C00039 -&gt; C00013 + C00039 | (${Variables:E2_7_7_7_kcat} * E2_7_7_7 * C00458 * C00039)/(${Variables:E2_7_7_7_km} + (E2_7_7_7 * C00458 * C00039))</v>
      </c>
    </row>
    <row r="657" spans="1:11" ht="46.25" customHeight="1">
      <c r="A657" t="s">
        <v>1810</v>
      </c>
      <c r="B657" t="s">
        <v>1811</v>
      </c>
      <c r="C657" t="s">
        <v>12974</v>
      </c>
      <c r="D657" s="19">
        <v>656</v>
      </c>
      <c r="E657" s="19" t="str">
        <f t="shared" si="32"/>
        <v>E2_7_7_7</v>
      </c>
      <c r="F657" s="19" t="s">
        <v>13652</v>
      </c>
      <c r="G657" s="19" t="s">
        <v>15067</v>
      </c>
      <c r="H657" s="19" t="s">
        <v>14331</v>
      </c>
      <c r="I657" s="19" t="s">
        <v>15746</v>
      </c>
      <c r="J657" s="19" t="str">
        <f t="shared" si="33"/>
        <v>(${Variables:E2_7_7_7_kcat} * E2_7_7_7 * C00459 * C00039)/(${Variables:E2_7_7_7_km} + (E2_7_7_7 * C00459 * C00039))</v>
      </c>
      <c r="K657" s="37" t="str">
        <f t="shared" si="34"/>
        <v>r656: C00459 + C00039 -&gt; C00013 + C00039 | (${Variables:E2_7_7_7_kcat} * E2_7_7_7 * C00459 * C00039)/(${Variables:E2_7_7_7_km} + (E2_7_7_7 * C00459 * C00039))</v>
      </c>
    </row>
    <row r="658" spans="1:11" ht="46.25" customHeight="1">
      <c r="A658" t="s">
        <v>1810</v>
      </c>
      <c r="B658" t="s">
        <v>1811</v>
      </c>
      <c r="C658" t="s">
        <v>12974</v>
      </c>
      <c r="D658" s="19">
        <v>657</v>
      </c>
      <c r="E658" s="19" t="str">
        <f t="shared" si="32"/>
        <v>E2_7_7_7</v>
      </c>
      <c r="F658" s="19" t="s">
        <v>9241</v>
      </c>
      <c r="G658" s="19" t="s">
        <v>9241</v>
      </c>
      <c r="H658" s="19" t="s">
        <v>9242</v>
      </c>
      <c r="I658" s="19" t="s">
        <v>9242</v>
      </c>
      <c r="J658" s="19" t="str">
        <f t="shared" si="33"/>
        <v>(${Variables:E2_7_7_7_kcat} * E2_7_7_7 * C11039)/(${Variables:E2_7_7_7_km} + (E2_7_7_7 * C11039))</v>
      </c>
      <c r="K658" s="37" t="str">
        <f t="shared" si="34"/>
        <v>r657: C11039 -&gt; C21031 | (${Variables:E2_7_7_7_kcat} * E2_7_7_7 * C11039)/(${Variables:E2_7_7_7_km} + (E2_7_7_7 * C11039))</v>
      </c>
    </row>
    <row r="659" spans="1:11" ht="46.25" customHeight="1">
      <c r="A659" t="s">
        <v>1866</v>
      </c>
      <c r="B659" t="s">
        <v>1867</v>
      </c>
      <c r="C659" t="s">
        <v>12974</v>
      </c>
      <c r="D659" s="19">
        <v>658</v>
      </c>
      <c r="E659" s="19" t="str">
        <f t="shared" si="32"/>
        <v>E2_7_7_7</v>
      </c>
      <c r="F659" s="19" t="s">
        <v>13648</v>
      </c>
      <c r="G659" s="19" t="s">
        <v>15063</v>
      </c>
      <c r="H659" s="19" t="s">
        <v>14331</v>
      </c>
      <c r="I659" s="19" t="s">
        <v>15746</v>
      </c>
      <c r="J659" s="19" t="str">
        <f t="shared" si="33"/>
        <v>(${Variables:E2_7_7_7_kcat} * E2_7_7_7 * C00677 * C00039)/(${Variables:E2_7_7_7_km} + (E2_7_7_7 * C00677 * C00039))</v>
      </c>
      <c r="K659" s="37" t="str">
        <f t="shared" si="34"/>
        <v>r658: C00677 + C00039 -&gt; C00013 + C00039 | (${Variables:E2_7_7_7_kcat} * E2_7_7_7 * C00677 * C00039)/(${Variables:E2_7_7_7_km} + (E2_7_7_7 * C00677 * C00039))</v>
      </c>
    </row>
    <row r="660" spans="1:11" ht="46.25" customHeight="1">
      <c r="A660" t="s">
        <v>1866</v>
      </c>
      <c r="B660" t="s">
        <v>1867</v>
      </c>
      <c r="C660" t="s">
        <v>12974</v>
      </c>
      <c r="D660" s="19">
        <v>659</v>
      </c>
      <c r="E660" s="19" t="str">
        <f t="shared" si="32"/>
        <v>E2_7_7_7</v>
      </c>
      <c r="F660" s="19" t="s">
        <v>13649</v>
      </c>
      <c r="G660" s="19" t="s">
        <v>15064</v>
      </c>
      <c r="H660" s="19" t="s">
        <v>14331</v>
      </c>
      <c r="I660" s="19" t="s">
        <v>15746</v>
      </c>
      <c r="J660" s="19" t="str">
        <f t="shared" si="33"/>
        <v>(${Variables:E2_7_7_7_kcat} * E2_7_7_7 * C00131 * C00039)/(${Variables:E2_7_7_7_km} + (E2_7_7_7 * C00131 * C00039))</v>
      </c>
      <c r="K660" s="37" t="str">
        <f t="shared" si="34"/>
        <v>r659: C00131 + C00039 -&gt; C00013 + C00039 | (${Variables:E2_7_7_7_kcat} * E2_7_7_7 * C00131 * C00039)/(${Variables:E2_7_7_7_km} + (E2_7_7_7 * C00131 * C00039))</v>
      </c>
    </row>
    <row r="661" spans="1:11" ht="46.25" customHeight="1">
      <c r="A661" t="s">
        <v>1866</v>
      </c>
      <c r="B661" t="s">
        <v>1867</v>
      </c>
      <c r="C661" t="s">
        <v>12974</v>
      </c>
      <c r="D661" s="19">
        <v>660</v>
      </c>
      <c r="E661" s="19" t="str">
        <f t="shared" si="32"/>
        <v>E2_7_7_7</v>
      </c>
      <c r="F661" s="19" t="s">
        <v>13650</v>
      </c>
      <c r="G661" s="19" t="s">
        <v>15065</v>
      </c>
      <c r="H661" s="19" t="s">
        <v>14331</v>
      </c>
      <c r="I661" s="19" t="s">
        <v>15746</v>
      </c>
      <c r="J661" s="19" t="str">
        <f t="shared" si="33"/>
        <v>(${Variables:E2_7_7_7_kcat} * E2_7_7_7 * C00286 * C00039)/(${Variables:E2_7_7_7_km} + (E2_7_7_7 * C00286 * C00039))</v>
      </c>
      <c r="K661" s="37" t="str">
        <f t="shared" si="34"/>
        <v>r660: C00286 + C00039 -&gt; C00013 + C00039 | (${Variables:E2_7_7_7_kcat} * E2_7_7_7 * C00286 * C00039)/(${Variables:E2_7_7_7_km} + (E2_7_7_7 * C00286 * C00039))</v>
      </c>
    </row>
    <row r="662" spans="1:11" ht="46.25" customHeight="1">
      <c r="A662" t="s">
        <v>1866</v>
      </c>
      <c r="B662" t="s">
        <v>1867</v>
      </c>
      <c r="C662" t="s">
        <v>12974</v>
      </c>
      <c r="D662" s="19">
        <v>661</v>
      </c>
      <c r="E662" s="19" t="str">
        <f t="shared" si="32"/>
        <v>E2_7_7_7</v>
      </c>
      <c r="F662" s="19" t="s">
        <v>13651</v>
      </c>
      <c r="G662" s="19" t="s">
        <v>15066</v>
      </c>
      <c r="H662" s="19" t="s">
        <v>14331</v>
      </c>
      <c r="I662" s="19" t="s">
        <v>15746</v>
      </c>
      <c r="J662" s="19" t="str">
        <f t="shared" si="33"/>
        <v>(${Variables:E2_7_7_7_kcat} * E2_7_7_7 * C00458 * C00039)/(${Variables:E2_7_7_7_km} + (E2_7_7_7 * C00458 * C00039))</v>
      </c>
      <c r="K662" s="37" t="str">
        <f t="shared" si="34"/>
        <v>r661: C00458 + C00039 -&gt; C00013 + C00039 | (${Variables:E2_7_7_7_kcat} * E2_7_7_7 * C00458 * C00039)/(${Variables:E2_7_7_7_km} + (E2_7_7_7 * C00458 * C00039))</v>
      </c>
    </row>
    <row r="663" spans="1:11" ht="46.25" customHeight="1">
      <c r="A663" t="s">
        <v>1866</v>
      </c>
      <c r="B663" t="s">
        <v>1867</v>
      </c>
      <c r="C663" t="s">
        <v>12974</v>
      </c>
      <c r="D663" s="19">
        <v>662</v>
      </c>
      <c r="E663" s="19" t="str">
        <f t="shared" si="32"/>
        <v>E2_7_7_7</v>
      </c>
      <c r="F663" s="19" t="s">
        <v>13652</v>
      </c>
      <c r="G663" s="19" t="s">
        <v>15067</v>
      </c>
      <c r="H663" s="19" t="s">
        <v>14331</v>
      </c>
      <c r="I663" s="19" t="s">
        <v>15746</v>
      </c>
      <c r="J663" s="19" t="str">
        <f t="shared" si="33"/>
        <v>(${Variables:E2_7_7_7_kcat} * E2_7_7_7 * C00459 * C00039)/(${Variables:E2_7_7_7_km} + (E2_7_7_7 * C00459 * C00039))</v>
      </c>
      <c r="K663" s="37" t="str">
        <f t="shared" si="34"/>
        <v>r662: C00459 + C00039 -&gt; C00013 + C00039 | (${Variables:E2_7_7_7_kcat} * E2_7_7_7 * C00459 * C00039)/(${Variables:E2_7_7_7_km} + (E2_7_7_7 * C00459 * C00039))</v>
      </c>
    </row>
    <row r="664" spans="1:11" ht="46.25" customHeight="1">
      <c r="A664" t="s">
        <v>1866</v>
      </c>
      <c r="B664" t="s">
        <v>1867</v>
      </c>
      <c r="C664" t="s">
        <v>12974</v>
      </c>
      <c r="D664" s="19">
        <v>663</v>
      </c>
      <c r="E664" s="19" t="str">
        <f t="shared" si="32"/>
        <v>E2_7_7_7</v>
      </c>
      <c r="F664" s="19" t="s">
        <v>9241</v>
      </c>
      <c r="G664" s="19" t="s">
        <v>9241</v>
      </c>
      <c r="H664" s="19" t="s">
        <v>9242</v>
      </c>
      <c r="I664" s="19" t="s">
        <v>9242</v>
      </c>
      <c r="J664" s="19" t="str">
        <f t="shared" si="33"/>
        <v>(${Variables:E2_7_7_7_kcat} * E2_7_7_7 * C11039)/(${Variables:E2_7_7_7_km} + (E2_7_7_7 * C11039))</v>
      </c>
      <c r="K664" s="37" t="str">
        <f t="shared" si="34"/>
        <v>r663: C11039 -&gt; C21031 | (${Variables:E2_7_7_7_kcat} * E2_7_7_7 * C11039)/(${Variables:E2_7_7_7_km} + (E2_7_7_7 * C11039))</v>
      </c>
    </row>
    <row r="665" spans="1:11" ht="46.25" customHeight="1">
      <c r="A665" t="s">
        <v>3818</v>
      </c>
      <c r="B665" t="s">
        <v>3819</v>
      </c>
      <c r="C665" t="s">
        <v>12974</v>
      </c>
      <c r="D665" s="19">
        <v>664</v>
      </c>
      <c r="E665" s="19" t="str">
        <f t="shared" si="32"/>
        <v>E2_7_7_7</v>
      </c>
      <c r="F665" s="19" t="s">
        <v>13648</v>
      </c>
      <c r="G665" s="19" t="s">
        <v>15063</v>
      </c>
      <c r="H665" s="19" t="s">
        <v>14331</v>
      </c>
      <c r="I665" s="19" t="s">
        <v>15746</v>
      </c>
      <c r="J665" s="19" t="str">
        <f t="shared" si="33"/>
        <v>(${Variables:E2_7_7_7_kcat} * E2_7_7_7 * C00677 * C00039)/(${Variables:E2_7_7_7_km} + (E2_7_7_7 * C00677 * C00039))</v>
      </c>
      <c r="K665" s="37" t="str">
        <f t="shared" si="34"/>
        <v>r664: C00677 + C00039 -&gt; C00013 + C00039 | (${Variables:E2_7_7_7_kcat} * E2_7_7_7 * C00677 * C00039)/(${Variables:E2_7_7_7_km} + (E2_7_7_7 * C00677 * C00039))</v>
      </c>
    </row>
    <row r="666" spans="1:11" ht="46.25" customHeight="1">
      <c r="A666" t="s">
        <v>3818</v>
      </c>
      <c r="B666" t="s">
        <v>3819</v>
      </c>
      <c r="C666" t="s">
        <v>12974</v>
      </c>
      <c r="D666" s="19">
        <v>665</v>
      </c>
      <c r="E666" s="19" t="str">
        <f t="shared" si="32"/>
        <v>E2_7_7_7</v>
      </c>
      <c r="F666" s="19" t="s">
        <v>13649</v>
      </c>
      <c r="G666" s="19" t="s">
        <v>15064</v>
      </c>
      <c r="H666" s="19" t="s">
        <v>14331</v>
      </c>
      <c r="I666" s="19" t="s">
        <v>15746</v>
      </c>
      <c r="J666" s="19" t="str">
        <f t="shared" si="33"/>
        <v>(${Variables:E2_7_7_7_kcat} * E2_7_7_7 * C00131 * C00039)/(${Variables:E2_7_7_7_km} + (E2_7_7_7 * C00131 * C00039))</v>
      </c>
      <c r="K666" s="37" t="str">
        <f t="shared" si="34"/>
        <v>r665: C00131 + C00039 -&gt; C00013 + C00039 | (${Variables:E2_7_7_7_kcat} * E2_7_7_7 * C00131 * C00039)/(${Variables:E2_7_7_7_km} + (E2_7_7_7 * C00131 * C00039))</v>
      </c>
    </row>
    <row r="667" spans="1:11" ht="46.25" customHeight="1">
      <c r="A667" t="s">
        <v>3818</v>
      </c>
      <c r="B667" t="s">
        <v>3819</v>
      </c>
      <c r="C667" t="s">
        <v>12974</v>
      </c>
      <c r="D667" s="19">
        <v>666</v>
      </c>
      <c r="E667" s="19" t="str">
        <f t="shared" si="32"/>
        <v>E2_7_7_7</v>
      </c>
      <c r="F667" s="19" t="s">
        <v>13650</v>
      </c>
      <c r="G667" s="19" t="s">
        <v>15065</v>
      </c>
      <c r="H667" s="19" t="s">
        <v>14331</v>
      </c>
      <c r="I667" s="19" t="s">
        <v>15746</v>
      </c>
      <c r="J667" s="19" t="str">
        <f t="shared" si="33"/>
        <v>(${Variables:E2_7_7_7_kcat} * E2_7_7_7 * C00286 * C00039)/(${Variables:E2_7_7_7_km} + (E2_7_7_7 * C00286 * C00039))</v>
      </c>
      <c r="K667" s="37" t="str">
        <f t="shared" si="34"/>
        <v>r666: C00286 + C00039 -&gt; C00013 + C00039 | (${Variables:E2_7_7_7_kcat} * E2_7_7_7 * C00286 * C00039)/(${Variables:E2_7_7_7_km} + (E2_7_7_7 * C00286 * C00039))</v>
      </c>
    </row>
    <row r="668" spans="1:11" ht="46.25" customHeight="1">
      <c r="A668" t="s">
        <v>3818</v>
      </c>
      <c r="B668" t="s">
        <v>3819</v>
      </c>
      <c r="C668" t="s">
        <v>12974</v>
      </c>
      <c r="D668" s="19">
        <v>667</v>
      </c>
      <c r="E668" s="19" t="str">
        <f t="shared" si="32"/>
        <v>E2_7_7_7</v>
      </c>
      <c r="F668" s="19" t="s">
        <v>13651</v>
      </c>
      <c r="G668" s="19" t="s">
        <v>15066</v>
      </c>
      <c r="H668" s="19" t="s">
        <v>14331</v>
      </c>
      <c r="I668" s="19" t="s">
        <v>15746</v>
      </c>
      <c r="J668" s="19" t="str">
        <f t="shared" si="33"/>
        <v>(${Variables:E2_7_7_7_kcat} * E2_7_7_7 * C00458 * C00039)/(${Variables:E2_7_7_7_km} + (E2_7_7_7 * C00458 * C00039))</v>
      </c>
      <c r="K668" s="37" t="str">
        <f t="shared" si="34"/>
        <v>r667: C00458 + C00039 -&gt; C00013 + C00039 | (${Variables:E2_7_7_7_kcat} * E2_7_7_7 * C00458 * C00039)/(${Variables:E2_7_7_7_km} + (E2_7_7_7 * C00458 * C00039))</v>
      </c>
    </row>
    <row r="669" spans="1:11" ht="46.25" customHeight="1">
      <c r="A669" t="s">
        <v>3818</v>
      </c>
      <c r="B669" t="s">
        <v>3819</v>
      </c>
      <c r="C669" t="s">
        <v>12974</v>
      </c>
      <c r="D669" s="19">
        <v>668</v>
      </c>
      <c r="E669" s="19" t="str">
        <f t="shared" si="32"/>
        <v>E2_7_7_7</v>
      </c>
      <c r="F669" s="19" t="s">
        <v>13652</v>
      </c>
      <c r="G669" s="19" t="s">
        <v>15067</v>
      </c>
      <c r="H669" s="19" t="s">
        <v>14331</v>
      </c>
      <c r="I669" s="19" t="s">
        <v>15746</v>
      </c>
      <c r="J669" s="19" t="str">
        <f t="shared" si="33"/>
        <v>(${Variables:E2_7_7_7_kcat} * E2_7_7_7 * C00459 * C00039)/(${Variables:E2_7_7_7_km} + (E2_7_7_7 * C00459 * C00039))</v>
      </c>
      <c r="K669" s="37" t="str">
        <f t="shared" si="34"/>
        <v>r668: C00459 + C00039 -&gt; C00013 + C00039 | (${Variables:E2_7_7_7_kcat} * E2_7_7_7 * C00459 * C00039)/(${Variables:E2_7_7_7_km} + (E2_7_7_7 * C00459 * C00039))</v>
      </c>
    </row>
    <row r="670" spans="1:11" ht="46.25" customHeight="1">
      <c r="A670" t="s">
        <v>3818</v>
      </c>
      <c r="B670" t="s">
        <v>3819</v>
      </c>
      <c r="C670" t="s">
        <v>12974</v>
      </c>
      <c r="D670" s="19">
        <v>669</v>
      </c>
      <c r="E670" s="19" t="str">
        <f t="shared" si="32"/>
        <v>E2_7_7_7</v>
      </c>
      <c r="F670" s="19" t="s">
        <v>9241</v>
      </c>
      <c r="G670" s="19" t="s">
        <v>9241</v>
      </c>
      <c r="H670" s="19" t="s">
        <v>9242</v>
      </c>
      <c r="I670" s="19" t="s">
        <v>9242</v>
      </c>
      <c r="J670" s="19" t="str">
        <f t="shared" si="33"/>
        <v>(${Variables:E2_7_7_7_kcat} * E2_7_7_7 * C11039)/(${Variables:E2_7_7_7_km} + (E2_7_7_7 * C11039))</v>
      </c>
      <c r="K670" s="37" t="str">
        <f t="shared" si="34"/>
        <v>r669: C11039 -&gt; C21031 | (${Variables:E2_7_7_7_kcat} * E2_7_7_7 * C11039)/(${Variables:E2_7_7_7_km} + (E2_7_7_7 * C11039))</v>
      </c>
    </row>
    <row r="671" spans="1:11" ht="46.25" customHeight="1">
      <c r="A671" t="s">
        <v>5870</v>
      </c>
      <c r="B671" t="s">
        <v>5871</v>
      </c>
      <c r="C671" t="s">
        <v>12974</v>
      </c>
      <c r="D671" s="19">
        <v>670</v>
      </c>
      <c r="E671" s="19" t="str">
        <f t="shared" si="32"/>
        <v>E2_7_7_7</v>
      </c>
      <c r="F671" s="19" t="s">
        <v>13648</v>
      </c>
      <c r="G671" s="19" t="s">
        <v>15063</v>
      </c>
      <c r="H671" s="19" t="s">
        <v>14331</v>
      </c>
      <c r="I671" s="19" t="s">
        <v>15746</v>
      </c>
      <c r="J671" s="19" t="str">
        <f t="shared" si="33"/>
        <v>(${Variables:E2_7_7_7_kcat} * E2_7_7_7 * C00677 * C00039)/(${Variables:E2_7_7_7_km} + (E2_7_7_7 * C00677 * C00039))</v>
      </c>
      <c r="K671" s="37" t="str">
        <f t="shared" si="34"/>
        <v>r670: C00677 + C00039 -&gt; C00013 + C00039 | (${Variables:E2_7_7_7_kcat} * E2_7_7_7 * C00677 * C00039)/(${Variables:E2_7_7_7_km} + (E2_7_7_7 * C00677 * C00039))</v>
      </c>
    </row>
    <row r="672" spans="1:11" ht="46.25" customHeight="1">
      <c r="A672" t="s">
        <v>5870</v>
      </c>
      <c r="B672" t="s">
        <v>5871</v>
      </c>
      <c r="C672" t="s">
        <v>12974</v>
      </c>
      <c r="D672" s="19">
        <v>671</v>
      </c>
      <c r="E672" s="19" t="str">
        <f t="shared" si="32"/>
        <v>E2_7_7_7</v>
      </c>
      <c r="F672" s="19" t="s">
        <v>13649</v>
      </c>
      <c r="G672" s="19" t="s">
        <v>15064</v>
      </c>
      <c r="H672" s="19" t="s">
        <v>14331</v>
      </c>
      <c r="I672" s="19" t="s">
        <v>15746</v>
      </c>
      <c r="J672" s="19" t="str">
        <f t="shared" si="33"/>
        <v>(${Variables:E2_7_7_7_kcat} * E2_7_7_7 * C00131 * C00039)/(${Variables:E2_7_7_7_km} + (E2_7_7_7 * C00131 * C00039))</v>
      </c>
      <c r="K672" s="37" t="str">
        <f t="shared" si="34"/>
        <v>r671: C00131 + C00039 -&gt; C00013 + C00039 | (${Variables:E2_7_7_7_kcat} * E2_7_7_7 * C00131 * C00039)/(${Variables:E2_7_7_7_km} + (E2_7_7_7 * C00131 * C00039))</v>
      </c>
    </row>
    <row r="673" spans="1:11" ht="46.25" customHeight="1">
      <c r="A673" t="s">
        <v>5870</v>
      </c>
      <c r="B673" t="s">
        <v>5871</v>
      </c>
      <c r="C673" t="s">
        <v>12974</v>
      </c>
      <c r="D673" s="19">
        <v>672</v>
      </c>
      <c r="E673" s="19" t="str">
        <f t="shared" si="32"/>
        <v>E2_7_7_7</v>
      </c>
      <c r="F673" s="19" t="s">
        <v>13650</v>
      </c>
      <c r="G673" s="19" t="s">
        <v>15065</v>
      </c>
      <c r="H673" s="19" t="s">
        <v>14331</v>
      </c>
      <c r="I673" s="19" t="s">
        <v>15746</v>
      </c>
      <c r="J673" s="19" t="str">
        <f t="shared" si="33"/>
        <v>(${Variables:E2_7_7_7_kcat} * E2_7_7_7 * C00286 * C00039)/(${Variables:E2_7_7_7_km} + (E2_7_7_7 * C00286 * C00039))</v>
      </c>
      <c r="K673" s="37" t="str">
        <f t="shared" si="34"/>
        <v>r672: C00286 + C00039 -&gt; C00013 + C00039 | (${Variables:E2_7_7_7_kcat} * E2_7_7_7 * C00286 * C00039)/(${Variables:E2_7_7_7_km} + (E2_7_7_7 * C00286 * C00039))</v>
      </c>
    </row>
    <row r="674" spans="1:11" ht="46.25" customHeight="1">
      <c r="A674" t="s">
        <v>5870</v>
      </c>
      <c r="B674" t="s">
        <v>5871</v>
      </c>
      <c r="C674" t="s">
        <v>12974</v>
      </c>
      <c r="D674" s="19">
        <v>673</v>
      </c>
      <c r="E674" s="19" t="str">
        <f t="shared" si="32"/>
        <v>E2_7_7_7</v>
      </c>
      <c r="F674" s="19" t="s">
        <v>13651</v>
      </c>
      <c r="G674" s="19" t="s">
        <v>15066</v>
      </c>
      <c r="H674" s="19" t="s">
        <v>14331</v>
      </c>
      <c r="I674" s="19" t="s">
        <v>15746</v>
      </c>
      <c r="J674" s="19" t="str">
        <f t="shared" si="33"/>
        <v>(${Variables:E2_7_7_7_kcat} * E2_7_7_7 * C00458 * C00039)/(${Variables:E2_7_7_7_km} + (E2_7_7_7 * C00458 * C00039))</v>
      </c>
      <c r="K674" s="37" t="str">
        <f t="shared" si="34"/>
        <v>r673: C00458 + C00039 -&gt; C00013 + C00039 | (${Variables:E2_7_7_7_kcat} * E2_7_7_7 * C00458 * C00039)/(${Variables:E2_7_7_7_km} + (E2_7_7_7 * C00458 * C00039))</v>
      </c>
    </row>
    <row r="675" spans="1:11" ht="46.25" customHeight="1">
      <c r="A675" t="s">
        <v>5870</v>
      </c>
      <c r="B675" t="s">
        <v>5871</v>
      </c>
      <c r="C675" t="s">
        <v>12974</v>
      </c>
      <c r="D675" s="19">
        <v>674</v>
      </c>
      <c r="E675" s="19" t="str">
        <f t="shared" si="32"/>
        <v>E2_7_7_7</v>
      </c>
      <c r="F675" s="19" t="s">
        <v>13652</v>
      </c>
      <c r="G675" s="19" t="s">
        <v>15067</v>
      </c>
      <c r="H675" s="19" t="s">
        <v>14331</v>
      </c>
      <c r="I675" s="19" t="s">
        <v>15746</v>
      </c>
      <c r="J675" s="19" t="str">
        <f t="shared" si="33"/>
        <v>(${Variables:E2_7_7_7_kcat} * E2_7_7_7 * C00459 * C00039)/(${Variables:E2_7_7_7_km} + (E2_7_7_7 * C00459 * C00039))</v>
      </c>
      <c r="K675" s="37" t="str">
        <f t="shared" si="34"/>
        <v>r674: C00459 + C00039 -&gt; C00013 + C00039 | (${Variables:E2_7_7_7_kcat} * E2_7_7_7 * C00459 * C00039)/(${Variables:E2_7_7_7_km} + (E2_7_7_7 * C00459 * C00039))</v>
      </c>
    </row>
    <row r="676" spans="1:11" ht="46.25" customHeight="1">
      <c r="A676" t="s">
        <v>5870</v>
      </c>
      <c r="B676" t="s">
        <v>5871</v>
      </c>
      <c r="C676" t="s">
        <v>12974</v>
      </c>
      <c r="D676" s="19">
        <v>675</v>
      </c>
      <c r="E676" s="19" t="str">
        <f t="shared" si="32"/>
        <v>E2_7_7_7</v>
      </c>
      <c r="F676" s="19" t="s">
        <v>9241</v>
      </c>
      <c r="G676" s="19" t="s">
        <v>9241</v>
      </c>
      <c r="H676" s="19" t="s">
        <v>9242</v>
      </c>
      <c r="I676" s="19" t="s">
        <v>9242</v>
      </c>
      <c r="J676" s="19" t="str">
        <f t="shared" si="33"/>
        <v>(${Variables:E2_7_7_7_kcat} * E2_7_7_7 * C11039)/(${Variables:E2_7_7_7_km} + (E2_7_7_7 * C11039))</v>
      </c>
      <c r="K676" s="37" t="str">
        <f t="shared" si="34"/>
        <v>r675: C11039 -&gt; C21031 | (${Variables:E2_7_7_7_kcat} * E2_7_7_7 * C11039)/(${Variables:E2_7_7_7_km} + (E2_7_7_7 * C11039))</v>
      </c>
    </row>
    <row r="677" spans="1:11" ht="46.25" customHeight="1">
      <c r="A677" t="s">
        <v>5907</v>
      </c>
      <c r="B677" t="s">
        <v>5908</v>
      </c>
      <c r="C677" t="s">
        <v>12974</v>
      </c>
      <c r="D677" s="19">
        <v>676</v>
      </c>
      <c r="E677" s="19" t="str">
        <f t="shared" si="32"/>
        <v>E2_7_7_7</v>
      </c>
      <c r="F677" s="19" t="s">
        <v>13648</v>
      </c>
      <c r="G677" s="19" t="s">
        <v>15063</v>
      </c>
      <c r="H677" s="19" t="s">
        <v>14331</v>
      </c>
      <c r="I677" s="19" t="s">
        <v>15746</v>
      </c>
      <c r="J677" s="19" t="str">
        <f t="shared" si="33"/>
        <v>(${Variables:E2_7_7_7_kcat} * E2_7_7_7 * C00677 * C00039)/(${Variables:E2_7_7_7_km} + (E2_7_7_7 * C00677 * C00039))</v>
      </c>
      <c r="K677" s="37" t="str">
        <f t="shared" si="34"/>
        <v>r676: C00677 + C00039 -&gt; C00013 + C00039 | (${Variables:E2_7_7_7_kcat} * E2_7_7_7 * C00677 * C00039)/(${Variables:E2_7_7_7_km} + (E2_7_7_7 * C00677 * C00039))</v>
      </c>
    </row>
    <row r="678" spans="1:11" ht="46.25" customHeight="1">
      <c r="A678" t="s">
        <v>5907</v>
      </c>
      <c r="B678" t="s">
        <v>5908</v>
      </c>
      <c r="C678" t="s">
        <v>12974</v>
      </c>
      <c r="D678" s="19">
        <v>677</v>
      </c>
      <c r="E678" s="19" t="str">
        <f t="shared" si="32"/>
        <v>E2_7_7_7</v>
      </c>
      <c r="F678" s="19" t="s">
        <v>13649</v>
      </c>
      <c r="G678" s="19" t="s">
        <v>15064</v>
      </c>
      <c r="H678" s="19" t="s">
        <v>14331</v>
      </c>
      <c r="I678" s="19" t="s">
        <v>15746</v>
      </c>
      <c r="J678" s="19" t="str">
        <f t="shared" si="33"/>
        <v>(${Variables:E2_7_7_7_kcat} * E2_7_7_7 * C00131 * C00039)/(${Variables:E2_7_7_7_km} + (E2_7_7_7 * C00131 * C00039))</v>
      </c>
      <c r="K678" s="37" t="str">
        <f t="shared" si="34"/>
        <v>r677: C00131 + C00039 -&gt; C00013 + C00039 | (${Variables:E2_7_7_7_kcat} * E2_7_7_7 * C00131 * C00039)/(${Variables:E2_7_7_7_km} + (E2_7_7_7 * C00131 * C00039))</v>
      </c>
    </row>
    <row r="679" spans="1:11" ht="46.25" customHeight="1">
      <c r="A679" t="s">
        <v>5907</v>
      </c>
      <c r="B679" t="s">
        <v>5908</v>
      </c>
      <c r="C679" t="s">
        <v>12974</v>
      </c>
      <c r="D679" s="19">
        <v>678</v>
      </c>
      <c r="E679" s="19" t="str">
        <f t="shared" si="32"/>
        <v>E2_7_7_7</v>
      </c>
      <c r="F679" s="19" t="s">
        <v>13650</v>
      </c>
      <c r="G679" s="19" t="s">
        <v>15065</v>
      </c>
      <c r="H679" s="19" t="s">
        <v>14331</v>
      </c>
      <c r="I679" s="19" t="s">
        <v>15746</v>
      </c>
      <c r="J679" s="19" t="str">
        <f t="shared" si="33"/>
        <v>(${Variables:E2_7_7_7_kcat} * E2_7_7_7 * C00286 * C00039)/(${Variables:E2_7_7_7_km} + (E2_7_7_7 * C00286 * C00039))</v>
      </c>
      <c r="K679" s="37" t="str">
        <f t="shared" si="34"/>
        <v>r678: C00286 + C00039 -&gt; C00013 + C00039 | (${Variables:E2_7_7_7_kcat} * E2_7_7_7 * C00286 * C00039)/(${Variables:E2_7_7_7_km} + (E2_7_7_7 * C00286 * C00039))</v>
      </c>
    </row>
    <row r="680" spans="1:11" ht="46.25" customHeight="1">
      <c r="A680" t="s">
        <v>5907</v>
      </c>
      <c r="B680" t="s">
        <v>5908</v>
      </c>
      <c r="C680" t="s">
        <v>12974</v>
      </c>
      <c r="D680" s="19">
        <v>679</v>
      </c>
      <c r="E680" s="19" t="str">
        <f t="shared" si="32"/>
        <v>E2_7_7_7</v>
      </c>
      <c r="F680" s="19" t="s">
        <v>13651</v>
      </c>
      <c r="G680" s="19" t="s">
        <v>15066</v>
      </c>
      <c r="H680" s="19" t="s">
        <v>14331</v>
      </c>
      <c r="I680" s="19" t="s">
        <v>15746</v>
      </c>
      <c r="J680" s="19" t="str">
        <f t="shared" si="33"/>
        <v>(${Variables:E2_7_7_7_kcat} * E2_7_7_7 * C00458 * C00039)/(${Variables:E2_7_7_7_km} + (E2_7_7_7 * C00458 * C00039))</v>
      </c>
      <c r="K680" s="37" t="str">
        <f t="shared" si="34"/>
        <v>r679: C00458 + C00039 -&gt; C00013 + C00039 | (${Variables:E2_7_7_7_kcat} * E2_7_7_7 * C00458 * C00039)/(${Variables:E2_7_7_7_km} + (E2_7_7_7 * C00458 * C00039))</v>
      </c>
    </row>
    <row r="681" spans="1:11" ht="46.25" customHeight="1">
      <c r="A681" t="s">
        <v>5907</v>
      </c>
      <c r="B681" t="s">
        <v>5908</v>
      </c>
      <c r="C681" t="s">
        <v>12974</v>
      </c>
      <c r="D681" s="19">
        <v>680</v>
      </c>
      <c r="E681" s="19" t="str">
        <f t="shared" si="32"/>
        <v>E2_7_7_7</v>
      </c>
      <c r="F681" s="19" t="s">
        <v>13652</v>
      </c>
      <c r="G681" s="19" t="s">
        <v>15067</v>
      </c>
      <c r="H681" s="19" t="s">
        <v>14331</v>
      </c>
      <c r="I681" s="19" t="s">
        <v>15746</v>
      </c>
      <c r="J681" s="19" t="str">
        <f t="shared" si="33"/>
        <v>(${Variables:E2_7_7_7_kcat} * E2_7_7_7 * C00459 * C00039)/(${Variables:E2_7_7_7_km} + (E2_7_7_7 * C00459 * C00039))</v>
      </c>
      <c r="K681" s="37" t="str">
        <f t="shared" si="34"/>
        <v>r680: C00459 + C00039 -&gt; C00013 + C00039 | (${Variables:E2_7_7_7_kcat} * E2_7_7_7 * C00459 * C00039)/(${Variables:E2_7_7_7_km} + (E2_7_7_7 * C00459 * C00039))</v>
      </c>
    </row>
    <row r="682" spans="1:11" ht="46.25" customHeight="1">
      <c r="A682" t="s">
        <v>5907</v>
      </c>
      <c r="B682" t="s">
        <v>5908</v>
      </c>
      <c r="C682" t="s">
        <v>12974</v>
      </c>
      <c r="D682" s="19">
        <v>681</v>
      </c>
      <c r="E682" s="19" t="str">
        <f t="shared" si="32"/>
        <v>E2_7_7_7</v>
      </c>
      <c r="F682" s="19" t="s">
        <v>9241</v>
      </c>
      <c r="G682" s="19" t="s">
        <v>9241</v>
      </c>
      <c r="H682" s="19" t="s">
        <v>9242</v>
      </c>
      <c r="I682" s="19" t="s">
        <v>9242</v>
      </c>
      <c r="J682" s="19" t="str">
        <f t="shared" si="33"/>
        <v>(${Variables:E2_7_7_7_kcat} * E2_7_7_7 * C11039)/(${Variables:E2_7_7_7_km} + (E2_7_7_7 * C11039))</v>
      </c>
      <c r="K682" s="37" t="str">
        <f t="shared" si="34"/>
        <v>r681: C11039 -&gt; C21031 | (${Variables:E2_7_7_7_kcat} * E2_7_7_7 * C11039)/(${Variables:E2_7_7_7_km} + (E2_7_7_7 * C11039))</v>
      </c>
    </row>
    <row r="683" spans="1:11" ht="46.25" customHeight="1">
      <c r="A683" t="s">
        <v>8370</v>
      </c>
      <c r="B683" t="s">
        <v>8371</v>
      </c>
      <c r="C683" t="s">
        <v>12975</v>
      </c>
      <c r="D683" s="19">
        <v>682</v>
      </c>
      <c r="E683" s="19" t="str">
        <f t="shared" si="32"/>
        <v>E2_7_7_72</v>
      </c>
      <c r="F683" s="19" t="s">
        <v>13653</v>
      </c>
      <c r="G683" s="19" t="s">
        <v>15068</v>
      </c>
      <c r="H683" s="19" t="s">
        <v>14332</v>
      </c>
      <c r="I683" s="19" t="s">
        <v>15747</v>
      </c>
      <c r="J683" s="19" t="str">
        <f t="shared" si="33"/>
        <v>(${Variables:E2_7_7_72_kcat} * E2_7_7_72 * C02211 * C00063 * C00002)/(${Variables:E2_7_7_72_km} + (E2_7_7_72 * C02211 * C00063 * C00002))</v>
      </c>
      <c r="K683" s="37" t="str">
        <f t="shared" si="34"/>
        <v>r682: C02211 + C00063 + C00002 -&gt; C19085 + C00013 | (${Variables:E2_7_7_72_kcat} * E2_7_7_72 * C02211 * C00063 * C00002)/(${Variables:E2_7_7_72_km} + (E2_7_7_72 * C02211 * C00063 * C00002))</v>
      </c>
    </row>
    <row r="684" spans="1:11" ht="46.25" customHeight="1">
      <c r="A684" t="s">
        <v>8370</v>
      </c>
      <c r="B684" t="s">
        <v>8371</v>
      </c>
      <c r="C684" t="s">
        <v>12975</v>
      </c>
      <c r="D684" s="19">
        <v>683</v>
      </c>
      <c r="E684" s="19" t="str">
        <f t="shared" si="32"/>
        <v>E2_7_7_72</v>
      </c>
      <c r="F684" s="19" t="s">
        <v>13654</v>
      </c>
      <c r="G684" s="19" t="s">
        <v>15069</v>
      </c>
      <c r="H684" s="19" t="s">
        <v>14333</v>
      </c>
      <c r="I684" s="19" t="s">
        <v>15748</v>
      </c>
      <c r="J684" s="19" t="str">
        <f t="shared" si="33"/>
        <v>(${Variables:E2_7_7_72_kcat} * E2_7_7_72 * C02211 * C00063)/(${Variables:E2_7_7_72_km} + (E2_7_7_72 * C02211 * C00063))</v>
      </c>
      <c r="K684" s="37" t="str">
        <f t="shared" si="34"/>
        <v>r683: C02211 + C00063 -&gt; C19078 + C00013 | (${Variables:E2_7_7_72_kcat} * E2_7_7_72 * C02211 * C00063)/(${Variables:E2_7_7_72_km} + (E2_7_7_72 * C02211 * C00063))</v>
      </c>
    </row>
    <row r="685" spans="1:11" ht="46.25" customHeight="1">
      <c r="A685" t="s">
        <v>8370</v>
      </c>
      <c r="B685" t="s">
        <v>8371</v>
      </c>
      <c r="C685" t="s">
        <v>12975</v>
      </c>
      <c r="D685" s="19">
        <v>684</v>
      </c>
      <c r="E685" s="19" t="str">
        <f t="shared" si="32"/>
        <v>E2_7_7_72</v>
      </c>
      <c r="F685" s="19" t="s">
        <v>13655</v>
      </c>
      <c r="G685" s="19" t="s">
        <v>15070</v>
      </c>
      <c r="H685" s="19" t="s">
        <v>14334</v>
      </c>
      <c r="I685" s="19" t="s">
        <v>15749</v>
      </c>
      <c r="J685" s="19" t="str">
        <f t="shared" si="33"/>
        <v>(${Variables:E2_7_7_72_kcat} * E2_7_7_72 * C19078 * C00063)/(${Variables:E2_7_7_72_km} + (E2_7_7_72 * C19078 * C00063))</v>
      </c>
      <c r="K685" s="37" t="str">
        <f t="shared" si="34"/>
        <v>r684: C19078 + C00063 -&gt; C19080 + C00013 | (${Variables:E2_7_7_72_kcat} * E2_7_7_72 * C19078 * C00063)/(${Variables:E2_7_7_72_km} + (E2_7_7_72 * C19078 * C00063))</v>
      </c>
    </row>
    <row r="686" spans="1:11" ht="46.25" customHeight="1">
      <c r="A686" t="s">
        <v>8370</v>
      </c>
      <c r="B686" t="s">
        <v>8371</v>
      </c>
      <c r="C686" t="s">
        <v>12975</v>
      </c>
      <c r="D686" s="19">
        <v>685</v>
      </c>
      <c r="E686" s="19" t="str">
        <f t="shared" si="32"/>
        <v>E2_7_7_72</v>
      </c>
      <c r="F686" s="19" t="s">
        <v>13656</v>
      </c>
      <c r="G686" s="19" t="s">
        <v>15071</v>
      </c>
      <c r="H686" s="19" t="s">
        <v>14332</v>
      </c>
      <c r="I686" s="19" t="s">
        <v>15747</v>
      </c>
      <c r="J686" s="19" t="str">
        <f t="shared" si="33"/>
        <v>(${Variables:E2_7_7_72_kcat} * E2_7_7_72 * C19080 * C00002)/(${Variables:E2_7_7_72_km} + (E2_7_7_72 * C19080 * C00002))</v>
      </c>
      <c r="K686" s="37" t="str">
        <f t="shared" si="34"/>
        <v>r685: C19080 + C00002 -&gt; C19085 + C00013 | (${Variables:E2_7_7_72_kcat} * E2_7_7_72 * C19080 * C00002)/(${Variables:E2_7_7_72_km} + (E2_7_7_72 * C19080 * C00002))</v>
      </c>
    </row>
    <row r="687" spans="1:11" ht="46.25" customHeight="1">
      <c r="A687" t="s">
        <v>3401</v>
      </c>
      <c r="B687" t="s">
        <v>3402</v>
      </c>
      <c r="C687" t="s">
        <v>12976</v>
      </c>
      <c r="D687" s="19">
        <v>686</v>
      </c>
      <c r="E687" s="19" t="str">
        <f t="shared" si="32"/>
        <v>E2_7_7_77</v>
      </c>
      <c r="F687" s="19" t="s">
        <v>13657</v>
      </c>
      <c r="G687" s="19" t="s">
        <v>15072</v>
      </c>
      <c r="H687" s="19" t="s">
        <v>14335</v>
      </c>
      <c r="I687" s="19" t="s">
        <v>15750</v>
      </c>
      <c r="J687" s="19" t="str">
        <f t="shared" si="33"/>
        <v>(${Variables:E2_7_7_77_kcat} * E2_7_7_77 * C18237 * C00044)/(${Variables:E2_7_7_77_km} + (E2_7_7_77 * C18237 * C00044))</v>
      </c>
      <c r="K687" s="37" t="str">
        <f t="shared" si="34"/>
        <v>r686: C18237 + C00044 -&gt; C19871 + C00013 | (${Variables:E2_7_7_77_kcat} * E2_7_7_77 * C18237 * C00044)/(${Variables:E2_7_7_77_km} + (E2_7_7_77 * C18237 * C00044))</v>
      </c>
    </row>
    <row r="688" spans="1:11" ht="46.25" customHeight="1">
      <c r="A688" t="s">
        <v>5441</v>
      </c>
      <c r="B688" t="s">
        <v>5442</v>
      </c>
      <c r="C688" t="s">
        <v>16038</v>
      </c>
      <c r="D688" s="19">
        <v>687</v>
      </c>
      <c r="E688" s="19" t="str">
        <f t="shared" si="32"/>
        <v>E2_7_7_8</v>
      </c>
      <c r="F688" s="19" t="s">
        <v>13658</v>
      </c>
      <c r="G688" s="19" t="s">
        <v>15073</v>
      </c>
      <c r="H688" s="19" t="s">
        <v>14336</v>
      </c>
      <c r="I688" s="19" t="s">
        <v>15751</v>
      </c>
      <c r="J688" s="19" t="str">
        <f t="shared" si="33"/>
        <v>(${Variables:E2_7_7_8_kcat} * E2_7_7_8 * C00046 * C00009)/(${Variables:E2_7_7_8_km} + (E2_7_7_8 * C00046 * C00009))</v>
      </c>
      <c r="K688" s="37" t="str">
        <f t="shared" si="34"/>
        <v>r687: C00046 + C00009 -&gt; C00046 + C00454 | (${Variables:E2_7_7_8_kcat} * E2_7_7_8 * C00046 * C00009)/(${Variables:E2_7_7_8_km} + (E2_7_7_8 * C00046 * C00009))</v>
      </c>
    </row>
    <row r="689" spans="1:11" ht="46.25" customHeight="1">
      <c r="A689" t="s">
        <v>5441</v>
      </c>
      <c r="B689" t="s">
        <v>5442</v>
      </c>
      <c r="C689" t="s">
        <v>16038</v>
      </c>
      <c r="D689" s="19">
        <v>688</v>
      </c>
      <c r="E689" s="19" t="str">
        <f t="shared" si="32"/>
        <v>E2_7_7_8</v>
      </c>
      <c r="F689" s="19" t="s">
        <v>13658</v>
      </c>
      <c r="G689" s="19" t="s">
        <v>15073</v>
      </c>
      <c r="H689" s="19" t="s">
        <v>14337</v>
      </c>
      <c r="I689" s="19" t="s">
        <v>15752</v>
      </c>
      <c r="J689" s="19" t="str">
        <f t="shared" si="33"/>
        <v>(${Variables:E2_7_7_8_kcat} * E2_7_7_8 * C00046 * C00009)/(${Variables:E2_7_7_8_km} + (E2_7_7_8 * C00046 * C00009))</v>
      </c>
      <c r="K689" s="37" t="str">
        <f t="shared" si="34"/>
        <v>r688: C00046 + C00009 -&gt; C00046 + C00008 | (${Variables:E2_7_7_8_kcat} * E2_7_7_8 * C00046 * C00009)/(${Variables:E2_7_7_8_km} + (E2_7_7_8 * C00046 * C00009))</v>
      </c>
    </row>
    <row r="690" spans="1:11" ht="46.25" customHeight="1">
      <c r="A690" t="s">
        <v>5441</v>
      </c>
      <c r="B690" t="s">
        <v>5442</v>
      </c>
      <c r="C690" t="s">
        <v>16038</v>
      </c>
      <c r="D690" s="19">
        <v>689</v>
      </c>
      <c r="E690" s="19" t="str">
        <f t="shared" si="32"/>
        <v>E2_7_7_8</v>
      </c>
      <c r="F690" s="19" t="s">
        <v>13658</v>
      </c>
      <c r="G690" s="19" t="s">
        <v>15073</v>
      </c>
      <c r="H690" s="19" t="s">
        <v>14338</v>
      </c>
      <c r="I690" s="19" t="s">
        <v>15753</v>
      </c>
      <c r="J690" s="19" t="str">
        <f t="shared" si="33"/>
        <v>(${Variables:E2_7_7_8_kcat} * E2_7_7_8 * C00046 * C00009)/(${Variables:E2_7_7_8_km} + (E2_7_7_8 * C00046 * C00009))</v>
      </c>
      <c r="K690" s="37" t="str">
        <f t="shared" si="34"/>
        <v>r689: C00046 + C00009 -&gt; C00046 + C00015 | (${Variables:E2_7_7_8_kcat} * E2_7_7_8 * C00046 * C00009)/(${Variables:E2_7_7_8_km} + (E2_7_7_8 * C00046 * C00009))</v>
      </c>
    </row>
    <row r="691" spans="1:11" ht="46.25" customHeight="1">
      <c r="A691" t="s">
        <v>5441</v>
      </c>
      <c r="B691" t="s">
        <v>5442</v>
      </c>
      <c r="C691" t="s">
        <v>16038</v>
      </c>
      <c r="D691" s="19">
        <v>690</v>
      </c>
      <c r="E691" s="19" t="str">
        <f t="shared" si="32"/>
        <v>E2_7_7_8</v>
      </c>
      <c r="F691" s="19" t="s">
        <v>13658</v>
      </c>
      <c r="G691" s="19" t="s">
        <v>15073</v>
      </c>
      <c r="H691" s="19" t="s">
        <v>14339</v>
      </c>
      <c r="I691" s="19" t="s">
        <v>15754</v>
      </c>
      <c r="J691" s="19" t="str">
        <f t="shared" si="33"/>
        <v>(${Variables:E2_7_7_8_kcat} * E2_7_7_8 * C00046 * C00009)/(${Variables:E2_7_7_8_km} + (E2_7_7_8 * C00046 * C00009))</v>
      </c>
      <c r="K691" s="37" t="str">
        <f t="shared" si="34"/>
        <v>r690: C00046 + C00009 -&gt; C00046 + C00035 | (${Variables:E2_7_7_8_kcat} * E2_7_7_8 * C00046 * C00009)/(${Variables:E2_7_7_8_km} + (E2_7_7_8 * C00046 * C00009))</v>
      </c>
    </row>
    <row r="692" spans="1:11" ht="46.25" customHeight="1">
      <c r="A692" t="s">
        <v>5441</v>
      </c>
      <c r="B692" t="s">
        <v>5442</v>
      </c>
      <c r="C692" t="s">
        <v>16038</v>
      </c>
      <c r="D692" s="19">
        <v>691</v>
      </c>
      <c r="E692" s="19" t="str">
        <f t="shared" si="32"/>
        <v>E2_7_7_8</v>
      </c>
      <c r="F692" s="19" t="s">
        <v>13658</v>
      </c>
      <c r="G692" s="19" t="s">
        <v>15073</v>
      </c>
      <c r="H692" s="19" t="s">
        <v>14340</v>
      </c>
      <c r="I692" s="19" t="s">
        <v>15755</v>
      </c>
      <c r="J692" s="19" t="str">
        <f t="shared" si="33"/>
        <v>(${Variables:E2_7_7_8_kcat} * E2_7_7_8 * C00046 * C00009)/(${Variables:E2_7_7_8_km} + (E2_7_7_8 * C00046 * C00009))</v>
      </c>
      <c r="K692" s="37" t="str">
        <f t="shared" si="34"/>
        <v>r691: C00046 + C00009 -&gt; C00046 + C00112 | (${Variables:E2_7_7_8_kcat} * E2_7_7_8 * C00046 * C00009)/(${Variables:E2_7_7_8_km} + (E2_7_7_8 * C00046 * C00009))</v>
      </c>
    </row>
    <row r="693" spans="1:11" ht="46.25" customHeight="1">
      <c r="A693" t="s">
        <v>7329</v>
      </c>
      <c r="B693" t="s">
        <v>7330</v>
      </c>
      <c r="C693" t="s">
        <v>12977</v>
      </c>
      <c r="D693" s="19">
        <v>692</v>
      </c>
      <c r="E693" s="19" t="str">
        <f t="shared" si="32"/>
        <v>E2_7_7_85</v>
      </c>
      <c r="F693" s="19" t="s">
        <v>8706</v>
      </c>
      <c r="G693" s="19" t="s">
        <v>8706</v>
      </c>
      <c r="H693" s="19" t="s">
        <v>14341</v>
      </c>
      <c r="I693" s="19" t="s">
        <v>15756</v>
      </c>
      <c r="J693" s="19" t="str">
        <f t="shared" si="33"/>
        <v>(${Variables:E2_7_7_85_kcat} * E2_7_7_85 * C00002)/(${Variables:E2_7_7_85_km} + (E2_7_7_85 * C00002))</v>
      </c>
      <c r="K693" s="37" t="str">
        <f t="shared" si="34"/>
        <v>r692: C00002 -&gt; C00013 + C20565 | (${Variables:E2_7_7_85_kcat} * E2_7_7_85 * C00002)/(${Variables:E2_7_7_85_km} + (E2_7_7_85 * C00002))</v>
      </c>
    </row>
    <row r="694" spans="1:11" ht="46.25" customHeight="1">
      <c r="A694" t="s">
        <v>3425</v>
      </c>
      <c r="B694" t="s">
        <v>3426</v>
      </c>
      <c r="C694" t="s">
        <v>12978</v>
      </c>
      <c r="D694" s="19">
        <v>693</v>
      </c>
      <c r="E694" s="19" t="str">
        <f t="shared" si="32"/>
        <v>E2_7_7_87</v>
      </c>
      <c r="F694" s="19" t="s">
        <v>13659</v>
      </c>
      <c r="G694" s="19" t="s">
        <v>15074</v>
      </c>
      <c r="H694" s="19" t="s">
        <v>14342</v>
      </c>
      <c r="I694" s="19" t="s">
        <v>15757</v>
      </c>
      <c r="J694" s="19" t="str">
        <f t="shared" si="33"/>
        <v>(${Variables:E2_7_7_87_kcat} * E2_7_7_87 * C00188 * C00002 * C00288 * C00080)/(${Variables:E2_7_7_87_km} + (E2_7_7_87 * C00188 * C00002 * C00288 * C00080))</v>
      </c>
      <c r="K694" s="37" t="str">
        <f t="shared" si="34"/>
        <v>r693: C00188 + C00002 + C00288 + C00080 -&gt; C20641 + C00013 + C00001 | (${Variables:E2_7_7_87_kcat} * E2_7_7_87 * C00188 * C00002 * C00288 * C00080)/(${Variables:E2_7_7_87_km} + (E2_7_7_87 * C00188 * C00002 * C00288 * C00080))</v>
      </c>
    </row>
    <row r="695" spans="1:11" ht="46.25" customHeight="1">
      <c r="A695" t="s">
        <v>6147</v>
      </c>
      <c r="B695" t="s">
        <v>6148</v>
      </c>
      <c r="C695" t="s">
        <v>12979</v>
      </c>
      <c r="D695" s="19">
        <v>694</v>
      </c>
      <c r="E695" s="19" t="str">
        <f t="shared" si="32"/>
        <v>E2_7_7_89</v>
      </c>
      <c r="F695" s="19" t="s">
        <v>13660</v>
      </c>
      <c r="G695" s="19" t="s">
        <v>15075</v>
      </c>
      <c r="H695" s="19" t="s">
        <v>14343</v>
      </c>
      <c r="I695" s="19" t="s">
        <v>15758</v>
      </c>
      <c r="J695" s="19" t="str">
        <f t="shared" si="33"/>
        <v>(${Variables:E2_7_7_89_kcat} * E2_7_7_89 * C01299 * C00009)/(${Variables:E2_7_7_89_km} + (E2_7_7_89 * C01299 * C00009))</v>
      </c>
      <c r="K695" s="37" t="str">
        <f t="shared" si="34"/>
        <v>r694: C01299 + C00009 -&gt; C00008 + C01281 | (${Variables:E2_7_7_89_kcat} * E2_7_7_89 * C01299 * C00009)/(${Variables:E2_7_7_89_km} + (E2_7_7_89 * C01299 * C00009))</v>
      </c>
    </row>
    <row r="696" spans="1:11" ht="46.25" customHeight="1">
      <c r="A696" t="s">
        <v>1091</v>
      </c>
      <c r="B696" t="s">
        <v>1092</v>
      </c>
      <c r="C696" t="s">
        <v>12980</v>
      </c>
      <c r="D696" s="19">
        <v>695</v>
      </c>
      <c r="E696" s="19" t="str">
        <f t="shared" si="32"/>
        <v>E2_7_7_9</v>
      </c>
      <c r="F696" s="19" t="s">
        <v>13661</v>
      </c>
      <c r="G696" s="19" t="s">
        <v>15076</v>
      </c>
      <c r="H696" s="19" t="s">
        <v>14344</v>
      </c>
      <c r="I696" s="19" t="s">
        <v>15759</v>
      </c>
      <c r="J696" s="19" t="str">
        <f t="shared" si="33"/>
        <v>(${Variables:E2_7_7_9_kcat} * E2_7_7_9 * C00075 * C00103)/(${Variables:E2_7_7_9_km} + (E2_7_7_9 * C00075 * C00103))</v>
      </c>
      <c r="K696" s="37" t="str">
        <f t="shared" si="34"/>
        <v>r695: C00075 + C00103 -&gt; C00013 + C00029 | (${Variables:E2_7_7_9_kcat} * E2_7_7_9 * C00075 * C00103)/(${Variables:E2_7_7_9_km} + (E2_7_7_9 * C00075 * C00103))</v>
      </c>
    </row>
    <row r="697" spans="1:11" ht="46.25" customHeight="1">
      <c r="A697" t="s">
        <v>2555</v>
      </c>
      <c r="B697" t="s">
        <v>2556</v>
      </c>
      <c r="C697" t="s">
        <v>12980</v>
      </c>
      <c r="D697" s="19">
        <v>696</v>
      </c>
      <c r="E697" s="19" t="str">
        <f t="shared" si="32"/>
        <v>E2_7_7_9</v>
      </c>
      <c r="F697" s="19" t="s">
        <v>13661</v>
      </c>
      <c r="G697" s="19" t="s">
        <v>15076</v>
      </c>
      <c r="H697" s="19" t="s">
        <v>14344</v>
      </c>
      <c r="I697" s="19" t="s">
        <v>15759</v>
      </c>
      <c r="J697" s="19" t="str">
        <f t="shared" si="33"/>
        <v>(${Variables:E2_7_7_9_kcat} * E2_7_7_9 * C00075 * C00103)/(${Variables:E2_7_7_9_km} + (E2_7_7_9 * C00075 * C00103))</v>
      </c>
      <c r="K697" s="37" t="str">
        <f t="shared" si="34"/>
        <v>r696: C00075 + C00103 -&gt; C00013 + C00029 | (${Variables:E2_7_7_9_kcat} * E2_7_7_9 * C00075 * C00103)/(${Variables:E2_7_7_9_km} + (E2_7_7_9 * C00075 * C00103))</v>
      </c>
    </row>
    <row r="698" spans="1:11" ht="46.25" customHeight="1">
      <c r="A698" t="s">
        <v>5961</v>
      </c>
      <c r="B698" t="s">
        <v>5962</v>
      </c>
      <c r="C698" t="s">
        <v>12981</v>
      </c>
      <c r="D698" s="19">
        <v>697</v>
      </c>
      <c r="E698" s="19" t="str">
        <f t="shared" si="32"/>
        <v>E2_7_8_13</v>
      </c>
      <c r="F698" s="19" t="s">
        <v>13662</v>
      </c>
      <c r="G698" s="19" t="s">
        <v>15077</v>
      </c>
      <c r="H698" s="19" t="s">
        <v>14345</v>
      </c>
      <c r="I698" s="19" t="s">
        <v>15760</v>
      </c>
      <c r="J698" s="19" t="str">
        <f t="shared" si="33"/>
        <v>(${Variables:E2_7_8_13_kcat} * E2_7_8_13 * C04702 * C17556)/(${Variables:E2_7_8_13_km} + (E2_7_8_13 * C04702 * C17556))</v>
      </c>
      <c r="K698" s="37" t="str">
        <f t="shared" si="34"/>
        <v>r697: C04702 + C17556 -&gt; C00105 + C04851 | (${Variables:E2_7_8_13_kcat} * E2_7_8_13 * C04702 * C17556)/(${Variables:E2_7_8_13_km} + (E2_7_8_13 * C04702 * C17556))</v>
      </c>
    </row>
    <row r="699" spans="1:11" ht="46.25" customHeight="1">
      <c r="A699" t="s">
        <v>5961</v>
      </c>
      <c r="B699" t="s">
        <v>5962</v>
      </c>
      <c r="C699" t="s">
        <v>12981</v>
      </c>
      <c r="D699" s="19">
        <v>698</v>
      </c>
      <c r="E699" s="19" t="str">
        <f t="shared" si="32"/>
        <v>E2_7_8_13</v>
      </c>
      <c r="F699" s="19" t="s">
        <v>13663</v>
      </c>
      <c r="G699" s="19" t="s">
        <v>15078</v>
      </c>
      <c r="H699" s="19" t="s">
        <v>14346</v>
      </c>
      <c r="I699" s="19" t="s">
        <v>15761</v>
      </c>
      <c r="J699" s="19" t="str">
        <f t="shared" si="33"/>
        <v>(${Variables:E2_7_8_13_kcat} * E2_7_8_13 * C04882 * C17556)/(${Variables:E2_7_8_13_km} + (E2_7_8_13 * C04882 * C17556))</v>
      </c>
      <c r="K699" s="37" t="str">
        <f t="shared" si="34"/>
        <v>r698: C04882 + C17556 -&gt; C00105 + C05897 | (${Variables:E2_7_8_13_kcat} * E2_7_8_13 * C04882 * C17556)/(${Variables:E2_7_8_13_km} + (E2_7_8_13 * C04882 * C17556))</v>
      </c>
    </row>
    <row r="700" spans="1:11" ht="46.25" customHeight="1">
      <c r="A700" t="s">
        <v>6080</v>
      </c>
      <c r="B700" t="s">
        <v>6081</v>
      </c>
      <c r="C700" t="s">
        <v>12982</v>
      </c>
      <c r="D700" s="19">
        <v>699</v>
      </c>
      <c r="E700" s="19" t="str">
        <f t="shared" si="32"/>
        <v>E2_7_8_26</v>
      </c>
      <c r="F700" s="19" t="s">
        <v>13664</v>
      </c>
      <c r="G700" s="19" t="s">
        <v>15079</v>
      </c>
      <c r="H700" s="19" t="s">
        <v>14347</v>
      </c>
      <c r="I700" s="19" t="s">
        <v>15762</v>
      </c>
      <c r="J700" s="19" t="str">
        <f t="shared" si="33"/>
        <v>(${Variables:E2_7_8_26_kcat} * E2_7_8_26 * C00194 * C00144)/(${Variables:E2_7_8_26_km} + (E2_7_8_26 * C00194 * C00144))</v>
      </c>
      <c r="K700" s="37" t="str">
        <f t="shared" si="34"/>
        <v>r699: C00194 + C00144 -&gt; C06510 + C05775 | (${Variables:E2_7_8_26_kcat} * E2_7_8_26 * C00194 * C00144)/(${Variables:E2_7_8_26_km} + (E2_7_8_26 * C00194 * C00144))</v>
      </c>
    </row>
    <row r="701" spans="1:11" ht="46.25" customHeight="1">
      <c r="A701" t="s">
        <v>6080</v>
      </c>
      <c r="B701" t="s">
        <v>6081</v>
      </c>
      <c r="C701" t="s">
        <v>12982</v>
      </c>
      <c r="D701" s="19">
        <v>700</v>
      </c>
      <c r="E701" s="19" t="str">
        <f t="shared" si="32"/>
        <v>E2_7_8_26</v>
      </c>
      <c r="F701" s="19" t="s">
        <v>13665</v>
      </c>
      <c r="G701" s="19" t="s">
        <v>15080</v>
      </c>
      <c r="H701" s="19" t="s">
        <v>14348</v>
      </c>
      <c r="I701" s="19" t="s">
        <v>15763</v>
      </c>
      <c r="J701" s="19" t="str">
        <f t="shared" si="33"/>
        <v>(${Variables:E2_7_8_26_kcat} * E2_7_8_26 * C06510 * C04778)/(${Variables:E2_7_8_26_km} + (E2_7_8_26 * C06510 * C04778))</v>
      </c>
      <c r="K701" s="37" t="str">
        <f t="shared" si="34"/>
        <v>r700: C06510 + C04778 -&gt; C00144 + C21153 | (${Variables:E2_7_8_26_kcat} * E2_7_8_26 * C06510 * C04778)/(${Variables:E2_7_8_26_km} + (E2_7_8_26 * C06510 * C04778))</v>
      </c>
    </row>
    <row r="702" spans="1:11" ht="46.25" customHeight="1">
      <c r="A702" t="s">
        <v>5409</v>
      </c>
      <c r="B702" t="s">
        <v>5410</v>
      </c>
      <c r="C702" t="s">
        <v>12983</v>
      </c>
      <c r="D702" s="19">
        <v>701</v>
      </c>
      <c r="E702" s="19" t="str">
        <f t="shared" si="32"/>
        <v>E2_7_8_5</v>
      </c>
      <c r="F702" s="19" t="s">
        <v>13666</v>
      </c>
      <c r="G702" s="19" t="s">
        <v>15081</v>
      </c>
      <c r="H702" s="19" t="s">
        <v>14349</v>
      </c>
      <c r="I702" s="19" t="s">
        <v>15764</v>
      </c>
      <c r="J702" s="19" t="str">
        <f t="shared" si="33"/>
        <v>(${Variables:E2_7_8_5_kcat} * E2_7_8_5 * C00269 * C00093)/(${Variables:E2_7_8_5_km} + (E2_7_8_5 * C00269 * C00093))</v>
      </c>
      <c r="K702" s="37" t="str">
        <f t="shared" si="34"/>
        <v>r701: C00269 + C00093 -&gt; C00055 + C03892 | (${Variables:E2_7_8_5_kcat} * E2_7_8_5 * C00269 * C00093)/(${Variables:E2_7_8_5_km} + (E2_7_8_5 * C00269 * C00093))</v>
      </c>
    </row>
    <row r="703" spans="1:11" ht="46.25" customHeight="1">
      <c r="A703" t="s">
        <v>5457</v>
      </c>
      <c r="B703" t="s">
        <v>5458</v>
      </c>
      <c r="C703" t="s">
        <v>12984</v>
      </c>
      <c r="D703" s="19">
        <v>702</v>
      </c>
      <c r="E703" s="19" t="str">
        <f t="shared" si="32"/>
        <v>E2_7_8_7</v>
      </c>
      <c r="F703" s="19" t="s">
        <v>13667</v>
      </c>
      <c r="G703" s="19" t="s">
        <v>15082</v>
      </c>
      <c r="H703" s="19" t="s">
        <v>14350</v>
      </c>
      <c r="I703" s="19" t="s">
        <v>15765</v>
      </c>
      <c r="J703" s="19" t="str">
        <f t="shared" si="33"/>
        <v>(${Variables:E2_7_8_7_kcat} * E2_7_8_7 * C00010 * C03688)/(${Variables:E2_7_8_7_km} + (E2_7_8_7 * C00010 * C03688))</v>
      </c>
      <c r="K703" s="37" t="str">
        <f t="shared" si="34"/>
        <v>r702: C00010 + C03688 -&gt; C00054 + C00229 | (${Variables:E2_7_8_7_kcat} * E2_7_8_7 * C00010 * C03688)/(${Variables:E2_7_8_7_km} + (E2_7_8_7 * C00010 * C03688))</v>
      </c>
    </row>
    <row r="704" spans="1:11" ht="46.25" customHeight="1">
      <c r="A704" t="s">
        <v>6851</v>
      </c>
      <c r="B704" t="s">
        <v>6852</v>
      </c>
      <c r="C704" t="s">
        <v>12984</v>
      </c>
      <c r="D704" s="19">
        <v>703</v>
      </c>
      <c r="E704" s="19" t="str">
        <f t="shared" si="32"/>
        <v>E2_7_8_7</v>
      </c>
      <c r="F704" s="19" t="s">
        <v>13667</v>
      </c>
      <c r="G704" s="19" t="s">
        <v>15082</v>
      </c>
      <c r="H704" s="19" t="s">
        <v>14350</v>
      </c>
      <c r="I704" s="19" t="s">
        <v>15765</v>
      </c>
      <c r="J704" s="19" t="str">
        <f t="shared" si="33"/>
        <v>(${Variables:E2_7_8_7_kcat} * E2_7_8_7 * C00010 * C03688)/(${Variables:E2_7_8_7_km} + (E2_7_8_7 * C00010 * C03688))</v>
      </c>
      <c r="K704" s="37" t="str">
        <f t="shared" si="34"/>
        <v>r703: C00010 + C03688 -&gt; C00054 + C00229 | (${Variables:E2_7_8_7_kcat} * E2_7_8_7 * C00010 * C03688)/(${Variables:E2_7_8_7_km} + (E2_7_8_7 * C00010 * C03688))</v>
      </c>
    </row>
    <row r="705" spans="1:11" ht="46.25" customHeight="1">
      <c r="A705" t="s">
        <v>5632</v>
      </c>
      <c r="B705" t="s">
        <v>5633</v>
      </c>
      <c r="C705" t="s">
        <v>12985</v>
      </c>
      <c r="D705" s="19">
        <v>704</v>
      </c>
      <c r="E705" s="19" t="str">
        <f t="shared" si="32"/>
        <v>E2_8_1_10</v>
      </c>
      <c r="F705" s="19" t="s">
        <v>13668</v>
      </c>
      <c r="G705" s="19" t="s">
        <v>15083</v>
      </c>
      <c r="H705" s="19" t="s">
        <v>14351</v>
      </c>
      <c r="I705" s="19" t="s">
        <v>15766</v>
      </c>
      <c r="J705" s="19" t="str">
        <f t="shared" si="33"/>
        <v>(${Variables:E2_8_1_10_kcat} * E2_8_1_10 * C11437 * C15809 * C15814)/(${Variables:E2_8_1_10_km} + (E2_8_1_10 * C11437 * C15809 * C15814))</v>
      </c>
      <c r="K705" s="37" t="str">
        <f t="shared" si="34"/>
        <v>r704: C11437 + C15809 + C15814 -&gt; C20246 + C15810 + C00001 | (${Variables:E2_8_1_10_kcat} * E2_8_1_10 * C11437 * C15809 * C15814)/(${Variables:E2_8_1_10_km} + (E2_8_1_10 * C11437 * C15809 * C15814))</v>
      </c>
    </row>
    <row r="706" spans="1:11" ht="46.25" customHeight="1">
      <c r="A706" t="s">
        <v>637</v>
      </c>
      <c r="B706" t="s">
        <v>638</v>
      </c>
      <c r="C706" t="s">
        <v>12986</v>
      </c>
      <c r="D706" s="19">
        <v>705</v>
      </c>
      <c r="E706" s="19" t="str">
        <f t="shared" si="32"/>
        <v>E2_8_1_12</v>
      </c>
      <c r="F706" s="19" t="s">
        <v>13669</v>
      </c>
      <c r="G706" s="19" t="s">
        <v>15084</v>
      </c>
      <c r="H706" s="19" t="s">
        <v>14352</v>
      </c>
      <c r="I706" s="19" t="s">
        <v>15767</v>
      </c>
      <c r="J706" s="19" t="str">
        <f t="shared" si="33"/>
        <v>(${Variables:E2_8_1_12_kcat} * E2_8_1_12 * C18239 * C15814)/(${Variables:E2_8_1_12_km} + (E2_8_1_12 * C18239 * C15814))</v>
      </c>
      <c r="K706" s="37" t="str">
        <f t="shared" si="34"/>
        <v>r705: C18239 + C15814 -&gt; C05924 + C15810 | (${Variables:E2_8_1_12_kcat} * E2_8_1_12 * C18239 * C15814)/(${Variables:E2_8_1_12_km} + (E2_8_1_12 * C18239 * C15814))</v>
      </c>
    </row>
    <row r="707" spans="1:11" ht="46.25" customHeight="1">
      <c r="A707" t="s">
        <v>3526</v>
      </c>
      <c r="B707" t="s">
        <v>3527</v>
      </c>
      <c r="C707" t="s">
        <v>17932</v>
      </c>
      <c r="D707" s="19">
        <v>706</v>
      </c>
      <c r="E707" s="19" t="str">
        <f t="shared" si="32"/>
        <v>E2_8_1_13</v>
      </c>
      <c r="F707" s="19" t="s">
        <v>17933</v>
      </c>
      <c r="G707" s="19" t="s">
        <v>17935</v>
      </c>
      <c r="H707" s="19" t="s">
        <v>17934</v>
      </c>
      <c r="I707" s="19" t="s">
        <v>17936</v>
      </c>
      <c r="J707" s="19" t="str">
        <f t="shared" si="33"/>
        <v>(${Variables:E2_8_1_13_kcat} * E2_8_1_13 * C00868 * C15812 * C00002)/(${Variables:E2_8_1_13_km} + (E2_8_1_13 * C00868 * C15812 * C00002))</v>
      </c>
      <c r="K707" s="37" t="str">
        <f t="shared" si="34"/>
        <v>r706: C00868 + C15812 + C00002 -&gt; C17322 + C15811 + C00020 + C00013 | (${Variables:E2_8_1_13_kcat} * E2_8_1_13 * C00868 * C15812 * C00002)/(${Variables:E2_8_1_13_km} + (E2_8_1_13 * C00868 * C15812 * C00002))</v>
      </c>
    </row>
    <row r="708" spans="1:11" ht="46.25" customHeight="1">
      <c r="A708" t="s">
        <v>250</v>
      </c>
      <c r="B708" t="s">
        <v>251</v>
      </c>
      <c r="C708" t="s">
        <v>12987</v>
      </c>
      <c r="D708" s="19">
        <v>707</v>
      </c>
      <c r="E708" s="19" t="str">
        <f t="shared" si="32"/>
        <v>E2_8_1_6</v>
      </c>
      <c r="F708" s="19" t="s">
        <v>13670</v>
      </c>
      <c r="G708" s="19" t="s">
        <v>15085</v>
      </c>
      <c r="H708" s="19" t="s">
        <v>14353</v>
      </c>
      <c r="I708" s="19" t="s">
        <v>15768</v>
      </c>
      <c r="J708" s="19" t="str">
        <f t="shared" si="33"/>
        <v>(${Variables:E2_8_1_6_kcat} * E2_8_1_6 * C01909 * C17023 * C00019 * C05359 * C00080)/(${Variables:E2_8_1_6_km} + (E2_8_1_6 * C01909 * C17023 * C00019 * C05359 * C00080))</v>
      </c>
      <c r="K708" s="37" t="str">
        <f t="shared" si="34"/>
        <v>r707: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709" spans="1:11" ht="46.25" customHeight="1">
      <c r="A709" t="s">
        <v>4395</v>
      </c>
      <c r="B709" t="s">
        <v>4396</v>
      </c>
      <c r="C709" t="s">
        <v>12988</v>
      </c>
      <c r="D709" s="19">
        <v>708</v>
      </c>
      <c r="E709" s="19" t="str">
        <f t="shared" si="32"/>
        <v>E2_8_1_7</v>
      </c>
      <c r="F709" s="19" t="s">
        <v>13671</v>
      </c>
      <c r="G709" s="19" t="s">
        <v>15086</v>
      </c>
      <c r="H709" s="19" t="s">
        <v>14354</v>
      </c>
      <c r="I709" s="19" t="s">
        <v>15769</v>
      </c>
      <c r="J709" s="19" t="str">
        <f t="shared" si="33"/>
        <v>(${Variables:E2_8_1_7_kcat} * E2_8_1_7 * C15811 * C00097)/(${Variables:E2_8_1_7_km} + (E2_8_1_7 * C15811 * C00097))</v>
      </c>
      <c r="K709" s="37" t="str">
        <f t="shared" si="34"/>
        <v>r708: C15811 + C00097 -&gt; C15812 + C00041 | (${Variables:E2_8_1_7_kcat} * E2_8_1_7 * C15811 * C00097)/(${Variables:E2_8_1_7_km} + (E2_8_1_7 * C15811 * C00097))</v>
      </c>
    </row>
    <row r="710" spans="1:11" ht="46.25" customHeight="1">
      <c r="A710" t="s">
        <v>4395</v>
      </c>
      <c r="B710" t="s">
        <v>4396</v>
      </c>
      <c r="C710" t="s">
        <v>12988</v>
      </c>
      <c r="D710" s="19">
        <v>709</v>
      </c>
      <c r="E710" s="19" t="str">
        <f t="shared" si="32"/>
        <v>E2_8_1_7</v>
      </c>
      <c r="F710" s="19" t="s">
        <v>13672</v>
      </c>
      <c r="G710" s="19" t="s">
        <v>15087</v>
      </c>
      <c r="H710" s="19" t="s">
        <v>14355</v>
      </c>
      <c r="I710" s="19" t="s">
        <v>15770</v>
      </c>
      <c r="J710" s="19" t="str">
        <f t="shared" si="33"/>
        <v>(${Variables:E2_8_1_7_kcat} * E2_8_1_7 * C00097 * C02743)/(${Variables:E2_8_1_7_km} + (E2_8_1_7 * C00097 * C02743))</v>
      </c>
      <c r="K710" s="37" t="str">
        <f t="shared" si="34"/>
        <v>r709: C00097 + C02743 -&gt; C00041 + C21440 | (${Variables:E2_8_1_7_kcat} * E2_8_1_7 * C00097 * C02743)/(${Variables:E2_8_1_7_km} + (E2_8_1_7 * C00097 * C02743))</v>
      </c>
    </row>
    <row r="711" spans="1:11" ht="46.25" customHeight="1">
      <c r="A711" t="s">
        <v>4395</v>
      </c>
      <c r="B711" t="s">
        <v>4396</v>
      </c>
      <c r="C711" t="s">
        <v>12988</v>
      </c>
      <c r="D711" s="19">
        <v>710</v>
      </c>
      <c r="E711" s="19" t="str">
        <f t="shared" si="32"/>
        <v>E2_8_1_7</v>
      </c>
      <c r="F711" s="19" t="s">
        <v>13673</v>
      </c>
      <c r="G711" s="19" t="s">
        <v>15088</v>
      </c>
      <c r="H711" s="19" t="s">
        <v>14356</v>
      </c>
      <c r="I711" s="19" t="s">
        <v>15771</v>
      </c>
      <c r="J711" s="19" t="str">
        <f t="shared" si="33"/>
        <v>(${Variables:E2_8_1_7_kcat} * E2_8_1_7 * C15812 * C02743)/(${Variables:E2_8_1_7_km} + (E2_8_1_7 * C15812 * C02743))</v>
      </c>
      <c r="K711" s="37" t="str">
        <f t="shared" si="34"/>
        <v>r710: C15812 + C02743 -&gt; C15811 + C21440 | (${Variables:E2_8_1_7_kcat} * E2_8_1_7 * C15812 * C02743)/(${Variables:E2_8_1_7_km} + (E2_8_1_7 * C15812 * C02743))</v>
      </c>
    </row>
    <row r="712" spans="1:11" ht="46.25" customHeight="1">
      <c r="A712" t="s">
        <v>6102</v>
      </c>
      <c r="B712" t="s">
        <v>6103</v>
      </c>
      <c r="C712" t="s">
        <v>12989</v>
      </c>
      <c r="D712" s="19">
        <v>711</v>
      </c>
      <c r="E712" s="19" t="str">
        <f t="shared" si="32"/>
        <v>E2_8_1_8</v>
      </c>
      <c r="F712" s="19" t="s">
        <v>13674</v>
      </c>
      <c r="G712" s="19" t="s">
        <v>15089</v>
      </c>
      <c r="H712" s="19" t="s">
        <v>14357</v>
      </c>
      <c r="I712" s="19" t="s">
        <v>15772</v>
      </c>
      <c r="J712" s="19" t="str">
        <f t="shared" si="33"/>
        <v>(${Variables:E2_8_1_8_kcat} * E2_8_1_8 * C16236 * C22154 * C00019 * C22150 * C00080)/(${Variables:E2_8_1_8_km} + (E2_8_1_8 * C16236 * C22154 * C00019 * C22150 * C00080))</v>
      </c>
      <c r="K712" s="37" t="str">
        <f t="shared" si="34"/>
        <v>r711: C16236 + C22154 + C00019 + C22150 + C00080 -&gt; C16832 + C22155 + C00283 + C14818 + C00073 + C05198 + C22151 | (${Variables:E2_8_1_8_kcat} * E2_8_1_8 * C16236 * C22154 * C00019 * C22150 * C00080)/(${Variables:E2_8_1_8_km} + (E2_8_1_8 * C16236 * C22154 * C00019 * C22150 * C00080))</v>
      </c>
    </row>
    <row r="713" spans="1:11" ht="46.25" customHeight="1">
      <c r="A713" t="s">
        <v>6102</v>
      </c>
      <c r="B713" t="s">
        <v>6103</v>
      </c>
      <c r="C713" t="s">
        <v>12989</v>
      </c>
      <c r="D713" s="19">
        <v>712</v>
      </c>
      <c r="E713" s="19" t="str">
        <f t="shared" si="32"/>
        <v>E2_8_1_8</v>
      </c>
      <c r="F713" s="19" t="s">
        <v>13675</v>
      </c>
      <c r="G713" s="19" t="s">
        <v>15090</v>
      </c>
      <c r="H713" s="19" t="s">
        <v>14358</v>
      </c>
      <c r="I713" s="19" t="s">
        <v>15773</v>
      </c>
      <c r="J713" s="19" t="str">
        <f t="shared" si="33"/>
        <v>(${Variables:E2_8_1_8_kcat} * E2_8_1_8 * C22160 * C22154 * C00019 * C22150 * C00080)/(${Variables:E2_8_1_8_km} + (E2_8_1_8 * C22160 * C22154 * C00019 * C22150 * C00080))</v>
      </c>
      <c r="K713" s="37" t="str">
        <f t="shared" si="34"/>
        <v>r712: C22160 + C22154 + C00019 + C22150 + C00080 -&gt; C15973 + C22155 + C00283 + C14818 + C00073 + C05198 + C22151 | (${Variables:E2_8_1_8_kcat} * E2_8_1_8 * C22160 * C22154 * C00019 * C22150 * C00080)/(${Variables:E2_8_1_8_km} + (E2_8_1_8 * C22160 * C22154 * C00019 * C22150 * C00080))</v>
      </c>
    </row>
    <row r="714" spans="1:11" ht="46.25" customHeight="1">
      <c r="A714" t="s">
        <v>6102</v>
      </c>
      <c r="B714" t="s">
        <v>6103</v>
      </c>
      <c r="C714" t="s">
        <v>12989</v>
      </c>
      <c r="D714" s="19">
        <v>713</v>
      </c>
      <c r="E714" s="19" t="str">
        <f t="shared" ref="E714:E777" si="35">CONCATENATE("E",C714)</f>
        <v>E2_8_1_8</v>
      </c>
      <c r="F714" s="19" t="s">
        <v>13676</v>
      </c>
      <c r="G714" s="19" t="s">
        <v>15091</v>
      </c>
      <c r="H714" s="19" t="s">
        <v>14359</v>
      </c>
      <c r="I714" s="19" t="s">
        <v>15774</v>
      </c>
      <c r="J714" s="19" t="str">
        <f t="shared" si="33"/>
        <v>(${Variables:E2_8_1_8_kcat} * E2_8_1_8 * C22159 * C22154 * C00019 * C22150 * C00080)/(${Variables:E2_8_1_8_km} + (E2_8_1_8 * C22159 * C22154 * C00019 * C22150 * C00080))</v>
      </c>
      <c r="K714" s="37" t="str">
        <f t="shared" si="34"/>
        <v>r713: C22159 + C22154 + C00019 + C22150 + C00080 -&gt; C02972 + C22155 + C00283 + C14818 + C00073 + C05198 + C22151 | (${Variables:E2_8_1_8_kcat} * E2_8_1_8 * C22159 * C22154 * C00019 * C22150 * C00080)/(${Variables:E2_8_1_8_km} + (E2_8_1_8 * C22159 * C22154 * C00019 * C22150 * C00080))</v>
      </c>
    </row>
    <row r="715" spans="1:11" ht="46.25" customHeight="1">
      <c r="A715" t="s">
        <v>5362</v>
      </c>
      <c r="B715" t="s">
        <v>5363</v>
      </c>
      <c r="C715" t="s">
        <v>12991</v>
      </c>
      <c r="D715" s="19">
        <v>714</v>
      </c>
      <c r="E715" s="19" t="str">
        <f t="shared" si="35"/>
        <v>E2_8_4_3</v>
      </c>
      <c r="F715" s="19" t="s">
        <v>13677</v>
      </c>
      <c r="G715" s="19" t="s">
        <v>15092</v>
      </c>
      <c r="H715" s="19" t="s">
        <v>14360</v>
      </c>
      <c r="I715" s="19" t="s">
        <v>15775</v>
      </c>
      <c r="J715" s="19" t="str">
        <f t="shared" ref="J715:J778" si="36">CONCATENATE("(${Variables:",E715,"_kcat","} * ",E715," * ",G715,")","/(${Variables:",E715,"_km","} + (",E715," * ",G715,"))")</f>
        <v>(${Variables:E2_8_4_3_kcat} * E2_8_4_3 * C04432 * C17023 * C00019)/(${Variables:E2_8_4_3_km} + (E2_8_4_3 * C04432 * C17023 * C00019))</v>
      </c>
      <c r="K715" s="37" t="str">
        <f t="shared" ref="K715:K778" si="37">CONCATENATE("r",D715,": ",F715," -&gt; ",H715," | ",J715)</f>
        <v>r714: C04432 + C17023 + C00019 -&gt; C20753 + C00021 + C00073 + C05198 | (${Variables:E2_8_4_3_kcat} * E2_8_4_3 * C04432 * C17023 * C00019)/(${Variables:E2_8_4_3_km} + (E2_8_4_3 * C04432 * C17023 * C00019))</v>
      </c>
    </row>
    <row r="716" spans="1:11" ht="46.25" customHeight="1">
      <c r="A716" t="s">
        <v>5362</v>
      </c>
      <c r="B716" t="s">
        <v>5363</v>
      </c>
      <c r="C716" t="s">
        <v>12991</v>
      </c>
      <c r="D716" s="19">
        <v>715</v>
      </c>
      <c r="E716" s="19" t="str">
        <f t="shared" si="35"/>
        <v>E2_8_4_3</v>
      </c>
      <c r="F716" s="19" t="s">
        <v>13677</v>
      </c>
      <c r="G716" s="19" t="s">
        <v>15092</v>
      </c>
      <c r="H716" s="19" t="s">
        <v>14361</v>
      </c>
      <c r="I716" s="19" t="s">
        <v>15776</v>
      </c>
      <c r="J716" s="19" t="str">
        <f t="shared" si="36"/>
        <v>(${Variables:E2_8_4_3_kcat} * E2_8_4_3 * C04432 * C17023 * C00019)/(${Variables:E2_8_4_3_km} + (E2_8_4_3 * C04432 * C17023 * C00019))</v>
      </c>
      <c r="K716" s="37" t="str">
        <f t="shared" si="37"/>
        <v>r715: C04432 + C17023 + C00019 -&gt; C20755 + C00073 + C05198 | (${Variables:E2_8_4_3_kcat} * E2_8_4_3 * C04432 * C17023 * C00019)/(${Variables:E2_8_4_3_km} + (E2_8_4_3 * C04432 * C17023 * C00019))</v>
      </c>
    </row>
    <row r="717" spans="1:11" ht="46.25" customHeight="1">
      <c r="A717" t="s">
        <v>5362</v>
      </c>
      <c r="B717" t="s">
        <v>5363</v>
      </c>
      <c r="C717" t="s">
        <v>12991</v>
      </c>
      <c r="D717" s="19">
        <v>716</v>
      </c>
      <c r="E717" s="19" t="str">
        <f t="shared" si="35"/>
        <v>E2_8_4_3</v>
      </c>
      <c r="F717" s="19" t="s">
        <v>13678</v>
      </c>
      <c r="G717" s="19" t="s">
        <v>15093</v>
      </c>
      <c r="H717" s="19" t="s">
        <v>14362</v>
      </c>
      <c r="I717" s="19" t="s">
        <v>15777</v>
      </c>
      <c r="J717" s="19" t="str">
        <f t="shared" si="36"/>
        <v>(${Variables:E2_8_4_3_kcat} * E2_8_4_3 * C20755 * C00019)/(${Variables:E2_8_4_3_km} + (E2_8_4_3 * C20755 * C00019))</v>
      </c>
      <c r="K717" s="37" t="str">
        <f t="shared" si="37"/>
        <v>r716: C20755 + C00019 -&gt; C20753 + C00021 | (${Variables:E2_8_4_3_kcat} * E2_8_4_3 * C20755 * C00019)/(${Variables:E2_8_4_3_km} + (E2_8_4_3 * C20755 * C00019))</v>
      </c>
    </row>
    <row r="718" spans="1:11" ht="46.25" customHeight="1">
      <c r="A718" t="s">
        <v>6597</v>
      </c>
      <c r="B718" t="s">
        <v>6598</v>
      </c>
      <c r="C718" t="s">
        <v>12992</v>
      </c>
      <c r="D718" s="19">
        <v>717</v>
      </c>
      <c r="E718" s="19" t="str">
        <f t="shared" si="35"/>
        <v>E3_1_1_24</v>
      </c>
      <c r="F718" s="19" t="s">
        <v>13679</v>
      </c>
      <c r="G718" s="19" t="s">
        <v>15094</v>
      </c>
      <c r="H718" s="19" t="s">
        <v>9018</v>
      </c>
      <c r="I718" s="19" t="s">
        <v>9018</v>
      </c>
      <c r="J718" s="19" t="str">
        <f t="shared" si="36"/>
        <v>(${Variables:E3_1_1_24_kcat} * E3_1_1_24 * C03586 * C00001)/(${Variables:E3_1_1_24_km} + (E3_1_1_24 * C03586 * C00001))</v>
      </c>
      <c r="K718" s="37" t="str">
        <f t="shared" si="37"/>
        <v>r717: C03586 + C00001 -&gt; C00846 | (${Variables:E3_1_1_24_kcat} * E3_1_1_24 * C03586 * C00001)/(${Variables:E3_1_1_24_km} + (E3_1_1_24 * C03586 * C00001))</v>
      </c>
    </row>
    <row r="719" spans="1:11" ht="46.25" customHeight="1">
      <c r="A719" t="s">
        <v>2704</v>
      </c>
      <c r="B719" t="s">
        <v>2705</v>
      </c>
      <c r="C719" t="s">
        <v>12993</v>
      </c>
      <c r="D719" s="19">
        <v>718</v>
      </c>
      <c r="E719" s="19" t="str">
        <f t="shared" si="35"/>
        <v>E3_1_1_29</v>
      </c>
      <c r="F719" s="19" t="s">
        <v>13680</v>
      </c>
      <c r="G719" s="19" t="s">
        <v>15095</v>
      </c>
      <c r="H719" s="19" t="s">
        <v>14363</v>
      </c>
      <c r="I719" s="19" t="s">
        <v>15778</v>
      </c>
      <c r="J719" s="19" t="str">
        <f t="shared" si="36"/>
        <v>(${Variables:E3_1_1_29_kcat} * E3_1_1_29 * C03880 * C00001)/(${Variables:E3_1_1_29_km} + (E3_1_1_29 * C03880 * C00001))</v>
      </c>
      <c r="K719" s="37" t="str">
        <f t="shared" si="37"/>
        <v>r718: C03880 + C00001 -&gt; C03523 + C00066 | (${Variables:E3_1_1_29_kcat} * E3_1_1_29 * C03880 * C00001)/(${Variables:E3_1_1_29_km} + (E3_1_1_29 * C03880 * C00001))</v>
      </c>
    </row>
    <row r="720" spans="1:11" ht="46.25" customHeight="1">
      <c r="A720" t="s">
        <v>2714</v>
      </c>
      <c r="B720" t="s">
        <v>2715</v>
      </c>
      <c r="C720" t="s">
        <v>12993</v>
      </c>
      <c r="D720" s="19">
        <v>719</v>
      </c>
      <c r="E720" s="19" t="str">
        <f t="shared" si="35"/>
        <v>E3_1_1_29</v>
      </c>
      <c r="F720" s="19" t="s">
        <v>13680</v>
      </c>
      <c r="G720" s="19" t="s">
        <v>15095</v>
      </c>
      <c r="H720" s="19" t="s">
        <v>14363</v>
      </c>
      <c r="I720" s="19" t="s">
        <v>15778</v>
      </c>
      <c r="J720" s="19" t="str">
        <f t="shared" si="36"/>
        <v>(${Variables:E3_1_1_29_kcat} * E3_1_1_29 * C03880 * C00001)/(${Variables:E3_1_1_29_km} + (E3_1_1_29 * C03880 * C00001))</v>
      </c>
      <c r="K720" s="37" t="str">
        <f t="shared" si="37"/>
        <v>r719: C03880 + C00001 -&gt; C03523 + C00066 | (${Variables:E3_1_1_29_kcat} * E3_1_1_29 * C03880 * C00001)/(${Variables:E3_1_1_29_km} + (E3_1_1_29 * C03880 * C00001))</v>
      </c>
    </row>
    <row r="721" spans="1:11" ht="46.25" customHeight="1">
      <c r="A721" t="s">
        <v>6922</v>
      </c>
      <c r="B721" t="s">
        <v>6923</v>
      </c>
      <c r="C721" t="s">
        <v>12993</v>
      </c>
      <c r="D721" s="19">
        <v>720</v>
      </c>
      <c r="E721" s="19" t="str">
        <f t="shared" si="35"/>
        <v>E3_1_1_29</v>
      </c>
      <c r="F721" s="19" t="s">
        <v>13680</v>
      </c>
      <c r="G721" s="19" t="s">
        <v>15095</v>
      </c>
      <c r="H721" s="19" t="s">
        <v>14363</v>
      </c>
      <c r="I721" s="19" t="s">
        <v>15778</v>
      </c>
      <c r="J721" s="19" t="str">
        <f t="shared" si="36"/>
        <v>(${Variables:E3_1_1_29_kcat} * E3_1_1_29 * C03880 * C00001)/(${Variables:E3_1_1_29_km} + (E3_1_1_29 * C03880 * C00001))</v>
      </c>
      <c r="K721" s="37" t="str">
        <f t="shared" si="37"/>
        <v>r720: C03880 + C00001 -&gt; C03523 + C00066 | (${Variables:E3_1_1_29_kcat} * E3_1_1_29 * C03880 * C00001)/(${Variables:E3_1_1_29_km} + (E3_1_1_29 * C03880 * C00001))</v>
      </c>
    </row>
    <row r="722" spans="1:11" ht="46.25" customHeight="1">
      <c r="A722" t="s">
        <v>4447</v>
      </c>
      <c r="B722" t="s">
        <v>4448</v>
      </c>
      <c r="C722" t="s">
        <v>12994</v>
      </c>
      <c r="D722" s="19">
        <v>721</v>
      </c>
      <c r="E722" s="19" t="str">
        <f t="shared" si="35"/>
        <v>E3_1_1_31</v>
      </c>
      <c r="F722" s="19" t="s">
        <v>13681</v>
      </c>
      <c r="G722" s="19" t="s">
        <v>15096</v>
      </c>
      <c r="H722" s="19" t="s">
        <v>9633</v>
      </c>
      <c r="I722" s="19" t="s">
        <v>9633</v>
      </c>
      <c r="J722" s="19" t="str">
        <f t="shared" si="36"/>
        <v>(${Variables:E3_1_1_31_kcat} * E3_1_1_31 * C01236 * C00001)/(${Variables:E3_1_1_31_km} + (E3_1_1_31 * C01236 * C00001))</v>
      </c>
      <c r="K722" s="37" t="str">
        <f t="shared" si="37"/>
        <v>r721: C01236 + C00001 -&gt; C00345 | (${Variables:E3_1_1_31_kcat} * E3_1_1_31 * C01236 * C00001)/(${Variables:E3_1_1_31_km} + (E3_1_1_31 * C01236 * C00001))</v>
      </c>
    </row>
    <row r="723" spans="1:11" ht="46.25" customHeight="1">
      <c r="A723" t="s">
        <v>6755</v>
      </c>
      <c r="B723" t="s">
        <v>6756</v>
      </c>
      <c r="C723" t="s">
        <v>13003</v>
      </c>
      <c r="D723" s="19">
        <v>722</v>
      </c>
      <c r="E723" s="19" t="str">
        <f t="shared" si="35"/>
        <v>E3_1_3_1</v>
      </c>
      <c r="F723" s="19" t="s">
        <v>13682</v>
      </c>
      <c r="G723" s="19" t="s">
        <v>15097</v>
      </c>
      <c r="H723" s="19" t="s">
        <v>14364</v>
      </c>
      <c r="I723" s="19" t="s">
        <v>15779</v>
      </c>
      <c r="J723" s="19" t="str">
        <f t="shared" si="36"/>
        <v>(${Variables:E3_1_3_1_kcat} * E3_1_3_1 * C01153 * C00001)/(${Variables:E3_1_3_1_km} + (E3_1_3_1 * C01153 * C00001))</v>
      </c>
      <c r="K723" s="37" t="str">
        <f t="shared" si="37"/>
        <v>r722: C01153 + C00001 -&gt; C00069 + C00009 | (${Variables:E3_1_3_1_kcat} * E3_1_3_1 * C01153 * C00001)/(${Variables:E3_1_3_1_km} + (E3_1_3_1 * C01153 * C00001))</v>
      </c>
    </row>
    <row r="724" spans="1:11" ht="46.25" customHeight="1">
      <c r="A724" t="s">
        <v>6755</v>
      </c>
      <c r="B724" t="s">
        <v>6756</v>
      </c>
      <c r="C724" t="s">
        <v>13003</v>
      </c>
      <c r="D724" s="19">
        <v>723</v>
      </c>
      <c r="E724" s="19" t="str">
        <f t="shared" si="35"/>
        <v>E3_1_3_1</v>
      </c>
      <c r="F724" s="19" t="s">
        <v>13683</v>
      </c>
      <c r="G724" s="19" t="s">
        <v>15098</v>
      </c>
      <c r="H724" s="19" t="s">
        <v>14365</v>
      </c>
      <c r="I724" s="19" t="s">
        <v>15780</v>
      </c>
      <c r="J724" s="19" t="str">
        <f t="shared" si="36"/>
        <v>(${Variables:E3_1_3_1_kcat} * E3_1_3_1 * C01081 * C00001)/(${Variables:E3_1_3_1_km} + (E3_1_3_1 * C01081 * C00001))</v>
      </c>
      <c r="K724" s="37" t="str">
        <f t="shared" si="37"/>
        <v>r723: C01081 + C00001 -&gt; C00378 + C00009 | (${Variables:E3_1_3_1_kcat} * E3_1_3_1 * C01081 * C00001)/(${Variables:E3_1_3_1_km} + (E3_1_3_1 * C01081 * C00001))</v>
      </c>
    </row>
    <row r="725" spans="1:11" ht="46.25" customHeight="1">
      <c r="A725" t="s">
        <v>6755</v>
      </c>
      <c r="B725" t="s">
        <v>6756</v>
      </c>
      <c r="C725" t="s">
        <v>13003</v>
      </c>
      <c r="D725" s="19">
        <v>724</v>
      </c>
      <c r="E725" s="19" t="str">
        <f t="shared" si="35"/>
        <v>E3_1_3_1</v>
      </c>
      <c r="F725" s="19" t="s">
        <v>13684</v>
      </c>
      <c r="G725" s="19" t="s">
        <v>15099</v>
      </c>
      <c r="H725" s="19" t="s">
        <v>14366</v>
      </c>
      <c r="I725" s="19" t="s">
        <v>15781</v>
      </c>
      <c r="J725" s="19" t="str">
        <f t="shared" si="36"/>
        <v>(${Variables:E3_1_3_1_kcat} * E3_1_3_1 * C03360 * C00001)/(${Variables:E3_1_3_1_km} + (E3_1_3_1 * C03360 * C00001))</v>
      </c>
      <c r="K725" s="37" t="str">
        <f t="shared" si="37"/>
        <v>r724: C03360 + C00001 -&gt; C00870 + C00009 | (${Variables:E3_1_3_1_kcat} * E3_1_3_1 * C03360 * C00001)/(${Variables:E3_1_3_1_km} + (E3_1_3_1 * C03360 * C00001))</v>
      </c>
    </row>
    <row r="726" spans="1:11" ht="46.25" customHeight="1">
      <c r="A726" t="s">
        <v>6755</v>
      </c>
      <c r="B726" t="s">
        <v>6756</v>
      </c>
      <c r="C726" t="s">
        <v>13003</v>
      </c>
      <c r="D726" s="19">
        <v>725</v>
      </c>
      <c r="E726" s="19" t="str">
        <f t="shared" si="35"/>
        <v>E3_1_3_1</v>
      </c>
      <c r="F726" s="19" t="s">
        <v>13685</v>
      </c>
      <c r="G726" s="19" t="s">
        <v>15100</v>
      </c>
      <c r="H726" s="19" t="s">
        <v>14367</v>
      </c>
      <c r="I726" s="19" t="s">
        <v>15782</v>
      </c>
      <c r="J726" s="19" t="str">
        <f t="shared" si="36"/>
        <v>(${Variables:E3_1_3_1_kcat} * E3_1_3_1 * C00111 * C00001)/(${Variables:E3_1_3_1_km} + (E3_1_3_1 * C00111 * C00001))</v>
      </c>
      <c r="K726" s="37" t="str">
        <f t="shared" si="37"/>
        <v>r725: C00111 + C00001 -&gt; C00184 + C00009 | (${Variables:E3_1_3_1_kcat} * E3_1_3_1 * C00111 * C00001)/(${Variables:E3_1_3_1_km} + (E3_1_3_1 * C00111 * C00001))</v>
      </c>
    </row>
    <row r="727" spans="1:11" ht="46.25" customHeight="1">
      <c r="A727" t="s">
        <v>6755</v>
      </c>
      <c r="B727" t="s">
        <v>6756</v>
      </c>
      <c r="C727" t="s">
        <v>13003</v>
      </c>
      <c r="D727" s="19">
        <v>726</v>
      </c>
      <c r="E727" s="19" t="str">
        <f t="shared" si="35"/>
        <v>E3_1_3_1</v>
      </c>
      <c r="F727" s="19" t="s">
        <v>13686</v>
      </c>
      <c r="G727" s="19" t="s">
        <v>15101</v>
      </c>
      <c r="H727" s="19" t="s">
        <v>14368</v>
      </c>
      <c r="I727" s="19" t="s">
        <v>15783</v>
      </c>
      <c r="J727" s="19" t="str">
        <f t="shared" si="36"/>
        <v>(${Variables:E3_1_3_1_kcat} * E3_1_3_1 * C04895 * C00001)/(${Variables:E3_1_3_1_km} + (E3_1_3_1 * C04895 * C00001))</v>
      </c>
      <c r="K727" s="37" t="str">
        <f t="shared" si="37"/>
        <v>r726: C04895 + C00001 -&gt; C04874 + C00009 | (${Variables:E3_1_3_1_kcat} * E3_1_3_1 * C04895 * C00001)/(${Variables:E3_1_3_1_km} + (E3_1_3_1 * C04895 * C00001))</v>
      </c>
    </row>
    <row r="728" spans="1:11" ht="46.25" customHeight="1">
      <c r="A728" t="s">
        <v>2919</v>
      </c>
      <c r="B728" t="s">
        <v>2920</v>
      </c>
      <c r="C728" t="s">
        <v>13004</v>
      </c>
      <c r="D728" s="19">
        <v>727</v>
      </c>
      <c r="E728" s="19" t="str">
        <f t="shared" si="35"/>
        <v>E3_1_3_11</v>
      </c>
      <c r="F728" s="19" t="s">
        <v>13687</v>
      </c>
      <c r="G728" s="19" t="s">
        <v>15102</v>
      </c>
      <c r="H728" s="19" t="s">
        <v>14369</v>
      </c>
      <c r="I728" s="19" t="s">
        <v>15784</v>
      </c>
      <c r="J728" s="19" t="str">
        <f t="shared" si="36"/>
        <v>(${Variables:E3_1_3_11_kcat} * E3_1_3_11 * C00354 * C00001)/(${Variables:E3_1_3_11_km} + (E3_1_3_11 * C00354 * C00001))</v>
      </c>
      <c r="K728" s="37" t="str">
        <f t="shared" si="37"/>
        <v>r727: C00354 + C00001 -&gt; C00085 + C00009 | (${Variables:E3_1_3_11_kcat} * E3_1_3_11 * C00354 * C00001)/(${Variables:E3_1_3_11_km} + (E3_1_3_11 * C00354 * C00001))</v>
      </c>
    </row>
    <row r="729" spans="1:11" ht="46.25" customHeight="1">
      <c r="A729" t="s">
        <v>2919</v>
      </c>
      <c r="B729" t="s">
        <v>2920</v>
      </c>
      <c r="C729" t="s">
        <v>13004</v>
      </c>
      <c r="D729" s="19">
        <v>728</v>
      </c>
      <c r="E729" s="19" t="str">
        <f t="shared" si="35"/>
        <v>E3_1_3_11</v>
      </c>
      <c r="F729" s="19" t="s">
        <v>13688</v>
      </c>
      <c r="G729" s="19" t="s">
        <v>15103</v>
      </c>
      <c r="H729" s="19" t="s">
        <v>14370</v>
      </c>
      <c r="I729" s="19" t="s">
        <v>15785</v>
      </c>
      <c r="J729" s="19" t="str">
        <f t="shared" si="36"/>
        <v>(${Variables:E3_1_3_11_kcat} * E3_1_3_11 * C05378 * C00001)/(${Variables:E3_1_3_11_km} + (E3_1_3_11 * C05378 * C00001))</v>
      </c>
      <c r="K729" s="37" t="str">
        <f t="shared" si="37"/>
        <v>r728: C05378 + C00001 -&gt; C05345 + C00009 | (${Variables:E3_1_3_11_kcat} * E3_1_3_11 * C05378 * C00001)/(${Variables:E3_1_3_11_km} + (E3_1_3_11 * C05378 * C00001))</v>
      </c>
    </row>
    <row r="730" spans="1:11" ht="46.25" customHeight="1">
      <c r="A730" t="s">
        <v>2919</v>
      </c>
      <c r="B730" t="s">
        <v>2920</v>
      </c>
      <c r="C730" t="s">
        <v>13004</v>
      </c>
      <c r="D730" s="19">
        <v>729</v>
      </c>
      <c r="E730" s="19" t="str">
        <f t="shared" si="35"/>
        <v>E3_1_3_11</v>
      </c>
      <c r="F730" s="19" t="s">
        <v>13689</v>
      </c>
      <c r="G730" s="19" t="s">
        <v>15104</v>
      </c>
      <c r="H730" s="19" t="s">
        <v>14371</v>
      </c>
      <c r="I730" s="19" t="s">
        <v>15786</v>
      </c>
      <c r="J730" s="19" t="str">
        <f t="shared" si="36"/>
        <v>(${Variables:E3_1_3_11_kcat} * E3_1_3_11 * C00447 * C00001)/(${Variables:E3_1_3_11_km} + (E3_1_3_11 * C00447 * C00001))</v>
      </c>
      <c r="K730" s="37" t="str">
        <f t="shared" si="37"/>
        <v>r729: C00447 + C00001 -&gt; C05382 + C00009 | (${Variables:E3_1_3_11_kcat} * E3_1_3_11 * C00447 * C00001)/(${Variables:E3_1_3_11_km} + (E3_1_3_11 * C00447 * C00001))</v>
      </c>
    </row>
    <row r="731" spans="1:11" ht="46.25" customHeight="1">
      <c r="A731" t="s">
        <v>7232</v>
      </c>
      <c r="B731" t="s">
        <v>7233</v>
      </c>
      <c r="C731" t="s">
        <v>13005</v>
      </c>
      <c r="D731" s="19">
        <v>730</v>
      </c>
      <c r="E731" s="19" t="str">
        <f t="shared" si="35"/>
        <v>E3_1_3_12</v>
      </c>
      <c r="F731" s="19" t="s">
        <v>13690</v>
      </c>
      <c r="G731" s="19" t="s">
        <v>15105</v>
      </c>
      <c r="H731" s="19" t="s">
        <v>14372</v>
      </c>
      <c r="I731" s="19" t="s">
        <v>15787</v>
      </c>
      <c r="J731" s="19" t="str">
        <f t="shared" si="36"/>
        <v>(${Variables:E3_1_3_12_kcat} * E3_1_3_12 * C00689 * C00001)/(${Variables:E3_1_3_12_km} + (E3_1_3_12 * C00689 * C00001))</v>
      </c>
      <c r="K731" s="37" t="str">
        <f t="shared" si="37"/>
        <v>r730: C00689 + C00001 -&gt; C01083 + C00009 | (${Variables:E3_1_3_12_kcat} * E3_1_3_12 * C00689 * C00001)/(${Variables:E3_1_3_12_km} + (E3_1_3_12 * C00689 * C00001))</v>
      </c>
    </row>
    <row r="732" spans="1:11" ht="46.25" customHeight="1">
      <c r="A732" t="s">
        <v>7232</v>
      </c>
      <c r="B732" t="s">
        <v>7233</v>
      </c>
      <c r="C732" t="s">
        <v>13005</v>
      </c>
      <c r="D732" s="19">
        <v>731</v>
      </c>
      <c r="E732" s="19" t="str">
        <f t="shared" si="35"/>
        <v>E3_1_3_12</v>
      </c>
      <c r="F732" s="19" t="s">
        <v>13691</v>
      </c>
      <c r="G732" s="19" t="s">
        <v>15106</v>
      </c>
      <c r="H732" s="19" t="s">
        <v>14373</v>
      </c>
      <c r="I732" s="19" t="s">
        <v>15788</v>
      </c>
      <c r="J732" s="19" t="str">
        <f t="shared" si="36"/>
        <v>(${Variables:E3_1_3_12_kcat} * E3_1_3_12 * G09795 * C00001)/(${Variables:E3_1_3_12_km} + (E3_1_3_12 * G09795 * C00001))</v>
      </c>
      <c r="K732" s="37" t="str">
        <f t="shared" si="37"/>
        <v>r731: G09795 + C00001 -&gt; G00293 + C00009 | (${Variables:E3_1_3_12_kcat} * E3_1_3_12 * G09795 * C00001)/(${Variables:E3_1_3_12_km} + (E3_1_3_12 * G09795 * C00001))</v>
      </c>
    </row>
    <row r="733" spans="1:11" ht="46.25" customHeight="1">
      <c r="A733" t="s">
        <v>2306</v>
      </c>
      <c r="B733" t="s">
        <v>2307</v>
      </c>
      <c r="C733" t="s">
        <v>13006</v>
      </c>
      <c r="D733" s="19">
        <v>732</v>
      </c>
      <c r="E733" s="19" t="str">
        <f t="shared" si="35"/>
        <v>E3_1_3_15</v>
      </c>
      <c r="F733" s="19" t="s">
        <v>13692</v>
      </c>
      <c r="G733" s="19" t="s">
        <v>15107</v>
      </c>
      <c r="H733" s="19" t="s">
        <v>14374</v>
      </c>
      <c r="I733" s="19" t="s">
        <v>15789</v>
      </c>
      <c r="J733" s="19" t="str">
        <f t="shared" si="36"/>
        <v>(${Variables:E3_1_3_15_kcat} * E3_1_3_15 * C01100 * C00001)/(${Variables:E3_1_3_15_km} + (E3_1_3_15 * C01100 * C00001))</v>
      </c>
      <c r="K733" s="37" t="str">
        <f t="shared" si="37"/>
        <v>r732: C01100 + C00001 -&gt; C00860 + C00009 | (${Variables:E3_1_3_15_kcat} * E3_1_3_15 * C01100 * C00001)/(${Variables:E3_1_3_15_km} + (E3_1_3_15 * C01100 * C00001))</v>
      </c>
    </row>
    <row r="734" spans="1:11" ht="46.25" customHeight="1">
      <c r="A734" t="s">
        <v>171</v>
      </c>
      <c r="B734" t="s">
        <v>172</v>
      </c>
      <c r="C734" t="s">
        <v>13007</v>
      </c>
      <c r="D734" s="19">
        <v>733</v>
      </c>
      <c r="E734" s="19" t="str">
        <f t="shared" si="35"/>
        <v>E3_1_3_16</v>
      </c>
      <c r="F734" s="19" t="s">
        <v>13693</v>
      </c>
      <c r="G734" s="19" t="s">
        <v>15108</v>
      </c>
      <c r="H734" s="19" t="s">
        <v>14375</v>
      </c>
      <c r="I734" s="19" t="s">
        <v>15790</v>
      </c>
      <c r="J734" s="19" t="str">
        <f t="shared" si="36"/>
        <v>(${Variables:E3_1_3_16_kcat} * E3_1_3_16 * C00562 * C00001)/(${Variables:E3_1_3_16_km} + (E3_1_3_16 * C00562 * C00001))</v>
      </c>
      <c r="K734" s="37" t="str">
        <f t="shared" si="37"/>
        <v>r733: C00562 + C00001 -&gt; C00017 + C00009 | (${Variables:E3_1_3_16_kcat} * E3_1_3_16 * C00562 * C00001)/(${Variables:E3_1_3_16_km} + (E3_1_3_16 * C00562 * C00001))</v>
      </c>
    </row>
    <row r="735" spans="1:11" ht="46.25" customHeight="1">
      <c r="A735" t="s">
        <v>4842</v>
      </c>
      <c r="B735" t="s">
        <v>4843</v>
      </c>
      <c r="C735" t="s">
        <v>13007</v>
      </c>
      <c r="D735" s="19">
        <v>734</v>
      </c>
      <c r="E735" s="19" t="str">
        <f t="shared" si="35"/>
        <v>E3_1_3_16</v>
      </c>
      <c r="F735" s="19" t="s">
        <v>13693</v>
      </c>
      <c r="G735" s="19" t="s">
        <v>15108</v>
      </c>
      <c r="H735" s="19" t="s">
        <v>14375</v>
      </c>
      <c r="I735" s="19" t="s">
        <v>15790</v>
      </c>
      <c r="J735" s="19" t="str">
        <f t="shared" si="36"/>
        <v>(${Variables:E3_1_3_16_kcat} * E3_1_3_16 * C00562 * C00001)/(${Variables:E3_1_3_16_km} + (E3_1_3_16 * C00562 * C00001))</v>
      </c>
      <c r="K735" s="37" t="str">
        <f t="shared" si="37"/>
        <v>r734: C00562 + C00001 -&gt; C00017 + C00009 | (${Variables:E3_1_3_16_kcat} * E3_1_3_16 * C00562 * C00001)/(${Variables:E3_1_3_16_km} + (E3_1_3_16 * C00562 * C00001))</v>
      </c>
    </row>
    <row r="736" spans="1:11" ht="46.25" customHeight="1">
      <c r="A736" t="s">
        <v>3392</v>
      </c>
      <c r="B736" t="s">
        <v>3393</v>
      </c>
      <c r="C736" t="s">
        <v>13008</v>
      </c>
      <c r="D736" s="19">
        <v>735</v>
      </c>
      <c r="E736" s="19" t="str">
        <f t="shared" si="35"/>
        <v>E3_1_3_2</v>
      </c>
      <c r="F736" s="19" t="s">
        <v>13682</v>
      </c>
      <c r="G736" s="19" t="s">
        <v>15097</v>
      </c>
      <c r="H736" s="19" t="s">
        <v>14364</v>
      </c>
      <c r="I736" s="19" t="s">
        <v>15779</v>
      </c>
      <c r="J736" s="19" t="str">
        <f t="shared" si="36"/>
        <v>(${Variables:E3_1_3_2_kcat} * E3_1_3_2 * C01153 * C00001)/(${Variables:E3_1_3_2_km} + (E3_1_3_2 * C01153 * C00001))</v>
      </c>
      <c r="K736" s="37" t="str">
        <f t="shared" si="37"/>
        <v>r735: C01153 + C00001 -&gt; C00069 + C00009 | (${Variables:E3_1_3_2_kcat} * E3_1_3_2 * C01153 * C00001)/(${Variables:E3_1_3_2_km} + (E3_1_3_2 * C01153 * C00001))</v>
      </c>
    </row>
    <row r="737" spans="1:11" ht="46.25" customHeight="1">
      <c r="A737" t="s">
        <v>3392</v>
      </c>
      <c r="B737" t="s">
        <v>3393</v>
      </c>
      <c r="C737" t="s">
        <v>13008</v>
      </c>
      <c r="D737" s="19">
        <v>736</v>
      </c>
      <c r="E737" s="19" t="str">
        <f t="shared" si="35"/>
        <v>E3_1_3_2</v>
      </c>
      <c r="F737" s="19" t="s">
        <v>13694</v>
      </c>
      <c r="G737" s="19" t="s">
        <v>15109</v>
      </c>
      <c r="H737" s="19" t="s">
        <v>14376</v>
      </c>
      <c r="I737" s="19" t="s">
        <v>15791</v>
      </c>
      <c r="J737" s="19" t="str">
        <f t="shared" si="36"/>
        <v>(${Variables:E3_1_3_2_kcat} * E3_1_3_2 * C00061 * C00001)/(${Variables:E3_1_3_2_km} + (E3_1_3_2 * C00061 * C00001))</v>
      </c>
      <c r="K737" s="37" t="str">
        <f t="shared" si="37"/>
        <v>r736: C00061 + C00001 -&gt; C00255 + C00009 | (${Variables:E3_1_3_2_kcat} * E3_1_3_2 * C00061 * C00001)/(${Variables:E3_1_3_2_km} + (E3_1_3_2 * C00061 * C00001))</v>
      </c>
    </row>
    <row r="738" spans="1:11" ht="46.25" customHeight="1">
      <c r="A738" t="s">
        <v>3392</v>
      </c>
      <c r="B738" t="s">
        <v>3393</v>
      </c>
      <c r="C738" t="s">
        <v>13008</v>
      </c>
      <c r="D738" s="19">
        <v>737</v>
      </c>
      <c r="E738" s="19" t="str">
        <f t="shared" si="35"/>
        <v>E3_1_3_2</v>
      </c>
      <c r="F738" s="19" t="s">
        <v>13683</v>
      </c>
      <c r="G738" s="19" t="s">
        <v>15098</v>
      </c>
      <c r="H738" s="19" t="s">
        <v>14365</v>
      </c>
      <c r="I738" s="19" t="s">
        <v>15780</v>
      </c>
      <c r="J738" s="19" t="str">
        <f t="shared" si="36"/>
        <v>(${Variables:E3_1_3_2_kcat} * E3_1_3_2 * C01081 * C00001)/(${Variables:E3_1_3_2_km} + (E3_1_3_2 * C01081 * C00001))</v>
      </c>
      <c r="K738" s="37" t="str">
        <f t="shared" si="37"/>
        <v>r737: C01081 + C00001 -&gt; C00378 + C00009 | (${Variables:E3_1_3_2_kcat} * E3_1_3_2 * C01081 * C00001)/(${Variables:E3_1_3_2_km} + (E3_1_3_2 * C01081 * C00001))</v>
      </c>
    </row>
    <row r="739" spans="1:11" ht="46.25" customHeight="1">
      <c r="A739" t="s">
        <v>3392</v>
      </c>
      <c r="B739" t="s">
        <v>3393</v>
      </c>
      <c r="C739" t="s">
        <v>13008</v>
      </c>
      <c r="D739" s="19">
        <v>738</v>
      </c>
      <c r="E739" s="19" t="str">
        <f t="shared" si="35"/>
        <v>E3_1_3_2</v>
      </c>
      <c r="F739" s="19" t="s">
        <v>13684</v>
      </c>
      <c r="G739" s="19" t="s">
        <v>15099</v>
      </c>
      <c r="H739" s="19" t="s">
        <v>14366</v>
      </c>
      <c r="I739" s="19" t="s">
        <v>15781</v>
      </c>
      <c r="J739" s="19" t="str">
        <f t="shared" si="36"/>
        <v>(${Variables:E3_1_3_2_kcat} * E3_1_3_2 * C03360 * C00001)/(${Variables:E3_1_3_2_km} + (E3_1_3_2 * C03360 * C00001))</v>
      </c>
      <c r="K739" s="37" t="str">
        <f t="shared" si="37"/>
        <v>r738: C03360 + C00001 -&gt; C00870 + C00009 | (${Variables:E3_1_3_2_kcat} * E3_1_3_2 * C03360 * C00001)/(${Variables:E3_1_3_2_km} + (E3_1_3_2 * C03360 * C00001))</v>
      </c>
    </row>
    <row r="740" spans="1:11" ht="46.25" customHeight="1">
      <c r="A740" t="s">
        <v>3392</v>
      </c>
      <c r="B740" t="s">
        <v>3393</v>
      </c>
      <c r="C740" t="s">
        <v>13008</v>
      </c>
      <c r="D740" s="19">
        <v>739</v>
      </c>
      <c r="E740" s="19" t="str">
        <f t="shared" si="35"/>
        <v>E3_1_3_2</v>
      </c>
      <c r="F740" s="19" t="s">
        <v>13695</v>
      </c>
      <c r="G740" s="19" t="s">
        <v>15110</v>
      </c>
      <c r="H740" s="19" t="s">
        <v>14377</v>
      </c>
      <c r="I740" s="19" t="s">
        <v>15792</v>
      </c>
      <c r="J740" s="19" t="str">
        <f t="shared" si="36"/>
        <v>(${Variables:E3_1_3_2_kcat} * E3_1_3_2 * C00681 * C00001)/(${Variables:E3_1_3_2_km} + (E3_1_3_2 * C00681 * C00001))</v>
      </c>
      <c r="K740" s="37" t="str">
        <f t="shared" si="37"/>
        <v>r739: C00681 + C00001 -&gt; C01885 + C00009 | (${Variables:E3_1_3_2_kcat} * E3_1_3_2 * C00681 * C00001)/(${Variables:E3_1_3_2_km} + (E3_1_3_2 * C00681 * C00001))</v>
      </c>
    </row>
    <row r="741" spans="1:11" ht="46.25" customHeight="1">
      <c r="A741" t="s">
        <v>3392</v>
      </c>
      <c r="B741" t="s">
        <v>3393</v>
      </c>
      <c r="C741" t="s">
        <v>13008</v>
      </c>
      <c r="D741" s="19">
        <v>740</v>
      </c>
      <c r="E741" s="19" t="str">
        <f t="shared" si="35"/>
        <v>E3_1_3_2</v>
      </c>
      <c r="F741" s="19" t="s">
        <v>13685</v>
      </c>
      <c r="G741" s="19" t="s">
        <v>15100</v>
      </c>
      <c r="H741" s="19" t="s">
        <v>14367</v>
      </c>
      <c r="I741" s="19" t="s">
        <v>15782</v>
      </c>
      <c r="J741" s="19" t="str">
        <f t="shared" si="36"/>
        <v>(${Variables:E3_1_3_2_kcat} * E3_1_3_2 * C00111 * C00001)/(${Variables:E3_1_3_2_km} + (E3_1_3_2 * C00111 * C00001))</v>
      </c>
      <c r="K741" s="37" t="str">
        <f t="shared" si="37"/>
        <v>r740: C00111 + C00001 -&gt; C00184 + C00009 | (${Variables:E3_1_3_2_kcat} * E3_1_3_2 * C00111 * C00001)/(${Variables:E3_1_3_2_km} + (E3_1_3_2 * C00111 * C00001))</v>
      </c>
    </row>
    <row r="742" spans="1:11" ht="46.25" customHeight="1">
      <c r="A742" t="s">
        <v>6926</v>
      </c>
      <c r="B742" t="s">
        <v>6927</v>
      </c>
      <c r="C742" t="s">
        <v>13009</v>
      </c>
      <c r="D742" s="19">
        <v>741</v>
      </c>
      <c r="E742" s="19" t="str">
        <f t="shared" si="35"/>
        <v>E3_1_3_3</v>
      </c>
      <c r="F742" s="19" t="s">
        <v>13696</v>
      </c>
      <c r="G742" s="19" t="s">
        <v>15111</v>
      </c>
      <c r="H742" s="19" t="s">
        <v>14378</v>
      </c>
      <c r="I742" s="19" t="s">
        <v>15793</v>
      </c>
      <c r="J742" s="19" t="str">
        <f t="shared" si="36"/>
        <v>(${Variables:E3_1_3_3_kcat} * E3_1_3_3 * C01005 * C00001)/(${Variables:E3_1_3_3_km} + (E3_1_3_3 * C01005 * C00001))</v>
      </c>
      <c r="K742" s="37" t="str">
        <f t="shared" si="37"/>
        <v>r741: C01005 + C00001 -&gt; C00065 + C00009 | (${Variables:E3_1_3_3_kcat} * E3_1_3_3 * C01005 * C00001)/(${Variables:E3_1_3_3_km} + (E3_1_3_3 * C01005 * C00001))</v>
      </c>
    </row>
    <row r="743" spans="1:11" ht="46.25" customHeight="1">
      <c r="A743" t="s">
        <v>6926</v>
      </c>
      <c r="B743" t="s">
        <v>6927</v>
      </c>
      <c r="C743" t="s">
        <v>13009</v>
      </c>
      <c r="D743" s="19">
        <v>742</v>
      </c>
      <c r="E743" s="19" t="str">
        <f t="shared" si="35"/>
        <v>E3_1_3_3</v>
      </c>
      <c r="F743" s="19" t="s">
        <v>13697</v>
      </c>
      <c r="G743" s="19" t="s">
        <v>15112</v>
      </c>
      <c r="H743" s="19" t="s">
        <v>14379</v>
      </c>
      <c r="I743" s="19" t="s">
        <v>15794</v>
      </c>
      <c r="J743" s="19" t="str">
        <f t="shared" si="36"/>
        <v>(${Variables:E3_1_3_3_kcat} * E3_1_3_3 * C02532 * C00001)/(${Variables:E3_1_3_3_km} + (E3_1_3_3 * C02532 * C00001))</v>
      </c>
      <c r="K743" s="37" t="str">
        <f t="shared" si="37"/>
        <v>r742: C02532 + C00001 -&gt; C00740 + C00009 | (${Variables:E3_1_3_3_kcat} * E3_1_3_3 * C02532 * C00001)/(${Variables:E3_1_3_3_km} + (E3_1_3_3 * C02532 * C00001))</v>
      </c>
    </row>
    <row r="744" spans="1:11" ht="46.25" customHeight="1">
      <c r="A744" t="s">
        <v>4842</v>
      </c>
      <c r="B744" t="s">
        <v>4843</v>
      </c>
      <c r="C744" t="s">
        <v>13010</v>
      </c>
      <c r="D744" s="19">
        <v>743</v>
      </c>
      <c r="E744" s="19" t="str">
        <f t="shared" si="35"/>
        <v>E3_1_3_48</v>
      </c>
      <c r="F744" s="19" t="s">
        <v>13698</v>
      </c>
      <c r="G744" s="19" t="s">
        <v>15113</v>
      </c>
      <c r="H744" s="19" t="s">
        <v>14380</v>
      </c>
      <c r="I744" s="19" t="s">
        <v>15795</v>
      </c>
      <c r="J744" s="19" t="str">
        <f t="shared" si="36"/>
        <v>(${Variables:E3_1_3_48_kcat} * E3_1_3_48 * C01167 * C00001)/(${Variables:E3_1_3_48_km} + (E3_1_3_48 * C01167 * C00001))</v>
      </c>
      <c r="K744" s="37" t="str">
        <f t="shared" si="37"/>
        <v>r743: C01167 + C00001 -&gt; C00585 + C00009 | (${Variables:E3_1_3_48_kcat} * E3_1_3_48 * C01167 * C00001)/(${Variables:E3_1_3_48_km} + (E3_1_3_48 * C01167 * C00001))</v>
      </c>
    </row>
    <row r="745" spans="1:11" ht="46.25" customHeight="1">
      <c r="A745" t="s">
        <v>6182</v>
      </c>
      <c r="B745" t="s">
        <v>6183</v>
      </c>
      <c r="C745" t="s">
        <v>13010</v>
      </c>
      <c r="D745" s="19">
        <v>744</v>
      </c>
      <c r="E745" s="19" t="str">
        <f t="shared" si="35"/>
        <v>E3_1_3_48</v>
      </c>
      <c r="F745" s="19" t="s">
        <v>13698</v>
      </c>
      <c r="G745" s="19" t="s">
        <v>15113</v>
      </c>
      <c r="H745" s="19" t="s">
        <v>14380</v>
      </c>
      <c r="I745" s="19" t="s">
        <v>15795</v>
      </c>
      <c r="J745" s="19" t="str">
        <f t="shared" si="36"/>
        <v>(${Variables:E3_1_3_48_kcat} * E3_1_3_48 * C01167 * C00001)/(${Variables:E3_1_3_48_km} + (E3_1_3_48 * C01167 * C00001))</v>
      </c>
      <c r="K745" s="37" t="str">
        <f t="shared" si="37"/>
        <v>r744: C01167 + C00001 -&gt; C00585 + C00009 | (${Variables:E3_1_3_48_kcat} * E3_1_3_48 * C01167 * C00001)/(${Variables:E3_1_3_48_km} + (E3_1_3_48 * C01167 * C00001))</v>
      </c>
    </row>
    <row r="746" spans="1:11" ht="46.25" customHeight="1">
      <c r="A746" t="s">
        <v>986</v>
      </c>
      <c r="B746" t="s">
        <v>987</v>
      </c>
      <c r="C746" t="s">
        <v>13011</v>
      </c>
      <c r="D746" s="19">
        <v>745</v>
      </c>
      <c r="E746" s="19" t="str">
        <f t="shared" si="35"/>
        <v>E3_1_3_5</v>
      </c>
      <c r="F746" s="19" t="s">
        <v>13699</v>
      </c>
      <c r="G746" s="19" t="s">
        <v>15114</v>
      </c>
      <c r="H746" s="19" t="s">
        <v>14381</v>
      </c>
      <c r="I746" s="19" t="s">
        <v>15796</v>
      </c>
      <c r="J746" s="19" t="str">
        <f t="shared" si="36"/>
        <v>(${Variables:E3_1_3_5_kcat} * E3_1_3_5 * C02520 * C00001)/(${Variables:E3_1_3_5_km} + (E3_1_3_5 * C02520 * C00001))</v>
      </c>
      <c r="K746" s="37" t="str">
        <f t="shared" si="37"/>
        <v>r745: C02520 + C00001 -&gt; C00911 + C00009 | (${Variables:E3_1_3_5_kcat} * E3_1_3_5 * C02520 * C00001)/(${Variables:E3_1_3_5_km} + (E3_1_3_5 * C02520 * C00001))</v>
      </c>
    </row>
    <row r="747" spans="1:11" ht="46.25" customHeight="1">
      <c r="A747" t="s">
        <v>986</v>
      </c>
      <c r="B747" t="s">
        <v>987</v>
      </c>
      <c r="C747" t="s">
        <v>13011</v>
      </c>
      <c r="D747" s="19">
        <v>746</v>
      </c>
      <c r="E747" s="19" t="str">
        <f t="shared" si="35"/>
        <v>E3_1_3_5</v>
      </c>
      <c r="F747" s="19" t="s">
        <v>13700</v>
      </c>
      <c r="G747" s="19" t="s">
        <v>15115</v>
      </c>
      <c r="H747" s="19" t="s">
        <v>14382</v>
      </c>
      <c r="I747" s="19" t="s">
        <v>15797</v>
      </c>
      <c r="J747" s="19" t="str">
        <f t="shared" si="36"/>
        <v>(${Variables:E3_1_3_5_kcat} * E3_1_3_5 * C00020 * C00001)/(${Variables:E3_1_3_5_km} + (E3_1_3_5 * C00020 * C00001))</v>
      </c>
      <c r="K747" s="37" t="str">
        <f t="shared" si="37"/>
        <v>r746: C00020 + C00001 -&gt; C00212 + C00009 | (${Variables:E3_1_3_5_kcat} * E3_1_3_5 * C00020 * C00001)/(${Variables:E3_1_3_5_km} + (E3_1_3_5 * C00020 * C00001))</v>
      </c>
    </row>
    <row r="748" spans="1:11" ht="46.25" customHeight="1">
      <c r="A748" t="s">
        <v>986</v>
      </c>
      <c r="B748" t="s">
        <v>987</v>
      </c>
      <c r="C748" t="s">
        <v>13011</v>
      </c>
      <c r="D748" s="19">
        <v>747</v>
      </c>
      <c r="E748" s="19" t="str">
        <f t="shared" si="35"/>
        <v>E3_1_3_5</v>
      </c>
      <c r="F748" s="19" t="s">
        <v>13701</v>
      </c>
      <c r="G748" s="19" t="s">
        <v>15116</v>
      </c>
      <c r="H748" s="19" t="s">
        <v>14383</v>
      </c>
      <c r="I748" s="19" t="s">
        <v>15798</v>
      </c>
      <c r="J748" s="19" t="str">
        <f t="shared" si="36"/>
        <v>(${Variables:E3_1_3_5_kcat} * E3_1_3_5 * C00055 * C00001)/(${Variables:E3_1_3_5_km} + (E3_1_3_5 * C00055 * C00001))</v>
      </c>
      <c r="K748" s="37" t="str">
        <f t="shared" si="37"/>
        <v>r747: C00055 + C00001 -&gt; C00475 + C00009 | (${Variables:E3_1_3_5_kcat} * E3_1_3_5 * C00055 * C00001)/(${Variables:E3_1_3_5_km} + (E3_1_3_5 * C00055 * C00001))</v>
      </c>
    </row>
    <row r="749" spans="1:11" ht="46.25" customHeight="1">
      <c r="A749" t="s">
        <v>986</v>
      </c>
      <c r="B749" t="s">
        <v>987</v>
      </c>
      <c r="C749" t="s">
        <v>13011</v>
      </c>
      <c r="D749" s="19">
        <v>748</v>
      </c>
      <c r="E749" s="19" t="str">
        <f t="shared" si="35"/>
        <v>E3_1_3_5</v>
      </c>
      <c r="F749" s="19" t="s">
        <v>13702</v>
      </c>
      <c r="G749" s="19" t="s">
        <v>15117</v>
      </c>
      <c r="H749" s="19" t="s">
        <v>14384</v>
      </c>
      <c r="I749" s="19" t="s">
        <v>15799</v>
      </c>
      <c r="J749" s="19" t="str">
        <f t="shared" si="36"/>
        <v>(${Variables:E3_1_3_5_kcat} * E3_1_3_5 * C00105 * C00001)/(${Variables:E3_1_3_5_km} + (E3_1_3_5 * C00105 * C00001))</v>
      </c>
      <c r="K749" s="37" t="str">
        <f t="shared" si="37"/>
        <v>r748: C00105 + C00001 -&gt; C00299 + C00009 | (${Variables:E3_1_3_5_kcat} * E3_1_3_5 * C00105 * C00001)/(${Variables:E3_1_3_5_km} + (E3_1_3_5 * C00105 * C00001))</v>
      </c>
    </row>
    <row r="750" spans="1:11" ht="46.25" customHeight="1">
      <c r="A750" t="s">
        <v>986</v>
      </c>
      <c r="B750" t="s">
        <v>987</v>
      </c>
      <c r="C750" t="s">
        <v>13011</v>
      </c>
      <c r="D750" s="19">
        <v>749</v>
      </c>
      <c r="E750" s="19" t="str">
        <f t="shared" si="35"/>
        <v>E3_1_3_5</v>
      </c>
      <c r="F750" s="19" t="s">
        <v>13703</v>
      </c>
      <c r="G750" s="19" t="s">
        <v>15118</v>
      </c>
      <c r="H750" s="19" t="s">
        <v>14385</v>
      </c>
      <c r="I750" s="19" t="s">
        <v>15800</v>
      </c>
      <c r="J750" s="19" t="str">
        <f t="shared" si="36"/>
        <v>(${Variables:E3_1_3_5_kcat} * E3_1_3_5 * C00130 * C00001)/(${Variables:E3_1_3_5_km} + (E3_1_3_5 * C00130 * C00001))</v>
      </c>
      <c r="K750" s="37" t="str">
        <f t="shared" si="37"/>
        <v>r749: C00130 + C00001 -&gt; C00294 + C00009 | (${Variables:E3_1_3_5_kcat} * E3_1_3_5 * C00130 * C00001)/(${Variables:E3_1_3_5_km} + (E3_1_3_5 * C00130 * C00001))</v>
      </c>
    </row>
    <row r="751" spans="1:11" ht="46.25" customHeight="1">
      <c r="A751" t="s">
        <v>986</v>
      </c>
      <c r="B751" t="s">
        <v>987</v>
      </c>
      <c r="C751" t="s">
        <v>13011</v>
      </c>
      <c r="D751" s="19">
        <v>750</v>
      </c>
      <c r="E751" s="19" t="str">
        <f t="shared" si="35"/>
        <v>E3_1_3_5</v>
      </c>
      <c r="F751" s="19" t="s">
        <v>13704</v>
      </c>
      <c r="G751" s="19" t="s">
        <v>15119</v>
      </c>
      <c r="H751" s="19" t="s">
        <v>14386</v>
      </c>
      <c r="I751" s="19" t="s">
        <v>15801</v>
      </c>
      <c r="J751" s="19" t="str">
        <f t="shared" si="36"/>
        <v>(${Variables:E3_1_3_5_kcat} * E3_1_3_5 * C00144 * C00001)/(${Variables:E3_1_3_5_km} + (E3_1_3_5 * C00144 * C00001))</v>
      </c>
      <c r="K751" s="37" t="str">
        <f t="shared" si="37"/>
        <v>r750: C00144 + C00001 -&gt; C00387 + C00009 | (${Variables:E3_1_3_5_kcat} * E3_1_3_5 * C00144 * C00001)/(${Variables:E3_1_3_5_km} + (E3_1_3_5 * C00144 * C00001))</v>
      </c>
    </row>
    <row r="752" spans="1:11" ht="46.25" customHeight="1">
      <c r="A752" t="s">
        <v>986</v>
      </c>
      <c r="B752" t="s">
        <v>987</v>
      </c>
      <c r="C752" t="s">
        <v>13011</v>
      </c>
      <c r="D752" s="19">
        <v>751</v>
      </c>
      <c r="E752" s="19" t="str">
        <f t="shared" si="35"/>
        <v>E3_1_3_5</v>
      </c>
      <c r="F752" s="19" t="s">
        <v>13705</v>
      </c>
      <c r="G752" s="19" t="s">
        <v>15120</v>
      </c>
      <c r="H752" s="19" t="s">
        <v>14387</v>
      </c>
      <c r="I752" s="19" t="s">
        <v>15802</v>
      </c>
      <c r="J752" s="19" t="str">
        <f t="shared" si="36"/>
        <v>(${Variables:E3_1_3_5_kcat} * E3_1_3_5 * C00455 * C00001)/(${Variables:E3_1_3_5_km} + (E3_1_3_5 * C00455 * C00001))</v>
      </c>
      <c r="K752" s="37" t="str">
        <f t="shared" si="37"/>
        <v>r751: C00455 + C00001 -&gt; C03150 + C00009 | (${Variables:E3_1_3_5_kcat} * E3_1_3_5 * C00455 * C00001)/(${Variables:E3_1_3_5_km} + (E3_1_3_5 * C00455 * C00001))</v>
      </c>
    </row>
    <row r="753" spans="1:11" ht="46.25" customHeight="1">
      <c r="A753" t="s">
        <v>986</v>
      </c>
      <c r="B753" t="s">
        <v>987</v>
      </c>
      <c r="C753" t="s">
        <v>13011</v>
      </c>
      <c r="D753" s="19">
        <v>752</v>
      </c>
      <c r="E753" s="19" t="str">
        <f t="shared" si="35"/>
        <v>E3_1_3_5</v>
      </c>
      <c r="F753" s="19" t="s">
        <v>13706</v>
      </c>
      <c r="G753" s="19" t="s">
        <v>15121</v>
      </c>
      <c r="H753" s="19" t="s">
        <v>14388</v>
      </c>
      <c r="I753" s="19" t="s">
        <v>15803</v>
      </c>
      <c r="J753" s="19" t="str">
        <f t="shared" si="36"/>
        <v>(${Variables:E3_1_3_5_kcat} * E3_1_3_5 * C00655 * C00001)/(${Variables:E3_1_3_5_km} + (E3_1_3_5 * C00655 * C00001))</v>
      </c>
      <c r="K753" s="37" t="str">
        <f t="shared" si="37"/>
        <v>r752: C00655 + C00001 -&gt; C01762 + C00009 | (${Variables:E3_1_3_5_kcat} * E3_1_3_5 * C00655 * C00001)/(${Variables:E3_1_3_5_km} + (E3_1_3_5 * C00655 * C00001))</v>
      </c>
    </row>
    <row r="754" spans="1:11" ht="46.25" customHeight="1">
      <c r="A754" t="s">
        <v>986</v>
      </c>
      <c r="B754" t="s">
        <v>987</v>
      </c>
      <c r="C754" t="s">
        <v>13011</v>
      </c>
      <c r="D754" s="19">
        <v>753</v>
      </c>
      <c r="E754" s="19" t="str">
        <f t="shared" si="35"/>
        <v>E3_1_3_5</v>
      </c>
      <c r="F754" s="19" t="s">
        <v>13707</v>
      </c>
      <c r="G754" s="19" t="s">
        <v>15122</v>
      </c>
      <c r="H754" s="19" t="s">
        <v>14389</v>
      </c>
      <c r="I754" s="19" t="s">
        <v>15804</v>
      </c>
      <c r="J754" s="19" t="str">
        <f t="shared" si="36"/>
        <v>(${Variables:E3_1_3_5_kcat} * E3_1_3_5 * C01185 * C00001)/(${Variables:E3_1_3_5_km} + (E3_1_3_5 * C01185 * C00001))</v>
      </c>
      <c r="K754" s="37" t="str">
        <f t="shared" si="37"/>
        <v>r753: C01185 + C00001 -&gt; C05841 + C00009 | (${Variables:E3_1_3_5_kcat} * E3_1_3_5 * C01185 * C00001)/(${Variables:E3_1_3_5_km} + (E3_1_3_5 * C01185 * C00001))</v>
      </c>
    </row>
    <row r="755" spans="1:11" ht="46.25" customHeight="1">
      <c r="A755" t="s">
        <v>986</v>
      </c>
      <c r="B755" t="s">
        <v>987</v>
      </c>
      <c r="C755" t="s">
        <v>13011</v>
      </c>
      <c r="D755" s="19">
        <v>754</v>
      </c>
      <c r="E755" s="19" t="str">
        <f t="shared" si="35"/>
        <v>E3_1_3_5</v>
      </c>
      <c r="F755" s="19" t="s">
        <v>13708</v>
      </c>
      <c r="G755" s="19" t="s">
        <v>15123</v>
      </c>
      <c r="H755" s="19" t="s">
        <v>14390</v>
      </c>
      <c r="I755" s="19" t="s">
        <v>15805</v>
      </c>
      <c r="J755" s="19" t="str">
        <f t="shared" si="36"/>
        <v>(${Variables:E3_1_3_5_kcat} * E3_1_3_5 * C00364 * C00001)/(${Variables:E3_1_3_5_km} + (E3_1_3_5 * C00364 * C00001))</v>
      </c>
      <c r="K755" s="37" t="str">
        <f t="shared" si="37"/>
        <v>r754: C00364 + C00001 -&gt; C00214 + C00009 | (${Variables:E3_1_3_5_kcat} * E3_1_3_5 * C00364 * C00001)/(${Variables:E3_1_3_5_km} + (E3_1_3_5 * C00364 * C00001))</v>
      </c>
    </row>
    <row r="756" spans="1:11" ht="46.25" customHeight="1">
      <c r="A756" t="s">
        <v>986</v>
      </c>
      <c r="B756" t="s">
        <v>987</v>
      </c>
      <c r="C756" t="s">
        <v>13011</v>
      </c>
      <c r="D756" s="19">
        <v>755</v>
      </c>
      <c r="E756" s="19" t="str">
        <f t="shared" si="35"/>
        <v>E3_1_3_5</v>
      </c>
      <c r="F756" s="19" t="s">
        <v>13709</v>
      </c>
      <c r="G756" s="19" t="s">
        <v>15124</v>
      </c>
      <c r="H756" s="19" t="s">
        <v>14391</v>
      </c>
      <c r="I756" s="19" t="s">
        <v>15806</v>
      </c>
      <c r="J756" s="19" t="str">
        <f t="shared" si="36"/>
        <v>(${Variables:E3_1_3_5_kcat} * E3_1_3_5 * C00239 * C00001)/(${Variables:E3_1_3_5_km} + (E3_1_3_5 * C00239 * C00001))</v>
      </c>
      <c r="K756" s="37" t="str">
        <f t="shared" si="37"/>
        <v>r755: C00239 + C00001 -&gt; C00881 + C00009 | (${Variables:E3_1_3_5_kcat} * E3_1_3_5 * C00239 * C00001)/(${Variables:E3_1_3_5_km} + (E3_1_3_5 * C00239 * C00001))</v>
      </c>
    </row>
    <row r="757" spans="1:11" ht="46.25" customHeight="1">
      <c r="A757" t="s">
        <v>986</v>
      </c>
      <c r="B757" t="s">
        <v>987</v>
      </c>
      <c r="C757" t="s">
        <v>13011</v>
      </c>
      <c r="D757" s="19">
        <v>756</v>
      </c>
      <c r="E757" s="19" t="str">
        <f t="shared" si="35"/>
        <v>E3_1_3_5</v>
      </c>
      <c r="F757" s="19" t="s">
        <v>13710</v>
      </c>
      <c r="G757" s="19" t="s">
        <v>15125</v>
      </c>
      <c r="H757" s="19" t="s">
        <v>14392</v>
      </c>
      <c r="I757" s="19" t="s">
        <v>15807</v>
      </c>
      <c r="J757" s="19" t="str">
        <f t="shared" si="36"/>
        <v>(${Variables:E3_1_3_5_kcat} * E3_1_3_5 * C00362 * C00001)/(${Variables:E3_1_3_5_km} + (E3_1_3_5 * C00362 * C00001))</v>
      </c>
      <c r="K757" s="37" t="str">
        <f t="shared" si="37"/>
        <v>r756: C00362 + C00001 -&gt; C00330 + C00009 | (${Variables:E3_1_3_5_kcat} * E3_1_3_5 * C00362 * C00001)/(${Variables:E3_1_3_5_km} + (E3_1_3_5 * C00362 * C00001))</v>
      </c>
    </row>
    <row r="758" spans="1:11" ht="46.25" customHeight="1">
      <c r="A758" t="s">
        <v>986</v>
      </c>
      <c r="B758" t="s">
        <v>987</v>
      </c>
      <c r="C758" t="s">
        <v>13011</v>
      </c>
      <c r="D758" s="19">
        <v>757</v>
      </c>
      <c r="E758" s="19" t="str">
        <f t="shared" si="35"/>
        <v>E3_1_3_5</v>
      </c>
      <c r="F758" s="19" t="s">
        <v>13711</v>
      </c>
      <c r="G758" s="19" t="s">
        <v>15126</v>
      </c>
      <c r="H758" s="19" t="s">
        <v>14393</v>
      </c>
      <c r="I758" s="19" t="s">
        <v>15808</v>
      </c>
      <c r="J758" s="19" t="str">
        <f t="shared" si="36"/>
        <v>(${Variables:E3_1_3_5_kcat} * E3_1_3_5 * C00360 * C00001)/(${Variables:E3_1_3_5_km} + (E3_1_3_5 * C00360 * C00001))</v>
      </c>
      <c r="K758" s="37" t="str">
        <f t="shared" si="37"/>
        <v>r757: C00360 + C00001 -&gt; C00559 + C00009 | (${Variables:E3_1_3_5_kcat} * E3_1_3_5 * C00360 * C00001)/(${Variables:E3_1_3_5_km} + (E3_1_3_5 * C00360 * C00001))</v>
      </c>
    </row>
    <row r="759" spans="1:11" ht="46.25" customHeight="1">
      <c r="A759" t="s">
        <v>986</v>
      </c>
      <c r="B759" t="s">
        <v>987</v>
      </c>
      <c r="C759" t="s">
        <v>13011</v>
      </c>
      <c r="D759" s="19">
        <v>758</v>
      </c>
      <c r="E759" s="19" t="str">
        <f t="shared" si="35"/>
        <v>E3_1_3_5</v>
      </c>
      <c r="F759" s="19" t="s">
        <v>13712</v>
      </c>
      <c r="G759" s="19" t="s">
        <v>15127</v>
      </c>
      <c r="H759" s="19" t="s">
        <v>14394</v>
      </c>
      <c r="I759" s="19" t="s">
        <v>15809</v>
      </c>
      <c r="J759" s="19" t="str">
        <f t="shared" si="36"/>
        <v>(${Variables:E3_1_3_5_kcat} * E3_1_3_5 * C00365 * C00001)/(${Variables:E3_1_3_5_km} + (E3_1_3_5 * C00365 * C00001))</v>
      </c>
      <c r="K759" s="37" t="str">
        <f t="shared" si="37"/>
        <v>r758: C00365 + C00001 -&gt; C00526 + C00009 | (${Variables:E3_1_3_5_kcat} * E3_1_3_5 * C00365 * C00001)/(${Variables:E3_1_3_5_km} + (E3_1_3_5 * C00365 * C00001))</v>
      </c>
    </row>
    <row r="760" spans="1:11" ht="46.25" customHeight="1">
      <c r="A760" t="s">
        <v>986</v>
      </c>
      <c r="B760" t="s">
        <v>987</v>
      </c>
      <c r="C760" t="s">
        <v>13011</v>
      </c>
      <c r="D760" s="19">
        <v>759</v>
      </c>
      <c r="E760" s="19" t="str">
        <f t="shared" si="35"/>
        <v>E3_1_3_5</v>
      </c>
      <c r="F760" s="19" t="s">
        <v>13713</v>
      </c>
      <c r="G760" s="19" t="s">
        <v>15128</v>
      </c>
      <c r="H760" s="19" t="s">
        <v>14395</v>
      </c>
      <c r="I760" s="19" t="s">
        <v>15810</v>
      </c>
      <c r="J760" s="19" t="str">
        <f t="shared" si="36"/>
        <v>(${Variables:E3_1_3_5_kcat} * E3_1_3_5 * C06196 * C00001)/(${Variables:E3_1_3_5_km} + (E3_1_3_5 * C06196 * C00001))</v>
      </c>
      <c r="K760" s="37" t="str">
        <f t="shared" si="37"/>
        <v>r759: C06196 + C00001 -&gt; C05512 + C00009 | (${Variables:E3_1_3_5_kcat} * E3_1_3_5 * C06196 * C00001)/(${Variables:E3_1_3_5_km} + (E3_1_3_5 * C06196 * C00001))</v>
      </c>
    </row>
    <row r="761" spans="1:11" ht="46.25" customHeight="1">
      <c r="A761" t="s">
        <v>2445</v>
      </c>
      <c r="B761" t="s">
        <v>2446</v>
      </c>
      <c r="C761" t="s">
        <v>16039</v>
      </c>
      <c r="D761" s="19">
        <v>760</v>
      </c>
      <c r="E761" s="19" t="str">
        <f t="shared" si="35"/>
        <v>E3_1_3_7</v>
      </c>
      <c r="F761" s="19" t="s">
        <v>13714</v>
      </c>
      <c r="G761" s="19" t="s">
        <v>15129</v>
      </c>
      <c r="H761" s="19" t="s">
        <v>14396</v>
      </c>
      <c r="I761" s="19" t="s">
        <v>15811</v>
      </c>
      <c r="J761" s="19" t="str">
        <f t="shared" si="36"/>
        <v>(${Variables:E3_1_3_7_kcat} * E3_1_3_7 * C00054 * C00001)/(${Variables:E3_1_3_7_km} + (E3_1_3_7 * C00054 * C00001))</v>
      </c>
      <c r="K761" s="37" t="str">
        <f t="shared" si="37"/>
        <v>r760: C00054 + C00001 -&gt; C00020 + C00009 | (${Variables:E3_1_3_7_kcat} * E3_1_3_7 * C00054 * C00001)/(${Variables:E3_1_3_7_km} + (E3_1_3_7 * C00054 * C00001))</v>
      </c>
    </row>
    <row r="762" spans="1:11" ht="46.25" customHeight="1">
      <c r="A762" t="s">
        <v>2445</v>
      </c>
      <c r="B762" t="s">
        <v>2446</v>
      </c>
      <c r="C762" t="s">
        <v>16039</v>
      </c>
      <c r="D762" s="19">
        <v>761</v>
      </c>
      <c r="E762" s="19" t="str">
        <f t="shared" si="35"/>
        <v>E3_1_3_7</v>
      </c>
      <c r="F762" s="19" t="s">
        <v>13715</v>
      </c>
      <c r="G762" s="19" t="s">
        <v>15130</v>
      </c>
      <c r="H762" s="19" t="s">
        <v>14397</v>
      </c>
      <c r="I762" s="19" t="s">
        <v>15812</v>
      </c>
      <c r="J762" s="19" t="str">
        <f t="shared" si="36"/>
        <v>(${Variables:E3_1_3_7_kcat} * E3_1_3_7 * C00053 * C00001)/(${Variables:E3_1_3_7_km} + (E3_1_3_7 * C00053 * C00001))</v>
      </c>
      <c r="K762" s="37" t="str">
        <f t="shared" si="37"/>
        <v>r761: C00053 + C00001 -&gt; C00224 + C00009 | (${Variables:E3_1_3_7_kcat} * E3_1_3_7 * C00053 * C00001)/(${Variables:E3_1_3_7_km} + (E3_1_3_7 * C00053 * C00001))</v>
      </c>
    </row>
    <row r="763" spans="1:11" ht="46.25" customHeight="1">
      <c r="A763" t="s">
        <v>2157</v>
      </c>
      <c r="B763" t="s">
        <v>2158</v>
      </c>
      <c r="C763" t="s">
        <v>13012</v>
      </c>
      <c r="D763" s="19">
        <v>762</v>
      </c>
      <c r="E763" s="19" t="str">
        <f t="shared" si="35"/>
        <v>E3_13_2_1</v>
      </c>
      <c r="F763" s="19" t="s">
        <v>13716</v>
      </c>
      <c r="G763" s="19" t="s">
        <v>15131</v>
      </c>
      <c r="H763" s="19" t="s">
        <v>14398</v>
      </c>
      <c r="I763" s="19" t="s">
        <v>15813</v>
      </c>
      <c r="J763" s="19" t="str">
        <f t="shared" si="36"/>
        <v>(${Variables:E3_13_2_1_kcat} * E3_13_2_1 * C00021 * C00001)/(${Variables:E3_13_2_1_km} + (E3_13_2_1 * C00021 * C00001))</v>
      </c>
      <c r="K763" s="37" t="str">
        <f t="shared" si="37"/>
        <v>r762: C00021 + C00001 -&gt; C00212 + C00155 | (${Variables:E3_13_2_1_kcat} * E3_13_2_1 * C00021 * C00001)/(${Variables:E3_13_2_1_km} + (E3_13_2_1 * C00021 * C00001))</v>
      </c>
    </row>
    <row r="764" spans="1:11" ht="46.25" customHeight="1">
      <c r="A764" t="s">
        <v>5857</v>
      </c>
      <c r="B764" t="s">
        <v>5858</v>
      </c>
      <c r="C764" t="s">
        <v>13013</v>
      </c>
      <c r="D764" s="19">
        <v>763</v>
      </c>
      <c r="E764" s="19" t="str">
        <f t="shared" si="35"/>
        <v>E3_2_1_141</v>
      </c>
      <c r="F764" s="19" t="s">
        <v>13717</v>
      </c>
      <c r="G764" s="19" t="s">
        <v>15132</v>
      </c>
      <c r="H764" s="19" t="s">
        <v>14399</v>
      </c>
      <c r="I764" s="19" t="s">
        <v>15814</v>
      </c>
      <c r="J764" s="19" t="str">
        <f t="shared" si="36"/>
        <v>(${Variables:E3_2_1_141_kcat} * E3_2_1_141 * C06400 * C00001)/(${Variables:E3_2_1_141_km} + (E3_2_1_141 * C06400 * C00001))</v>
      </c>
      <c r="K764" s="37" t="str">
        <f t="shared" si="37"/>
        <v>r763: C06400 + C00001 -&gt; C01083 + C01935 | (${Variables:E3_2_1_141_kcat} * E3_2_1_141 * C06400 * C00001)/(${Variables:E3_2_1_141_km} + (E3_2_1_141 * C06400 * C00001))</v>
      </c>
    </row>
    <row r="765" spans="1:11" ht="46.25" customHeight="1">
      <c r="A765" t="s">
        <v>323</v>
      </c>
      <c r="B765" t="s">
        <v>324</v>
      </c>
      <c r="C765" t="s">
        <v>13017</v>
      </c>
      <c r="D765" s="19">
        <v>764</v>
      </c>
      <c r="E765" s="19" t="str">
        <f t="shared" si="35"/>
        <v>E3_2_2_4</v>
      </c>
      <c r="F765" s="19" t="s">
        <v>13700</v>
      </c>
      <c r="G765" s="19" t="s">
        <v>15115</v>
      </c>
      <c r="H765" s="19" t="s">
        <v>14400</v>
      </c>
      <c r="I765" s="19" t="s">
        <v>15815</v>
      </c>
      <c r="J765" s="19" t="str">
        <f t="shared" si="36"/>
        <v>(${Variables:E3_2_2_4_kcat} * E3_2_2_4 * C00020 * C00001)/(${Variables:E3_2_2_4_km} + (E3_2_2_4 * C00020 * C00001))</v>
      </c>
      <c r="K765" s="37" t="str">
        <f t="shared" si="37"/>
        <v>r764: C00020 + C00001 -&gt; C00147 + C00117 | (${Variables:E3_2_2_4_kcat} * E3_2_2_4 * C00020 * C00001)/(${Variables:E3_2_2_4_km} + (E3_2_2_4 * C00020 * C00001))</v>
      </c>
    </row>
    <row r="766" spans="1:11" ht="46.25" customHeight="1">
      <c r="A766" t="s">
        <v>940</v>
      </c>
      <c r="B766" t="s">
        <v>941</v>
      </c>
      <c r="C766" t="s">
        <v>13018</v>
      </c>
      <c r="D766" s="19">
        <v>765</v>
      </c>
      <c r="E766" s="19" t="str">
        <f t="shared" si="35"/>
        <v>E3_3_2_2</v>
      </c>
      <c r="F766" s="19" t="s">
        <v>13718</v>
      </c>
      <c r="G766" s="19" t="s">
        <v>15133</v>
      </c>
      <c r="H766" s="19" t="s">
        <v>14401</v>
      </c>
      <c r="I766" s="19" t="s">
        <v>15816</v>
      </c>
      <c r="J766" s="19" t="str">
        <f t="shared" si="36"/>
        <v>(${Variables:E3_3_2_2_kcat} * E3_3_2_2 * C04517 * C00001)/(${Variables:E3_3_2_2_km} + (E3_3_2_2 * C04517 * C00001))</v>
      </c>
      <c r="K766" s="37" t="str">
        <f t="shared" si="37"/>
        <v>r765: C04517 + C00001 -&gt; C00071 + C00670 | (${Variables:E3_3_2_2_kcat} * E3_3_2_2 * C04517 * C00001)/(${Variables:E3_3_2_2_km} + (E3_3_2_2 * C04517 * C00001))</v>
      </c>
    </row>
    <row r="767" spans="1:11" ht="46.25" customHeight="1">
      <c r="A767" t="s">
        <v>940</v>
      </c>
      <c r="B767" t="s">
        <v>941</v>
      </c>
      <c r="C767" t="s">
        <v>13018</v>
      </c>
      <c r="D767" s="19">
        <v>766</v>
      </c>
      <c r="E767" s="19" t="str">
        <f t="shared" si="35"/>
        <v>E3_3_2_2</v>
      </c>
      <c r="F767" s="19" t="s">
        <v>13719</v>
      </c>
      <c r="G767" s="19" t="s">
        <v>15134</v>
      </c>
      <c r="H767" s="19" t="s">
        <v>14402</v>
      </c>
      <c r="I767" s="19" t="s">
        <v>15817</v>
      </c>
      <c r="J767" s="19" t="str">
        <f t="shared" si="36"/>
        <v>(${Variables:E3_3_2_2_kcat} * E3_3_2_2 * C04635 * C00001)/(${Variables:E3_3_2_2_km} + (E3_3_2_2 * C04635 * C00001))</v>
      </c>
      <c r="K767" s="37" t="str">
        <f t="shared" si="37"/>
        <v>r766: C04635 + C00001 -&gt; C00071 + C01233 | (${Variables:E3_3_2_2_kcat} * E3_3_2_2 * C04635 * C00001)/(${Variables:E3_3_2_2_km} + (E3_3_2_2 * C04635 * C00001))</v>
      </c>
    </row>
    <row r="768" spans="1:11" ht="46.25" customHeight="1">
      <c r="A768" t="s">
        <v>6088</v>
      </c>
      <c r="B768" t="s">
        <v>6089</v>
      </c>
      <c r="C768" t="s">
        <v>13019</v>
      </c>
      <c r="D768" s="19">
        <v>767</v>
      </c>
      <c r="E768" s="19" t="str">
        <f t="shared" si="35"/>
        <v>E3_4_11_1</v>
      </c>
      <c r="F768" s="19" t="s">
        <v>13720</v>
      </c>
      <c r="G768" s="19" t="s">
        <v>15135</v>
      </c>
      <c r="H768" s="19" t="s">
        <v>14403</v>
      </c>
      <c r="I768" s="19" t="s">
        <v>15818</v>
      </c>
      <c r="J768" s="19" t="str">
        <f t="shared" si="36"/>
        <v>(${Variables:E3_4_11_1_kcat} * E3_4_11_1 * C01419 * C00001)/(${Variables:E3_4_11_1_km} + (E3_4_11_1 * C01419 * C00001))</v>
      </c>
      <c r="K768" s="37" t="str">
        <f t="shared" si="37"/>
        <v>r767: C01419 + C00001 -&gt; C00097 + C00037 | (${Variables:E3_4_11_1_kcat} * E3_4_11_1 * C01419 * C00001)/(${Variables:E3_4_11_1_km} + (E3_4_11_1 * C01419 * C00001))</v>
      </c>
    </row>
    <row r="769" spans="1:11" ht="46.25" customHeight="1">
      <c r="A769" t="s">
        <v>6088</v>
      </c>
      <c r="B769" t="s">
        <v>6089</v>
      </c>
      <c r="C769" t="s">
        <v>13019</v>
      </c>
      <c r="D769" s="19">
        <v>768</v>
      </c>
      <c r="E769" s="19" t="str">
        <f t="shared" si="35"/>
        <v>E3_4_11_1</v>
      </c>
      <c r="F769" s="19" t="s">
        <v>13721</v>
      </c>
      <c r="G769" s="19" t="s">
        <v>15136</v>
      </c>
      <c r="H769" s="19" t="s">
        <v>14404</v>
      </c>
      <c r="I769" s="19" t="s">
        <v>15819</v>
      </c>
      <c r="J769" s="19" t="str">
        <f t="shared" si="36"/>
        <v>(${Variables:E3_4_11_1_kcat} * E3_4_11_1 * C05729 * C00001)/(${Variables:E3_4_11_1_km} + (E3_4_11_1 * C05729 * C00001))</v>
      </c>
      <c r="K769" s="37" t="str">
        <f t="shared" si="37"/>
        <v>r768: C05729 + C00001 -&gt; C05726 + C00037 | (${Variables:E3_4_11_1_kcat} * E3_4_11_1 * C05729 * C00001)/(${Variables:E3_4_11_1_km} + (E3_4_11_1 * C05729 * C00001))</v>
      </c>
    </row>
    <row r="770" spans="1:11" ht="46.25" customHeight="1">
      <c r="A770" t="s">
        <v>6683</v>
      </c>
      <c r="B770" t="s">
        <v>6684</v>
      </c>
      <c r="C770" t="s">
        <v>13021</v>
      </c>
      <c r="D770" s="19">
        <v>769</v>
      </c>
      <c r="E770" s="19" t="str">
        <f t="shared" si="35"/>
        <v>E3_4_11_2</v>
      </c>
      <c r="F770" s="19" t="s">
        <v>13720</v>
      </c>
      <c r="G770" s="19" t="s">
        <v>15135</v>
      </c>
      <c r="H770" s="19" t="s">
        <v>14403</v>
      </c>
      <c r="I770" s="19" t="s">
        <v>15818</v>
      </c>
      <c r="J770" s="19" t="str">
        <f t="shared" si="36"/>
        <v>(${Variables:E3_4_11_2_kcat} * E3_4_11_2 * C01419 * C00001)/(${Variables:E3_4_11_2_km} + (E3_4_11_2 * C01419 * C00001))</v>
      </c>
      <c r="K770" s="37" t="str">
        <f t="shared" si="37"/>
        <v>r769: C01419 + C00001 -&gt; C00097 + C00037 | (${Variables:E3_4_11_2_kcat} * E3_4_11_2 * C01419 * C00001)/(${Variables:E3_4_11_2_km} + (E3_4_11_2 * C01419 * C00001))</v>
      </c>
    </row>
    <row r="771" spans="1:11" ht="46.25" customHeight="1">
      <c r="A771" t="s">
        <v>6683</v>
      </c>
      <c r="B771" t="s">
        <v>6684</v>
      </c>
      <c r="C771" t="s">
        <v>13021</v>
      </c>
      <c r="D771" s="19">
        <v>770</v>
      </c>
      <c r="E771" s="19" t="str">
        <f t="shared" si="35"/>
        <v>E3_4_11_2</v>
      </c>
      <c r="F771" s="19" t="s">
        <v>13721</v>
      </c>
      <c r="G771" s="19" t="s">
        <v>15136</v>
      </c>
      <c r="H771" s="19" t="s">
        <v>14404</v>
      </c>
      <c r="I771" s="19" t="s">
        <v>15819</v>
      </c>
      <c r="J771" s="19" t="str">
        <f t="shared" si="36"/>
        <v>(${Variables:E3_4_11_2_kcat} * E3_4_11_2 * C05729 * C00001)/(${Variables:E3_4_11_2_km} + (E3_4_11_2 * C05729 * C00001))</v>
      </c>
      <c r="K771" s="37" t="str">
        <f t="shared" si="37"/>
        <v>r770: C05729 + C00001 -&gt; C05726 + C00037 | (${Variables:E3_4_11_2_kcat} * E3_4_11_2 * C05729 * C00001)/(${Variables:E3_4_11_2_km} + (E3_4_11_2 * C05729 * C00001))</v>
      </c>
    </row>
    <row r="772" spans="1:11" ht="46.25" customHeight="1">
      <c r="A772" t="s">
        <v>1136</v>
      </c>
      <c r="B772" t="s">
        <v>1137</v>
      </c>
      <c r="C772" t="s">
        <v>13025</v>
      </c>
      <c r="D772" s="19">
        <v>771</v>
      </c>
      <c r="E772" s="19" t="str">
        <f t="shared" si="35"/>
        <v>E3_5_1_10</v>
      </c>
      <c r="F772" s="19" t="s">
        <v>13722</v>
      </c>
      <c r="G772" s="19" t="s">
        <v>15137</v>
      </c>
      <c r="H772" s="19" t="s">
        <v>14405</v>
      </c>
      <c r="I772" s="19" t="s">
        <v>15820</v>
      </c>
      <c r="J772" s="19" t="str">
        <f t="shared" si="36"/>
        <v>(${Variables:E3_5_1_10_kcat} * E3_5_1_10 * C00234 * C00001)/(${Variables:E3_5_1_10_km} + (E3_5_1_10 * C00234 * C00001))</v>
      </c>
      <c r="K772" s="37" t="str">
        <f t="shared" si="37"/>
        <v>r771: C00234 + C00001 -&gt; C00058 + C00101 | (${Variables:E3_5_1_10_kcat} * E3_5_1_10 * C00234 * C00001)/(${Variables:E3_5_1_10_km} + (E3_5_1_10 * C00234 * C00001))</v>
      </c>
    </row>
    <row r="773" spans="1:11" ht="46.25" customHeight="1">
      <c r="A773" t="s">
        <v>3136</v>
      </c>
      <c r="B773" t="s">
        <v>3137</v>
      </c>
      <c r="C773" t="s">
        <v>13026</v>
      </c>
      <c r="D773" s="19">
        <v>772</v>
      </c>
      <c r="E773" s="19" t="str">
        <f t="shared" si="35"/>
        <v>E3_5_1_103</v>
      </c>
      <c r="F773" s="19" t="s">
        <v>13723</v>
      </c>
      <c r="G773" s="19" t="s">
        <v>15138</v>
      </c>
      <c r="H773" s="19" t="s">
        <v>14406</v>
      </c>
      <c r="I773" s="19" t="s">
        <v>15821</v>
      </c>
      <c r="J773" s="19" t="str">
        <f t="shared" si="36"/>
        <v>(${Variables:E3_5_1_103_kcat} * E3_5_1_103 * C19784 * C00001)/(${Variables:E3_5_1_103_km} + (E3_5_1_103 * C19784 * C00001))</v>
      </c>
      <c r="K773" s="37" t="str">
        <f t="shared" si="37"/>
        <v>r772: C19784 + C00001 -&gt; C19702 + C00033 | (${Variables:E3_5_1_103_kcat} * E3_5_1_103 * C19784 * C00001)/(${Variables:E3_5_1_103_km} + (E3_5_1_103 * C19784 * C00001))</v>
      </c>
    </row>
    <row r="774" spans="1:11" ht="46.25" customHeight="1">
      <c r="A774" t="s">
        <v>4218</v>
      </c>
      <c r="B774" t="s">
        <v>4219</v>
      </c>
      <c r="C774" t="s">
        <v>13027</v>
      </c>
      <c r="D774" s="19">
        <v>773</v>
      </c>
      <c r="E774" s="19" t="str">
        <f t="shared" si="35"/>
        <v>E3_5_1_119</v>
      </c>
      <c r="F774" s="19" t="s">
        <v>13724</v>
      </c>
      <c r="G774" s="19" t="s">
        <v>15139</v>
      </c>
      <c r="H774" s="19" t="s">
        <v>14407</v>
      </c>
      <c r="I774" s="19" t="s">
        <v>15822</v>
      </c>
      <c r="J774" s="19" t="str">
        <f t="shared" si="36"/>
        <v>(${Variables:E3_5_1_119_kcat} * E3_5_1_119 * C21179 * C00001)/(${Variables:E3_5_1_119_km} + (E3_5_1_119 * C21179 * C00001))</v>
      </c>
      <c r="K774" s="37" t="str">
        <f t="shared" si="37"/>
        <v>r773: C21179 + C00001 -&gt; C21177 + C00014 | (${Variables:E3_5_1_119_kcat} * E3_5_1_119 * C21179 * C00001)/(${Variables:E3_5_1_119_km} + (E3_5_1_119 * C21179 * C00001))</v>
      </c>
    </row>
    <row r="775" spans="1:11" ht="46.25" customHeight="1">
      <c r="A775" t="s">
        <v>4218</v>
      </c>
      <c r="B775" t="s">
        <v>4219</v>
      </c>
      <c r="C775" t="s">
        <v>13027</v>
      </c>
      <c r="D775" s="19">
        <v>774</v>
      </c>
      <c r="E775" s="19" t="str">
        <f t="shared" si="35"/>
        <v>E3_5_1_119</v>
      </c>
      <c r="F775" s="19" t="s">
        <v>13725</v>
      </c>
      <c r="G775" s="19" t="s">
        <v>15140</v>
      </c>
      <c r="H775" s="19" t="s">
        <v>14408</v>
      </c>
      <c r="I775" s="19" t="s">
        <v>15823</v>
      </c>
      <c r="J775" s="19" t="str">
        <f t="shared" si="36"/>
        <v>(${Variables:E3_5_1_119_kcat} * E3_5_1_119 * C21178 * C00001)/(${Variables:E3_5_1_119_km} + (E3_5_1_119 * C21178 * C00001))</v>
      </c>
      <c r="K775" s="37" t="str">
        <f t="shared" si="37"/>
        <v>r774: C21178 + C00001 -&gt; C21177 + C02188 | (${Variables:E3_5_1_119_kcat} * E3_5_1_119 * C21178 * C00001)/(${Variables:E3_5_1_119_km} + (E3_5_1_119 * C21178 * C00001))</v>
      </c>
    </row>
    <row r="776" spans="1:11" ht="46.25" customHeight="1">
      <c r="A776" t="s">
        <v>3165</v>
      </c>
      <c r="B776" t="s">
        <v>3166</v>
      </c>
      <c r="C776" t="s">
        <v>16040</v>
      </c>
      <c r="D776" s="19">
        <v>775</v>
      </c>
      <c r="E776" s="19" t="str">
        <f t="shared" si="35"/>
        <v>E3_5_1_18</v>
      </c>
      <c r="F776" s="19" t="s">
        <v>13726</v>
      </c>
      <c r="G776" s="19" t="s">
        <v>15141</v>
      </c>
      <c r="H776" s="19" t="s">
        <v>14409</v>
      </c>
      <c r="I776" s="19" t="s">
        <v>15824</v>
      </c>
      <c r="J776" s="19" t="str">
        <f t="shared" si="36"/>
        <v>(${Variables:E3_5_1_18_kcat} * E3_5_1_18 * C04421 * C00001)/(${Variables:E3_5_1_18_km} + (E3_5_1_18 * C04421 * C00001))</v>
      </c>
      <c r="K776" s="37" t="str">
        <f t="shared" si="37"/>
        <v>r775: C04421 + C00001 -&gt; C00042 + C00666 | (${Variables:E3_5_1_18_kcat} * E3_5_1_18 * C04421 * C00001)/(${Variables:E3_5_1_18_km} + (E3_5_1_18 * C04421 * C00001))</v>
      </c>
    </row>
    <row r="777" spans="1:11" ht="46.25" customHeight="1">
      <c r="A777" t="s">
        <v>2280</v>
      </c>
      <c r="B777" t="s">
        <v>2281</v>
      </c>
      <c r="C777" t="s">
        <v>13028</v>
      </c>
      <c r="D777" s="19">
        <v>776</v>
      </c>
      <c r="E777" s="19" t="str">
        <f t="shared" si="35"/>
        <v>E3_5_1_2</v>
      </c>
      <c r="F777" s="19" t="s">
        <v>13319</v>
      </c>
      <c r="G777" s="19" t="s">
        <v>14734</v>
      </c>
      <c r="H777" s="19" t="s">
        <v>13998</v>
      </c>
      <c r="I777" s="19" t="s">
        <v>15413</v>
      </c>
      <c r="J777" s="19" t="str">
        <f t="shared" si="36"/>
        <v>(${Variables:E3_5_1_2_kcat} * E3_5_1_2 * C00064 * C00001)/(${Variables:E3_5_1_2_km} + (E3_5_1_2 * C00064 * C00001))</v>
      </c>
      <c r="K777" s="37" t="str">
        <f t="shared" si="37"/>
        <v>r776: C00064 + C00001 -&gt; C00025 + C00014 | (${Variables:E3_5_1_2_kcat} * E3_5_1_2 * C00064 * C00001)/(${Variables:E3_5_1_2_km} + (E3_5_1_2 * C00064 * C00001))</v>
      </c>
    </row>
    <row r="778" spans="1:11" ht="46.25" customHeight="1">
      <c r="A778" t="s">
        <v>2280</v>
      </c>
      <c r="B778" t="s">
        <v>2281</v>
      </c>
      <c r="C778" t="s">
        <v>13028</v>
      </c>
      <c r="D778" s="19">
        <v>777</v>
      </c>
      <c r="E778" s="19" t="str">
        <f t="shared" ref="E778:E841" si="38">CONCATENATE("E",C778)</f>
        <v>E3_5_1_2</v>
      </c>
      <c r="F778" s="19" t="s">
        <v>13727</v>
      </c>
      <c r="G778" s="19" t="s">
        <v>15142</v>
      </c>
      <c r="H778" s="19" t="s">
        <v>14410</v>
      </c>
      <c r="I778" s="19" t="s">
        <v>15825</v>
      </c>
      <c r="J778" s="19" t="str">
        <f t="shared" si="36"/>
        <v>(${Variables:E3_5_1_2_kcat} * E3_5_1_2 * C00819 * C00001)/(${Variables:E3_5_1_2_km} + (E3_5_1_2 * C00819 * C00001))</v>
      </c>
      <c r="K778" s="37" t="str">
        <f t="shared" si="37"/>
        <v>r777: C00819 + C00001 -&gt; C00217 + C00014 | (${Variables:E3_5_1_2_kcat} * E3_5_1_2 * C00819 * C00001)/(${Variables:E3_5_1_2_km} + (E3_5_1_2 * C00819 * C00001))</v>
      </c>
    </row>
    <row r="779" spans="1:11" ht="46.25" customHeight="1">
      <c r="A779" t="s">
        <v>2280</v>
      </c>
      <c r="B779" t="s">
        <v>2281</v>
      </c>
      <c r="C779" t="s">
        <v>13028</v>
      </c>
      <c r="D779" s="19">
        <v>778</v>
      </c>
      <c r="E779" s="19" t="str">
        <f t="shared" si="38"/>
        <v>E3_5_1_2</v>
      </c>
      <c r="F779" s="19" t="s">
        <v>13728</v>
      </c>
      <c r="G779" s="19" t="s">
        <v>15143</v>
      </c>
      <c r="H779" s="19" t="s">
        <v>14411</v>
      </c>
      <c r="I779" s="19" t="s">
        <v>15826</v>
      </c>
      <c r="J779" s="19" t="str">
        <f t="shared" ref="J779:J842" si="39">CONCATENATE("(${Variables:",E779,"_kcat","} * ",E779," * ",G779,")","/(${Variables:",E779,"_km","} + (",E779," * ",G779,"))")</f>
        <v>(${Variables:E3_5_1_2_kcat} * E3_5_1_2 * C00241 * C00001)/(${Variables:E3_5_1_2_km} + (E3_5_1_2 * C00241 * C00001))</v>
      </c>
      <c r="K779" s="37" t="str">
        <f t="shared" ref="K779:K842" si="40">CONCATENATE("r",D779,": ",F779," -&gt; ",H779," | ",J779)</f>
        <v>r778: C00241 + C00001 -&gt; C00060 + C00014 | (${Variables:E3_5_1_2_kcat} * E3_5_1_2 * C00241 * C00001)/(${Variables:E3_5_1_2_km} + (E3_5_1_2 * C00241 * C00001))</v>
      </c>
    </row>
    <row r="780" spans="1:11" ht="46.25" customHeight="1">
      <c r="A780" t="s">
        <v>6821</v>
      </c>
      <c r="B780" t="s">
        <v>6822</v>
      </c>
      <c r="C780" t="s">
        <v>13028</v>
      </c>
      <c r="D780" s="19">
        <v>779</v>
      </c>
      <c r="E780" s="19" t="str">
        <f t="shared" si="38"/>
        <v>E3_5_1_2</v>
      </c>
      <c r="F780" s="19" t="s">
        <v>13319</v>
      </c>
      <c r="G780" s="19" t="s">
        <v>14734</v>
      </c>
      <c r="H780" s="19" t="s">
        <v>13998</v>
      </c>
      <c r="I780" s="19" t="s">
        <v>15413</v>
      </c>
      <c r="J780" s="19" t="str">
        <f t="shared" si="39"/>
        <v>(${Variables:E3_5_1_2_kcat} * E3_5_1_2 * C00064 * C00001)/(${Variables:E3_5_1_2_km} + (E3_5_1_2 * C00064 * C00001))</v>
      </c>
      <c r="K780" s="37" t="str">
        <f t="shared" si="40"/>
        <v>r779: C00064 + C00001 -&gt; C00025 + C00014 | (${Variables:E3_5_1_2_kcat} * E3_5_1_2 * C00064 * C00001)/(${Variables:E3_5_1_2_km} + (E3_5_1_2 * C00064 * C00001))</v>
      </c>
    </row>
    <row r="781" spans="1:11" ht="46.25" customHeight="1">
      <c r="A781" t="s">
        <v>6821</v>
      </c>
      <c r="B781" t="s">
        <v>6822</v>
      </c>
      <c r="C781" t="s">
        <v>13028</v>
      </c>
      <c r="D781" s="19">
        <v>780</v>
      </c>
      <c r="E781" s="19" t="str">
        <f t="shared" si="38"/>
        <v>E3_5_1_2</v>
      </c>
      <c r="F781" s="19" t="s">
        <v>13727</v>
      </c>
      <c r="G781" s="19" t="s">
        <v>15142</v>
      </c>
      <c r="H781" s="19" t="s">
        <v>14410</v>
      </c>
      <c r="I781" s="19" t="s">
        <v>15825</v>
      </c>
      <c r="J781" s="19" t="str">
        <f t="shared" si="39"/>
        <v>(${Variables:E3_5_1_2_kcat} * E3_5_1_2 * C00819 * C00001)/(${Variables:E3_5_1_2_km} + (E3_5_1_2 * C00819 * C00001))</v>
      </c>
      <c r="K781" s="37" t="str">
        <f t="shared" si="40"/>
        <v>r780: C00819 + C00001 -&gt; C00217 + C00014 | (${Variables:E3_5_1_2_kcat} * E3_5_1_2 * C00819 * C00001)/(${Variables:E3_5_1_2_km} + (E3_5_1_2 * C00819 * C00001))</v>
      </c>
    </row>
    <row r="782" spans="1:11" ht="46.25" customHeight="1">
      <c r="A782" t="s">
        <v>6821</v>
      </c>
      <c r="B782" t="s">
        <v>6822</v>
      </c>
      <c r="C782" t="s">
        <v>13028</v>
      </c>
      <c r="D782" s="19">
        <v>781</v>
      </c>
      <c r="E782" s="19" t="str">
        <f t="shared" si="38"/>
        <v>E3_5_1_2</v>
      </c>
      <c r="F782" s="19" t="s">
        <v>13728</v>
      </c>
      <c r="G782" s="19" t="s">
        <v>15143</v>
      </c>
      <c r="H782" s="19" t="s">
        <v>14411</v>
      </c>
      <c r="I782" s="19" t="s">
        <v>15826</v>
      </c>
      <c r="J782" s="19" t="str">
        <f t="shared" si="39"/>
        <v>(${Variables:E3_5_1_2_kcat} * E3_5_1_2 * C00241 * C00001)/(${Variables:E3_5_1_2_km} + (E3_5_1_2 * C00241 * C00001))</v>
      </c>
      <c r="K782" s="37" t="str">
        <f t="shared" si="40"/>
        <v>r781: C00241 + C00001 -&gt; C00060 + C00014 | (${Variables:E3_5_1_2_kcat} * E3_5_1_2 * C00241 * C00001)/(${Variables:E3_5_1_2_km} + (E3_5_1_2 * C00241 * C00001))</v>
      </c>
    </row>
    <row r="783" spans="1:11" ht="46.25" customHeight="1">
      <c r="A783" t="s">
        <v>7133</v>
      </c>
      <c r="B783" t="s">
        <v>7134</v>
      </c>
      <c r="C783" t="s">
        <v>13028</v>
      </c>
      <c r="D783" s="19">
        <v>782</v>
      </c>
      <c r="E783" s="19" t="str">
        <f t="shared" si="38"/>
        <v>E3_5_1_2</v>
      </c>
      <c r="F783" s="19" t="s">
        <v>13319</v>
      </c>
      <c r="G783" s="19" t="s">
        <v>14734</v>
      </c>
      <c r="H783" s="19" t="s">
        <v>13998</v>
      </c>
      <c r="I783" s="19" t="s">
        <v>15413</v>
      </c>
      <c r="J783" s="19" t="str">
        <f t="shared" si="39"/>
        <v>(${Variables:E3_5_1_2_kcat} * E3_5_1_2 * C00064 * C00001)/(${Variables:E3_5_1_2_km} + (E3_5_1_2 * C00064 * C00001))</v>
      </c>
      <c r="K783" s="37" t="str">
        <f t="shared" si="40"/>
        <v>r782: C00064 + C00001 -&gt; C00025 + C00014 | (${Variables:E3_5_1_2_kcat} * E3_5_1_2 * C00064 * C00001)/(${Variables:E3_5_1_2_km} + (E3_5_1_2 * C00064 * C00001))</v>
      </c>
    </row>
    <row r="784" spans="1:11" ht="46.25" customHeight="1">
      <c r="A784" t="s">
        <v>7133</v>
      </c>
      <c r="B784" t="s">
        <v>7134</v>
      </c>
      <c r="C784" t="s">
        <v>13028</v>
      </c>
      <c r="D784" s="19">
        <v>783</v>
      </c>
      <c r="E784" s="19" t="str">
        <f t="shared" si="38"/>
        <v>E3_5_1_2</v>
      </c>
      <c r="F784" s="19" t="s">
        <v>13727</v>
      </c>
      <c r="G784" s="19" t="s">
        <v>15142</v>
      </c>
      <c r="H784" s="19" t="s">
        <v>14410</v>
      </c>
      <c r="I784" s="19" t="s">
        <v>15825</v>
      </c>
      <c r="J784" s="19" t="str">
        <f t="shared" si="39"/>
        <v>(${Variables:E3_5_1_2_kcat} * E3_5_1_2 * C00819 * C00001)/(${Variables:E3_5_1_2_km} + (E3_5_1_2 * C00819 * C00001))</v>
      </c>
      <c r="K784" s="37" t="str">
        <f t="shared" si="40"/>
        <v>r783: C00819 + C00001 -&gt; C00217 + C00014 | (${Variables:E3_5_1_2_kcat} * E3_5_1_2 * C00819 * C00001)/(${Variables:E3_5_1_2_km} + (E3_5_1_2 * C00819 * C00001))</v>
      </c>
    </row>
    <row r="785" spans="1:11" ht="46.25" customHeight="1">
      <c r="A785" t="s">
        <v>7133</v>
      </c>
      <c r="B785" t="s">
        <v>7134</v>
      </c>
      <c r="C785" t="s">
        <v>13028</v>
      </c>
      <c r="D785" s="19">
        <v>784</v>
      </c>
      <c r="E785" s="19" t="str">
        <f t="shared" si="38"/>
        <v>E3_5_1_2</v>
      </c>
      <c r="F785" s="19" t="s">
        <v>13728</v>
      </c>
      <c r="G785" s="19" t="s">
        <v>15143</v>
      </c>
      <c r="H785" s="19" t="s">
        <v>14411</v>
      </c>
      <c r="I785" s="19" t="s">
        <v>15826</v>
      </c>
      <c r="J785" s="19" t="str">
        <f t="shared" si="39"/>
        <v>(${Variables:E3_5_1_2_kcat} * E3_5_1_2 * C00241 * C00001)/(${Variables:E3_5_1_2_km} + (E3_5_1_2 * C00241 * C00001))</v>
      </c>
      <c r="K785" s="37" t="str">
        <f t="shared" si="40"/>
        <v>r784: C00241 + C00001 -&gt; C00060 + C00014 | (${Variables:E3_5_1_2_kcat} * E3_5_1_2 * C00241 * C00001)/(${Variables:E3_5_1_2_km} + (E3_5_1_2 * C00241 * C00001))</v>
      </c>
    </row>
    <row r="786" spans="1:11" ht="46.25" customHeight="1">
      <c r="A786" t="s">
        <v>7276</v>
      </c>
      <c r="B786" t="s">
        <v>7277</v>
      </c>
      <c r="C786" t="s">
        <v>13029</v>
      </c>
      <c r="D786" s="19">
        <v>785</v>
      </c>
      <c r="E786" s="19" t="str">
        <f t="shared" si="38"/>
        <v>E3_5_1_25</v>
      </c>
      <c r="F786" s="19" t="s">
        <v>13729</v>
      </c>
      <c r="G786" s="19" t="s">
        <v>15144</v>
      </c>
      <c r="H786" s="19" t="s">
        <v>14412</v>
      </c>
      <c r="I786" s="19" t="s">
        <v>15827</v>
      </c>
      <c r="J786" s="19" t="str">
        <f t="shared" si="39"/>
        <v>(${Variables:E3_5_1_25_kcat} * E3_5_1_25 * C00357 * C00001)/(${Variables:E3_5_1_25_km} + (E3_5_1_25 * C00357 * C00001))</v>
      </c>
      <c r="K786" s="37" t="str">
        <f t="shared" si="40"/>
        <v>r785: C00357 + C00001 -&gt; C00352 + C00033 | (${Variables:E3_5_1_25_kcat} * E3_5_1_25 * C00357 * C00001)/(${Variables:E3_5_1_25_km} + (E3_5_1_25 * C00357 * C00001))</v>
      </c>
    </row>
    <row r="787" spans="1:11" ht="46.25" customHeight="1">
      <c r="A787" t="s">
        <v>289</v>
      </c>
      <c r="B787" t="s">
        <v>290</v>
      </c>
      <c r="C787" t="s">
        <v>13030</v>
      </c>
      <c r="D787" s="19">
        <v>786</v>
      </c>
      <c r="E787" s="19" t="str">
        <f t="shared" si="38"/>
        <v>E3_5_1_5</v>
      </c>
      <c r="F787" s="19" t="s">
        <v>13730</v>
      </c>
      <c r="G787" s="19" t="s">
        <v>15145</v>
      </c>
      <c r="H787" s="19" t="s">
        <v>14413</v>
      </c>
      <c r="I787" s="19" t="s">
        <v>15828</v>
      </c>
      <c r="J787" s="19" t="str">
        <f t="shared" si="39"/>
        <v>(${Variables:E3_5_1_5_kcat} * E3_5_1_5 * C00014 * C00288)/(${Variables:E3_5_1_5_km} + (E3_5_1_5 * C00014 * C00288))</v>
      </c>
      <c r="K787" s="37" t="str">
        <f t="shared" si="40"/>
        <v>r786: C00014 + C00288 -&gt; C01563 + C00001 | (${Variables:E3_5_1_5_kcat} * E3_5_1_5 * C00014 * C00288)/(${Variables:E3_5_1_5_km} + (E3_5_1_5 * C00014 * C00288))</v>
      </c>
    </row>
    <row r="788" spans="1:11" ht="46.25" customHeight="1">
      <c r="A788" t="s">
        <v>289</v>
      </c>
      <c r="B788" t="s">
        <v>290</v>
      </c>
      <c r="C788" t="s">
        <v>13030</v>
      </c>
      <c r="D788" s="19">
        <v>787</v>
      </c>
      <c r="E788" s="19" t="str">
        <f t="shared" si="38"/>
        <v>E3_5_1_5</v>
      </c>
      <c r="F788" s="19" t="s">
        <v>13731</v>
      </c>
      <c r="G788" s="19" t="s">
        <v>15146</v>
      </c>
      <c r="H788" s="19" t="s">
        <v>14414</v>
      </c>
      <c r="I788" s="19" t="s">
        <v>15829</v>
      </c>
      <c r="J788" s="19" t="str">
        <f t="shared" si="39"/>
        <v>(${Variables:E3_5_1_5_kcat} * E3_5_1_5 * C00086 * C00001)/(${Variables:E3_5_1_5_km} + (E3_5_1_5 * C00086 * C00001))</v>
      </c>
      <c r="K788" s="37" t="str">
        <f t="shared" si="40"/>
        <v>r787: C00086 + C00001 -&gt; C00288 + C00014 | (${Variables:E3_5_1_5_kcat} * E3_5_1_5 * C00086 * C00001)/(${Variables:E3_5_1_5_km} + (E3_5_1_5 * C00086 * C00001))</v>
      </c>
    </row>
    <row r="789" spans="1:11" ht="46.25" customHeight="1">
      <c r="A789" t="s">
        <v>289</v>
      </c>
      <c r="B789" t="s">
        <v>290</v>
      </c>
      <c r="C789" t="s">
        <v>13030</v>
      </c>
      <c r="D789" s="19">
        <v>788</v>
      </c>
      <c r="E789" s="19" t="str">
        <f t="shared" si="38"/>
        <v>E3_5_1_5</v>
      </c>
      <c r="F789" s="19" t="s">
        <v>13731</v>
      </c>
      <c r="G789" s="19" t="s">
        <v>15146</v>
      </c>
      <c r="H789" s="19" t="s">
        <v>14415</v>
      </c>
      <c r="I789" s="19" t="s">
        <v>15830</v>
      </c>
      <c r="J789" s="19" t="str">
        <f t="shared" si="39"/>
        <v>(${Variables:E3_5_1_5_kcat} * E3_5_1_5 * C00086 * C00001)/(${Variables:E3_5_1_5_km} + (E3_5_1_5 * C00086 * C00001))</v>
      </c>
      <c r="K789" s="37" t="str">
        <f t="shared" si="40"/>
        <v>r788: C00086 + C00001 -&gt; C01563 + C00014 | (${Variables:E3_5_1_5_kcat} * E3_5_1_5 * C00086 * C00001)/(${Variables:E3_5_1_5_km} + (E3_5_1_5 * C00086 * C00001))</v>
      </c>
    </row>
    <row r="790" spans="1:11" ht="46.25" customHeight="1">
      <c r="A790" t="s">
        <v>289</v>
      </c>
      <c r="B790" t="s">
        <v>290</v>
      </c>
      <c r="C790" t="s">
        <v>13030</v>
      </c>
      <c r="D790" s="19">
        <v>789</v>
      </c>
      <c r="E790" s="19" t="str">
        <f t="shared" si="38"/>
        <v>E3_5_1_5</v>
      </c>
      <c r="F790" s="19" t="s">
        <v>13731</v>
      </c>
      <c r="G790" s="19" t="s">
        <v>15146</v>
      </c>
      <c r="H790" s="19" t="s">
        <v>14416</v>
      </c>
      <c r="I790" s="19" t="s">
        <v>15831</v>
      </c>
      <c r="J790" s="19" t="str">
        <f t="shared" si="39"/>
        <v>(${Variables:E3_5_1_5_kcat} * E3_5_1_5 * C00086 * C00001)/(${Variables:E3_5_1_5_km} + (E3_5_1_5 * C00086 * C00001))</v>
      </c>
      <c r="K790" s="37" t="str">
        <f t="shared" si="40"/>
        <v>r789: C00086 + C00001 -&gt; C00011 + C00014 | (${Variables:E3_5_1_5_kcat} * E3_5_1_5 * C00086 * C00001)/(${Variables:E3_5_1_5_km} + (E3_5_1_5 * C00086 * C00001))</v>
      </c>
    </row>
    <row r="791" spans="1:11" ht="46.25" customHeight="1">
      <c r="A791" t="s">
        <v>289</v>
      </c>
      <c r="B791" t="s">
        <v>290</v>
      </c>
      <c r="C791" t="s">
        <v>13030</v>
      </c>
      <c r="D791" s="19">
        <v>790</v>
      </c>
      <c r="E791" s="19" t="str">
        <f t="shared" si="38"/>
        <v>E3_5_1_5</v>
      </c>
      <c r="F791" s="19" t="s">
        <v>13728</v>
      </c>
      <c r="G791" s="19" t="s">
        <v>15143</v>
      </c>
      <c r="H791" s="19" t="s">
        <v>14411</v>
      </c>
      <c r="I791" s="19" t="s">
        <v>15826</v>
      </c>
      <c r="J791" s="19" t="str">
        <f t="shared" si="39"/>
        <v>(${Variables:E3_5_1_5_kcat} * E3_5_1_5 * C00241 * C00001)/(${Variables:E3_5_1_5_km} + (E3_5_1_5 * C00241 * C00001))</v>
      </c>
      <c r="K791" s="37" t="str">
        <f t="shared" si="40"/>
        <v>r790: C00241 + C00001 -&gt; C00060 + C00014 | (${Variables:E3_5_1_5_kcat} * E3_5_1_5 * C00241 * C00001)/(${Variables:E3_5_1_5_km} + (E3_5_1_5 * C00241 * C00001))</v>
      </c>
    </row>
    <row r="792" spans="1:11" ht="46.25" customHeight="1">
      <c r="A792" t="s">
        <v>292</v>
      </c>
      <c r="B792" t="s">
        <v>293</v>
      </c>
      <c r="C792" t="s">
        <v>13030</v>
      </c>
      <c r="D792" s="19">
        <v>791</v>
      </c>
      <c r="E792" s="19" t="str">
        <f t="shared" si="38"/>
        <v>E3_5_1_5</v>
      </c>
      <c r="F792" s="19" t="s">
        <v>13730</v>
      </c>
      <c r="G792" s="19" t="s">
        <v>15145</v>
      </c>
      <c r="H792" s="19" t="s">
        <v>14413</v>
      </c>
      <c r="I792" s="19" t="s">
        <v>15828</v>
      </c>
      <c r="J792" s="19" t="str">
        <f t="shared" si="39"/>
        <v>(${Variables:E3_5_1_5_kcat} * E3_5_1_5 * C00014 * C00288)/(${Variables:E3_5_1_5_km} + (E3_5_1_5 * C00014 * C00288))</v>
      </c>
      <c r="K792" s="37" t="str">
        <f t="shared" si="40"/>
        <v>r791: C00014 + C00288 -&gt; C01563 + C00001 | (${Variables:E3_5_1_5_kcat} * E3_5_1_5 * C00014 * C00288)/(${Variables:E3_5_1_5_km} + (E3_5_1_5 * C00014 * C00288))</v>
      </c>
    </row>
    <row r="793" spans="1:11" ht="46.25" customHeight="1">
      <c r="A793" t="s">
        <v>292</v>
      </c>
      <c r="B793" t="s">
        <v>293</v>
      </c>
      <c r="C793" t="s">
        <v>13030</v>
      </c>
      <c r="D793" s="19">
        <v>792</v>
      </c>
      <c r="E793" s="19" t="str">
        <f t="shared" si="38"/>
        <v>E3_5_1_5</v>
      </c>
      <c r="F793" s="19" t="s">
        <v>13731</v>
      </c>
      <c r="G793" s="19" t="s">
        <v>15146</v>
      </c>
      <c r="H793" s="19" t="s">
        <v>14414</v>
      </c>
      <c r="I793" s="19" t="s">
        <v>15829</v>
      </c>
      <c r="J793" s="19" t="str">
        <f t="shared" si="39"/>
        <v>(${Variables:E3_5_1_5_kcat} * E3_5_1_5 * C00086 * C00001)/(${Variables:E3_5_1_5_km} + (E3_5_1_5 * C00086 * C00001))</v>
      </c>
      <c r="K793" s="37" t="str">
        <f t="shared" si="40"/>
        <v>r792: C00086 + C00001 -&gt; C00288 + C00014 | (${Variables:E3_5_1_5_kcat} * E3_5_1_5 * C00086 * C00001)/(${Variables:E3_5_1_5_km} + (E3_5_1_5 * C00086 * C00001))</v>
      </c>
    </row>
    <row r="794" spans="1:11" ht="46.25" customHeight="1">
      <c r="A794" t="s">
        <v>292</v>
      </c>
      <c r="B794" t="s">
        <v>293</v>
      </c>
      <c r="C794" t="s">
        <v>13030</v>
      </c>
      <c r="D794" s="19">
        <v>793</v>
      </c>
      <c r="E794" s="19" t="str">
        <f t="shared" si="38"/>
        <v>E3_5_1_5</v>
      </c>
      <c r="F794" s="19" t="s">
        <v>13731</v>
      </c>
      <c r="G794" s="19" t="s">
        <v>15146</v>
      </c>
      <c r="H794" s="19" t="s">
        <v>14415</v>
      </c>
      <c r="I794" s="19" t="s">
        <v>15830</v>
      </c>
      <c r="J794" s="19" t="str">
        <f t="shared" si="39"/>
        <v>(${Variables:E3_5_1_5_kcat} * E3_5_1_5 * C00086 * C00001)/(${Variables:E3_5_1_5_km} + (E3_5_1_5 * C00086 * C00001))</v>
      </c>
      <c r="K794" s="37" t="str">
        <f t="shared" si="40"/>
        <v>r793: C00086 + C00001 -&gt; C01563 + C00014 | (${Variables:E3_5_1_5_kcat} * E3_5_1_5 * C00086 * C00001)/(${Variables:E3_5_1_5_km} + (E3_5_1_5 * C00086 * C00001))</v>
      </c>
    </row>
    <row r="795" spans="1:11" ht="46.25" customHeight="1">
      <c r="A795" t="s">
        <v>292</v>
      </c>
      <c r="B795" t="s">
        <v>293</v>
      </c>
      <c r="C795" t="s">
        <v>13030</v>
      </c>
      <c r="D795" s="19">
        <v>794</v>
      </c>
      <c r="E795" s="19" t="str">
        <f t="shared" si="38"/>
        <v>E3_5_1_5</v>
      </c>
      <c r="F795" s="19" t="s">
        <v>13731</v>
      </c>
      <c r="G795" s="19" t="s">
        <v>15146</v>
      </c>
      <c r="H795" s="19" t="s">
        <v>14416</v>
      </c>
      <c r="I795" s="19" t="s">
        <v>15831</v>
      </c>
      <c r="J795" s="19" t="str">
        <f t="shared" si="39"/>
        <v>(${Variables:E3_5_1_5_kcat} * E3_5_1_5 * C00086 * C00001)/(${Variables:E3_5_1_5_km} + (E3_5_1_5 * C00086 * C00001))</v>
      </c>
      <c r="K795" s="37" t="str">
        <f t="shared" si="40"/>
        <v>r794: C00086 + C00001 -&gt; C00011 + C00014 | (${Variables:E3_5_1_5_kcat} * E3_5_1_5 * C00086 * C00001)/(${Variables:E3_5_1_5_km} + (E3_5_1_5 * C00086 * C00001))</v>
      </c>
    </row>
    <row r="796" spans="1:11" ht="46.25" customHeight="1">
      <c r="A796" t="s">
        <v>292</v>
      </c>
      <c r="B796" t="s">
        <v>293</v>
      </c>
      <c r="C796" t="s">
        <v>13030</v>
      </c>
      <c r="D796" s="19">
        <v>795</v>
      </c>
      <c r="E796" s="19" t="str">
        <f t="shared" si="38"/>
        <v>E3_5_1_5</v>
      </c>
      <c r="F796" s="19" t="s">
        <v>13728</v>
      </c>
      <c r="G796" s="19" t="s">
        <v>15143</v>
      </c>
      <c r="H796" s="19" t="s">
        <v>14411</v>
      </c>
      <c r="I796" s="19" t="s">
        <v>15826</v>
      </c>
      <c r="J796" s="19" t="str">
        <f t="shared" si="39"/>
        <v>(${Variables:E3_5_1_5_kcat} * E3_5_1_5 * C00241 * C00001)/(${Variables:E3_5_1_5_km} + (E3_5_1_5 * C00241 * C00001))</v>
      </c>
      <c r="K796" s="37" t="str">
        <f t="shared" si="40"/>
        <v>r795: C00241 + C00001 -&gt; C00060 + C00014 | (${Variables:E3_5_1_5_kcat} * E3_5_1_5 * C00241 * C00001)/(${Variables:E3_5_1_5_km} + (E3_5_1_5 * C00241 * C00001))</v>
      </c>
    </row>
    <row r="797" spans="1:11" ht="46.25" customHeight="1">
      <c r="A797" t="s">
        <v>296</v>
      </c>
      <c r="B797" t="s">
        <v>297</v>
      </c>
      <c r="C797" t="s">
        <v>13030</v>
      </c>
      <c r="D797" s="19">
        <v>796</v>
      </c>
      <c r="E797" s="19" t="str">
        <f t="shared" si="38"/>
        <v>E3_5_1_5</v>
      </c>
      <c r="F797" s="19" t="s">
        <v>13730</v>
      </c>
      <c r="G797" s="19" t="s">
        <v>15145</v>
      </c>
      <c r="H797" s="19" t="s">
        <v>14413</v>
      </c>
      <c r="I797" s="19" t="s">
        <v>15828</v>
      </c>
      <c r="J797" s="19" t="str">
        <f t="shared" si="39"/>
        <v>(${Variables:E3_5_1_5_kcat} * E3_5_1_5 * C00014 * C00288)/(${Variables:E3_5_1_5_km} + (E3_5_1_5 * C00014 * C00288))</v>
      </c>
      <c r="K797" s="37" t="str">
        <f t="shared" si="40"/>
        <v>r796: C00014 + C00288 -&gt; C01563 + C00001 | (${Variables:E3_5_1_5_kcat} * E3_5_1_5 * C00014 * C00288)/(${Variables:E3_5_1_5_km} + (E3_5_1_5 * C00014 * C00288))</v>
      </c>
    </row>
    <row r="798" spans="1:11" ht="46.25" customHeight="1">
      <c r="A798" t="s">
        <v>296</v>
      </c>
      <c r="B798" t="s">
        <v>297</v>
      </c>
      <c r="C798" t="s">
        <v>13030</v>
      </c>
      <c r="D798" s="19">
        <v>797</v>
      </c>
      <c r="E798" s="19" t="str">
        <f t="shared" si="38"/>
        <v>E3_5_1_5</v>
      </c>
      <c r="F798" s="19" t="s">
        <v>13731</v>
      </c>
      <c r="G798" s="19" t="s">
        <v>15146</v>
      </c>
      <c r="H798" s="19" t="s">
        <v>14414</v>
      </c>
      <c r="I798" s="19" t="s">
        <v>15829</v>
      </c>
      <c r="J798" s="19" t="str">
        <f t="shared" si="39"/>
        <v>(${Variables:E3_5_1_5_kcat} * E3_5_1_5 * C00086 * C00001)/(${Variables:E3_5_1_5_km} + (E3_5_1_5 * C00086 * C00001))</v>
      </c>
      <c r="K798" s="37" t="str">
        <f t="shared" si="40"/>
        <v>r797: C00086 + C00001 -&gt; C00288 + C00014 | (${Variables:E3_5_1_5_kcat} * E3_5_1_5 * C00086 * C00001)/(${Variables:E3_5_1_5_km} + (E3_5_1_5 * C00086 * C00001))</v>
      </c>
    </row>
    <row r="799" spans="1:11" ht="46.25" customHeight="1">
      <c r="A799" t="s">
        <v>296</v>
      </c>
      <c r="B799" t="s">
        <v>297</v>
      </c>
      <c r="C799" t="s">
        <v>13030</v>
      </c>
      <c r="D799" s="19">
        <v>798</v>
      </c>
      <c r="E799" s="19" t="str">
        <f t="shared" si="38"/>
        <v>E3_5_1_5</v>
      </c>
      <c r="F799" s="19" t="s">
        <v>13731</v>
      </c>
      <c r="G799" s="19" t="s">
        <v>15146</v>
      </c>
      <c r="H799" s="19" t="s">
        <v>14415</v>
      </c>
      <c r="I799" s="19" t="s">
        <v>15830</v>
      </c>
      <c r="J799" s="19" t="str">
        <f t="shared" si="39"/>
        <v>(${Variables:E3_5_1_5_kcat} * E3_5_1_5 * C00086 * C00001)/(${Variables:E3_5_1_5_km} + (E3_5_1_5 * C00086 * C00001))</v>
      </c>
      <c r="K799" s="37" t="str">
        <f t="shared" si="40"/>
        <v>r798: C00086 + C00001 -&gt; C01563 + C00014 | (${Variables:E3_5_1_5_kcat} * E3_5_1_5 * C00086 * C00001)/(${Variables:E3_5_1_5_km} + (E3_5_1_5 * C00086 * C00001))</v>
      </c>
    </row>
    <row r="800" spans="1:11" ht="46.25" customHeight="1">
      <c r="A800" t="s">
        <v>296</v>
      </c>
      <c r="B800" t="s">
        <v>297</v>
      </c>
      <c r="C800" t="s">
        <v>13030</v>
      </c>
      <c r="D800" s="19">
        <v>799</v>
      </c>
      <c r="E800" s="19" t="str">
        <f t="shared" si="38"/>
        <v>E3_5_1_5</v>
      </c>
      <c r="F800" s="19" t="s">
        <v>13731</v>
      </c>
      <c r="G800" s="19" t="s">
        <v>15146</v>
      </c>
      <c r="H800" s="19" t="s">
        <v>14416</v>
      </c>
      <c r="I800" s="19" t="s">
        <v>15831</v>
      </c>
      <c r="J800" s="19" t="str">
        <f t="shared" si="39"/>
        <v>(${Variables:E3_5_1_5_kcat} * E3_5_1_5 * C00086 * C00001)/(${Variables:E3_5_1_5_km} + (E3_5_1_5 * C00086 * C00001))</v>
      </c>
      <c r="K800" s="37" t="str">
        <f t="shared" si="40"/>
        <v>r799: C00086 + C00001 -&gt; C00011 + C00014 | (${Variables:E3_5_1_5_kcat} * E3_5_1_5 * C00086 * C00001)/(${Variables:E3_5_1_5_km} + (E3_5_1_5 * C00086 * C00001))</v>
      </c>
    </row>
    <row r="801" spans="1:11" ht="46.25" customHeight="1">
      <c r="A801" t="s">
        <v>296</v>
      </c>
      <c r="B801" t="s">
        <v>297</v>
      </c>
      <c r="C801" t="s">
        <v>13030</v>
      </c>
      <c r="D801" s="19">
        <v>800</v>
      </c>
      <c r="E801" s="19" t="str">
        <f t="shared" si="38"/>
        <v>E3_5_1_5</v>
      </c>
      <c r="F801" s="19" t="s">
        <v>13728</v>
      </c>
      <c r="G801" s="19" t="s">
        <v>15143</v>
      </c>
      <c r="H801" s="19" t="s">
        <v>14411</v>
      </c>
      <c r="I801" s="19" t="s">
        <v>15826</v>
      </c>
      <c r="J801" s="19" t="str">
        <f t="shared" si="39"/>
        <v>(${Variables:E3_5_1_5_kcat} * E3_5_1_5 * C00241 * C00001)/(${Variables:E3_5_1_5_km} + (E3_5_1_5 * C00241 * C00001))</v>
      </c>
      <c r="K801" s="37" t="str">
        <f t="shared" si="40"/>
        <v>r800: C00241 + C00001 -&gt; C00060 + C00014 | (${Variables:E3_5_1_5_kcat} * E3_5_1_5 * C00241 * C00001)/(${Variables:E3_5_1_5_km} + (E3_5_1_5 * C00241 * C00001))</v>
      </c>
    </row>
    <row r="802" spans="1:11" ht="46.25" customHeight="1">
      <c r="A802" t="s">
        <v>4525</v>
      </c>
      <c r="B802" t="s">
        <v>4526</v>
      </c>
      <c r="C802" t="s">
        <v>16041</v>
      </c>
      <c r="D802" s="19">
        <v>801</v>
      </c>
      <c r="E802" s="19" t="str">
        <f t="shared" si="38"/>
        <v>E3_5_1_88</v>
      </c>
      <c r="F802" s="19" t="s">
        <v>13732</v>
      </c>
      <c r="G802" s="19" t="s">
        <v>15147</v>
      </c>
      <c r="H802" s="19" t="s">
        <v>14417</v>
      </c>
      <c r="I802" s="19" t="s">
        <v>15832</v>
      </c>
      <c r="J802" s="19" t="str">
        <f t="shared" si="39"/>
        <v>(${Variables:E3_5_1_88_kcat} * E3_5_1_88 * C11439 * C00001)/(${Variables:E3_5_1_88_km} + (E3_5_1_88 * C11439 * C00001))</v>
      </c>
      <c r="K802" s="37" t="str">
        <f t="shared" si="40"/>
        <v>r801: C11439 + C00001 -&gt; C11440 + C00058 | (${Variables:E3_5_1_88_kcat} * E3_5_1_88 * C11439 * C00001)/(${Variables:E3_5_1_88_km} + (E3_5_1_88 * C11439 * C00001))</v>
      </c>
    </row>
    <row r="803" spans="1:11" ht="46.25" customHeight="1">
      <c r="A803" t="s">
        <v>4525</v>
      </c>
      <c r="B803" t="s">
        <v>4526</v>
      </c>
      <c r="C803" t="s">
        <v>16041</v>
      </c>
      <c r="D803" s="19">
        <v>802</v>
      </c>
      <c r="E803" s="19" t="str">
        <f t="shared" si="38"/>
        <v>E3_5_1_88</v>
      </c>
      <c r="F803" s="19" t="s">
        <v>13733</v>
      </c>
      <c r="G803" s="19" t="s">
        <v>15148</v>
      </c>
      <c r="H803" s="19" t="s">
        <v>14418</v>
      </c>
      <c r="I803" s="19" t="s">
        <v>15833</v>
      </c>
      <c r="J803" s="19" t="str">
        <f t="shared" si="39"/>
        <v>(${Variables:E3_5_1_88_kcat} * E3_5_1_88 * C04258 * C00001)/(${Variables:E3_5_1_88_km} + (E3_5_1_88 * C04258 * C00001))</v>
      </c>
      <c r="K803" s="37" t="str">
        <f t="shared" si="40"/>
        <v>r802: C04258 + C00001 -&gt; C00058 + C03617 | (${Variables:E3_5_1_88_kcat} * E3_5_1_88 * C04258 * C00001)/(${Variables:E3_5_1_88_km} + (E3_5_1_88 * C04258 * C00001))</v>
      </c>
    </row>
    <row r="804" spans="1:11" ht="46.25" customHeight="1">
      <c r="A804" t="s">
        <v>7516</v>
      </c>
      <c r="B804" t="s">
        <v>7517</v>
      </c>
      <c r="C804" t="s">
        <v>16041</v>
      </c>
      <c r="D804" s="19">
        <v>803</v>
      </c>
      <c r="E804" s="19" t="str">
        <f t="shared" si="38"/>
        <v>E3_5_1_88</v>
      </c>
      <c r="F804" s="19" t="s">
        <v>13732</v>
      </c>
      <c r="G804" s="19" t="s">
        <v>15147</v>
      </c>
      <c r="H804" s="19" t="s">
        <v>14417</v>
      </c>
      <c r="I804" s="19" t="s">
        <v>15832</v>
      </c>
      <c r="J804" s="19" t="str">
        <f t="shared" si="39"/>
        <v>(${Variables:E3_5_1_88_kcat} * E3_5_1_88 * C11439 * C00001)/(${Variables:E3_5_1_88_km} + (E3_5_1_88 * C11439 * C00001))</v>
      </c>
      <c r="K804" s="37" t="str">
        <f t="shared" si="40"/>
        <v>r803: C11439 + C00001 -&gt; C11440 + C00058 | (${Variables:E3_5_1_88_kcat} * E3_5_1_88 * C11439 * C00001)/(${Variables:E3_5_1_88_km} + (E3_5_1_88 * C11439 * C00001))</v>
      </c>
    </row>
    <row r="805" spans="1:11" ht="46.25" customHeight="1">
      <c r="A805" t="s">
        <v>7516</v>
      </c>
      <c r="B805" t="s">
        <v>7517</v>
      </c>
      <c r="C805" t="s">
        <v>16041</v>
      </c>
      <c r="D805" s="19">
        <v>804</v>
      </c>
      <c r="E805" s="19" t="str">
        <f t="shared" si="38"/>
        <v>E3_5_1_88</v>
      </c>
      <c r="F805" s="19" t="s">
        <v>13733</v>
      </c>
      <c r="G805" s="19" t="s">
        <v>15148</v>
      </c>
      <c r="H805" s="19" t="s">
        <v>14418</v>
      </c>
      <c r="I805" s="19" t="s">
        <v>15833</v>
      </c>
      <c r="J805" s="19" t="str">
        <f t="shared" si="39"/>
        <v>(${Variables:E3_5_1_88_kcat} * E3_5_1_88 * C04258 * C00001)/(${Variables:E3_5_1_88_km} + (E3_5_1_88 * C04258 * C00001))</v>
      </c>
      <c r="K805" s="37" t="str">
        <f t="shared" si="40"/>
        <v>r804: C04258 + C00001 -&gt; C00058 + C03617 | (${Variables:E3_5_1_88_kcat} * E3_5_1_88 * C04258 * C00001)/(${Variables:E3_5_1_88_km} + (E3_5_1_88 * C04258 * C00001))</v>
      </c>
    </row>
    <row r="806" spans="1:11" ht="46.25" customHeight="1">
      <c r="A806" t="s">
        <v>4563</v>
      </c>
      <c r="B806" t="s">
        <v>4564</v>
      </c>
      <c r="C806" t="s">
        <v>16042</v>
      </c>
      <c r="D806" s="19">
        <v>805</v>
      </c>
      <c r="E806" s="19" t="str">
        <f t="shared" si="38"/>
        <v>E3_5_2_3</v>
      </c>
      <c r="F806" s="19" t="s">
        <v>13734</v>
      </c>
      <c r="G806" s="19" t="s">
        <v>15149</v>
      </c>
      <c r="H806" s="19" t="s">
        <v>9554</v>
      </c>
      <c r="I806" s="19" t="s">
        <v>9554</v>
      </c>
      <c r="J806" s="19" t="str">
        <f t="shared" si="39"/>
        <v>(${Variables:E3_5_2_3_kcat} * E3_5_2_3 * C00337 * C00001)/(${Variables:E3_5_2_3_km} + (E3_5_2_3 * C00337 * C00001))</v>
      </c>
      <c r="K806" s="37" t="str">
        <f t="shared" si="40"/>
        <v>r805: C00337 + C00001 -&gt; C00438 | (${Variables:E3_5_2_3_kcat} * E3_5_2_3 * C00337 * C00001)/(${Variables:E3_5_2_3_km} + (E3_5_2_3 * C00337 * C00001))</v>
      </c>
    </row>
    <row r="807" spans="1:11" ht="46.25" customHeight="1">
      <c r="A807" t="s">
        <v>2887</v>
      </c>
      <c r="B807" t="s">
        <v>2888</v>
      </c>
      <c r="C807" t="s">
        <v>13031</v>
      </c>
      <c r="D807" s="19">
        <v>806</v>
      </c>
      <c r="E807" s="19" t="str">
        <f t="shared" si="38"/>
        <v>E3_5_2_9</v>
      </c>
      <c r="F807" s="19" t="s">
        <v>13735</v>
      </c>
      <c r="G807" s="19" t="s">
        <v>15150</v>
      </c>
      <c r="H807" s="19" t="s">
        <v>14419</v>
      </c>
      <c r="I807" s="19" t="s">
        <v>15834</v>
      </c>
      <c r="J807" s="19" t="str">
        <f t="shared" si="39"/>
        <v>(${Variables:E3_5_2_9_kcat} * E3_5_2_9 * C00002 * C01879 * C00001)/(${Variables:E3_5_2_9_km} + (E3_5_2_9 * C00002 * C01879 * C00001))</v>
      </c>
      <c r="K807" s="37" t="str">
        <f t="shared" si="40"/>
        <v>r806: C00002 + C01879 + C00001 -&gt; C00008 + C00009 + C00025 | (${Variables:E3_5_2_9_kcat} * E3_5_2_9 * C00002 * C01879 * C00001)/(${Variables:E3_5_2_9_km} + (E3_5_2_9 * C00002 * C01879 * C00001))</v>
      </c>
    </row>
    <row r="808" spans="1:11" ht="46.25" customHeight="1">
      <c r="A808" t="s">
        <v>2494</v>
      </c>
      <c r="B808" t="s">
        <v>2495</v>
      </c>
      <c r="C808" t="s">
        <v>16043</v>
      </c>
      <c r="D808" s="19">
        <v>807</v>
      </c>
      <c r="E808" s="19" t="str">
        <f t="shared" si="38"/>
        <v>E3_5_4_10</v>
      </c>
      <c r="F808" s="19" t="s">
        <v>13703</v>
      </c>
      <c r="G808" s="19" t="s">
        <v>15118</v>
      </c>
      <c r="H808" s="19" t="s">
        <v>10057</v>
      </c>
      <c r="I808" s="19" t="s">
        <v>10057</v>
      </c>
      <c r="J808" s="19" t="str">
        <f t="shared" si="39"/>
        <v>(${Variables:E3_5_4_10_kcat} * E3_5_4_10 * C00130 * C00001)/(${Variables:E3_5_4_10_km} + (E3_5_4_10 * C00130 * C00001))</v>
      </c>
      <c r="K808" s="37" t="str">
        <f t="shared" si="40"/>
        <v>r807: C00130 + C00001 -&gt; C04734 | (${Variables:E3_5_4_10_kcat} * E3_5_4_10 * C00130 * C00001)/(${Variables:E3_5_4_10_km} + (E3_5_4_10 * C00130 * C00001))</v>
      </c>
    </row>
    <row r="809" spans="1:11" ht="46.25" customHeight="1">
      <c r="A809" t="s">
        <v>7782</v>
      </c>
      <c r="B809" t="s">
        <v>7783</v>
      </c>
      <c r="C809" t="s">
        <v>13032</v>
      </c>
      <c r="D809" s="19">
        <v>808</v>
      </c>
      <c r="E809" s="19" t="str">
        <f t="shared" si="38"/>
        <v>E3_5_4_13</v>
      </c>
      <c r="F809" s="19" t="s">
        <v>13736</v>
      </c>
      <c r="G809" s="19" t="s">
        <v>15151</v>
      </c>
      <c r="H809" s="19" t="s">
        <v>14420</v>
      </c>
      <c r="I809" s="19" t="s">
        <v>15835</v>
      </c>
      <c r="J809" s="19" t="str">
        <f t="shared" si="39"/>
        <v>(${Variables:E3_5_4_13_kcat} * E3_5_4_13 * C00458 * C00001)/(${Variables:E3_5_4_13_km} + (E3_5_4_13 * C00458 * C00001))</v>
      </c>
      <c r="K809" s="37" t="str">
        <f t="shared" si="40"/>
        <v>r808: C00458 + C00001 -&gt; C00460 + C00014 | (${Variables:E3_5_4_13_kcat} * E3_5_4_13 * C00458 * C00001)/(${Variables:E3_5_4_13_km} + (E3_5_4_13 * C00458 * C00001))</v>
      </c>
    </row>
    <row r="810" spans="1:11" ht="46.25" customHeight="1">
      <c r="A810" t="s">
        <v>7402</v>
      </c>
      <c r="B810" t="s">
        <v>7403</v>
      </c>
      <c r="C810" t="s">
        <v>13033</v>
      </c>
      <c r="D810" s="19">
        <v>809</v>
      </c>
      <c r="E810" s="19" t="str">
        <f t="shared" si="38"/>
        <v>E3_5_4_16</v>
      </c>
      <c r="F810" s="19" t="s">
        <v>13737</v>
      </c>
      <c r="G810" s="19" t="s">
        <v>15152</v>
      </c>
      <c r="H810" s="19" t="s">
        <v>14421</v>
      </c>
      <c r="I810" s="19" t="s">
        <v>15836</v>
      </c>
      <c r="J810" s="19" t="str">
        <f t="shared" si="39"/>
        <v>(${Variables:E3_5_4_16_kcat} * E3_5_4_16 * C00044 * C00001)/(${Variables:E3_5_4_16_km} + (E3_5_4_16 * C00044 * C00001))</v>
      </c>
      <c r="K810" s="37" t="str">
        <f t="shared" si="40"/>
        <v>r809: C00044 + C00001 -&gt; C04895 + C00058 | (${Variables:E3_5_4_16_kcat} * E3_5_4_16 * C00044 * C00001)/(${Variables:E3_5_4_16_km} + (E3_5_4_16 * C00044 * C00001))</v>
      </c>
    </row>
    <row r="811" spans="1:11" ht="46.25" customHeight="1">
      <c r="A811" t="s">
        <v>7402</v>
      </c>
      <c r="B811" t="s">
        <v>7403</v>
      </c>
      <c r="C811" t="s">
        <v>13033</v>
      </c>
      <c r="D811" s="19">
        <v>810</v>
      </c>
      <c r="E811" s="19" t="str">
        <f t="shared" si="38"/>
        <v>E3_5_4_16</v>
      </c>
      <c r="F811" s="19" t="s">
        <v>13737</v>
      </c>
      <c r="G811" s="19" t="s">
        <v>15152</v>
      </c>
      <c r="H811" s="19" t="s">
        <v>11937</v>
      </c>
      <c r="I811" s="19" t="s">
        <v>11937</v>
      </c>
      <c r="J811" s="19" t="str">
        <f t="shared" si="39"/>
        <v>(${Variables:E3_5_4_16_kcat} * E3_5_4_16 * C00044 * C00001)/(${Variables:E3_5_4_16_km} + (E3_5_4_16 * C00044 * C00001))</v>
      </c>
      <c r="K811" s="37" t="str">
        <f t="shared" si="40"/>
        <v>r810: C00044 + C00001 -&gt; C05922 | (${Variables:E3_5_4_16_kcat} * E3_5_4_16 * C00044 * C00001)/(${Variables:E3_5_4_16_km} + (E3_5_4_16 * C00044 * C00001))</v>
      </c>
    </row>
    <row r="812" spans="1:11" ht="46.25" customHeight="1">
      <c r="A812" t="s">
        <v>7402</v>
      </c>
      <c r="B812" t="s">
        <v>7403</v>
      </c>
      <c r="C812" t="s">
        <v>13033</v>
      </c>
      <c r="D812" s="19">
        <v>811</v>
      </c>
      <c r="E812" s="19" t="str">
        <f t="shared" si="38"/>
        <v>E3_5_4_16</v>
      </c>
      <c r="F812" s="19" t="s">
        <v>13686</v>
      </c>
      <c r="G812" s="19" t="s">
        <v>15101</v>
      </c>
      <c r="H812" s="19" t="s">
        <v>11939</v>
      </c>
      <c r="I812" s="19" t="s">
        <v>11939</v>
      </c>
      <c r="J812" s="19" t="str">
        <f t="shared" si="39"/>
        <v>(${Variables:E3_5_4_16_kcat} * E3_5_4_16 * C04895 * C00001)/(${Variables:E3_5_4_16_km} + (E3_5_4_16 * C04895 * C00001))</v>
      </c>
      <c r="K812" s="37" t="str">
        <f t="shared" si="40"/>
        <v>r811: C04895 + C00001 -&gt; C06148 | (${Variables:E3_5_4_16_kcat} * E3_5_4_16 * C04895 * C00001)/(${Variables:E3_5_4_16_km} + (E3_5_4_16 * C04895 * C00001))</v>
      </c>
    </row>
    <row r="813" spans="1:11" ht="46.25" customHeight="1">
      <c r="A813" t="s">
        <v>7402</v>
      </c>
      <c r="B813" t="s">
        <v>7403</v>
      </c>
      <c r="C813" t="s">
        <v>13033</v>
      </c>
      <c r="D813" s="19">
        <v>812</v>
      </c>
      <c r="E813" s="19" t="str">
        <f t="shared" si="38"/>
        <v>E3_5_4_16</v>
      </c>
      <c r="F813" s="19" t="s">
        <v>13738</v>
      </c>
      <c r="G813" s="19" t="s">
        <v>15153</v>
      </c>
      <c r="H813" s="19" t="s">
        <v>14422</v>
      </c>
      <c r="I813" s="19" t="s">
        <v>15837</v>
      </c>
      <c r="J813" s="19" t="str">
        <f t="shared" si="39"/>
        <v>(${Variables:E3_5_4_16_kcat} * E3_5_4_16 * C05922 * C00001)/(${Variables:E3_5_4_16_km} + (E3_5_4_16 * C05922 * C00001))</v>
      </c>
      <c r="K813" s="37" t="str">
        <f t="shared" si="40"/>
        <v>r812: C05922 + C00001 -&gt; C05923 + C00058 | (${Variables:E3_5_4_16_kcat} * E3_5_4_16 * C05922 * C00001)/(${Variables:E3_5_4_16_km} + (E3_5_4_16 * C05922 * C00001))</v>
      </c>
    </row>
    <row r="814" spans="1:11" ht="46.25" customHeight="1">
      <c r="A814" t="s">
        <v>7402</v>
      </c>
      <c r="B814" t="s">
        <v>7403</v>
      </c>
      <c r="C814" t="s">
        <v>13033</v>
      </c>
      <c r="D814" s="19">
        <v>813</v>
      </c>
      <c r="E814" s="19" t="str">
        <f t="shared" si="38"/>
        <v>E3_5_4_16</v>
      </c>
      <c r="F814" s="19" t="s">
        <v>11944</v>
      </c>
      <c r="G814" s="19" t="s">
        <v>11944</v>
      </c>
      <c r="H814" s="19" t="s">
        <v>11939</v>
      </c>
      <c r="I814" s="19" t="s">
        <v>11939</v>
      </c>
      <c r="J814" s="19" t="str">
        <f t="shared" si="39"/>
        <v>(${Variables:E3_5_4_16_kcat} * E3_5_4_16 * C05923)/(${Variables:E3_5_4_16_km} + (E3_5_4_16 * C05923))</v>
      </c>
      <c r="K814" s="37" t="str">
        <f t="shared" si="40"/>
        <v>r813: C05923 -&gt; C06148 | (${Variables:E3_5_4_16_kcat} * E3_5_4_16 * C05923)/(${Variables:E3_5_4_16_km} + (E3_5_4_16 * C05923))</v>
      </c>
    </row>
    <row r="815" spans="1:11" ht="46.25" customHeight="1">
      <c r="A815" t="s">
        <v>5770</v>
      </c>
      <c r="B815" t="s">
        <v>5771</v>
      </c>
      <c r="C815" t="s">
        <v>13034</v>
      </c>
      <c r="D815" s="19">
        <v>814</v>
      </c>
      <c r="E815" s="19" t="str">
        <f t="shared" si="38"/>
        <v>E3_5_4_19</v>
      </c>
      <c r="F815" s="19" t="s">
        <v>13739</v>
      </c>
      <c r="G815" s="19" t="s">
        <v>15154</v>
      </c>
      <c r="H815" s="19" t="s">
        <v>9294</v>
      </c>
      <c r="I815" s="19" t="s">
        <v>9294</v>
      </c>
      <c r="J815" s="19" t="str">
        <f t="shared" si="39"/>
        <v>(${Variables:E3_5_4_19_kcat} * E3_5_4_19 * C02741 * C00001)/(${Variables:E3_5_4_19_km} + (E3_5_4_19 * C02741 * C00001))</v>
      </c>
      <c r="K815" s="37" t="str">
        <f t="shared" si="40"/>
        <v>r814: C02741 + C00001 -&gt; C04896 | (${Variables:E3_5_4_19_kcat} * E3_5_4_19 * C02741 * C00001)/(${Variables:E3_5_4_19_km} + (E3_5_4_19 * C02741 * C00001))</v>
      </c>
    </row>
    <row r="816" spans="1:11" ht="46.25" customHeight="1">
      <c r="A816" t="s">
        <v>4503</v>
      </c>
      <c r="B816" t="s">
        <v>4504</v>
      </c>
      <c r="C816" t="s">
        <v>16044</v>
      </c>
      <c r="D816" s="19">
        <v>815</v>
      </c>
      <c r="E816" s="19" t="str">
        <f t="shared" si="38"/>
        <v>E3_5_4_25</v>
      </c>
      <c r="F816" s="19" t="s">
        <v>13737</v>
      </c>
      <c r="G816" s="19" t="s">
        <v>15152</v>
      </c>
      <c r="H816" s="19" t="s">
        <v>14423</v>
      </c>
      <c r="I816" s="19" t="s">
        <v>15838</v>
      </c>
      <c r="J816" s="19" t="str">
        <f t="shared" si="39"/>
        <v>(${Variables:E3_5_4_25_kcat} * E3_5_4_25 * C00044 * C00001)/(${Variables:E3_5_4_25_km} + (E3_5_4_25 * C00044 * C00001))</v>
      </c>
      <c r="K816" s="37" t="str">
        <f t="shared" si="40"/>
        <v>r815: C00044 + C00001 -&gt; C00058 + C01304 + C00009 | (${Variables:E3_5_4_25_kcat} * E3_5_4_25 * C00044 * C00001)/(${Variables:E3_5_4_25_km} + (E3_5_4_25 * C00044 * C00001))</v>
      </c>
    </row>
    <row r="817" spans="1:11" ht="46.25" customHeight="1">
      <c r="A817" t="s">
        <v>4510</v>
      </c>
      <c r="B817" t="s">
        <v>4511</v>
      </c>
      <c r="C817" t="s">
        <v>13035</v>
      </c>
      <c r="D817" s="19">
        <v>816</v>
      </c>
      <c r="E817" s="19" t="str">
        <f t="shared" si="38"/>
        <v>E3_5_4_26</v>
      </c>
      <c r="F817" s="19" t="s">
        <v>13740</v>
      </c>
      <c r="G817" s="19" t="s">
        <v>15155</v>
      </c>
      <c r="H817" s="19" t="s">
        <v>14424</v>
      </c>
      <c r="I817" s="19" t="s">
        <v>15839</v>
      </c>
      <c r="J817" s="19" t="str">
        <f t="shared" si="39"/>
        <v>(${Variables:E3_5_4_26_kcat} * E3_5_4_26 * C01304 * C00001)/(${Variables:E3_5_4_26_km} + (E3_5_4_26 * C01304 * C00001))</v>
      </c>
      <c r="K817" s="37" t="str">
        <f t="shared" si="40"/>
        <v>r816: C01304 + C00001 -&gt; C01268 + C00014 | (${Variables:E3_5_4_26_kcat} * E3_5_4_26 * C01304 * C00001)/(${Variables:E3_5_4_26_km} + (E3_5_4_26 * C01304 * C00001))</v>
      </c>
    </row>
    <row r="818" spans="1:11" ht="46.25" customHeight="1">
      <c r="A818" t="s">
        <v>700</v>
      </c>
      <c r="B818" t="s">
        <v>701</v>
      </c>
      <c r="C818" t="s">
        <v>13036</v>
      </c>
      <c r="D818" s="19">
        <v>817</v>
      </c>
      <c r="E818" s="19" t="str">
        <f t="shared" si="38"/>
        <v>E3_5_4_33</v>
      </c>
      <c r="F818" s="19" t="s">
        <v>13741</v>
      </c>
      <c r="G818" s="19" t="s">
        <v>15156</v>
      </c>
      <c r="H818" s="19" t="s">
        <v>14425</v>
      </c>
      <c r="I818" s="19" t="s">
        <v>15840</v>
      </c>
      <c r="J818" s="19" t="str">
        <f t="shared" si="39"/>
        <v>(${Variables:E3_5_4_33_kcat} * E3_5_4_33 * C17324 * C00001)/(${Variables:E3_5_4_33_km} + (E3_5_4_33 * C17324 * C00001))</v>
      </c>
      <c r="K818" s="37" t="str">
        <f t="shared" si="40"/>
        <v>r817: C17324 + C00001 -&gt; C20451 + C00014 | (${Variables:E3_5_4_33_kcat} * E3_5_4_33 * C17324 * C00001)/(${Variables:E3_5_4_33_km} + (E3_5_4_33 * C17324 * C00001))</v>
      </c>
    </row>
    <row r="819" spans="1:11" ht="46.25" customHeight="1">
      <c r="A819" t="s">
        <v>7273</v>
      </c>
      <c r="B819" t="s">
        <v>7274</v>
      </c>
      <c r="C819" t="s">
        <v>13037</v>
      </c>
      <c r="D819" s="19">
        <v>818</v>
      </c>
      <c r="E819" s="19" t="str">
        <f t="shared" si="38"/>
        <v>E3_5_99_6</v>
      </c>
      <c r="F819" s="19" t="s">
        <v>13742</v>
      </c>
      <c r="G819" s="19" t="s">
        <v>15157</v>
      </c>
      <c r="H819" s="19" t="s">
        <v>16067</v>
      </c>
      <c r="I819" s="19" t="s">
        <v>16068</v>
      </c>
      <c r="J819" s="19" t="str">
        <f t="shared" si="39"/>
        <v>(${Variables:E3_5_99_6_kcat} * E3_5_99_6 * C00352 * C00001)/(${Variables:E3_5_99_6_km} + (E3_5_99_6 * C00352 * C00001))</v>
      </c>
      <c r="K819" s="37" t="str">
        <f t="shared" si="40"/>
        <v>r818: C00352 + C00001 -&gt; C00085 + C00014 | (${Variables:E3_5_99_6_kcat} * E3_5_99_6 * C00352 * C00001)/(${Variables:E3_5_99_6_km} + (E3_5_99_6 * C00352 * C00001))</v>
      </c>
    </row>
    <row r="820" spans="1:11" ht="46.25" customHeight="1">
      <c r="A820" t="s">
        <v>7421</v>
      </c>
      <c r="B820" t="s">
        <v>7422</v>
      </c>
      <c r="C820" t="s">
        <v>13038</v>
      </c>
      <c r="D820" s="19">
        <v>819</v>
      </c>
      <c r="E820" s="19" t="str">
        <f t="shared" si="38"/>
        <v>E3_6_1_1</v>
      </c>
      <c r="F820" s="19" t="s">
        <v>13743</v>
      </c>
      <c r="G820" s="19" t="s">
        <v>15158</v>
      </c>
      <c r="H820" s="19" t="s">
        <v>8666</v>
      </c>
      <c r="I820" s="19" t="s">
        <v>8666</v>
      </c>
      <c r="J820" s="19" t="str">
        <f t="shared" si="39"/>
        <v>(${Variables:E3_6_1_1_kcat} * E3_6_1_1 * C00013 * C00001)/(${Variables:E3_6_1_1_km} + (E3_6_1_1 * C00013 * C00001))</v>
      </c>
      <c r="K820" s="37" t="str">
        <f t="shared" si="40"/>
        <v>r819: C00013 + C00001 -&gt; C00009 | (${Variables:E3_6_1_1_kcat} * E3_6_1_1 * C00013 * C00001)/(${Variables:E3_6_1_1_km} + (E3_6_1_1 * C00013 * C00001))</v>
      </c>
    </row>
    <row r="821" spans="1:11" ht="46.25" customHeight="1">
      <c r="A821" t="s">
        <v>5234</v>
      </c>
      <c r="B821" t="s">
        <v>5235</v>
      </c>
      <c r="C821" t="s">
        <v>13039</v>
      </c>
      <c r="D821" s="19">
        <v>820</v>
      </c>
      <c r="E821" s="19" t="str">
        <f t="shared" si="38"/>
        <v>E3_6_1_23</v>
      </c>
      <c r="F821" s="19" t="s">
        <v>13744</v>
      </c>
      <c r="G821" s="19" t="s">
        <v>15159</v>
      </c>
      <c r="H821" s="19" t="s">
        <v>14426</v>
      </c>
      <c r="I821" s="19" t="s">
        <v>15841</v>
      </c>
      <c r="J821" s="19" t="str">
        <f t="shared" si="39"/>
        <v>(${Variables:E3_6_1_23_kcat} * E3_6_1_23 * C00460 * C00001)/(${Variables:E3_6_1_23_km} + (E3_6_1_23 * C00460 * C00001))</v>
      </c>
      <c r="K821" s="37" t="str">
        <f t="shared" si="40"/>
        <v>r820: C00460 + C00001 -&gt; C00365 + C00013 | (${Variables:E3_6_1_23_kcat} * E3_6_1_23 * C00460 * C00001)/(${Variables:E3_6_1_23_km} + (E3_6_1_23 * C00460 * C00001))</v>
      </c>
    </row>
    <row r="822" spans="1:11" ht="46.25" customHeight="1">
      <c r="A822" t="s">
        <v>5234</v>
      </c>
      <c r="B822" t="s">
        <v>5235</v>
      </c>
      <c r="C822" t="s">
        <v>13039</v>
      </c>
      <c r="D822" s="19">
        <v>821</v>
      </c>
      <c r="E822" s="19" t="str">
        <f t="shared" si="38"/>
        <v>E3_6_1_23</v>
      </c>
      <c r="F822" s="19" t="s">
        <v>13745</v>
      </c>
      <c r="G822" s="19" t="s">
        <v>15160</v>
      </c>
      <c r="H822" s="19" t="s">
        <v>14427</v>
      </c>
      <c r="I822" s="19" t="s">
        <v>15842</v>
      </c>
      <c r="J822" s="19" t="str">
        <f t="shared" si="39"/>
        <v>(${Variables:E3_6_1_23_kcat} * E3_6_1_23 * C21751 * C00001)/(${Variables:E3_6_1_23_km} + (E3_6_1_23 * C21751 * C00001))</v>
      </c>
      <c r="K822" s="37" t="str">
        <f t="shared" si="40"/>
        <v>r821: C21751 + C00001 -&gt; C04242 + C00013 | (${Variables:E3_6_1_23_kcat} * E3_6_1_23 * C21751 * C00001)/(${Variables:E3_6_1_23_km} + (E3_6_1_23 * C21751 * C00001))</v>
      </c>
    </row>
    <row r="823" spans="1:11" ht="46.25" customHeight="1">
      <c r="A823" t="s">
        <v>6156</v>
      </c>
      <c r="B823" t="s">
        <v>6157</v>
      </c>
      <c r="C823" t="s">
        <v>13040</v>
      </c>
      <c r="D823" s="19">
        <v>822</v>
      </c>
      <c r="E823" s="19" t="str">
        <f t="shared" si="38"/>
        <v>E3_6_1_25</v>
      </c>
      <c r="F823" s="19" t="s">
        <v>13746</v>
      </c>
      <c r="G823" s="19" t="s">
        <v>15161</v>
      </c>
      <c r="H823" s="19" t="s">
        <v>14428</v>
      </c>
      <c r="I823" s="19" t="s">
        <v>15843</v>
      </c>
      <c r="J823" s="19" t="str">
        <f t="shared" si="39"/>
        <v>(${Variables:E3_6_1_25_kcat} * E3_6_1_25 * C00536 * C00001)/(${Variables:E3_6_1_25_km} + (E3_6_1_25 * C00536 * C00001))</v>
      </c>
      <c r="K823" s="37" t="str">
        <f t="shared" si="40"/>
        <v>r822: C00536 + C00001 -&gt; C00013 + C00009 | (${Variables:E3_6_1_25_kcat} * E3_6_1_25 * C00536 * C00001)/(${Variables:E3_6_1_25_km} + (E3_6_1_25 * C00536 * C00001))</v>
      </c>
    </row>
    <row r="824" spans="1:11" ht="46.25" customHeight="1">
      <c r="A824" t="s">
        <v>4275</v>
      </c>
      <c r="B824" t="s">
        <v>4276</v>
      </c>
      <c r="C824" t="s">
        <v>13041</v>
      </c>
      <c r="D824" s="19">
        <v>823</v>
      </c>
      <c r="E824" s="19" t="str">
        <f t="shared" si="38"/>
        <v>E3_6_1_27</v>
      </c>
      <c r="F824" s="19" t="s">
        <v>13747</v>
      </c>
      <c r="G824" s="19" t="s">
        <v>15162</v>
      </c>
      <c r="H824" s="19" t="s">
        <v>14429</v>
      </c>
      <c r="I824" s="19" t="s">
        <v>15844</v>
      </c>
      <c r="J824" s="19" t="str">
        <f t="shared" si="39"/>
        <v>(${Variables:E3_6_1_27_kcat} * E3_6_1_27 * C04574 * C00001)/(${Variables:E3_6_1_27_km} + (E3_6_1_27 * C04574 * C00001))</v>
      </c>
      <c r="K824" s="37" t="str">
        <f t="shared" si="40"/>
        <v>r823: C04574 + C00001 -&gt; C17556 + C00009 | (${Variables:E3_6_1_27_kcat} * E3_6_1_27 * C04574 * C00001)/(${Variables:E3_6_1_27_km} + (E3_6_1_27 * C04574 * C00001))</v>
      </c>
    </row>
    <row r="825" spans="1:11" ht="46.25" customHeight="1">
      <c r="A825" t="s">
        <v>4246</v>
      </c>
      <c r="B825" t="s">
        <v>4247</v>
      </c>
      <c r="C825" t="s">
        <v>13042</v>
      </c>
      <c r="D825" s="19">
        <v>824</v>
      </c>
      <c r="E825" s="19" t="str">
        <f t="shared" si="38"/>
        <v>E3_6_1_31</v>
      </c>
      <c r="F825" s="19" t="s">
        <v>13748</v>
      </c>
      <c r="G825" s="19" t="s">
        <v>15163</v>
      </c>
      <c r="H825" s="19" t="s">
        <v>14430</v>
      </c>
      <c r="I825" s="19" t="s">
        <v>15845</v>
      </c>
      <c r="J825" s="19" t="str">
        <f t="shared" si="39"/>
        <v>(${Variables:E3_6_1_31_kcat} * E3_6_1_31 * C02739 * C00001)/(${Variables:E3_6_1_31_km} + (E3_6_1_31 * C02739 * C00001))</v>
      </c>
      <c r="K825" s="37" t="str">
        <f t="shared" si="40"/>
        <v>r824: C02739 + C00001 -&gt; C02741 + C00013 | (${Variables:E3_6_1_31_kcat} * E3_6_1_31 * C02739 * C00001)/(${Variables:E3_6_1_31_km} + (E3_6_1_31 * C02739 * C00001))</v>
      </c>
    </row>
    <row r="826" spans="1:11" ht="46.25" customHeight="1">
      <c r="A826" t="s">
        <v>6872</v>
      </c>
      <c r="B826" t="s">
        <v>6873</v>
      </c>
      <c r="C826" t="s">
        <v>13043</v>
      </c>
      <c r="D826" s="19">
        <v>825</v>
      </c>
      <c r="E826" s="19" t="str">
        <f t="shared" si="38"/>
        <v>E3_6_1_66</v>
      </c>
      <c r="F826" s="19" t="s">
        <v>13749</v>
      </c>
      <c r="G826" s="19" t="s">
        <v>15164</v>
      </c>
      <c r="H826" s="19" t="s">
        <v>13483</v>
      </c>
      <c r="I826" s="19" t="s">
        <v>14898</v>
      </c>
      <c r="J826" s="19" t="str">
        <f t="shared" si="39"/>
        <v>(${Variables:E3_6_1_66_kcat} * E3_6_1_66 * C00081 * C00001)/(${Variables:E3_6_1_66_km} + (E3_6_1_66 * C00081 * C00001))</v>
      </c>
      <c r="K826" s="37" t="str">
        <f t="shared" si="40"/>
        <v>r825: C00081 + C00001 -&gt; C00130 + C00013 | (${Variables:E3_6_1_66_kcat} * E3_6_1_66 * C00081 * C00001)/(${Variables:E3_6_1_66_km} + (E3_6_1_66 * C00081 * C00001))</v>
      </c>
    </row>
    <row r="827" spans="1:11" ht="46.25" customHeight="1">
      <c r="A827" t="s">
        <v>6872</v>
      </c>
      <c r="B827" t="s">
        <v>6873</v>
      </c>
      <c r="C827" t="s">
        <v>13043</v>
      </c>
      <c r="D827" s="19">
        <v>826</v>
      </c>
      <c r="E827" s="19" t="str">
        <f t="shared" si="38"/>
        <v>E3_6_1_66</v>
      </c>
      <c r="F827" s="19" t="s">
        <v>13750</v>
      </c>
      <c r="G827" s="19" t="s">
        <v>15165</v>
      </c>
      <c r="H827" s="19" t="s">
        <v>13485</v>
      </c>
      <c r="I827" s="19" t="s">
        <v>14900</v>
      </c>
      <c r="J827" s="19" t="str">
        <f t="shared" si="39"/>
        <v>(${Variables:E3_6_1_66_kcat} * E3_6_1_66 * C00700 * C00001)/(${Variables:E3_6_1_66_km} + (E3_6_1_66 * C00700 * C00001))</v>
      </c>
      <c r="K827" s="37" t="str">
        <f t="shared" si="40"/>
        <v>r826: C00700 + C00001 -&gt; C00655 + C00013 | (${Variables:E3_6_1_66_kcat} * E3_6_1_66 * C00700 * C00001)/(${Variables:E3_6_1_66_km} + (E3_6_1_66 * C00700 * C00001))</v>
      </c>
    </row>
    <row r="828" spans="1:11" ht="46.25" customHeight="1">
      <c r="A828" t="s">
        <v>6872</v>
      </c>
      <c r="B828" t="s">
        <v>6873</v>
      </c>
      <c r="C828" t="s">
        <v>13043</v>
      </c>
      <c r="D828" s="19">
        <v>827</v>
      </c>
      <c r="E828" s="19" t="str">
        <f t="shared" si="38"/>
        <v>E3_6_1_66</v>
      </c>
      <c r="F828" s="19" t="s">
        <v>13751</v>
      </c>
      <c r="G828" s="19" t="s">
        <v>15166</v>
      </c>
      <c r="H828" s="19" t="s">
        <v>14431</v>
      </c>
      <c r="I828" s="19" t="s">
        <v>15846</v>
      </c>
      <c r="J828" s="19" t="str">
        <f t="shared" si="39"/>
        <v>(${Variables:E3_6_1_66_kcat} * E3_6_1_66 * C01345 * C00001)/(${Variables:E3_6_1_66_km} + (E3_6_1_66 * C01345 * C00001))</v>
      </c>
      <c r="K828" s="37" t="str">
        <f t="shared" si="40"/>
        <v>r827: C01345 + C00001 -&gt; C06196 + C00013 | (${Variables:E3_6_1_66_kcat} * E3_6_1_66 * C01345 * C00001)/(${Variables:E3_6_1_66_km} + (E3_6_1_66 * C01345 * C00001))</v>
      </c>
    </row>
    <row r="829" spans="1:11" ht="46.25" customHeight="1">
      <c r="A829" t="s">
        <v>6872</v>
      </c>
      <c r="B829" t="s">
        <v>6873</v>
      </c>
      <c r="C829" t="s">
        <v>13043</v>
      </c>
      <c r="D829" s="19">
        <v>828</v>
      </c>
      <c r="E829" s="19" t="str">
        <f t="shared" si="38"/>
        <v>E3_6_1_66</v>
      </c>
      <c r="F829" s="19" t="s">
        <v>13752</v>
      </c>
      <c r="G829" s="19" t="s">
        <v>15167</v>
      </c>
      <c r="H829" s="19" t="s">
        <v>14172</v>
      </c>
      <c r="I829" s="19" t="s">
        <v>15587</v>
      </c>
      <c r="J829" s="19" t="str">
        <f t="shared" si="39"/>
        <v>(${Variables:E3_6_1_66_kcat} * E3_6_1_66 * C16617 * C00001 )/(${Variables:E3_6_1_66_km} + (E3_6_1_66 * C16617 * C00001 ))</v>
      </c>
      <c r="K829" s="37" t="str">
        <f t="shared" si="40"/>
        <v>r828: C16617 + C00001  -&gt; C04646 + C00013 | (${Variables:E3_6_1_66_kcat} * E3_6_1_66 * C16617 * C00001 )/(${Variables:E3_6_1_66_km} + (E3_6_1_66 * C16617 * C00001 ))</v>
      </c>
    </row>
    <row r="830" spans="1:11" ht="46.25" customHeight="1">
      <c r="A830" t="s">
        <v>5698</v>
      </c>
      <c r="B830" t="s">
        <v>5699</v>
      </c>
      <c r="C830" t="s">
        <v>13044</v>
      </c>
      <c r="D830" s="19">
        <v>829</v>
      </c>
      <c r="E830" s="19" t="str">
        <f t="shared" si="38"/>
        <v>E3_6_1_7</v>
      </c>
      <c r="F830" s="19" t="s">
        <v>13753</v>
      </c>
      <c r="G830" s="19" t="s">
        <v>15168</v>
      </c>
      <c r="H830" s="19" t="s">
        <v>14432</v>
      </c>
      <c r="I830" s="19" t="s">
        <v>15847</v>
      </c>
      <c r="J830" s="19" t="str">
        <f t="shared" si="39"/>
        <v>(${Variables:E3_6_1_7_kcat} * E3_6_1_7 * C02133 * C00001)/(${Variables:E3_6_1_7_km} + (E3_6_1_7 * C02133 * C00001))</v>
      </c>
      <c r="K830" s="37" t="str">
        <f t="shared" si="40"/>
        <v>r829: C02133 + C00001 -&gt; C00060 + C00009 | (${Variables:E3_6_1_7_kcat} * E3_6_1_7 * C02133 * C00001)/(${Variables:E3_6_1_7_km} + (E3_6_1_7 * C02133 * C00001))</v>
      </c>
    </row>
    <row r="831" spans="1:11" ht="46.25" customHeight="1">
      <c r="A831" t="s">
        <v>5698</v>
      </c>
      <c r="B831" t="s">
        <v>5699</v>
      </c>
      <c r="C831" t="s">
        <v>13044</v>
      </c>
      <c r="D831" s="19">
        <v>830</v>
      </c>
      <c r="E831" s="19" t="str">
        <f t="shared" si="38"/>
        <v>E3_6_1_7</v>
      </c>
      <c r="F831" s="19" t="s">
        <v>13754</v>
      </c>
      <c r="G831" s="19" t="s">
        <v>15169</v>
      </c>
      <c r="H831" s="19" t="s">
        <v>14433</v>
      </c>
      <c r="I831" s="19" t="s">
        <v>15848</v>
      </c>
      <c r="J831" s="19" t="str">
        <f t="shared" si="39"/>
        <v>(${Variables:E3_6_1_7_kcat} * E3_6_1_7 * C00227 * C00001)/(${Variables:E3_6_1_7_km} + (E3_6_1_7 * C00227 * C00001))</v>
      </c>
      <c r="K831" s="37" t="str">
        <f t="shared" si="40"/>
        <v>r830: C00227 + C00001 -&gt; C00033 + C00009 | (${Variables:E3_6_1_7_kcat} * E3_6_1_7 * C00227 * C00001)/(${Variables:E3_6_1_7_km} + (E3_6_1_7 * C00227 * C00001))</v>
      </c>
    </row>
    <row r="832" spans="1:11" ht="46.25" customHeight="1">
      <c r="A832" t="s">
        <v>5698</v>
      </c>
      <c r="B832" t="s">
        <v>5699</v>
      </c>
      <c r="C832" t="s">
        <v>13044</v>
      </c>
      <c r="D832" s="19">
        <v>831</v>
      </c>
      <c r="E832" s="19" t="str">
        <f t="shared" si="38"/>
        <v>E3_6_1_7</v>
      </c>
      <c r="F832" s="19" t="s">
        <v>13755</v>
      </c>
      <c r="G832" s="19" t="s">
        <v>15170</v>
      </c>
      <c r="H832" s="19" t="s">
        <v>14434</v>
      </c>
      <c r="I832" s="19" t="s">
        <v>15849</v>
      </c>
      <c r="J832" s="19" t="str">
        <f t="shared" si="39"/>
        <v>(${Variables:E3_6_1_7_kcat} * E3_6_1_7 * C06206 * C00001)/(${Variables:E3_6_1_7_km} + (E3_6_1_7 * C06206 * C00001))</v>
      </c>
      <c r="K832" s="37" t="str">
        <f t="shared" si="40"/>
        <v>r831: C06206 + C00001 -&gt; C00180 + C00009 | (${Variables:E3_6_1_7_kcat} * E3_6_1_7 * C06206 * C00001)/(${Variables:E3_6_1_7_km} + (E3_6_1_7 * C06206 * C00001))</v>
      </c>
    </row>
    <row r="833" spans="1:11" ht="46.25" customHeight="1">
      <c r="A833" t="s">
        <v>5698</v>
      </c>
      <c r="B833" t="s">
        <v>5699</v>
      </c>
      <c r="C833" t="s">
        <v>13044</v>
      </c>
      <c r="D833" s="19">
        <v>832</v>
      </c>
      <c r="E833" s="19" t="str">
        <f t="shared" si="38"/>
        <v>E3_6_1_7</v>
      </c>
      <c r="F833" s="19" t="s">
        <v>13756</v>
      </c>
      <c r="G833" s="19" t="s">
        <v>15171</v>
      </c>
      <c r="H833" s="19" t="s">
        <v>14435</v>
      </c>
      <c r="I833" s="19" t="s">
        <v>15850</v>
      </c>
      <c r="J833" s="19" t="str">
        <f t="shared" si="39"/>
        <v>(${Variables:E3_6_1_7_kcat} * E3_6_1_7 * C00236 * C00001)/(${Variables:E3_6_1_7_km} + (E3_6_1_7 * C00236 * C00001))</v>
      </c>
      <c r="K833" s="37" t="str">
        <f t="shared" si="40"/>
        <v>r832: C00236 + C00001 -&gt; C00197 + C00009 | (${Variables:E3_6_1_7_kcat} * E3_6_1_7 * C00236 * C00001)/(${Variables:E3_6_1_7_km} + (E3_6_1_7 * C00236 * C00001))</v>
      </c>
    </row>
    <row r="834" spans="1:11" ht="46.25" customHeight="1">
      <c r="A834" t="s">
        <v>2039</v>
      </c>
      <c r="B834" t="s">
        <v>2040</v>
      </c>
      <c r="C834" t="s">
        <v>16045</v>
      </c>
      <c r="D834" s="19">
        <v>833</v>
      </c>
      <c r="E834" s="19" t="str">
        <f t="shared" si="38"/>
        <v>E3_6_1_9</v>
      </c>
      <c r="F834" s="19" t="s">
        <v>13757</v>
      </c>
      <c r="G834" s="19" t="s">
        <v>15172</v>
      </c>
      <c r="H834" s="19" t="s">
        <v>14436</v>
      </c>
      <c r="I834" s="19" t="s">
        <v>15851</v>
      </c>
      <c r="J834" s="19" t="str">
        <f t="shared" si="39"/>
        <v>(${Variables:E3_6_1_9_kcat} * E3_6_1_9 * C00201 * C00001)/(${Variables:E3_6_1_9_km} + (E3_6_1_9 * C00201 * C00001))</v>
      </c>
      <c r="K834" s="37" t="str">
        <f t="shared" si="40"/>
        <v>r833: C00201 + C00001 -&gt; C00215 + C00013 | (${Variables:E3_6_1_9_kcat} * E3_6_1_9 * C00201 * C00001)/(${Variables:E3_6_1_9_km} + (E3_6_1_9 * C00201 * C00001))</v>
      </c>
    </row>
    <row r="835" spans="1:11" ht="46.25" customHeight="1">
      <c r="A835" t="s">
        <v>2039</v>
      </c>
      <c r="B835" t="s">
        <v>2040</v>
      </c>
      <c r="C835" t="s">
        <v>16045</v>
      </c>
      <c r="D835" s="19">
        <v>834</v>
      </c>
      <c r="E835" s="19" t="str">
        <f t="shared" si="38"/>
        <v>E3_6_1_9</v>
      </c>
      <c r="F835" s="19" t="s">
        <v>13758</v>
      </c>
      <c r="G835" s="19" t="s">
        <v>15173</v>
      </c>
      <c r="H835" s="19" t="s">
        <v>13481</v>
      </c>
      <c r="I835" s="19" t="s">
        <v>14896</v>
      </c>
      <c r="J835" s="19" t="str">
        <f t="shared" si="39"/>
        <v>(${Variables:E3_6_1_9_kcat} * E3_6_1_9 * C00002 * C00001)/(${Variables:E3_6_1_9_km} + (E3_6_1_9 * C00002 * C00001))</v>
      </c>
      <c r="K835" s="37" t="str">
        <f t="shared" si="40"/>
        <v>r834: C00002 + C00001 -&gt; C00020 + C00013 | (${Variables:E3_6_1_9_kcat} * E3_6_1_9 * C00002 * C00001)/(${Variables:E3_6_1_9_km} + (E3_6_1_9 * C00002 * C00001))</v>
      </c>
    </row>
    <row r="836" spans="1:11" ht="46.25" customHeight="1">
      <c r="A836" t="s">
        <v>2039</v>
      </c>
      <c r="B836" t="s">
        <v>2040</v>
      </c>
      <c r="C836" t="s">
        <v>16045</v>
      </c>
      <c r="D836" s="19">
        <v>835</v>
      </c>
      <c r="E836" s="19" t="str">
        <f t="shared" si="38"/>
        <v>E3_6_1_9</v>
      </c>
      <c r="F836" s="19" t="s">
        <v>13737</v>
      </c>
      <c r="G836" s="19" t="s">
        <v>15152</v>
      </c>
      <c r="H836" s="19" t="s">
        <v>13484</v>
      </c>
      <c r="I836" s="19" t="s">
        <v>14899</v>
      </c>
      <c r="J836" s="19" t="str">
        <f t="shared" si="39"/>
        <v>(${Variables:E3_6_1_9_kcat} * E3_6_1_9 * C00044 * C00001)/(${Variables:E3_6_1_9_km} + (E3_6_1_9 * C00044 * C00001))</v>
      </c>
      <c r="K836" s="37" t="str">
        <f t="shared" si="40"/>
        <v>r835: C00044 + C00001 -&gt; C00144 + C00013 | (${Variables:E3_6_1_9_kcat} * E3_6_1_9 * C00044 * C00001)/(${Variables:E3_6_1_9_km} + (E3_6_1_9 * C00044 * C00001))</v>
      </c>
    </row>
    <row r="837" spans="1:11" ht="46.25" customHeight="1">
      <c r="A837" t="s">
        <v>2039</v>
      </c>
      <c r="B837" t="s">
        <v>2040</v>
      </c>
      <c r="C837" t="s">
        <v>16045</v>
      </c>
      <c r="D837" s="19">
        <v>836</v>
      </c>
      <c r="E837" s="19" t="str">
        <f t="shared" si="38"/>
        <v>E3_6_1_9</v>
      </c>
      <c r="F837" s="19" t="s">
        <v>13759</v>
      </c>
      <c r="G837" s="19" t="s">
        <v>15174</v>
      </c>
      <c r="H837" s="19" t="s">
        <v>14437</v>
      </c>
      <c r="I837" s="19" t="s">
        <v>15852</v>
      </c>
      <c r="J837" s="19" t="str">
        <f t="shared" si="39"/>
        <v>(${Variables:E3_6_1_9_kcat} * E3_6_1_9 * C00063 * C00001)/(${Variables:E3_6_1_9_km} + (E3_6_1_9 * C00063 * C00001))</v>
      </c>
      <c r="K837" s="37" t="str">
        <f t="shared" si="40"/>
        <v>r836: C00063 + C00001 -&gt; C00055 + C00013 | (${Variables:E3_6_1_9_kcat} * E3_6_1_9 * C00063 * C00001)/(${Variables:E3_6_1_9_km} + (E3_6_1_9 * C00063 * C00001))</v>
      </c>
    </row>
    <row r="838" spans="1:11" ht="46.25" customHeight="1">
      <c r="A838" t="s">
        <v>2039</v>
      </c>
      <c r="B838" t="s">
        <v>2040</v>
      </c>
      <c r="C838" t="s">
        <v>16045</v>
      </c>
      <c r="D838" s="19">
        <v>837</v>
      </c>
      <c r="E838" s="19" t="str">
        <f t="shared" si="38"/>
        <v>E3_6_1_9</v>
      </c>
      <c r="F838" s="19" t="s">
        <v>13760</v>
      </c>
      <c r="G838" s="19" t="s">
        <v>15175</v>
      </c>
      <c r="H838" s="19" t="s">
        <v>13489</v>
      </c>
      <c r="I838" s="19" t="s">
        <v>14904</v>
      </c>
      <c r="J838" s="19" t="str">
        <f t="shared" si="39"/>
        <v>(${Variables:E3_6_1_9_kcat} * E3_6_1_9 * C00075 * C00001)/(${Variables:E3_6_1_9_km} + (E3_6_1_9 * C00075 * C00001))</v>
      </c>
      <c r="K838" s="37" t="str">
        <f t="shared" si="40"/>
        <v>r837: C00075 + C00001 -&gt; C00105 + C00013 | (${Variables:E3_6_1_9_kcat} * E3_6_1_9 * C00075 * C00001)/(${Variables:E3_6_1_9_km} + (E3_6_1_9 * C00075 * C00001))</v>
      </c>
    </row>
    <row r="839" spans="1:11" ht="46.25" customHeight="1">
      <c r="A839" t="s">
        <v>2039</v>
      </c>
      <c r="B839" t="s">
        <v>2040</v>
      </c>
      <c r="C839" t="s">
        <v>16045</v>
      </c>
      <c r="D839" s="19">
        <v>838</v>
      </c>
      <c r="E839" s="19" t="str">
        <f t="shared" si="38"/>
        <v>E3_6_1_9</v>
      </c>
      <c r="F839" s="19" t="s">
        <v>13761</v>
      </c>
      <c r="G839" s="19" t="s">
        <v>15176</v>
      </c>
      <c r="H839" s="19" t="s">
        <v>14438</v>
      </c>
      <c r="I839" s="19" t="s">
        <v>15853</v>
      </c>
      <c r="J839" s="19" t="str">
        <f t="shared" si="39"/>
        <v>(${Variables:E3_6_1_9_kcat} * E3_6_1_9 * C00459 * C00001)/(${Variables:E3_6_1_9_km} + (E3_6_1_9 * C00459 * C00001))</v>
      </c>
      <c r="K839" s="37" t="str">
        <f t="shared" si="40"/>
        <v>r838: C00459 + C00001 -&gt; C00364 + C00013 | (${Variables:E3_6_1_9_kcat} * E3_6_1_9 * C00459 * C00001)/(${Variables:E3_6_1_9_km} + (E3_6_1_9 * C00459 * C00001))</v>
      </c>
    </row>
    <row r="840" spans="1:11" ht="46.25" customHeight="1">
      <c r="A840" t="s">
        <v>2039</v>
      </c>
      <c r="B840" t="s">
        <v>2040</v>
      </c>
      <c r="C840" t="s">
        <v>16045</v>
      </c>
      <c r="D840" s="19">
        <v>839</v>
      </c>
      <c r="E840" s="19" t="str">
        <f t="shared" si="38"/>
        <v>E3_6_1_9</v>
      </c>
      <c r="F840" s="19" t="s">
        <v>13762</v>
      </c>
      <c r="G840" s="19" t="s">
        <v>15177</v>
      </c>
      <c r="H840" s="19" t="s">
        <v>14439</v>
      </c>
      <c r="I840" s="19" t="s">
        <v>15854</v>
      </c>
      <c r="J840" s="19" t="str">
        <f t="shared" si="39"/>
        <v>(${Variables:E3_6_1_9_kcat} * E3_6_1_9 * C00003 * C00001)/(${Variables:E3_6_1_9_km} + (E3_6_1_9 * C00003 * C00001))</v>
      </c>
      <c r="K840" s="37" t="str">
        <f t="shared" si="40"/>
        <v>r839: C00003 + C00001 -&gt; C00020 + C00455 | (${Variables:E3_6_1_9_kcat} * E3_6_1_9 * C00003 * C00001)/(${Variables:E3_6_1_9_km} + (E3_6_1_9 * C00003 * C00001))</v>
      </c>
    </row>
    <row r="841" spans="1:11" ht="46.25" customHeight="1">
      <c r="A841" t="s">
        <v>2039</v>
      </c>
      <c r="B841" t="s">
        <v>2040</v>
      </c>
      <c r="C841" t="s">
        <v>16045</v>
      </c>
      <c r="D841" s="19">
        <v>840</v>
      </c>
      <c r="E841" s="19" t="str">
        <f t="shared" si="38"/>
        <v>E3_6_1_9</v>
      </c>
      <c r="F841" s="19" t="s">
        <v>13763</v>
      </c>
      <c r="G841" s="19" t="s">
        <v>15178</v>
      </c>
      <c r="H841" s="19" t="s">
        <v>14440</v>
      </c>
      <c r="I841" s="19" t="s">
        <v>15855</v>
      </c>
      <c r="J841" s="19" t="str">
        <f t="shared" si="39"/>
        <v>(${Variables:E3_6_1_9_kcat} * E3_6_1_9 * C00016 * C00001)/(${Variables:E3_6_1_9_km} + (E3_6_1_9 * C00016 * C00001))</v>
      </c>
      <c r="K841" s="37" t="str">
        <f t="shared" si="40"/>
        <v>r840: C00016 + C00001 -&gt; C00020 + C00061 | (${Variables:E3_6_1_9_kcat} * E3_6_1_9 * C00016 * C00001)/(${Variables:E3_6_1_9_km} + (E3_6_1_9 * C00016 * C00001))</v>
      </c>
    </row>
    <row r="842" spans="1:11" ht="46.25" customHeight="1">
      <c r="A842" t="s">
        <v>2039</v>
      </c>
      <c r="B842" t="s">
        <v>2040</v>
      </c>
      <c r="C842" t="s">
        <v>16045</v>
      </c>
      <c r="D842" s="19">
        <v>841</v>
      </c>
      <c r="E842" s="19" t="str">
        <f t="shared" ref="E842:E905" si="41">CONCATENATE("E",C842)</f>
        <v>E3_6_1_9</v>
      </c>
      <c r="F842" s="19" t="s">
        <v>13764</v>
      </c>
      <c r="G842" s="19" t="s">
        <v>15179</v>
      </c>
      <c r="H842" s="19" t="s">
        <v>14441</v>
      </c>
      <c r="I842" s="19" t="s">
        <v>15856</v>
      </c>
      <c r="J842" s="19" t="str">
        <f t="shared" si="39"/>
        <v>(${Variables:E3_6_1_9_kcat} * E3_6_1_9 * C00029 * C00001)/(${Variables:E3_6_1_9_km} + (E3_6_1_9 * C00029 * C00001))</v>
      </c>
      <c r="K842" s="37" t="str">
        <f t="shared" si="40"/>
        <v>r841: C00029 + C00001 -&gt; C00105 + C00103 | (${Variables:E3_6_1_9_kcat} * E3_6_1_9 * C00029 * C00001)/(${Variables:E3_6_1_9_km} + (E3_6_1_9 * C00029 * C00001))</v>
      </c>
    </row>
    <row r="843" spans="1:11" ht="46.25" customHeight="1">
      <c r="A843" t="s">
        <v>2039</v>
      </c>
      <c r="B843" t="s">
        <v>2040</v>
      </c>
      <c r="C843" t="s">
        <v>16045</v>
      </c>
      <c r="D843" s="19">
        <v>842</v>
      </c>
      <c r="E843" s="19" t="str">
        <f t="shared" si="41"/>
        <v>E3_6_1_9</v>
      </c>
      <c r="F843" s="19" t="s">
        <v>13765</v>
      </c>
      <c r="G843" s="19" t="s">
        <v>15180</v>
      </c>
      <c r="H843" s="19" t="s">
        <v>14442</v>
      </c>
      <c r="I843" s="19" t="s">
        <v>15857</v>
      </c>
      <c r="J843" s="19" t="str">
        <f t="shared" ref="J843:J906" si="42">CONCATENATE("(${Variables:",E843,"_kcat","} * ",E843," * ",G843,")","/(${Variables:",E843,"_km","} + (",E843," * ",G843,"))")</f>
        <v>(${Variables:E3_6_1_9_kcat} * E3_6_1_9 * C00857 * C00001)/(${Variables:E3_6_1_9_km} + (E3_6_1_9 * C00857 * C00001))</v>
      </c>
      <c r="K843" s="37" t="str">
        <f t="shared" ref="K843:K906" si="43">CONCATENATE("r",D843,": ",F843," -&gt; ",H843," | ",J843)</f>
        <v>r842: C00857 + C00001 -&gt; C00020 + C01185 | (${Variables:E3_6_1_9_kcat} * E3_6_1_9 * C00857 * C00001)/(${Variables:E3_6_1_9_km} + (E3_6_1_9 * C00857 * C00001))</v>
      </c>
    </row>
    <row r="844" spans="1:11" ht="46.25" customHeight="1">
      <c r="A844" t="s">
        <v>2039</v>
      </c>
      <c r="B844" t="s">
        <v>2040</v>
      </c>
      <c r="C844" t="s">
        <v>16045</v>
      </c>
      <c r="D844" s="19">
        <v>843</v>
      </c>
      <c r="E844" s="19" t="str">
        <f t="shared" si="41"/>
        <v>E3_6_1_9</v>
      </c>
      <c r="F844" s="19" t="s">
        <v>13766</v>
      </c>
      <c r="G844" s="19" t="s">
        <v>15181</v>
      </c>
      <c r="H844" s="19" t="s">
        <v>14443</v>
      </c>
      <c r="I844" s="19" t="s">
        <v>15858</v>
      </c>
      <c r="J844" s="19" t="str">
        <f t="shared" si="42"/>
        <v>(${Variables:E3_6_1_9_kcat} * E3_6_1_9 * C00882 * C00001)/(${Variables:E3_6_1_9_km} + (E3_6_1_9 * C00882 * C00001))</v>
      </c>
      <c r="K844" s="37" t="str">
        <f t="shared" si="43"/>
        <v>r843: C00882 + C00001 -&gt; C01134 + C00020 | (${Variables:E3_6_1_9_kcat} * E3_6_1_9 * C00882 * C00001)/(${Variables:E3_6_1_9_km} + (E3_6_1_9 * C00882 * C00001))</v>
      </c>
    </row>
    <row r="845" spans="1:11" ht="46.25" customHeight="1">
      <c r="A845" t="s">
        <v>512</v>
      </c>
      <c r="B845" t="s">
        <v>513</v>
      </c>
      <c r="C845" t="s">
        <v>13046</v>
      </c>
      <c r="D845" s="19">
        <v>844</v>
      </c>
      <c r="E845" s="19" t="str">
        <f t="shared" si="41"/>
        <v>E3_7_1_22</v>
      </c>
      <c r="F845" s="19" t="s">
        <v>13767</v>
      </c>
      <c r="G845" s="19" t="s">
        <v>15182</v>
      </c>
      <c r="H845" s="19" t="s">
        <v>10421</v>
      </c>
      <c r="I845" s="19" t="s">
        <v>10421</v>
      </c>
      <c r="J845" s="19" t="str">
        <f t="shared" si="42"/>
        <v>(${Variables:E3_7_1_22_kcat} * E3_7_1_22 * C04287 * C00001)/(${Variables:E3_7_1_22_km} + (E3_7_1_22 * C04287 * C00001))</v>
      </c>
      <c r="K845" s="37" t="str">
        <f t="shared" si="43"/>
        <v>r844: C04287 + C00001 -&gt; C16737 | (${Variables:E3_7_1_22_kcat} * E3_7_1_22 * C04287 * C00001)/(${Variables:E3_7_1_22_km} + (E3_7_1_22 * C04287 * C00001))</v>
      </c>
    </row>
    <row r="846" spans="1:11" ht="46.25" customHeight="1">
      <c r="A846" t="s">
        <v>436</v>
      </c>
      <c r="B846" t="s">
        <v>437</v>
      </c>
      <c r="C846" t="s">
        <v>16046</v>
      </c>
      <c r="D846" s="19">
        <v>845</v>
      </c>
      <c r="E846" s="19" t="str">
        <f t="shared" si="41"/>
        <v>E4_1_1_11</v>
      </c>
      <c r="F846" s="19" t="s">
        <v>9700</v>
      </c>
      <c r="G846" s="19" t="s">
        <v>9700</v>
      </c>
      <c r="H846" s="19" t="s">
        <v>14444</v>
      </c>
      <c r="I846" s="19" t="s">
        <v>15859</v>
      </c>
      <c r="J846" s="19" t="str">
        <f t="shared" si="42"/>
        <v>(${Variables:E4_1_1_11_kcat} * E4_1_1_11 * C00049)/(${Variables:E4_1_1_11_km} + (E4_1_1_11 * C00049))</v>
      </c>
      <c r="K846" s="37" t="str">
        <f t="shared" si="43"/>
        <v>r845: C00049 -&gt; C00099 + C00011 | (${Variables:E4_1_1_11_kcat} * E4_1_1_11 * C00049)/(${Variables:E4_1_1_11_km} + (E4_1_1_11 * C00049))</v>
      </c>
    </row>
    <row r="847" spans="1:11" ht="46.25" customHeight="1">
      <c r="A847" t="s">
        <v>3357</v>
      </c>
      <c r="B847" t="s">
        <v>3358</v>
      </c>
      <c r="C847" t="s">
        <v>13047</v>
      </c>
      <c r="D847" s="19">
        <v>846</v>
      </c>
      <c r="E847" s="19" t="str">
        <f t="shared" si="41"/>
        <v>E4_1_1_20</v>
      </c>
      <c r="F847" s="19" t="s">
        <v>9438</v>
      </c>
      <c r="G847" s="19" t="s">
        <v>9438</v>
      </c>
      <c r="H847" s="19" t="s">
        <v>14445</v>
      </c>
      <c r="I847" s="19" t="s">
        <v>15860</v>
      </c>
      <c r="J847" s="19" t="str">
        <f t="shared" si="42"/>
        <v>(${Variables:E4_1_1_20_kcat} * E4_1_1_20 * C00680)/(${Variables:E4_1_1_20_km} + (E4_1_1_20 * C00680))</v>
      </c>
      <c r="K847" s="37" t="str">
        <f t="shared" si="43"/>
        <v>r846: C00680 -&gt; C00047 + C00011 | (${Variables:E4_1_1_20_kcat} * E4_1_1_20 * C00680)/(${Variables:E4_1_1_20_km} + (E4_1_1_20 * C00680))</v>
      </c>
    </row>
    <row r="848" spans="1:11" ht="46.25" customHeight="1">
      <c r="A848" t="s">
        <v>2064</v>
      </c>
      <c r="B848" t="s">
        <v>2065</v>
      </c>
      <c r="C848" t="s">
        <v>13048</v>
      </c>
      <c r="D848" s="19">
        <v>847</v>
      </c>
      <c r="E848" s="19" t="str">
        <f t="shared" si="41"/>
        <v>E4_1_1_21</v>
      </c>
      <c r="F848" s="19" t="s">
        <v>10136</v>
      </c>
      <c r="G848" s="19" t="s">
        <v>10136</v>
      </c>
      <c r="H848" s="19" t="s">
        <v>14446</v>
      </c>
      <c r="I848" s="19" t="s">
        <v>15861</v>
      </c>
      <c r="J848" s="19" t="str">
        <f t="shared" si="42"/>
        <v>(${Variables:E4_1_1_21_kcat} * E4_1_1_21 * C04751)/(${Variables:E4_1_1_21_km} + (E4_1_1_21 * C04751))</v>
      </c>
      <c r="K848" s="37" t="str">
        <f t="shared" si="43"/>
        <v>r847: C04751 -&gt; C03373 + C00011 | (${Variables:E4_1_1_21_kcat} * E4_1_1_21 * C04751)/(${Variables:E4_1_1_21_km} + (E4_1_1_21 * C04751))</v>
      </c>
    </row>
    <row r="849" spans="1:11" ht="46.25" customHeight="1">
      <c r="A849" t="s">
        <v>4552</v>
      </c>
      <c r="B849" t="s">
        <v>4553</v>
      </c>
      <c r="C849" t="s">
        <v>13049</v>
      </c>
      <c r="D849" s="19">
        <v>848</v>
      </c>
      <c r="E849" s="19" t="str">
        <f t="shared" si="41"/>
        <v>E4_1_1_23</v>
      </c>
      <c r="F849" s="19" t="s">
        <v>9565</v>
      </c>
      <c r="G849" s="19" t="s">
        <v>9565</v>
      </c>
      <c r="H849" s="19" t="s">
        <v>14447</v>
      </c>
      <c r="I849" s="19" t="s">
        <v>15862</v>
      </c>
      <c r="J849" s="19" t="str">
        <f t="shared" si="42"/>
        <v>(${Variables:E4_1_1_23_kcat} * E4_1_1_23 * C01103)/(${Variables:E4_1_1_23_km} + (E4_1_1_23 * C01103))</v>
      </c>
      <c r="K849" s="37" t="str">
        <f t="shared" si="43"/>
        <v>r848: C01103 -&gt; C00105 + C00011 | (${Variables:E4_1_1_23_kcat} * E4_1_1_23 * C01103)/(${Variables:E4_1_1_23_km} + (E4_1_1_23 * C01103))</v>
      </c>
    </row>
    <row r="850" spans="1:11" ht="46.25" customHeight="1">
      <c r="A850" t="s">
        <v>4466</v>
      </c>
      <c r="B850" t="s">
        <v>4467</v>
      </c>
      <c r="C850" t="s">
        <v>13050</v>
      </c>
      <c r="D850" s="19">
        <v>849</v>
      </c>
      <c r="E850" s="19" t="str">
        <f t="shared" si="41"/>
        <v>E4_1_1_31</v>
      </c>
      <c r="F850" s="19" t="s">
        <v>13768</v>
      </c>
      <c r="G850" s="19" t="s">
        <v>15183</v>
      </c>
      <c r="H850" s="19" t="s">
        <v>14448</v>
      </c>
      <c r="I850" s="19" t="s">
        <v>15863</v>
      </c>
      <c r="J850" s="19" t="str">
        <f t="shared" si="42"/>
        <v>(${Variables:E4_1_1_31_kcat} * E4_1_1_31 * C00009 * C00036)/(${Variables:E4_1_1_31_km} + (E4_1_1_31 * C00009 * C00036))</v>
      </c>
      <c r="K850" s="37" t="str">
        <f t="shared" si="43"/>
        <v>r849: C00009 + C00036 -&gt; C00001 + C00074 + C00011 | (${Variables:E4_1_1_31_kcat} * E4_1_1_31 * C00009 * C00036)/(${Variables:E4_1_1_31_km} + (E4_1_1_31 * C00009 * C00036))</v>
      </c>
    </row>
    <row r="851" spans="1:11" ht="46.25" customHeight="1">
      <c r="A851" t="s">
        <v>7817</v>
      </c>
      <c r="B851" t="s">
        <v>7818</v>
      </c>
      <c r="C851" t="s">
        <v>13051</v>
      </c>
      <c r="D851" s="19">
        <v>850</v>
      </c>
      <c r="E851" s="19" t="str">
        <f t="shared" si="41"/>
        <v>E4_1_1_32</v>
      </c>
      <c r="F851" s="19" t="s">
        <v>13769</v>
      </c>
      <c r="G851" s="19" t="s">
        <v>15184</v>
      </c>
      <c r="H851" s="19" t="s">
        <v>14449</v>
      </c>
      <c r="I851" s="19" t="s">
        <v>15864</v>
      </c>
      <c r="J851" s="19" t="str">
        <f t="shared" si="42"/>
        <v>(${Variables:E4_1_1_32_kcat} * E4_1_1_32 * C00044 * C00036)/(${Variables:E4_1_1_32_km} + (E4_1_1_32 * C00044 * C00036))</v>
      </c>
      <c r="K851" s="37" t="str">
        <f t="shared" si="43"/>
        <v>r850: C00044 + C00036 -&gt; C00035 + C00074 + C00011 | (${Variables:E4_1_1_32_kcat} * E4_1_1_32 * C00044 * C00036)/(${Variables:E4_1_1_32_km} + (E4_1_1_32 * C00044 * C00036))</v>
      </c>
    </row>
    <row r="852" spans="1:11" ht="46.25" customHeight="1">
      <c r="A852" t="s">
        <v>4536</v>
      </c>
      <c r="B852" t="s">
        <v>4537</v>
      </c>
      <c r="C852" t="s">
        <v>16047</v>
      </c>
      <c r="D852" s="19">
        <v>851</v>
      </c>
      <c r="E852" s="19" t="str">
        <f t="shared" si="41"/>
        <v>E4_1_1_36</v>
      </c>
      <c r="F852" s="19" t="s">
        <v>9584</v>
      </c>
      <c r="G852" s="19" t="s">
        <v>9584</v>
      </c>
      <c r="H852" s="19" t="s">
        <v>14450</v>
      </c>
      <c r="I852" s="19" t="s">
        <v>15865</v>
      </c>
      <c r="J852" s="19" t="str">
        <f t="shared" si="42"/>
        <v>(${Variables:E4_1_1_36_kcat} * E4_1_1_36 * C04352)/(${Variables:E4_1_1_36_km} + (E4_1_1_36 * C04352))</v>
      </c>
      <c r="K852" s="37" t="str">
        <f t="shared" si="43"/>
        <v>r851: C04352 -&gt; C01134 + C00011 | (${Variables:E4_1_1_36_kcat} * E4_1_1_36 * C04352)/(${Variables:E4_1_1_36_km} + (E4_1_1_36 * C04352))</v>
      </c>
    </row>
    <row r="853" spans="1:11" ht="46.25" customHeight="1">
      <c r="A853" t="s">
        <v>1270</v>
      </c>
      <c r="B853" t="s">
        <v>1271</v>
      </c>
      <c r="C853" t="s">
        <v>16048</v>
      </c>
      <c r="D853" s="19">
        <v>852</v>
      </c>
      <c r="E853" s="19" t="str">
        <f t="shared" si="41"/>
        <v>E4_1_1_37</v>
      </c>
      <c r="F853" s="19" t="s">
        <v>10279</v>
      </c>
      <c r="G853" s="19" t="s">
        <v>10279</v>
      </c>
      <c r="H853" s="19" t="s">
        <v>14451</v>
      </c>
      <c r="I853" s="19" t="s">
        <v>15866</v>
      </c>
      <c r="J853" s="19" t="str">
        <f t="shared" si="42"/>
        <v>(${Variables:E4_1_1_37_kcat} * E4_1_1_37 * C01051)/(${Variables:E4_1_1_37_km} + (E4_1_1_37 * C01051))</v>
      </c>
      <c r="K853" s="37" t="str">
        <f t="shared" si="43"/>
        <v>r852: C01051 -&gt; C03263 + C00011 | (${Variables:E4_1_1_37_kcat} * E4_1_1_37 * C01051)/(${Variables:E4_1_1_37_km} + (E4_1_1_37 * C01051))</v>
      </c>
    </row>
    <row r="854" spans="1:11" ht="46.25" customHeight="1">
      <c r="A854" t="s">
        <v>1270</v>
      </c>
      <c r="B854" t="s">
        <v>1271</v>
      </c>
      <c r="C854" t="s">
        <v>16048</v>
      </c>
      <c r="D854" s="19">
        <v>853</v>
      </c>
      <c r="E854" s="19" t="str">
        <f t="shared" si="41"/>
        <v>E4_1_1_37</v>
      </c>
      <c r="F854" s="19" t="s">
        <v>10281</v>
      </c>
      <c r="G854" s="19" t="s">
        <v>10281</v>
      </c>
      <c r="H854" s="19" t="s">
        <v>14452</v>
      </c>
      <c r="I854" s="19" t="s">
        <v>15867</v>
      </c>
      <c r="J854" s="19" t="str">
        <f t="shared" si="42"/>
        <v>(${Variables:E4_1_1_37_kcat} * E4_1_1_37 * C05766)/(${Variables:E4_1_1_37_km} + (E4_1_1_37 * C05766))</v>
      </c>
      <c r="K854" s="37" t="str">
        <f t="shared" si="43"/>
        <v>r853: C05766 -&gt; C05768 + C00011 | (${Variables:E4_1_1_37_kcat} * E4_1_1_37 * C05766)/(${Variables:E4_1_1_37_km} + (E4_1_1_37 * C05766))</v>
      </c>
    </row>
    <row r="855" spans="1:11" ht="46.25" customHeight="1">
      <c r="A855" t="s">
        <v>6604</v>
      </c>
      <c r="B855" t="s">
        <v>6605</v>
      </c>
      <c r="C855" t="s">
        <v>13052</v>
      </c>
      <c r="D855" s="19">
        <v>854</v>
      </c>
      <c r="E855" s="19" t="str">
        <f t="shared" si="41"/>
        <v>E4_1_1_44</v>
      </c>
      <c r="F855" s="19" t="s">
        <v>9011</v>
      </c>
      <c r="G855" s="19" t="s">
        <v>9011</v>
      </c>
      <c r="H855" s="19" t="s">
        <v>14453</v>
      </c>
      <c r="I855" s="19" t="s">
        <v>15868</v>
      </c>
      <c r="J855" s="19" t="str">
        <f t="shared" si="42"/>
        <v>(${Variables:E4_1_1_44_kcat} * E4_1_1_44 * C01278)/(${Variables:E4_1_1_44_km} + (E4_1_1_44 * C01278))</v>
      </c>
      <c r="K855" s="37" t="str">
        <f t="shared" si="43"/>
        <v>r854: C01278 -&gt; C03586 + C00011 | (${Variables:E4_1_1_44_kcat} * E4_1_1_44 * C01278)/(${Variables:E4_1_1_44_km} + (E4_1_1_44 * C01278))</v>
      </c>
    </row>
    <row r="856" spans="1:11" ht="46.25" customHeight="1">
      <c r="A856" t="s">
        <v>8244</v>
      </c>
      <c r="B856" t="s">
        <v>8245</v>
      </c>
      <c r="C856" t="s">
        <v>13053</v>
      </c>
      <c r="D856" s="19">
        <v>855</v>
      </c>
      <c r="E856" s="19" t="str">
        <f t="shared" si="41"/>
        <v>E4_1_1_48</v>
      </c>
      <c r="F856" s="19" t="s">
        <v>8513</v>
      </c>
      <c r="G856" s="19" t="s">
        <v>8513</v>
      </c>
      <c r="H856" s="19" t="s">
        <v>14454</v>
      </c>
      <c r="I856" s="19" t="s">
        <v>15869</v>
      </c>
      <c r="J856" s="19" t="str">
        <f t="shared" si="42"/>
        <v>(${Variables:E4_1_1_48_kcat} * E4_1_1_48 * C01302)/(${Variables:E4_1_1_48_km} + (E4_1_1_48 * C01302))</v>
      </c>
      <c r="K856" s="37" t="str">
        <f t="shared" si="43"/>
        <v>r855: C01302 -&gt; C03506 + C00011 + C00001 | (${Variables:E4_1_1_48_kcat} * E4_1_1_48 * C01302)/(${Variables:E4_1_1_48_km} + (E4_1_1_48 * C01302))</v>
      </c>
    </row>
    <row r="857" spans="1:11" ht="46.25" customHeight="1">
      <c r="A857" t="s">
        <v>3226</v>
      </c>
      <c r="B857" t="s">
        <v>3227</v>
      </c>
      <c r="C857" t="s">
        <v>13054</v>
      </c>
      <c r="D857" s="19">
        <v>856</v>
      </c>
      <c r="E857" s="19" t="str">
        <f t="shared" si="41"/>
        <v>E4_1_1_71</v>
      </c>
      <c r="F857" s="19" t="s">
        <v>9922</v>
      </c>
      <c r="G857" s="19" t="s">
        <v>9922</v>
      </c>
      <c r="H857" s="19" t="s">
        <v>14455</v>
      </c>
      <c r="I857" s="19" t="s">
        <v>15870</v>
      </c>
      <c r="J857" s="19" t="str">
        <f t="shared" si="42"/>
        <v>(${Variables:E4_1_1_71_kcat} * E4_1_1_71 * C00026)/(${Variables:E4_1_1_71_km} + (E4_1_1_71 * C00026))</v>
      </c>
      <c r="K857" s="37" t="str">
        <f t="shared" si="43"/>
        <v>r856: C00026 -&gt; C00232 + C00011 | (${Variables:E4_1_1_71_kcat} * E4_1_1_71 * C00026)/(${Variables:E4_1_1_71_km} + (E4_1_1_71 * C00026))</v>
      </c>
    </row>
    <row r="858" spans="1:11" ht="46.25" customHeight="1">
      <c r="A858" t="s">
        <v>7592</v>
      </c>
      <c r="B858" t="s">
        <v>7593</v>
      </c>
      <c r="C858" t="s">
        <v>13055</v>
      </c>
      <c r="D858" s="19">
        <v>857</v>
      </c>
      <c r="E858" s="19" t="str">
        <f t="shared" si="41"/>
        <v>E4_1_2_13</v>
      </c>
      <c r="F858" s="19" t="s">
        <v>8627</v>
      </c>
      <c r="G858" s="19" t="s">
        <v>8627</v>
      </c>
      <c r="H858" s="19" t="s">
        <v>14456</v>
      </c>
      <c r="I858" s="19" t="s">
        <v>15871</v>
      </c>
      <c r="J858" s="19" t="str">
        <f t="shared" si="42"/>
        <v>(${Variables:E4_1_2_13_kcat} * E4_1_2_13 * C00354 )/(${Variables:E4_1_2_13_km} + (E4_1_2_13 * C00354 ))</v>
      </c>
      <c r="K858" s="37" t="str">
        <f t="shared" si="43"/>
        <v>r857: C00354  -&gt; C00111 + C00118 | (${Variables:E4_1_2_13_kcat} * E4_1_2_13 * C00354 )/(${Variables:E4_1_2_13_km} + (E4_1_2_13 * C00354 ))</v>
      </c>
    </row>
    <row r="859" spans="1:11" ht="46.25" customHeight="1">
      <c r="A859" t="s">
        <v>7592</v>
      </c>
      <c r="B859" t="s">
        <v>7593</v>
      </c>
      <c r="C859" t="s">
        <v>13055</v>
      </c>
      <c r="D859" s="19">
        <v>858</v>
      </c>
      <c r="E859" s="19" t="str">
        <f t="shared" si="41"/>
        <v>E4_1_2_13</v>
      </c>
      <c r="F859" s="19" t="s">
        <v>11903</v>
      </c>
      <c r="G859" s="19" t="s">
        <v>11903</v>
      </c>
      <c r="H859" s="19" t="s">
        <v>14456</v>
      </c>
      <c r="I859" s="19" t="s">
        <v>15871</v>
      </c>
      <c r="J859" s="19" t="str">
        <f t="shared" si="42"/>
        <v>(${Variables:E4_1_2_13_kcat} * E4_1_2_13 * C05378)/(${Variables:E4_1_2_13_km} + (E4_1_2_13 * C05378))</v>
      </c>
      <c r="K859" s="37" t="str">
        <f t="shared" si="43"/>
        <v>r858: C05378 -&gt; C00111 + C00118 | (${Variables:E4_1_2_13_kcat} * E4_1_2_13 * C05378)/(${Variables:E4_1_2_13_km} + (E4_1_2_13 * C05378))</v>
      </c>
    </row>
    <row r="860" spans="1:11" ht="46.25" customHeight="1">
      <c r="A860" t="s">
        <v>7592</v>
      </c>
      <c r="B860" t="s">
        <v>7593</v>
      </c>
      <c r="C860" t="s">
        <v>13055</v>
      </c>
      <c r="D860" s="19">
        <v>859</v>
      </c>
      <c r="E860" s="19" t="str">
        <f t="shared" si="41"/>
        <v>E4_1_2_13</v>
      </c>
      <c r="F860" s="19" t="s">
        <v>11905</v>
      </c>
      <c r="G860" s="19" t="s">
        <v>11905</v>
      </c>
      <c r="H860" s="19" t="s">
        <v>14457</v>
      </c>
      <c r="I860" s="19" t="s">
        <v>15872</v>
      </c>
      <c r="J860" s="19" t="str">
        <f t="shared" si="42"/>
        <v>(${Variables:E4_1_2_13_kcat} * E4_1_2_13 * C00447)/(${Variables:E4_1_2_13_km} + (E4_1_2_13 * C00447))</v>
      </c>
      <c r="K860" s="37" t="str">
        <f t="shared" si="43"/>
        <v>r859: C00447 -&gt; C00111 + C00279 | (${Variables:E4_1_2_13_kcat} * E4_1_2_13 * C00447)/(${Variables:E4_1_2_13_km} + (E4_1_2_13 * C00447))</v>
      </c>
    </row>
    <row r="861" spans="1:11" ht="46.25" customHeight="1">
      <c r="A861" t="s">
        <v>7592</v>
      </c>
      <c r="B861" t="s">
        <v>7593</v>
      </c>
      <c r="C861" t="s">
        <v>13055</v>
      </c>
      <c r="D861" s="19">
        <v>860</v>
      </c>
      <c r="E861" s="19" t="str">
        <f t="shared" si="41"/>
        <v>E4_1_2_13</v>
      </c>
      <c r="F861" s="19" t="s">
        <v>11908</v>
      </c>
      <c r="G861" s="19" t="s">
        <v>11908</v>
      </c>
      <c r="H861" s="19" t="s">
        <v>14458</v>
      </c>
      <c r="I861" s="19" t="s">
        <v>15873</v>
      </c>
      <c r="J861" s="19" t="str">
        <f t="shared" si="42"/>
        <v>(${Variables:E4_1_2_13_kcat} * E4_1_2_13 * C01094)/(${Variables:E4_1_2_13_km} + (E4_1_2_13 * C01094))</v>
      </c>
      <c r="K861" s="37" t="str">
        <f t="shared" si="43"/>
        <v>r860: C01094 -&gt; C00111 + C00577 | (${Variables:E4_1_2_13_kcat} * E4_1_2_13 * C01094)/(${Variables:E4_1_2_13_km} + (E4_1_2_13 * C01094))</v>
      </c>
    </row>
    <row r="862" spans="1:11" ht="46.25" customHeight="1">
      <c r="A862" t="s">
        <v>7396</v>
      </c>
      <c r="B862" t="s">
        <v>7397</v>
      </c>
      <c r="C862" t="s">
        <v>13056</v>
      </c>
      <c r="D862" s="19">
        <v>861</v>
      </c>
      <c r="E862" s="19" t="str">
        <f t="shared" si="41"/>
        <v>E4_1_2_25</v>
      </c>
      <c r="F862" s="19" t="s">
        <v>8684</v>
      </c>
      <c r="G862" s="19" t="s">
        <v>8684</v>
      </c>
      <c r="H862" s="19" t="s">
        <v>14459</v>
      </c>
      <c r="I862" s="19" t="s">
        <v>15874</v>
      </c>
      <c r="J862" s="19" t="str">
        <f t="shared" si="42"/>
        <v>(${Variables:E4_1_2_25_kcat} * E4_1_2_25 * C04874)/(${Variables:E4_1_2_25_km} + (E4_1_2_25 * C04874))</v>
      </c>
      <c r="K862" s="37" t="str">
        <f t="shared" si="43"/>
        <v>r861: C04874 -&gt; C00266 + C01300 | (${Variables:E4_1_2_25_kcat} * E4_1_2_25 * C04874)/(${Variables:E4_1_2_25_km} + (E4_1_2_25 * C04874))</v>
      </c>
    </row>
    <row r="863" spans="1:11" ht="46.25" customHeight="1">
      <c r="A863" t="s">
        <v>1140</v>
      </c>
      <c r="B863" t="s">
        <v>1141</v>
      </c>
      <c r="C863" t="s">
        <v>16049</v>
      </c>
      <c r="D863" s="19">
        <v>862</v>
      </c>
      <c r="E863" s="19" t="str">
        <f t="shared" si="41"/>
        <v>E4_1_2_4</v>
      </c>
      <c r="F863" s="19" t="s">
        <v>10324</v>
      </c>
      <c r="G863" s="19" t="s">
        <v>10324</v>
      </c>
      <c r="H863" s="19" t="s">
        <v>14460</v>
      </c>
      <c r="I863" s="19" t="s">
        <v>15875</v>
      </c>
      <c r="J863" s="19" t="str">
        <f t="shared" si="42"/>
        <v>(${Variables:E4_1_2_4_kcat} * E4_1_2_4 * C00673)/(${Variables:E4_1_2_4_km} + (E4_1_2_4 * C00673))</v>
      </c>
      <c r="K863" s="37" t="str">
        <f t="shared" si="43"/>
        <v>r862: C00673 -&gt; C00118 + C00084 | (${Variables:E4_1_2_4_kcat} * E4_1_2_4 * C00673)/(${Variables:E4_1_2_4_km} + (E4_1_2_4 * C00673))</v>
      </c>
    </row>
    <row r="864" spans="1:11" ht="46.25" customHeight="1">
      <c r="A864" t="s">
        <v>6421</v>
      </c>
      <c r="B864" t="s">
        <v>6422</v>
      </c>
      <c r="C864" t="s">
        <v>13057</v>
      </c>
      <c r="D864" s="19">
        <v>863</v>
      </c>
      <c r="E864" s="19" t="str">
        <f t="shared" si="41"/>
        <v>E4_1_3_1</v>
      </c>
      <c r="F864" s="19" t="s">
        <v>9074</v>
      </c>
      <c r="G864" s="19" t="s">
        <v>9074</v>
      </c>
      <c r="H864" s="19" t="s">
        <v>14461</v>
      </c>
      <c r="I864" s="19" t="s">
        <v>15876</v>
      </c>
      <c r="J864" s="19" t="str">
        <f t="shared" si="42"/>
        <v>(${Variables:E4_1_3_1_kcat} * E4_1_3_1 * C00311)/(${Variables:E4_1_3_1_km} + (E4_1_3_1 * C00311))</v>
      </c>
      <c r="K864" s="37" t="str">
        <f t="shared" si="43"/>
        <v>r863: C00311 -&gt; C00042 + C00048 | (${Variables:E4_1_3_1_kcat} * E4_1_3_1 * C00311)/(${Variables:E4_1_3_1_km} + (E4_1_3_1 * C00311))</v>
      </c>
    </row>
    <row r="865" spans="1:11" ht="46.25" customHeight="1">
      <c r="A865" t="s">
        <v>8233</v>
      </c>
      <c r="B865" t="s">
        <v>8234</v>
      </c>
      <c r="C865" t="s">
        <v>13058</v>
      </c>
      <c r="D865" s="19">
        <v>864</v>
      </c>
      <c r="E865" s="19" t="str">
        <f t="shared" si="41"/>
        <v>E4_1_3_27</v>
      </c>
      <c r="F865" s="19" t="s">
        <v>13542</v>
      </c>
      <c r="G865" s="19" t="s">
        <v>14957</v>
      </c>
      <c r="H865" s="19" t="s">
        <v>14462</v>
      </c>
      <c r="I865" s="19" t="s">
        <v>15877</v>
      </c>
      <c r="J865" s="19" t="str">
        <f t="shared" si="42"/>
        <v>(${Variables:E4_1_3_27_kcat} * E4_1_3_27 * C00251 * C00064)/(${Variables:E4_1_3_27_km} + (E4_1_3_27 * C00251 * C00064))</v>
      </c>
      <c r="K865" s="37" t="str">
        <f t="shared" si="43"/>
        <v>r864: C00251 + C00064 -&gt; C00108 + C00022 + C00025 | (${Variables:E4_1_3_27_kcat} * E4_1_3_27 * C00251 * C00064)/(${Variables:E4_1_3_27_km} + (E4_1_3_27 * C00251 * C00064))</v>
      </c>
    </row>
    <row r="866" spans="1:11" ht="46.25" customHeight="1">
      <c r="A866" t="s">
        <v>8233</v>
      </c>
      <c r="B866" t="s">
        <v>8234</v>
      </c>
      <c r="C866" t="s">
        <v>13058</v>
      </c>
      <c r="D866" s="19">
        <v>865</v>
      </c>
      <c r="E866" s="19" t="str">
        <f t="shared" si="41"/>
        <v>E4_1_3_27</v>
      </c>
      <c r="F866" s="19" t="s">
        <v>13543</v>
      </c>
      <c r="G866" s="19" t="s">
        <v>14958</v>
      </c>
      <c r="H866" s="19" t="s">
        <v>14463</v>
      </c>
      <c r="I866" s="19" t="s">
        <v>15878</v>
      </c>
      <c r="J866" s="19" t="str">
        <f t="shared" si="42"/>
        <v>(${Variables:E4_1_3_27_kcat} * E4_1_3_27 * C00251 * C00014)/(${Variables:E4_1_3_27_km} + (E4_1_3_27 * C00251 * C00014))</v>
      </c>
      <c r="K866" s="37" t="str">
        <f t="shared" si="43"/>
        <v>r865: C00251 + C00014 -&gt; C00108 + C00022 + C00001 | (${Variables:E4_1_3_27_kcat} * E4_1_3_27 * C00251 * C00014)/(${Variables:E4_1_3_27_km} + (E4_1_3_27 * C00251 * C00014))</v>
      </c>
    </row>
    <row r="867" spans="1:11" ht="46.25" customHeight="1">
      <c r="A867" t="s">
        <v>1919</v>
      </c>
      <c r="B867" t="s">
        <v>1920</v>
      </c>
      <c r="C867" t="s">
        <v>13059</v>
      </c>
      <c r="D867" s="19">
        <v>866</v>
      </c>
      <c r="E867" s="19" t="str">
        <f t="shared" si="41"/>
        <v>E4_1_3_30</v>
      </c>
      <c r="F867" s="19" t="s">
        <v>10168</v>
      </c>
      <c r="G867" s="19" t="s">
        <v>10168</v>
      </c>
      <c r="H867" s="19" t="s">
        <v>14464</v>
      </c>
      <c r="I867" s="19" t="s">
        <v>15879</v>
      </c>
      <c r="J867" s="19" t="str">
        <f t="shared" si="42"/>
        <v>(${Variables:E4_1_3_30_kcat} * E4_1_3_30 * C04593)/(${Variables:E4_1_3_30_km} + (E4_1_3_30 * C04593))</v>
      </c>
      <c r="K867" s="37" t="str">
        <f t="shared" si="43"/>
        <v>r866: C04593 -&gt; C00022 + C00042 | (${Variables:E4_1_3_30_kcat} * E4_1_3_30 * C04593)/(${Variables:E4_1_3_30_km} + (E4_1_3_30 * C04593))</v>
      </c>
    </row>
    <row r="868" spans="1:11" ht="46.25" customHeight="1">
      <c r="A868" t="s">
        <v>2014</v>
      </c>
      <c r="B868" t="s">
        <v>2015</v>
      </c>
      <c r="C868" t="s">
        <v>13059</v>
      </c>
      <c r="D868" s="19">
        <v>867</v>
      </c>
      <c r="E868" s="19" t="str">
        <f t="shared" si="41"/>
        <v>E4_1_3_30</v>
      </c>
      <c r="F868" s="19" t="s">
        <v>10168</v>
      </c>
      <c r="G868" s="19" t="s">
        <v>10168</v>
      </c>
      <c r="H868" s="19" t="s">
        <v>14464</v>
      </c>
      <c r="I868" s="19" t="s">
        <v>15879</v>
      </c>
      <c r="J868" s="19" t="str">
        <f t="shared" si="42"/>
        <v>(${Variables:E4_1_3_30_kcat} * E4_1_3_30 * C04593)/(${Variables:E4_1_3_30_km} + (E4_1_3_30 * C04593))</v>
      </c>
      <c r="K868" s="37" t="str">
        <f t="shared" si="43"/>
        <v>r867: C04593 -&gt; C00022 + C00042 | (${Variables:E4_1_3_30_kcat} * E4_1_3_30 * C04593)/(${Variables:E4_1_3_30_km} + (E4_1_3_30 * C04593))</v>
      </c>
    </row>
    <row r="869" spans="1:11" ht="46.25" customHeight="1">
      <c r="A869" t="s">
        <v>1345</v>
      </c>
      <c r="B869" t="s">
        <v>1346</v>
      </c>
      <c r="C869" t="s">
        <v>13060</v>
      </c>
      <c r="D869" s="19">
        <v>868</v>
      </c>
      <c r="E869" s="19" t="str">
        <f t="shared" si="41"/>
        <v>E4_1_3_36</v>
      </c>
      <c r="F869" s="19" t="s">
        <v>10260</v>
      </c>
      <c r="G869" s="19" t="s">
        <v>10260</v>
      </c>
      <c r="H869" s="19" t="s">
        <v>14465</v>
      </c>
      <c r="I869" s="19" t="s">
        <v>15880</v>
      </c>
      <c r="J869" s="19" t="str">
        <f t="shared" si="42"/>
        <v>(${Variables:E4_1_3_36_kcat} * E4_1_3_36 * C03160)/(${Variables:E4_1_3_36_km} + (E4_1_3_36 * C03160))</v>
      </c>
      <c r="K869" s="37" t="str">
        <f t="shared" si="43"/>
        <v>r868: C03160 -&gt; C03657 + C00010 | (${Variables:E4_1_3_36_kcat} * E4_1_3_36 * C03160)/(${Variables:E4_1_3_36_km} + (E4_1_3_36 * C03160))</v>
      </c>
    </row>
    <row r="870" spans="1:11" ht="46.25" customHeight="1">
      <c r="A870" t="s">
        <v>1345</v>
      </c>
      <c r="B870" t="s">
        <v>1346</v>
      </c>
      <c r="C870" t="s">
        <v>13060</v>
      </c>
      <c r="D870" s="19">
        <v>869</v>
      </c>
      <c r="E870" s="19" t="str">
        <f t="shared" si="41"/>
        <v>E4_1_3_36</v>
      </c>
      <c r="F870" s="19" t="s">
        <v>10260</v>
      </c>
      <c r="G870" s="19" t="s">
        <v>10260</v>
      </c>
      <c r="H870" s="19" t="s">
        <v>14466</v>
      </c>
      <c r="I870" s="19" t="s">
        <v>15881</v>
      </c>
      <c r="J870" s="19" t="str">
        <f t="shared" si="42"/>
        <v>(${Variables:E4_1_3_36_kcat} * E4_1_3_36 * C03160)/(${Variables:E4_1_3_36_km} + (E4_1_3_36 * C03160))</v>
      </c>
      <c r="K870" s="37" t="str">
        <f t="shared" si="43"/>
        <v>r869: C03160 -&gt; C15547 + C00001 | (${Variables:E4_1_3_36_kcat} * E4_1_3_36 * C03160)/(${Variables:E4_1_3_36_km} + (E4_1_3_36 * C03160))</v>
      </c>
    </row>
    <row r="871" spans="1:11" ht="46.25" customHeight="1">
      <c r="A871" t="s">
        <v>7103</v>
      </c>
      <c r="B871" t="s">
        <v>7104</v>
      </c>
      <c r="C871" t="s">
        <v>13061</v>
      </c>
      <c r="D871" s="19">
        <v>870</v>
      </c>
      <c r="E871" s="19" t="str">
        <f t="shared" si="41"/>
        <v>E4_1_3_38</v>
      </c>
      <c r="F871" s="19" t="s">
        <v>8793</v>
      </c>
      <c r="G871" s="19" t="s">
        <v>8793</v>
      </c>
      <c r="H871" s="19" t="s">
        <v>14467</v>
      </c>
      <c r="I871" s="19" t="s">
        <v>15882</v>
      </c>
      <c r="J871" s="19" t="str">
        <f t="shared" si="42"/>
        <v>(${Variables:E4_1_3_38_kcat} * E4_1_3_38 * C11355)/(${Variables:E4_1_3_38_km} + (E4_1_3_38 * C11355))</v>
      </c>
      <c r="K871" s="37" t="str">
        <f t="shared" si="43"/>
        <v>r870: C11355 -&gt; C00568 + C00022 | (${Variables:E4_1_3_38_kcat} * E4_1_3_38 * C11355)/(${Variables:E4_1_3_38_km} + (E4_1_3_38 * C11355))</v>
      </c>
    </row>
    <row r="872" spans="1:11" ht="46.25" customHeight="1">
      <c r="A872" t="s">
        <v>4503</v>
      </c>
      <c r="B872" t="s">
        <v>4504</v>
      </c>
      <c r="C872" t="s">
        <v>16050</v>
      </c>
      <c r="D872" s="19">
        <v>871</v>
      </c>
      <c r="E872" s="19" t="str">
        <f t="shared" si="41"/>
        <v>E4_1_99_12</v>
      </c>
      <c r="F872" s="19" t="s">
        <v>8959</v>
      </c>
      <c r="G872" s="19" t="s">
        <v>8959</v>
      </c>
      <c r="H872" s="19" t="s">
        <v>14468</v>
      </c>
      <c r="I872" s="19" t="s">
        <v>15883</v>
      </c>
      <c r="J872" s="19" t="str">
        <f t="shared" si="42"/>
        <v>(${Variables:E4_1_99_12_kcat} * E4_1_99_12 * C00199)/(${Variables:E4_1_99_12_km} + (E4_1_99_12 * C00199))</v>
      </c>
      <c r="K872" s="37" t="str">
        <f t="shared" si="43"/>
        <v>r871: C00199 -&gt; C15556 + C00058 | (${Variables:E4_1_99_12_kcat} * E4_1_99_12 * C00199)/(${Variables:E4_1_99_12_km} + (E4_1_99_12 * C00199))</v>
      </c>
    </row>
    <row r="873" spans="1:11" ht="46.25" customHeight="1">
      <c r="A873" t="s">
        <v>3701</v>
      </c>
      <c r="B873" t="s">
        <v>3702</v>
      </c>
      <c r="C873" t="s">
        <v>16051</v>
      </c>
      <c r="D873" s="19">
        <v>872</v>
      </c>
      <c r="E873" s="19" t="str">
        <f t="shared" si="41"/>
        <v>E4_1_99_17</v>
      </c>
      <c r="F873" s="19" t="s">
        <v>13770</v>
      </c>
      <c r="G873" s="19" t="s">
        <v>15185</v>
      </c>
      <c r="H873" s="19" t="s">
        <v>14469</v>
      </c>
      <c r="I873" s="19" t="s">
        <v>15884</v>
      </c>
      <c r="J873" s="19" t="str">
        <f t="shared" si="42"/>
        <v>(${Variables:E4_1_99_17_kcat} * E4_1_99_17 * C03373 * C00019)/(${Variables:E4_1_99_17_km} + (E4_1_99_17 * C03373 * C00019))</v>
      </c>
      <c r="K873" s="37" t="str">
        <f t="shared" si="43"/>
        <v>r872: C03373 + C00019 -&gt; C04556 + C05198 + C00073 + C00058 + C00237 | (${Variables:E4_1_99_17_kcat} * E4_1_99_17 * C03373 * C00019)/(${Variables:E4_1_99_17_km} + (E4_1_99_17 * C03373 * C00019))</v>
      </c>
    </row>
    <row r="874" spans="1:11" ht="46.25" customHeight="1">
      <c r="A874" t="s">
        <v>3407</v>
      </c>
      <c r="B874" t="s">
        <v>3408</v>
      </c>
      <c r="C874" t="s">
        <v>16052</v>
      </c>
      <c r="D874" s="19">
        <v>873</v>
      </c>
      <c r="E874" s="19" t="str">
        <f t="shared" si="41"/>
        <v>E4_1_99_22</v>
      </c>
      <c r="F874" s="19" t="s">
        <v>13771</v>
      </c>
      <c r="G874" s="19" t="s">
        <v>15186</v>
      </c>
      <c r="H874" s="19" t="s">
        <v>14470</v>
      </c>
      <c r="I874" s="19" t="s">
        <v>15885</v>
      </c>
      <c r="J874" s="19" t="str">
        <f t="shared" si="42"/>
        <v>(${Variables:E4_1_99_22_kcat} * E4_1_99_22 * C00044 * C00019 * C00030)/(${Variables:E4_1_99_22_km} + (E4_1_99_22 * C00044 * C00019 * C00030))</v>
      </c>
      <c r="K874" s="37" t="str">
        <f t="shared" si="43"/>
        <v>r873: C00044 + C00019 + C00030 -&gt; C21310 + C05198 + C00073 + C00028 | (${Variables:E4_1_99_22_kcat} * E4_1_99_22 * C00044 * C00019 * C00030)/(${Variables:E4_1_99_22_km} + (E4_1_99_22 * C00044 * C00019 * C00030))</v>
      </c>
    </row>
    <row r="875" spans="1:11" ht="46.25" customHeight="1">
      <c r="A875" t="s">
        <v>1238</v>
      </c>
      <c r="B875" t="s">
        <v>1239</v>
      </c>
      <c r="C875" t="s">
        <v>13062</v>
      </c>
      <c r="D875" s="19">
        <v>874</v>
      </c>
      <c r="E875" s="19" t="str">
        <f t="shared" si="41"/>
        <v>E4_2_1_10</v>
      </c>
      <c r="F875" s="19" t="s">
        <v>10292</v>
      </c>
      <c r="G875" s="19" t="s">
        <v>10292</v>
      </c>
      <c r="H875" s="19" t="s">
        <v>14471</v>
      </c>
      <c r="I875" s="19" t="s">
        <v>15886</v>
      </c>
      <c r="J875" s="19" t="str">
        <f t="shared" si="42"/>
        <v>(${Variables:E4_2_1_10_kcat} * E4_2_1_10 * C00944)/(${Variables:E4_2_1_10_km} + (E4_2_1_10 * C00944))</v>
      </c>
      <c r="K875" s="37" t="str">
        <f t="shared" si="43"/>
        <v>r874: C00944 -&gt; C02637 + C00001 | (${Variables:E4_2_1_10_kcat} * E4_2_1_10 * C00944)/(${Variables:E4_2_1_10_km} + (E4_2_1_10 * C00944))</v>
      </c>
    </row>
    <row r="876" spans="1:11" ht="46.25" customHeight="1">
      <c r="A876" t="s">
        <v>2805</v>
      </c>
      <c r="B876" t="s">
        <v>2806</v>
      </c>
      <c r="C876" t="s">
        <v>13063</v>
      </c>
      <c r="D876" s="19">
        <v>875</v>
      </c>
      <c r="E876" s="19" t="str">
        <f t="shared" si="41"/>
        <v>E4_2_1_11</v>
      </c>
      <c r="F876" s="19" t="s">
        <v>9993</v>
      </c>
      <c r="G876" s="19" t="s">
        <v>9993</v>
      </c>
      <c r="H876" s="19" t="s">
        <v>14472</v>
      </c>
      <c r="I876" s="19" t="s">
        <v>15887</v>
      </c>
      <c r="J876" s="19" t="str">
        <f t="shared" si="42"/>
        <v>(${Variables:E4_2_1_11_kcat} * E4_2_1_11 * C00631)/(${Variables:E4_2_1_11_km} + (E4_2_1_11 * C00631))</v>
      </c>
      <c r="K876" s="37" t="str">
        <f t="shared" si="43"/>
        <v>r875: C00631 -&gt; C00074 + C00001 | (${Variables:E4_2_1_11_kcat} * E4_2_1_11 * C00631)/(${Variables:E4_2_1_11_km} + (E4_2_1_11 * C00631))</v>
      </c>
    </row>
    <row r="877" spans="1:11" ht="46.25" customHeight="1">
      <c r="A877" t="s">
        <v>2805</v>
      </c>
      <c r="B877" t="s">
        <v>2806</v>
      </c>
      <c r="C877" t="s">
        <v>13063</v>
      </c>
      <c r="D877" s="19">
        <v>876</v>
      </c>
      <c r="E877" s="19" t="str">
        <f t="shared" si="41"/>
        <v>E4_2_1_11</v>
      </c>
      <c r="F877" s="19" t="s">
        <v>9995</v>
      </c>
      <c r="G877" s="19" t="s">
        <v>9995</v>
      </c>
      <c r="H877" s="19" t="s">
        <v>14473</v>
      </c>
      <c r="I877" s="19" t="s">
        <v>15888</v>
      </c>
      <c r="J877" s="19" t="str">
        <f t="shared" si="42"/>
        <v>(${Variables:E4_2_1_11_kcat} * E4_2_1_11 * C03356)/(${Variables:E4_2_1_11_km} + (E4_2_1_11 * C03356))</v>
      </c>
      <c r="K877" s="37" t="str">
        <f t="shared" si="43"/>
        <v>r876: C03356 -&gt; C04309 + C00001 | (${Variables:E4_2_1_11_kcat} * E4_2_1_11 * C03356)/(${Variables:E4_2_1_11_km} + (E4_2_1_11 * C03356))</v>
      </c>
    </row>
    <row r="878" spans="1:11" ht="46.25" customHeight="1">
      <c r="A878" t="s">
        <v>1354</v>
      </c>
      <c r="B878" t="s">
        <v>1355</v>
      </c>
      <c r="C878" t="s">
        <v>13064</v>
      </c>
      <c r="D878" s="19">
        <v>877</v>
      </c>
      <c r="E878" s="19" t="str">
        <f t="shared" si="41"/>
        <v>E4_2_1_113</v>
      </c>
      <c r="F878" s="19" t="s">
        <v>13772</v>
      </c>
      <c r="G878" s="19" t="s">
        <v>15187</v>
      </c>
      <c r="H878" s="19" t="s">
        <v>10252</v>
      </c>
      <c r="I878" s="19" t="s">
        <v>10252</v>
      </c>
      <c r="J878" s="19" t="str">
        <f t="shared" si="42"/>
        <v>(${Variables:E4_2_1_113_kcat} * E4_2_1_113 * C02730 * C00001)/(${Variables:E4_2_1_113_km} + (E4_2_1_113 * C02730 * C00001))</v>
      </c>
      <c r="K878" s="37" t="str">
        <f t="shared" si="43"/>
        <v>r877: C02730 + C00001 -&gt; C05817 | (${Variables:E4_2_1_113_kcat} * E4_2_1_113 * C02730 * C00001)/(${Variables:E4_2_1_113_km} + (E4_2_1_113 * C02730 * C00001))</v>
      </c>
    </row>
    <row r="879" spans="1:11" ht="46.25" customHeight="1">
      <c r="A879" t="s">
        <v>1234</v>
      </c>
      <c r="B879" t="s">
        <v>1235</v>
      </c>
      <c r="C879" t="s">
        <v>13065</v>
      </c>
      <c r="D879" s="19">
        <v>878</v>
      </c>
      <c r="E879" s="19" t="str">
        <f t="shared" si="41"/>
        <v>E4_2_1_118</v>
      </c>
      <c r="F879" s="19" t="s">
        <v>10296</v>
      </c>
      <c r="G879" s="19" t="s">
        <v>10296</v>
      </c>
      <c r="H879" s="19" t="s">
        <v>14474</v>
      </c>
      <c r="I879" s="19" t="s">
        <v>15889</v>
      </c>
      <c r="J879" s="19" t="str">
        <f t="shared" si="42"/>
        <v>(${Variables:E4_2_1_118_kcat} * E4_2_1_118 * C02637)/(${Variables:E4_2_1_118_km} + (E4_2_1_118 * C02637))</v>
      </c>
      <c r="K879" s="37" t="str">
        <f t="shared" si="43"/>
        <v>r878: C02637 -&gt; C00230 + C00001 | (${Variables:E4_2_1_118_kcat} * E4_2_1_118 * C02637)/(${Variables:E4_2_1_118_km} + (E4_2_1_118 * C02637))</v>
      </c>
    </row>
    <row r="880" spans="1:11" ht="46.25" customHeight="1">
      <c r="A880" t="s">
        <v>5793</v>
      </c>
      <c r="B880" t="s">
        <v>5794</v>
      </c>
      <c r="C880" t="s">
        <v>13066</v>
      </c>
      <c r="D880" s="19">
        <v>879</v>
      </c>
      <c r="E880" s="19" t="str">
        <f t="shared" si="41"/>
        <v>E4_2_1_19</v>
      </c>
      <c r="F880" s="19" t="s">
        <v>9286</v>
      </c>
      <c r="G880" s="19" t="s">
        <v>9286</v>
      </c>
      <c r="H880" s="19" t="s">
        <v>14475</v>
      </c>
      <c r="I880" s="19" t="s">
        <v>15890</v>
      </c>
      <c r="J880" s="19" t="str">
        <f t="shared" si="42"/>
        <v>(${Variables:E4_2_1_19_kcat} * E4_2_1_19 * C04666)/(${Variables:E4_2_1_19_km} + (E4_2_1_19 * C04666))</v>
      </c>
      <c r="K880" s="37" t="str">
        <f t="shared" si="43"/>
        <v>r879: C04666 -&gt; C01267 + C00001 | (${Variables:E4_2_1_19_kcat} * E4_2_1_19 * C04666)/(${Variables:E4_2_1_19_km} + (E4_2_1_19 * C04666))</v>
      </c>
    </row>
    <row r="881" spans="1:11" ht="46.25" customHeight="1">
      <c r="A881" t="s">
        <v>2897</v>
      </c>
      <c r="B881" t="s">
        <v>2898</v>
      </c>
      <c r="C881" t="s">
        <v>13067</v>
      </c>
      <c r="D881" s="19">
        <v>880</v>
      </c>
      <c r="E881" s="19" t="str">
        <f t="shared" si="41"/>
        <v>E4_2_1_2</v>
      </c>
      <c r="F881" s="19" t="s">
        <v>9972</v>
      </c>
      <c r="G881" s="19" t="s">
        <v>9972</v>
      </c>
      <c r="H881" s="19" t="s">
        <v>14476</v>
      </c>
      <c r="I881" s="19" t="s">
        <v>15891</v>
      </c>
      <c r="J881" s="19" t="str">
        <f t="shared" si="42"/>
        <v>(${Variables:E4_2_1_2_kcat} * E4_2_1_2 * C00149)/(${Variables:E4_2_1_2_km} + (E4_2_1_2 * C00149))</v>
      </c>
      <c r="K881" s="37" t="str">
        <f t="shared" si="43"/>
        <v>r880: C00149 -&gt; C00122 + C00001 | (${Variables:E4_2_1_2_kcat} * E4_2_1_2 * C00149)/(${Variables:E4_2_1_2_km} + (E4_2_1_2 * C00149))</v>
      </c>
    </row>
    <row r="882" spans="1:11" ht="46.25" customHeight="1">
      <c r="A882" t="s">
        <v>8248</v>
      </c>
      <c r="B882" t="s">
        <v>8249</v>
      </c>
      <c r="C882" t="s">
        <v>13068</v>
      </c>
      <c r="D882" s="19">
        <v>881</v>
      </c>
      <c r="E882" s="19" t="str">
        <f t="shared" si="41"/>
        <v>E4_2_1_20</v>
      </c>
      <c r="F882" s="19" t="s">
        <v>13773</v>
      </c>
      <c r="G882" s="19" t="s">
        <v>15188</v>
      </c>
      <c r="H882" s="19" t="s">
        <v>14477</v>
      </c>
      <c r="I882" s="19" t="s">
        <v>15892</v>
      </c>
      <c r="J882" s="19" t="str">
        <f t="shared" si="42"/>
        <v>(${Variables:E4_2_1_20_kcat} * E4_2_1_20 * C00065 * C00463)/(${Variables:E4_2_1_20_km} + (E4_2_1_20 * C00065 * C00463))</v>
      </c>
      <c r="K882" s="37" t="str">
        <f t="shared" si="43"/>
        <v>r881: C00065 + C00463 -&gt; C00078 + C00001 | (${Variables:E4_2_1_20_kcat} * E4_2_1_20 * C00065 * C00463)/(${Variables:E4_2_1_20_km} + (E4_2_1_20 * C00065 * C00463))</v>
      </c>
    </row>
    <row r="883" spans="1:11" ht="46.25" customHeight="1">
      <c r="A883" t="s">
        <v>8248</v>
      </c>
      <c r="B883" t="s">
        <v>8249</v>
      </c>
      <c r="C883" t="s">
        <v>13068</v>
      </c>
      <c r="D883" s="19">
        <v>882</v>
      </c>
      <c r="E883" s="19" t="str">
        <f t="shared" si="41"/>
        <v>E4_2_1_20</v>
      </c>
      <c r="F883" s="19" t="s">
        <v>11818</v>
      </c>
      <c r="G883" s="19" t="s">
        <v>11818</v>
      </c>
      <c r="H883" s="19" t="s">
        <v>14478</v>
      </c>
      <c r="I883" s="19" t="s">
        <v>15893</v>
      </c>
      <c r="J883" s="19" t="str">
        <f t="shared" si="42"/>
        <v>(${Variables:E4_2_1_20_kcat} * E4_2_1_20 * C03506)/(${Variables:E4_2_1_20_km} + (E4_2_1_20 * C03506))</v>
      </c>
      <c r="K883" s="37" t="str">
        <f t="shared" si="43"/>
        <v>r882: C03506 -&gt; C00463 + C00118 | (${Variables:E4_2_1_20_kcat} * E4_2_1_20 * C03506)/(${Variables:E4_2_1_20_km} + (E4_2_1_20 * C03506))</v>
      </c>
    </row>
    <row r="884" spans="1:11" ht="46.25" customHeight="1">
      <c r="A884" t="s">
        <v>8248</v>
      </c>
      <c r="B884" t="s">
        <v>8249</v>
      </c>
      <c r="C884" t="s">
        <v>13068</v>
      </c>
      <c r="D884" s="19">
        <v>883</v>
      </c>
      <c r="E884" s="19" t="str">
        <f t="shared" si="41"/>
        <v>E4_2_1_20</v>
      </c>
      <c r="F884" s="19" t="s">
        <v>13774</v>
      </c>
      <c r="G884" s="19" t="s">
        <v>15189</v>
      </c>
      <c r="H884" s="19" t="s">
        <v>14479</v>
      </c>
      <c r="I884" s="19" t="s">
        <v>15894</v>
      </c>
      <c r="J884" s="19" t="str">
        <f t="shared" si="42"/>
        <v>(${Variables:E4_2_1_20_kcat} * E4_2_1_20 * C00065 * C03506)/(${Variables:E4_2_1_20_km} + (E4_2_1_20 * C00065 * C03506))</v>
      </c>
      <c r="K884" s="37" t="str">
        <f t="shared" si="43"/>
        <v>r883: C00065 + C03506 -&gt; C00078 + C00118 + C00001 | (${Variables:E4_2_1_20_kcat} * E4_2_1_20 * C00065 * C03506)/(${Variables:E4_2_1_20_km} + (E4_2_1_20 * C00065 * C03506))</v>
      </c>
    </row>
    <row r="885" spans="1:11" ht="46.25" customHeight="1">
      <c r="A885" t="s">
        <v>8252</v>
      </c>
      <c r="B885" t="s">
        <v>8253</v>
      </c>
      <c r="C885" t="s">
        <v>13068</v>
      </c>
      <c r="D885" s="19">
        <v>884</v>
      </c>
      <c r="E885" s="19" t="str">
        <f t="shared" si="41"/>
        <v>E4_2_1_20</v>
      </c>
      <c r="F885" s="19" t="s">
        <v>13773</v>
      </c>
      <c r="G885" s="19" t="s">
        <v>15188</v>
      </c>
      <c r="H885" s="19" t="s">
        <v>14477</v>
      </c>
      <c r="I885" s="19" t="s">
        <v>15892</v>
      </c>
      <c r="J885" s="19" t="str">
        <f t="shared" si="42"/>
        <v>(${Variables:E4_2_1_20_kcat} * E4_2_1_20 * C00065 * C00463)/(${Variables:E4_2_1_20_km} + (E4_2_1_20 * C00065 * C00463))</v>
      </c>
      <c r="K885" s="37" t="str">
        <f t="shared" si="43"/>
        <v>r884: C00065 + C00463 -&gt; C00078 + C00001 | (${Variables:E4_2_1_20_kcat} * E4_2_1_20 * C00065 * C00463)/(${Variables:E4_2_1_20_km} + (E4_2_1_20 * C00065 * C00463))</v>
      </c>
    </row>
    <row r="886" spans="1:11" ht="46.25" customHeight="1">
      <c r="A886" t="s">
        <v>8252</v>
      </c>
      <c r="B886" t="s">
        <v>8253</v>
      </c>
      <c r="C886" t="s">
        <v>13068</v>
      </c>
      <c r="D886" s="19">
        <v>885</v>
      </c>
      <c r="E886" s="19" t="str">
        <f t="shared" si="41"/>
        <v>E4_2_1_20</v>
      </c>
      <c r="F886" s="19" t="s">
        <v>11818</v>
      </c>
      <c r="G886" s="19" t="s">
        <v>11818</v>
      </c>
      <c r="H886" s="19" t="s">
        <v>14478</v>
      </c>
      <c r="I886" s="19" t="s">
        <v>15893</v>
      </c>
      <c r="J886" s="19" t="str">
        <f t="shared" si="42"/>
        <v>(${Variables:E4_2_1_20_kcat} * E4_2_1_20 * C03506)/(${Variables:E4_2_1_20_km} + (E4_2_1_20 * C03506))</v>
      </c>
      <c r="K886" s="37" t="str">
        <f t="shared" si="43"/>
        <v>r885: C03506 -&gt; C00463 + C00118 | (${Variables:E4_2_1_20_kcat} * E4_2_1_20 * C03506)/(${Variables:E4_2_1_20_km} + (E4_2_1_20 * C03506))</v>
      </c>
    </row>
    <row r="887" spans="1:11" ht="46.25" customHeight="1">
      <c r="A887" t="s">
        <v>8252</v>
      </c>
      <c r="B887" t="s">
        <v>8253</v>
      </c>
      <c r="C887" t="s">
        <v>13068</v>
      </c>
      <c r="D887" s="19">
        <v>886</v>
      </c>
      <c r="E887" s="19" t="str">
        <f t="shared" si="41"/>
        <v>E4_2_1_20</v>
      </c>
      <c r="F887" s="19" t="s">
        <v>13774</v>
      </c>
      <c r="G887" s="19" t="s">
        <v>15189</v>
      </c>
      <c r="H887" s="19" t="s">
        <v>14479</v>
      </c>
      <c r="I887" s="19" t="s">
        <v>15894</v>
      </c>
      <c r="J887" s="19" t="str">
        <f t="shared" si="42"/>
        <v>(${Variables:E4_2_1_20_kcat} * E4_2_1_20 * C00065 * C03506)/(${Variables:E4_2_1_20_km} + (E4_2_1_20 * C00065 * C03506))</v>
      </c>
      <c r="K887" s="37" t="str">
        <f t="shared" si="43"/>
        <v>r886: C00065 + C03506 -&gt; C00078 + C00118 + C00001 | (${Variables:E4_2_1_20_kcat} * E4_2_1_20 * C00065 * C03506)/(${Variables:E4_2_1_20_km} + (E4_2_1_20 * C00065 * C03506))</v>
      </c>
    </row>
    <row r="888" spans="1:11" ht="46.25" customHeight="1">
      <c r="A888" t="s">
        <v>1260</v>
      </c>
      <c r="B888" t="s">
        <v>1261</v>
      </c>
      <c r="C888" t="s">
        <v>13069</v>
      </c>
      <c r="D888" s="19">
        <v>887</v>
      </c>
      <c r="E888" s="19" t="str">
        <f t="shared" si="41"/>
        <v>E4_2_1_24</v>
      </c>
      <c r="F888" s="19" t="s">
        <v>10271</v>
      </c>
      <c r="G888" s="19" t="s">
        <v>10271</v>
      </c>
      <c r="H888" s="19" t="s">
        <v>13524</v>
      </c>
      <c r="I888" s="19" t="s">
        <v>14939</v>
      </c>
      <c r="J888" s="19" t="str">
        <f t="shared" si="42"/>
        <v>(${Variables:E4_2_1_24_kcat} * E4_2_1_24 * C00430)/(${Variables:E4_2_1_24_km} + (E4_2_1_24 * C00430))</v>
      </c>
      <c r="K888" s="37" t="str">
        <f t="shared" si="43"/>
        <v>r887: C00430 -&gt; C00931 + C00001 | (${Variables:E4_2_1_24_kcat} * E4_2_1_24 * C00430)/(${Variables:E4_2_1_24_km} + (E4_2_1_24 * C00430))</v>
      </c>
    </row>
    <row r="889" spans="1:11" ht="46.25" customHeight="1">
      <c r="A889" t="s">
        <v>2012</v>
      </c>
      <c r="B889" t="s">
        <v>2013</v>
      </c>
      <c r="C889" t="s">
        <v>13070</v>
      </c>
      <c r="D889" s="19">
        <v>888</v>
      </c>
      <c r="E889" s="19" t="str">
        <f t="shared" si="41"/>
        <v>E4_2_1_3</v>
      </c>
      <c r="F889" s="19" t="s">
        <v>10173</v>
      </c>
      <c r="G889" s="19" t="s">
        <v>10173</v>
      </c>
      <c r="H889" s="19" t="s">
        <v>9074</v>
      </c>
      <c r="I889" s="19" t="s">
        <v>9074</v>
      </c>
      <c r="J889" s="19" t="str">
        <f t="shared" si="42"/>
        <v>(${Variables:E4_2_1_3_kcat} * E4_2_1_3 * C00158)/(${Variables:E4_2_1_3_km} + (E4_2_1_3 * C00158))</v>
      </c>
      <c r="K889" s="37" t="str">
        <f t="shared" si="43"/>
        <v>r888: C00158 -&gt; C00311 | (${Variables:E4_2_1_3_kcat} * E4_2_1_3 * C00158)/(${Variables:E4_2_1_3_km} + (E4_2_1_3 * C00158))</v>
      </c>
    </row>
    <row r="890" spans="1:11" ht="46.25" customHeight="1">
      <c r="A890" t="s">
        <v>2012</v>
      </c>
      <c r="B890" t="s">
        <v>2013</v>
      </c>
      <c r="C890" t="s">
        <v>13070</v>
      </c>
      <c r="D890" s="19">
        <v>889</v>
      </c>
      <c r="E890" s="19" t="str">
        <f t="shared" si="41"/>
        <v>E4_2_1_3</v>
      </c>
      <c r="F890" s="19" t="s">
        <v>10173</v>
      </c>
      <c r="G890" s="19" t="s">
        <v>10173</v>
      </c>
      <c r="H890" s="19" t="s">
        <v>14480</v>
      </c>
      <c r="I890" s="19" t="s">
        <v>15895</v>
      </c>
      <c r="J890" s="19" t="str">
        <f t="shared" si="42"/>
        <v>(${Variables:E4_2_1_3_kcat} * E4_2_1_3 * C00158)/(${Variables:E4_2_1_3_km} + (E4_2_1_3 * C00158))</v>
      </c>
      <c r="K890" s="37" t="str">
        <f t="shared" si="43"/>
        <v>r889: C00158 -&gt; C00417 + C00001 | (${Variables:E4_2_1_3_kcat} * E4_2_1_3 * C00158)/(${Variables:E4_2_1_3_km} + (E4_2_1_3 * C00158))</v>
      </c>
    </row>
    <row r="891" spans="1:11" ht="46.25" customHeight="1">
      <c r="A891" t="s">
        <v>2012</v>
      </c>
      <c r="B891" t="s">
        <v>2013</v>
      </c>
      <c r="C891" t="s">
        <v>13070</v>
      </c>
      <c r="D891" s="19">
        <v>890</v>
      </c>
      <c r="E891" s="19" t="str">
        <f t="shared" si="41"/>
        <v>E4_2_1_3</v>
      </c>
      <c r="F891" s="19" t="s">
        <v>9074</v>
      </c>
      <c r="G891" s="19" t="s">
        <v>9074</v>
      </c>
      <c r="H891" s="19" t="s">
        <v>14480</v>
      </c>
      <c r="I891" s="19" t="s">
        <v>15895</v>
      </c>
      <c r="J891" s="19" t="str">
        <f t="shared" si="42"/>
        <v>(${Variables:E4_2_1_3_kcat} * E4_2_1_3 * C00311)/(${Variables:E4_2_1_3_km} + (E4_2_1_3 * C00311))</v>
      </c>
      <c r="K891" s="37" t="str">
        <f t="shared" si="43"/>
        <v>r890: C00311 -&gt; C00417 + C00001 | (${Variables:E4_2_1_3_kcat} * E4_2_1_3 * C00311)/(${Variables:E4_2_1_3_km} + (E4_2_1_3 * C00311))</v>
      </c>
    </row>
    <row r="892" spans="1:11" ht="46.25" customHeight="1">
      <c r="A892" t="s">
        <v>3724</v>
      </c>
      <c r="B892" t="s">
        <v>3725</v>
      </c>
      <c r="C892" t="s">
        <v>13071</v>
      </c>
      <c r="D892" s="19">
        <v>891</v>
      </c>
      <c r="E892" s="19" t="str">
        <f t="shared" si="41"/>
        <v>E4_2_1_33</v>
      </c>
      <c r="F892" s="19" t="s">
        <v>9798</v>
      </c>
      <c r="G892" s="19" t="s">
        <v>9798</v>
      </c>
      <c r="H892" s="19" t="s">
        <v>14481</v>
      </c>
      <c r="I892" s="19" t="s">
        <v>15896</v>
      </c>
      <c r="J892" s="19" t="str">
        <f t="shared" si="42"/>
        <v>(${Variables:E4_2_1_33_kcat} * E4_2_1_33 * C02504)/(${Variables:E4_2_1_33_km} + (E4_2_1_33 * C02504))</v>
      </c>
      <c r="K892" s="37" t="str">
        <f t="shared" si="43"/>
        <v>r891: C02504 -&gt; C02631 + C00001 | (${Variables:E4_2_1_33_kcat} * E4_2_1_33 * C02504)/(${Variables:E4_2_1_33_km} + (E4_2_1_33 * C02504))</v>
      </c>
    </row>
    <row r="893" spans="1:11" ht="46.25" customHeight="1">
      <c r="A893" t="s">
        <v>3724</v>
      </c>
      <c r="B893" t="s">
        <v>3725</v>
      </c>
      <c r="C893" t="s">
        <v>13071</v>
      </c>
      <c r="D893" s="19">
        <v>892</v>
      </c>
      <c r="E893" s="19" t="str">
        <f t="shared" si="41"/>
        <v>E4_2_1_33</v>
      </c>
      <c r="F893" s="19" t="s">
        <v>9800</v>
      </c>
      <c r="G893" s="19" t="s">
        <v>9800</v>
      </c>
      <c r="H893" s="19" t="s">
        <v>14481</v>
      </c>
      <c r="I893" s="19" t="s">
        <v>15896</v>
      </c>
      <c r="J893" s="19" t="str">
        <f t="shared" si="42"/>
        <v>(${Variables:E4_2_1_33_kcat} * E4_2_1_33 * C04411)/(${Variables:E4_2_1_33_km} + (E4_2_1_33 * C04411))</v>
      </c>
      <c r="K893" s="37" t="str">
        <f t="shared" si="43"/>
        <v>r892: C04411 -&gt; C02631 + C00001 | (${Variables:E4_2_1_33_kcat} * E4_2_1_33 * C04411)/(${Variables:E4_2_1_33_km} + (E4_2_1_33 * C04411))</v>
      </c>
    </row>
    <row r="894" spans="1:11" ht="46.25" customHeight="1">
      <c r="A894" t="s">
        <v>3724</v>
      </c>
      <c r="B894" t="s">
        <v>3725</v>
      </c>
      <c r="C894" t="s">
        <v>13071</v>
      </c>
      <c r="D894" s="19">
        <v>893</v>
      </c>
      <c r="E894" s="19" t="str">
        <f t="shared" si="41"/>
        <v>E4_2_1_33</v>
      </c>
      <c r="F894" s="19" t="s">
        <v>9800</v>
      </c>
      <c r="G894" s="19" t="s">
        <v>9800</v>
      </c>
      <c r="H894" s="19" t="s">
        <v>9798</v>
      </c>
      <c r="I894" s="19" t="s">
        <v>9798</v>
      </c>
      <c r="J894" s="19" t="str">
        <f t="shared" si="42"/>
        <v>(${Variables:E4_2_1_33_kcat} * E4_2_1_33 * C04411)/(${Variables:E4_2_1_33_km} + (E4_2_1_33 * C04411))</v>
      </c>
      <c r="K894" s="37" t="str">
        <f t="shared" si="43"/>
        <v>r893: C04411 -&gt; C02504 | (${Variables:E4_2_1_33_kcat} * E4_2_1_33 * C04411)/(${Variables:E4_2_1_33_km} + (E4_2_1_33 * C04411))</v>
      </c>
    </row>
    <row r="895" spans="1:11" ht="46.25" customHeight="1">
      <c r="A895" t="s">
        <v>3728</v>
      </c>
      <c r="B895" t="s">
        <v>3729</v>
      </c>
      <c r="C895" t="s">
        <v>13071</v>
      </c>
      <c r="D895" s="19">
        <v>894</v>
      </c>
      <c r="E895" s="19" t="str">
        <f t="shared" si="41"/>
        <v>E4_2_1_33</v>
      </c>
      <c r="F895" s="19" t="s">
        <v>9798</v>
      </c>
      <c r="G895" s="19" t="s">
        <v>9798</v>
      </c>
      <c r="H895" s="19" t="s">
        <v>14481</v>
      </c>
      <c r="I895" s="19" t="s">
        <v>15896</v>
      </c>
      <c r="J895" s="19" t="str">
        <f t="shared" si="42"/>
        <v>(${Variables:E4_2_1_33_kcat} * E4_2_1_33 * C02504)/(${Variables:E4_2_1_33_km} + (E4_2_1_33 * C02504))</v>
      </c>
      <c r="K895" s="37" t="str">
        <f t="shared" si="43"/>
        <v>r894: C02504 -&gt; C02631 + C00001 | (${Variables:E4_2_1_33_kcat} * E4_2_1_33 * C02504)/(${Variables:E4_2_1_33_km} + (E4_2_1_33 * C02504))</v>
      </c>
    </row>
    <row r="896" spans="1:11" ht="46.25" customHeight="1">
      <c r="A896" t="s">
        <v>3728</v>
      </c>
      <c r="B896" t="s">
        <v>3729</v>
      </c>
      <c r="C896" t="s">
        <v>13071</v>
      </c>
      <c r="D896" s="19">
        <v>895</v>
      </c>
      <c r="E896" s="19" t="str">
        <f t="shared" si="41"/>
        <v>E4_2_1_33</v>
      </c>
      <c r="F896" s="19" t="s">
        <v>9800</v>
      </c>
      <c r="G896" s="19" t="s">
        <v>9800</v>
      </c>
      <c r="H896" s="19" t="s">
        <v>14481</v>
      </c>
      <c r="I896" s="19" t="s">
        <v>15896</v>
      </c>
      <c r="J896" s="19" t="str">
        <f t="shared" si="42"/>
        <v>(${Variables:E4_2_1_33_kcat} * E4_2_1_33 * C04411)/(${Variables:E4_2_1_33_km} + (E4_2_1_33 * C04411))</v>
      </c>
      <c r="K896" s="37" t="str">
        <f t="shared" si="43"/>
        <v>r895: C04411 -&gt; C02631 + C00001 | (${Variables:E4_2_1_33_kcat} * E4_2_1_33 * C04411)/(${Variables:E4_2_1_33_km} + (E4_2_1_33 * C04411))</v>
      </c>
    </row>
    <row r="897" spans="1:11" ht="46.25" customHeight="1">
      <c r="A897" t="s">
        <v>3728</v>
      </c>
      <c r="B897" t="s">
        <v>3729</v>
      </c>
      <c r="C897" t="s">
        <v>13071</v>
      </c>
      <c r="D897" s="19">
        <v>896</v>
      </c>
      <c r="E897" s="19" t="str">
        <f t="shared" si="41"/>
        <v>E4_2_1_33</v>
      </c>
      <c r="F897" s="19" t="s">
        <v>9800</v>
      </c>
      <c r="G897" s="19" t="s">
        <v>9800</v>
      </c>
      <c r="H897" s="19" t="s">
        <v>9798</v>
      </c>
      <c r="I897" s="19" t="s">
        <v>9798</v>
      </c>
      <c r="J897" s="19" t="str">
        <f t="shared" si="42"/>
        <v>(${Variables:E4_2_1_33_kcat} * E4_2_1_33 * C04411)/(${Variables:E4_2_1_33_km} + (E4_2_1_33 * C04411))</v>
      </c>
      <c r="K897" s="37" t="str">
        <f t="shared" si="43"/>
        <v>r896: C04411 -&gt; C02504 | (${Variables:E4_2_1_33_kcat} * E4_2_1_33 * C04411)/(${Variables:E4_2_1_33_km} + (E4_2_1_33 * C04411))</v>
      </c>
    </row>
    <row r="898" spans="1:11" ht="46.25" customHeight="1">
      <c r="A898" t="s">
        <v>1003</v>
      </c>
      <c r="B898" t="s">
        <v>1004</v>
      </c>
      <c r="C898" t="s">
        <v>16053</v>
      </c>
      <c r="D898" s="19">
        <v>897</v>
      </c>
      <c r="E898" s="19" t="str">
        <f t="shared" si="41"/>
        <v>E4_2_1_46</v>
      </c>
      <c r="F898" s="19" t="s">
        <v>9461</v>
      </c>
      <c r="G898" s="19" t="s">
        <v>9461</v>
      </c>
      <c r="H898" s="19" t="s">
        <v>14482</v>
      </c>
      <c r="I898" s="19" t="s">
        <v>15897</v>
      </c>
      <c r="J898" s="19" t="str">
        <f t="shared" si="42"/>
        <v>(${Variables:E4_2_1_46_kcat} * E4_2_1_46 * C00842)/(${Variables:E4_2_1_46_km} + (E4_2_1_46 * C00842))</v>
      </c>
      <c r="K898" s="37" t="str">
        <f t="shared" si="43"/>
        <v>r897: C00842 -&gt; C11907 + C00001 | (${Variables:E4_2_1_46_kcat} * E4_2_1_46 * C00842)/(${Variables:E4_2_1_46_km} + (E4_2_1_46 * C00842))</v>
      </c>
    </row>
    <row r="899" spans="1:11" ht="46.25" customHeight="1">
      <c r="A899" t="s">
        <v>972</v>
      </c>
      <c r="B899" t="s">
        <v>973</v>
      </c>
      <c r="C899" t="s">
        <v>13072</v>
      </c>
      <c r="D899" s="19">
        <v>898</v>
      </c>
      <c r="E899" s="19" t="str">
        <f t="shared" si="41"/>
        <v>E4_2_1_47</v>
      </c>
      <c r="F899" s="19" t="s">
        <v>10362</v>
      </c>
      <c r="G899" s="19" t="s">
        <v>10362</v>
      </c>
      <c r="H899" s="19" t="s">
        <v>14483</v>
      </c>
      <c r="I899" s="19" t="s">
        <v>15898</v>
      </c>
      <c r="J899" s="19" t="str">
        <f t="shared" si="42"/>
        <v>(${Variables:E4_2_1_47_kcat} * E4_2_1_47 * C00096)/(${Variables:E4_2_1_47_km} + (E4_2_1_47 * C00096))</v>
      </c>
      <c r="K899" s="37" t="str">
        <f t="shared" si="43"/>
        <v>r898: C00096 -&gt; C01222 + C00001 | (${Variables:E4_2_1_47_kcat} * E4_2_1_47 * C00096)/(${Variables:E4_2_1_47_km} + (E4_2_1_47 * C00096))</v>
      </c>
    </row>
    <row r="900" spans="1:11" ht="46.25" customHeight="1">
      <c r="A900" t="s">
        <v>7906</v>
      </c>
      <c r="B900" t="s">
        <v>7907</v>
      </c>
      <c r="C900" t="s">
        <v>13073</v>
      </c>
      <c r="D900" s="19">
        <v>899</v>
      </c>
      <c r="E900" s="19" t="str">
        <f t="shared" si="41"/>
        <v>E4_2_1_51</v>
      </c>
      <c r="F900" s="19" t="s">
        <v>8577</v>
      </c>
      <c r="G900" s="19" t="s">
        <v>8577</v>
      </c>
      <c r="H900" s="19" t="s">
        <v>14484</v>
      </c>
      <c r="I900" s="19" t="s">
        <v>15899</v>
      </c>
      <c r="J900" s="19" t="str">
        <f t="shared" si="42"/>
        <v>(${Variables:E4_2_1_51_kcat} * E4_2_1_51 * C00254)/(${Variables:E4_2_1_51_km} + (E4_2_1_51 * C00254))</v>
      </c>
      <c r="K900" s="37" t="str">
        <f t="shared" si="43"/>
        <v>r899: C00254 -&gt; C00166 + C00001 + C00011 | (${Variables:E4_2_1_51_kcat} * E4_2_1_51 * C00254)/(${Variables:E4_2_1_51_km} + (E4_2_1_51 * C00254))</v>
      </c>
    </row>
    <row r="901" spans="1:11" ht="46.25" customHeight="1">
      <c r="A901" t="s">
        <v>7906</v>
      </c>
      <c r="B901" t="s">
        <v>7907</v>
      </c>
      <c r="C901" t="s">
        <v>13073</v>
      </c>
      <c r="D901" s="19">
        <v>900</v>
      </c>
      <c r="E901" s="19" t="str">
        <f t="shared" si="41"/>
        <v>E4_2_1_51</v>
      </c>
      <c r="F901" s="19" t="s">
        <v>11836</v>
      </c>
      <c r="G901" s="19" t="s">
        <v>11836</v>
      </c>
      <c r="H901" s="19" t="s">
        <v>16081</v>
      </c>
      <c r="I901" s="19" t="s">
        <v>16082</v>
      </c>
      <c r="J901" s="19" t="str">
        <f t="shared" si="42"/>
        <v>(${Variables:E4_2_1_51_kcat} * E4_2_1_51 * C00826)/(${Variables:E4_2_1_51_km} + (E4_2_1_51 * C00826))</v>
      </c>
      <c r="K901" s="37" t="str">
        <f t="shared" si="43"/>
        <v>r900: C00826 -&gt; C00079 + C00001 + C00011 | (${Variables:E4_2_1_51_kcat} * E4_2_1_51 * C00826)/(${Variables:E4_2_1_51_km} + (E4_2_1_51 * C00826))</v>
      </c>
    </row>
    <row r="902" spans="1:11" ht="46.25" customHeight="1">
      <c r="A902" t="s">
        <v>1253</v>
      </c>
      <c r="B902" t="s">
        <v>1254</v>
      </c>
      <c r="C902" t="s">
        <v>13074</v>
      </c>
      <c r="D902" s="19">
        <v>901</v>
      </c>
      <c r="E902" s="19" t="str">
        <f t="shared" si="41"/>
        <v>E4_2_1_75</v>
      </c>
      <c r="F902" s="19" t="s">
        <v>10288</v>
      </c>
      <c r="G902" s="19" t="s">
        <v>10288</v>
      </c>
      <c r="H902" s="19" t="s">
        <v>14485</v>
      </c>
      <c r="I902" s="19" t="s">
        <v>15900</v>
      </c>
      <c r="J902" s="19" t="str">
        <f t="shared" si="42"/>
        <v>(${Variables:E4_2_1_75_kcat} * E4_2_1_75 * C01024)/(${Variables:E4_2_1_75_km} + (E4_2_1_75 * C01024))</v>
      </c>
      <c r="K902" s="37" t="str">
        <f t="shared" si="43"/>
        <v>r901: C01024 -&gt; C01051 + C00001 | (${Variables:E4_2_1_75_kcat} * E4_2_1_75 * C01024)/(${Variables:E4_2_1_75_km} + (E4_2_1_75 * C01024))</v>
      </c>
    </row>
    <row r="903" spans="1:11" ht="46.25" customHeight="1">
      <c r="A903" t="s">
        <v>2012</v>
      </c>
      <c r="B903" t="s">
        <v>2013</v>
      </c>
      <c r="C903" t="s">
        <v>13075</v>
      </c>
      <c r="D903" s="19">
        <v>902</v>
      </c>
      <c r="E903" s="19" t="str">
        <f t="shared" si="41"/>
        <v>E4_2_1_79</v>
      </c>
      <c r="F903" s="19" t="s">
        <v>10178</v>
      </c>
      <c r="G903" s="19" t="s">
        <v>10178</v>
      </c>
      <c r="H903" s="19" t="s">
        <v>14486</v>
      </c>
      <c r="I903" s="19" t="s">
        <v>15901</v>
      </c>
      <c r="J903" s="19" t="str">
        <f t="shared" si="42"/>
        <v>(${Variables:E4_2_1_79_kcat} * E4_2_1_79 * C02225)/(${Variables:E4_2_1_79_km} + (E4_2_1_79 * C02225))</v>
      </c>
      <c r="K903" s="37" t="str">
        <f t="shared" si="43"/>
        <v>r902: C02225 -&gt; C04225 + C00001 | (${Variables:E4_2_1_79_kcat} * E4_2_1_79 * C02225)/(${Variables:E4_2_1_79_km} + (E4_2_1_79 * C02225))</v>
      </c>
    </row>
    <row r="904" spans="1:11" ht="46.25" customHeight="1">
      <c r="A904" t="s">
        <v>3603</v>
      </c>
      <c r="B904" t="s">
        <v>3604</v>
      </c>
      <c r="C904" t="s">
        <v>13076</v>
      </c>
      <c r="D904" s="19">
        <v>903</v>
      </c>
      <c r="E904" s="19" t="str">
        <f t="shared" si="41"/>
        <v>E4_2_1_9</v>
      </c>
      <c r="F904" s="19" t="s">
        <v>9849</v>
      </c>
      <c r="G904" s="19" t="s">
        <v>9849</v>
      </c>
      <c r="H904" s="19" t="s">
        <v>14487</v>
      </c>
      <c r="I904" s="19" t="s">
        <v>15902</v>
      </c>
      <c r="J904" s="19" t="str">
        <f t="shared" si="42"/>
        <v>(${Variables:E4_2_1_9_kcat} * E4_2_1_9 * C04039)/(${Variables:E4_2_1_9_km} + (E4_2_1_9 * C04039))</v>
      </c>
      <c r="K904" s="37" t="str">
        <f t="shared" si="43"/>
        <v>r903: C04039 -&gt; C00141 + C00001 | (${Variables:E4_2_1_9_kcat} * E4_2_1_9 * C04039)/(${Variables:E4_2_1_9_km} + (E4_2_1_9 * C04039))</v>
      </c>
    </row>
    <row r="905" spans="1:11" ht="46.25" customHeight="1">
      <c r="A905" t="s">
        <v>3603</v>
      </c>
      <c r="B905" t="s">
        <v>3604</v>
      </c>
      <c r="C905" t="s">
        <v>13076</v>
      </c>
      <c r="D905" s="19">
        <v>904</v>
      </c>
      <c r="E905" s="19" t="str">
        <f t="shared" si="41"/>
        <v>E4_2_1_9</v>
      </c>
      <c r="F905" s="19" t="s">
        <v>9851</v>
      </c>
      <c r="G905" s="19" t="s">
        <v>9851</v>
      </c>
      <c r="H905" s="19" t="s">
        <v>14487</v>
      </c>
      <c r="I905" s="19" t="s">
        <v>15902</v>
      </c>
      <c r="J905" s="19" t="str">
        <f t="shared" si="42"/>
        <v>(${Variables:E4_2_1_9_kcat} * E4_2_1_9 * C04272)/(${Variables:E4_2_1_9_km} + (E4_2_1_9 * C04272))</v>
      </c>
      <c r="K905" s="37" t="str">
        <f t="shared" si="43"/>
        <v>r904: C04272 -&gt; C00141 + C00001 | (${Variables:E4_2_1_9_kcat} * E4_2_1_9 * C04272)/(${Variables:E4_2_1_9_km} + (E4_2_1_9 * C04272))</v>
      </c>
    </row>
    <row r="906" spans="1:11" ht="46.25" customHeight="1">
      <c r="A906" t="s">
        <v>3603</v>
      </c>
      <c r="B906" t="s">
        <v>3604</v>
      </c>
      <c r="C906" t="s">
        <v>13076</v>
      </c>
      <c r="D906" s="19">
        <v>905</v>
      </c>
      <c r="E906" s="19" t="str">
        <f t="shared" ref="E906:E969" si="44">CONCATENATE("E",C906)</f>
        <v>E4_2_1_9</v>
      </c>
      <c r="F906" s="19" t="s">
        <v>12624</v>
      </c>
      <c r="G906" s="19" t="s">
        <v>12624</v>
      </c>
      <c r="H906" s="19" t="s">
        <v>14488</v>
      </c>
      <c r="I906" s="19" t="s">
        <v>15903</v>
      </c>
      <c r="J906" s="19" t="str">
        <f t="shared" si="42"/>
        <v>(${Variables:E4_2_1_9_kcat} * E4_2_1_9 * C06007)/(${Variables:E4_2_1_9_km} + (E4_2_1_9 * C06007))</v>
      </c>
      <c r="K906" s="37" t="str">
        <f t="shared" si="43"/>
        <v>r905: C06007 -&gt; C00671 + C00001 | (${Variables:E4_2_1_9_kcat} * E4_2_1_9 * C06007)/(${Variables:E4_2_1_9_km} + (E4_2_1_9 * C06007))</v>
      </c>
    </row>
    <row r="907" spans="1:11" ht="46.25" customHeight="1">
      <c r="A907" t="s">
        <v>1348</v>
      </c>
      <c r="B907" t="s">
        <v>1349</v>
      </c>
      <c r="C907" t="s">
        <v>13077</v>
      </c>
      <c r="D907" s="19">
        <v>906</v>
      </c>
      <c r="E907" s="19" t="str">
        <f t="shared" si="44"/>
        <v>E4_2_1_96</v>
      </c>
      <c r="F907" s="19" t="s">
        <v>10256</v>
      </c>
      <c r="G907" s="19" t="s">
        <v>10256</v>
      </c>
      <c r="H907" s="19" t="s">
        <v>14489</v>
      </c>
      <c r="I907" s="19" t="s">
        <v>15904</v>
      </c>
      <c r="J907" s="19" t="str">
        <f t="shared" ref="J907:J970" si="45">CONCATENATE("(${Variables:",E907,"_kcat","} * ",E907," * ",G907,")","/(${Variables:",E907,"_km","} + (",E907," * ",G907,"))")</f>
        <v>(${Variables:E4_2_1_96_kcat} * E4_2_1_96 * C15522)/(${Variables:E4_2_1_96_km} + (E4_2_1_96 * C15522))</v>
      </c>
      <c r="K907" s="37" t="str">
        <f t="shared" ref="K907:K970" si="46">CONCATENATE("r",D907,": ",F907," -&gt; ",H907," | ",J907)</f>
        <v>r906: C15522 -&gt; C00268 + C00001 | (${Variables:E4_2_1_96_kcat} * E4_2_1_96 * C15522)/(${Variables:E4_2_1_96_km} + (E4_2_1_96 * C15522))</v>
      </c>
    </row>
    <row r="908" spans="1:11" ht="46.25" customHeight="1">
      <c r="A908" t="s">
        <v>6129</v>
      </c>
      <c r="B908" t="s">
        <v>6130</v>
      </c>
      <c r="C908" t="s">
        <v>13078</v>
      </c>
      <c r="D908" s="19">
        <v>907</v>
      </c>
      <c r="E908" s="19" t="str">
        <f t="shared" si="44"/>
        <v>E4_2_3_1</v>
      </c>
      <c r="F908" s="19" t="s">
        <v>13775</v>
      </c>
      <c r="G908" s="19" t="s">
        <v>15190</v>
      </c>
      <c r="H908" s="19" t="s">
        <v>14490</v>
      </c>
      <c r="I908" s="19" t="s">
        <v>15905</v>
      </c>
      <c r="J908" s="19" t="str">
        <f t="shared" si="45"/>
        <v>(${Variables:E4_2_3_1_kcat} * E4_2_3_1 * C01102 * C00001)/(${Variables:E4_2_3_1_km} + (E4_2_3_1 * C01102 * C00001))</v>
      </c>
      <c r="K908" s="37" t="str">
        <f t="shared" si="46"/>
        <v>r907: C01102 + C00001 -&gt; C00188 + C00009 | (${Variables:E4_2_3_1_kcat} * E4_2_3_1 * C01102 * C00001)/(${Variables:E4_2_3_1_km} + (E4_2_3_1 * C01102 * C00001))</v>
      </c>
    </row>
    <row r="909" spans="1:11" ht="46.25" customHeight="1">
      <c r="A909" t="s">
        <v>6129</v>
      </c>
      <c r="B909" t="s">
        <v>6130</v>
      </c>
      <c r="C909" t="s">
        <v>13078</v>
      </c>
      <c r="D909" s="19">
        <v>908</v>
      </c>
      <c r="E909" s="19" t="str">
        <f t="shared" si="44"/>
        <v>E4_2_3_1</v>
      </c>
      <c r="F909" s="19" t="s">
        <v>13776</v>
      </c>
      <c r="G909" s="19" t="s">
        <v>15191</v>
      </c>
      <c r="H909" s="19" t="s">
        <v>14491</v>
      </c>
      <c r="I909" s="19" t="s">
        <v>15906</v>
      </c>
      <c r="J909" s="19" t="str">
        <f t="shared" si="45"/>
        <v>(${Variables:E4_2_3_1_kcat} * E4_2_3_1 * C06055 * C00001)/(${Variables:E4_2_3_1_km} + (E4_2_3_1 * C06055 * C00001))</v>
      </c>
      <c r="K909" s="37" t="str">
        <f t="shared" si="46"/>
        <v>r908: C06055 + C00001 -&gt; C06056 + C00009 | (${Variables:E4_2_3_1_kcat} * E4_2_3_1 * C06055 * C00001)/(${Variables:E4_2_3_1_km} + (E4_2_3_1 * C06055 * C00001))</v>
      </c>
    </row>
    <row r="910" spans="1:11" ht="46.25" customHeight="1">
      <c r="A910" t="s">
        <v>4594</v>
      </c>
      <c r="B910" t="s">
        <v>4595</v>
      </c>
      <c r="C910" t="s">
        <v>13079</v>
      </c>
      <c r="D910" s="19">
        <v>909</v>
      </c>
      <c r="E910" s="19" t="str">
        <f t="shared" si="44"/>
        <v>E4_2_3_4</v>
      </c>
      <c r="F910" s="19" t="s">
        <v>9542</v>
      </c>
      <c r="G910" s="19" t="s">
        <v>9542</v>
      </c>
      <c r="H910" s="19" t="s">
        <v>14492</v>
      </c>
      <c r="I910" s="19" t="s">
        <v>15907</v>
      </c>
      <c r="J910" s="19" t="str">
        <f t="shared" si="45"/>
        <v>(${Variables:E4_2_3_4_kcat} * E4_2_3_4 * C04691)/(${Variables:E4_2_3_4_km} + (E4_2_3_4 * C04691))</v>
      </c>
      <c r="K910" s="37" t="str">
        <f t="shared" si="46"/>
        <v>r909: C04691 -&gt; C00944 + C00009 | (${Variables:E4_2_3_4_kcat} * E4_2_3_4 * C04691)/(${Variables:E4_2_3_4_km} + (E4_2_3_4 * C04691))</v>
      </c>
    </row>
    <row r="911" spans="1:11" ht="46.25" customHeight="1">
      <c r="A911" t="s">
        <v>4601</v>
      </c>
      <c r="B911" t="s">
        <v>4602</v>
      </c>
      <c r="C911" t="s">
        <v>16054</v>
      </c>
      <c r="D911" s="19">
        <v>910</v>
      </c>
      <c r="E911" s="19" t="str">
        <f t="shared" si="44"/>
        <v>E4_2_3_5</v>
      </c>
      <c r="F911" s="19" t="s">
        <v>9535</v>
      </c>
      <c r="G911" s="19" t="s">
        <v>9535</v>
      </c>
      <c r="H911" s="19" t="s">
        <v>14493</v>
      </c>
      <c r="I911" s="19" t="s">
        <v>15908</v>
      </c>
      <c r="J911" s="19" t="str">
        <f t="shared" si="45"/>
        <v>(${Variables:E4_2_3_5_kcat} * E4_2_3_5 * C01269)/(${Variables:E4_2_3_5_km} + (E4_2_3_5 * C01269))</v>
      </c>
      <c r="K911" s="37" t="str">
        <f t="shared" si="46"/>
        <v>r910: C01269 -&gt; C00251 + C00009 | (${Variables:E4_2_3_5_kcat} * E4_2_3_5 * C01269)/(${Variables:E4_2_3_5_km} + (E4_2_3_5 * C01269))</v>
      </c>
    </row>
    <row r="912" spans="1:11" ht="46.25" customHeight="1">
      <c r="A912" t="s">
        <v>4239</v>
      </c>
      <c r="B912" t="s">
        <v>4240</v>
      </c>
      <c r="C912" t="s">
        <v>13080</v>
      </c>
      <c r="D912" s="19">
        <v>911</v>
      </c>
      <c r="E912" s="19" t="str">
        <f t="shared" si="44"/>
        <v>E4_3_1_1</v>
      </c>
      <c r="F912" s="19" t="s">
        <v>9700</v>
      </c>
      <c r="G912" s="19" t="s">
        <v>9700</v>
      </c>
      <c r="H912" s="19" t="s">
        <v>14494</v>
      </c>
      <c r="I912" s="19" t="s">
        <v>15909</v>
      </c>
      <c r="J912" s="19" t="str">
        <f t="shared" si="45"/>
        <v>(${Variables:E4_3_1_1_kcat} * E4_3_1_1 * C00049)/(${Variables:E4_3_1_1_km} + (E4_3_1_1 * C00049))</v>
      </c>
      <c r="K912" s="37" t="str">
        <f t="shared" si="46"/>
        <v>r911: C00049 -&gt; C00122 + C00014 | (${Variables:E4_3_1_1_kcat} * E4_3_1_1 * C00049)/(${Variables:E4_3_1_1_km} + (E4_3_1_1 * C00049))</v>
      </c>
    </row>
    <row r="913" spans="1:11" ht="46.25" customHeight="1">
      <c r="A913" t="s">
        <v>4657</v>
      </c>
      <c r="B913" t="s">
        <v>4658</v>
      </c>
      <c r="C913" t="s">
        <v>13081</v>
      </c>
      <c r="D913" s="19">
        <v>912</v>
      </c>
      <c r="E913" s="19" t="str">
        <f t="shared" si="44"/>
        <v>E4_3_1_17</v>
      </c>
      <c r="F913" s="19" t="s">
        <v>9255</v>
      </c>
      <c r="G913" s="19" t="s">
        <v>9255</v>
      </c>
      <c r="H913" s="19" t="s">
        <v>14495</v>
      </c>
      <c r="I913" s="19" t="s">
        <v>15910</v>
      </c>
      <c r="J913" s="19" t="str">
        <f t="shared" si="45"/>
        <v>(${Variables:E4_3_1_17_kcat} * E4_3_1_17 * C00065)/(${Variables:E4_3_1_17_km} + (E4_3_1_17 * C00065))</v>
      </c>
      <c r="K913" s="37" t="str">
        <f t="shared" si="46"/>
        <v>r912: C00065 -&gt; C00022 + C00014 | (${Variables:E4_3_1_17_kcat} * E4_3_1_17 * C00065)/(${Variables:E4_3_1_17_km} + (E4_3_1_17 * C00065))</v>
      </c>
    </row>
    <row r="914" spans="1:11" ht="46.25" customHeight="1">
      <c r="A914" t="s">
        <v>4657</v>
      </c>
      <c r="B914" t="s">
        <v>4658</v>
      </c>
      <c r="C914" t="s">
        <v>13081</v>
      </c>
      <c r="D914" s="19">
        <v>913</v>
      </c>
      <c r="E914" s="19" t="str">
        <f t="shared" si="44"/>
        <v>E4_3_1_17</v>
      </c>
      <c r="F914" s="19" t="s">
        <v>9255</v>
      </c>
      <c r="G914" s="19" t="s">
        <v>9255</v>
      </c>
      <c r="H914" s="19" t="s">
        <v>14496</v>
      </c>
      <c r="I914" s="19" t="s">
        <v>15911</v>
      </c>
      <c r="J914" s="19" t="str">
        <f t="shared" si="45"/>
        <v>(${Variables:E4_3_1_17_kcat} * E4_3_1_17 * C00065)/(${Variables:E4_3_1_17_km} + (E4_3_1_17 * C00065))</v>
      </c>
      <c r="K914" s="37" t="str">
        <f t="shared" si="46"/>
        <v>r913: C00065 -&gt; C02218 + C00001 | (${Variables:E4_3_1_17_kcat} * E4_3_1_17 * C00065)/(${Variables:E4_3_1_17_km} + (E4_3_1_17 * C00065))</v>
      </c>
    </row>
    <row r="915" spans="1:11" ht="46.25" customHeight="1">
      <c r="A915" t="s">
        <v>4657</v>
      </c>
      <c r="B915" t="s">
        <v>4658</v>
      </c>
      <c r="C915" t="s">
        <v>13081</v>
      </c>
      <c r="D915" s="19">
        <v>914</v>
      </c>
      <c r="E915" s="19" t="str">
        <f t="shared" si="44"/>
        <v>E4_3_1_17</v>
      </c>
      <c r="F915" s="19" t="s">
        <v>13777</v>
      </c>
      <c r="G915" s="19" t="s">
        <v>15192</v>
      </c>
      <c r="H915" s="19" t="s">
        <v>14495</v>
      </c>
      <c r="I915" s="19" t="s">
        <v>15910</v>
      </c>
      <c r="J915" s="19" t="str">
        <f t="shared" si="45"/>
        <v>(${Variables:E4_3_1_17_kcat} * E4_3_1_17 * C20904 * C00001)/(${Variables:E4_3_1_17_km} + (E4_3_1_17 * C20904 * C00001))</v>
      </c>
      <c r="K915" s="37" t="str">
        <f t="shared" si="46"/>
        <v>r914: C20904 + C00001 -&gt; C00022 + C00014 | (${Variables:E4_3_1_17_kcat} * E4_3_1_17 * C20904 * C00001)/(${Variables:E4_3_1_17_km} + (E4_3_1_17 * C20904 * C00001))</v>
      </c>
    </row>
    <row r="916" spans="1:11" ht="46.25" customHeight="1">
      <c r="A916" t="s">
        <v>4657</v>
      </c>
      <c r="B916" t="s">
        <v>4658</v>
      </c>
      <c r="C916" t="s">
        <v>13081</v>
      </c>
      <c r="D916" s="19">
        <v>915</v>
      </c>
      <c r="E916" s="19" t="str">
        <f t="shared" si="44"/>
        <v>E4_3_1_17</v>
      </c>
      <c r="F916" s="19" t="s">
        <v>9518</v>
      </c>
      <c r="G916" s="19" t="s">
        <v>9518</v>
      </c>
      <c r="H916" s="19" t="s">
        <v>9519</v>
      </c>
      <c r="I916" s="19" t="s">
        <v>9519</v>
      </c>
      <c r="J916" s="19" t="str">
        <f t="shared" si="45"/>
        <v>(${Variables:E4_3_1_17_kcat} * E4_3_1_17 * C02218)/(${Variables:E4_3_1_17_km} + (E4_3_1_17 * C02218))</v>
      </c>
      <c r="K916" s="37" t="str">
        <f t="shared" si="46"/>
        <v>r915: C02218 -&gt; C20904 | (${Variables:E4_3_1_17_kcat} * E4_3_1_17 * C02218)/(${Variables:E4_3_1_17_km} + (E4_3_1_17 * C02218))</v>
      </c>
    </row>
    <row r="917" spans="1:11" ht="46.25" customHeight="1">
      <c r="A917" t="s">
        <v>4657</v>
      </c>
      <c r="B917" t="s">
        <v>4658</v>
      </c>
      <c r="C917" t="s">
        <v>13081</v>
      </c>
      <c r="D917" s="19">
        <v>916</v>
      </c>
      <c r="E917" s="19" t="str">
        <f t="shared" si="44"/>
        <v>E4_3_1_17</v>
      </c>
      <c r="F917" s="19" t="s">
        <v>9257</v>
      </c>
      <c r="G917" s="19" t="s">
        <v>9257</v>
      </c>
      <c r="H917" s="19" t="s">
        <v>14497</v>
      </c>
      <c r="I917" s="19" t="s">
        <v>15912</v>
      </c>
      <c r="J917" s="19" t="str">
        <f t="shared" si="45"/>
        <v>(${Variables:E4_3_1_17_kcat} * E4_3_1_17 * C05167)/(${Variables:E4_3_1_17_km} + (E4_3_1_17 * C05167))</v>
      </c>
      <c r="K917" s="37" t="str">
        <f t="shared" si="46"/>
        <v>r916: C05167 -&gt; C00161 + C00014 | (${Variables:E4_3_1_17_kcat} * E4_3_1_17 * C05167)/(${Variables:E4_3_1_17_km} + (E4_3_1_17 * C05167))</v>
      </c>
    </row>
    <row r="918" spans="1:11" ht="46.25" customHeight="1">
      <c r="A918" t="s">
        <v>5861</v>
      </c>
      <c r="B918" t="s">
        <v>5862</v>
      </c>
      <c r="C918" t="s">
        <v>13082</v>
      </c>
      <c r="D918" s="19">
        <v>917</v>
      </c>
      <c r="E918" s="19" t="str">
        <f t="shared" si="44"/>
        <v>E4_3_1_19</v>
      </c>
      <c r="F918" s="19" t="s">
        <v>9249</v>
      </c>
      <c r="G918" s="19" t="s">
        <v>9249</v>
      </c>
      <c r="H918" s="19" t="s">
        <v>14498</v>
      </c>
      <c r="I918" s="19" t="s">
        <v>15913</v>
      </c>
      <c r="J918" s="19" t="str">
        <f t="shared" si="45"/>
        <v>(${Variables:E4_3_1_19_kcat} * E4_3_1_19 * C00188)/(${Variables:E4_3_1_19_km} + (E4_3_1_19 * C00188))</v>
      </c>
      <c r="K918" s="37" t="str">
        <f t="shared" si="46"/>
        <v>r917: C00188 -&gt; C00109 + C00014 | (${Variables:E4_3_1_19_kcat} * E4_3_1_19 * C00188)/(${Variables:E4_3_1_19_km} + (E4_3_1_19 * C00188))</v>
      </c>
    </row>
    <row r="919" spans="1:11" ht="46.25" customHeight="1">
      <c r="A919" t="s">
        <v>5861</v>
      </c>
      <c r="B919" t="s">
        <v>5862</v>
      </c>
      <c r="C919" t="s">
        <v>13082</v>
      </c>
      <c r="D919" s="19">
        <v>918</v>
      </c>
      <c r="E919" s="19" t="str">
        <f t="shared" si="44"/>
        <v>E4_3_1_19</v>
      </c>
      <c r="F919" s="19" t="s">
        <v>13778</v>
      </c>
      <c r="G919" s="19" t="s">
        <v>15193</v>
      </c>
      <c r="H919" s="19" t="s">
        <v>14498</v>
      </c>
      <c r="I919" s="19" t="s">
        <v>15913</v>
      </c>
      <c r="J919" s="19" t="str">
        <f t="shared" si="45"/>
        <v>(${Variables:E4_3_1_19_kcat} * E4_3_1_19 * C20905 * C00001)/(${Variables:E4_3_1_19_km} + (E4_3_1_19 * C20905 * C00001))</v>
      </c>
      <c r="K919" s="37" t="str">
        <f t="shared" si="46"/>
        <v>r918: C20905 + C00001 -&gt; C00109 + C00014 | (${Variables:E4_3_1_19_kcat} * E4_3_1_19 * C20905 * C00001)/(${Variables:E4_3_1_19_km} + (E4_3_1_19 * C20905 * C00001))</v>
      </c>
    </row>
    <row r="920" spans="1:11" ht="46.25" customHeight="1">
      <c r="A920" t="s">
        <v>5861</v>
      </c>
      <c r="B920" t="s">
        <v>5862</v>
      </c>
      <c r="C920" t="s">
        <v>13082</v>
      </c>
      <c r="D920" s="19">
        <v>919</v>
      </c>
      <c r="E920" s="19" t="str">
        <f t="shared" si="44"/>
        <v>E4_3_1_19</v>
      </c>
      <c r="F920" s="19" t="s">
        <v>9252</v>
      </c>
      <c r="G920" s="19" t="s">
        <v>9252</v>
      </c>
      <c r="H920" s="19" t="s">
        <v>9253</v>
      </c>
      <c r="I920" s="19" t="s">
        <v>9253</v>
      </c>
      <c r="J920" s="19" t="str">
        <f t="shared" si="45"/>
        <v>(${Variables:E4_3_1_19_kcat} * E4_3_1_19 * C17234)/(${Variables:E4_3_1_19_km} + (E4_3_1_19 * C17234))</v>
      </c>
      <c r="K920" s="37" t="str">
        <f t="shared" si="46"/>
        <v>r919: C17234 -&gt; C20905 | (${Variables:E4_3_1_19_kcat} * E4_3_1_19 * C17234)/(${Variables:E4_3_1_19_km} + (E4_3_1_19 * C17234))</v>
      </c>
    </row>
    <row r="921" spans="1:11" ht="46.25" customHeight="1">
      <c r="A921" t="s">
        <v>5861</v>
      </c>
      <c r="B921" t="s">
        <v>5862</v>
      </c>
      <c r="C921" t="s">
        <v>13082</v>
      </c>
      <c r="D921" s="19">
        <v>920</v>
      </c>
      <c r="E921" s="19" t="str">
        <f t="shared" si="44"/>
        <v>E4_3_1_19</v>
      </c>
      <c r="F921" s="19" t="s">
        <v>9255</v>
      </c>
      <c r="G921" s="19" t="s">
        <v>9255</v>
      </c>
      <c r="H921" s="19" t="s">
        <v>14495</v>
      </c>
      <c r="I921" s="19" t="s">
        <v>15910</v>
      </c>
      <c r="J921" s="19" t="str">
        <f t="shared" si="45"/>
        <v>(${Variables:E4_3_1_19_kcat} * E4_3_1_19 * C00065)/(${Variables:E4_3_1_19_km} + (E4_3_1_19 * C00065))</v>
      </c>
      <c r="K921" s="37" t="str">
        <f t="shared" si="46"/>
        <v>r920: C00065 -&gt; C00022 + C00014 | (${Variables:E4_3_1_19_kcat} * E4_3_1_19 * C00065)/(${Variables:E4_3_1_19_km} + (E4_3_1_19 * C00065))</v>
      </c>
    </row>
    <row r="922" spans="1:11" ht="46.25" customHeight="1">
      <c r="A922" t="s">
        <v>5861</v>
      </c>
      <c r="B922" t="s">
        <v>5862</v>
      </c>
      <c r="C922" t="s">
        <v>13082</v>
      </c>
      <c r="D922" s="19">
        <v>921</v>
      </c>
      <c r="E922" s="19" t="str">
        <f t="shared" si="44"/>
        <v>E4_3_1_19</v>
      </c>
      <c r="F922" s="19" t="s">
        <v>9257</v>
      </c>
      <c r="G922" s="19" t="s">
        <v>9257</v>
      </c>
      <c r="H922" s="19" t="s">
        <v>14497</v>
      </c>
      <c r="I922" s="19" t="s">
        <v>15912</v>
      </c>
      <c r="J922" s="19" t="str">
        <f t="shared" si="45"/>
        <v>(${Variables:E4_3_1_19_kcat} * E4_3_1_19 * C05167)/(${Variables:E4_3_1_19_km} + (E4_3_1_19 * C05167))</v>
      </c>
      <c r="K922" s="37" t="str">
        <f t="shared" si="46"/>
        <v>r921: C05167 -&gt; C00161 + C00014 | (${Variables:E4_3_1_19_kcat} * E4_3_1_19 * C05167)/(${Variables:E4_3_1_19_km} + (E4_3_1_19 * C05167))</v>
      </c>
    </row>
    <row r="923" spans="1:11" ht="46.25" customHeight="1">
      <c r="A923" t="s">
        <v>3955</v>
      </c>
      <c r="B923" t="s">
        <v>3956</v>
      </c>
      <c r="C923" t="s">
        <v>13083</v>
      </c>
      <c r="D923" s="19">
        <v>922</v>
      </c>
      <c r="E923" s="19" t="str">
        <f t="shared" si="44"/>
        <v>E4_3_2_1</v>
      </c>
      <c r="F923" s="19" t="s">
        <v>9746</v>
      </c>
      <c r="G923" s="19" t="s">
        <v>9746</v>
      </c>
      <c r="H923" s="19" t="s">
        <v>14499</v>
      </c>
      <c r="I923" s="19" t="s">
        <v>15914</v>
      </c>
      <c r="J923" s="19" t="str">
        <f t="shared" si="45"/>
        <v>(${Variables:E4_3_2_1_kcat} * E4_3_2_1 * C03406)/(${Variables:E4_3_2_1_km} + (E4_3_2_1 * C03406))</v>
      </c>
      <c r="K923" s="37" t="str">
        <f t="shared" si="46"/>
        <v>r922: C03406 -&gt; C00122 + C00062 | (${Variables:E4_3_2_1_kcat} * E4_3_2_1 * C03406)/(${Variables:E4_3_2_1_km} + (E4_3_2_1 * C03406))</v>
      </c>
    </row>
    <row r="924" spans="1:11" ht="46.25" customHeight="1">
      <c r="A924" t="s">
        <v>5774</v>
      </c>
      <c r="B924" t="s">
        <v>5775</v>
      </c>
      <c r="C924" t="s">
        <v>13084</v>
      </c>
      <c r="D924" s="19">
        <v>923</v>
      </c>
      <c r="E924" s="19" t="str">
        <f t="shared" si="44"/>
        <v>E4_3_2_10</v>
      </c>
      <c r="F924" s="19" t="s">
        <v>13319</v>
      </c>
      <c r="G924" s="19" t="s">
        <v>14734</v>
      </c>
      <c r="H924" s="19" t="s">
        <v>13998</v>
      </c>
      <c r="I924" s="19" t="s">
        <v>15413</v>
      </c>
      <c r="J924" s="19" t="str">
        <f t="shared" si="45"/>
        <v>(${Variables:E4_3_2_10_kcat} * E4_3_2_10 * C00064 * C00001)/(${Variables:E4_3_2_10_km} + (E4_3_2_10 * C00064 * C00001))</v>
      </c>
      <c r="K924" s="37" t="str">
        <f t="shared" si="46"/>
        <v>r923: C00064 + C00001 -&gt; C00025 + C00014 | (${Variables:E4_3_2_10_kcat} * E4_3_2_10 * C00064 * C00001)/(${Variables:E4_3_2_10_km} + (E4_3_2_10 * C00064 * C00001))</v>
      </c>
    </row>
    <row r="925" spans="1:11" ht="46.25" customHeight="1">
      <c r="A925" t="s">
        <v>5774</v>
      </c>
      <c r="B925" t="s">
        <v>5775</v>
      </c>
      <c r="C925" t="s">
        <v>13084</v>
      </c>
      <c r="D925" s="19">
        <v>924</v>
      </c>
      <c r="E925" s="19" t="str">
        <f t="shared" si="44"/>
        <v>E4_3_2_10</v>
      </c>
      <c r="F925" s="19" t="s">
        <v>13779</v>
      </c>
      <c r="G925" s="19" t="s">
        <v>15194</v>
      </c>
      <c r="H925" s="19" t="s">
        <v>14500</v>
      </c>
      <c r="I925" s="19" t="s">
        <v>15915</v>
      </c>
      <c r="J925" s="19" t="str">
        <f t="shared" si="45"/>
        <v>(${Variables:E4_3_2_10_kcat} * E4_3_2_10 * C04916 * C00064)/(${Variables:E4_3_2_10_km} + (E4_3_2_10 * C04916 * C00064))</v>
      </c>
      <c r="K925" s="37" t="str">
        <f t="shared" si="46"/>
        <v>r924: C04916 + C00064 -&gt; C04666 + C04677 + C00025 | (${Variables:E4_3_2_10_kcat} * E4_3_2_10 * C04916 * C00064)/(${Variables:E4_3_2_10_km} + (E4_3_2_10 * C04916 * C00064))</v>
      </c>
    </row>
    <row r="926" spans="1:11" ht="46.25" customHeight="1">
      <c r="A926" t="s">
        <v>5774</v>
      </c>
      <c r="B926" t="s">
        <v>5775</v>
      </c>
      <c r="C926" t="s">
        <v>13084</v>
      </c>
      <c r="D926" s="19">
        <v>925</v>
      </c>
      <c r="E926" s="19" t="str">
        <f t="shared" si="44"/>
        <v>E4_3_2_10</v>
      </c>
      <c r="F926" s="19" t="s">
        <v>13780</v>
      </c>
      <c r="G926" s="19" t="s">
        <v>15195</v>
      </c>
      <c r="H926" s="19" t="s">
        <v>14501</v>
      </c>
      <c r="I926" s="19" t="s">
        <v>15916</v>
      </c>
      <c r="J926" s="19" t="str">
        <f t="shared" si="45"/>
        <v>(${Variables:E4_3_2_10_kcat} * E4_3_2_10 * C04916 * C00014)/(${Variables:E4_3_2_10_km} + (E4_3_2_10 * C04916 * C00014))</v>
      </c>
      <c r="K926" s="37" t="str">
        <f t="shared" si="46"/>
        <v>r925: C04916 + C00014 -&gt; C04677 + C04666 + C00001 | (${Variables:E4_3_2_10_kcat} * E4_3_2_10 * C04916 * C00014)/(${Variables:E4_3_2_10_km} + (E4_3_2_10 * C04916 * C00014))</v>
      </c>
    </row>
    <row r="927" spans="1:11" ht="46.25" customHeight="1">
      <c r="A927" t="s">
        <v>5784</v>
      </c>
      <c r="B927" t="s">
        <v>5785</v>
      </c>
      <c r="C927" t="s">
        <v>13084</v>
      </c>
      <c r="D927" s="19">
        <v>926</v>
      </c>
      <c r="E927" s="19" t="str">
        <f t="shared" si="44"/>
        <v>E4_3_2_10</v>
      </c>
      <c r="F927" s="19" t="s">
        <v>13319</v>
      </c>
      <c r="G927" s="19" t="s">
        <v>14734</v>
      </c>
      <c r="H927" s="19" t="s">
        <v>13998</v>
      </c>
      <c r="I927" s="19" t="s">
        <v>15413</v>
      </c>
      <c r="J927" s="19" t="str">
        <f t="shared" si="45"/>
        <v>(${Variables:E4_3_2_10_kcat} * E4_3_2_10 * C00064 * C00001)/(${Variables:E4_3_2_10_km} + (E4_3_2_10 * C00064 * C00001))</v>
      </c>
      <c r="K927" s="37" t="str">
        <f t="shared" si="46"/>
        <v>r926: C00064 + C00001 -&gt; C00025 + C00014 | (${Variables:E4_3_2_10_kcat} * E4_3_2_10 * C00064 * C00001)/(${Variables:E4_3_2_10_km} + (E4_3_2_10 * C00064 * C00001))</v>
      </c>
    </row>
    <row r="928" spans="1:11" ht="46.25" customHeight="1">
      <c r="A928" t="s">
        <v>5784</v>
      </c>
      <c r="B928" t="s">
        <v>5785</v>
      </c>
      <c r="C928" t="s">
        <v>13084</v>
      </c>
      <c r="D928" s="19">
        <v>927</v>
      </c>
      <c r="E928" s="19" t="str">
        <f t="shared" si="44"/>
        <v>E4_3_2_10</v>
      </c>
      <c r="F928" s="19" t="s">
        <v>13779</v>
      </c>
      <c r="G928" s="19" t="s">
        <v>15194</v>
      </c>
      <c r="H928" s="19" t="s">
        <v>14500</v>
      </c>
      <c r="I928" s="19" t="s">
        <v>15915</v>
      </c>
      <c r="J928" s="19" t="str">
        <f t="shared" si="45"/>
        <v>(${Variables:E4_3_2_10_kcat} * E4_3_2_10 * C04916 * C00064)/(${Variables:E4_3_2_10_km} + (E4_3_2_10 * C04916 * C00064))</v>
      </c>
      <c r="K928" s="37" t="str">
        <f t="shared" si="46"/>
        <v>r927: C04916 + C00064 -&gt; C04666 + C04677 + C00025 | (${Variables:E4_3_2_10_kcat} * E4_3_2_10 * C04916 * C00064)/(${Variables:E4_3_2_10_km} + (E4_3_2_10 * C04916 * C00064))</v>
      </c>
    </row>
    <row r="929" spans="1:11" ht="46.25" customHeight="1">
      <c r="A929" t="s">
        <v>5784</v>
      </c>
      <c r="B929" t="s">
        <v>5785</v>
      </c>
      <c r="C929" t="s">
        <v>13084</v>
      </c>
      <c r="D929" s="19">
        <v>928</v>
      </c>
      <c r="E929" s="19" t="str">
        <f t="shared" si="44"/>
        <v>E4_3_2_10</v>
      </c>
      <c r="F929" s="19" t="s">
        <v>13780</v>
      </c>
      <c r="G929" s="19" t="s">
        <v>15195</v>
      </c>
      <c r="H929" s="19" t="s">
        <v>14501</v>
      </c>
      <c r="I929" s="19" t="s">
        <v>15916</v>
      </c>
      <c r="J929" s="19" t="str">
        <f t="shared" si="45"/>
        <v>(${Variables:E4_3_2_10_kcat} * E4_3_2_10 * C04916 * C00014)/(${Variables:E4_3_2_10_km} + (E4_3_2_10 * C04916 * C00014))</v>
      </c>
      <c r="K929" s="37" t="str">
        <f t="shared" si="46"/>
        <v>r928: C04916 + C00014 -&gt; C04677 + C04666 + C00001 | (${Variables:E4_3_2_10_kcat} * E4_3_2_10 * C04916 * C00014)/(${Variables:E4_3_2_10_km} + (E4_3_2_10 * C04916 * C00014))</v>
      </c>
    </row>
    <row r="930" spans="1:11" ht="46.25" customHeight="1">
      <c r="A930" t="s">
        <v>7158</v>
      </c>
      <c r="B930" t="s">
        <v>7159</v>
      </c>
      <c r="C930" t="s">
        <v>13085</v>
      </c>
      <c r="D930" s="19">
        <v>929</v>
      </c>
      <c r="E930" s="19" t="str">
        <f t="shared" si="44"/>
        <v>E4_3_2_2</v>
      </c>
      <c r="F930" s="19" t="s">
        <v>8766</v>
      </c>
      <c r="G930" s="19" t="s">
        <v>8766</v>
      </c>
      <c r="H930" s="19" t="s">
        <v>14502</v>
      </c>
      <c r="I930" s="19" t="s">
        <v>15917</v>
      </c>
      <c r="J930" s="19" t="str">
        <f t="shared" si="45"/>
        <v>(${Variables:E4_3_2_2_kcat} * E4_3_2_2 * C03794)/(${Variables:E4_3_2_2_km} + (E4_3_2_2 * C03794))</v>
      </c>
      <c r="K930" s="37" t="str">
        <f t="shared" si="46"/>
        <v>r929: C03794 -&gt; C00122 + C00020 | (${Variables:E4_3_2_2_kcat} * E4_3_2_2 * C03794)/(${Variables:E4_3_2_2_km} + (E4_3_2_2 * C03794))</v>
      </c>
    </row>
    <row r="931" spans="1:11" ht="46.25" customHeight="1">
      <c r="A931" t="s">
        <v>7158</v>
      </c>
      <c r="B931" t="s">
        <v>7159</v>
      </c>
      <c r="C931" t="s">
        <v>13085</v>
      </c>
      <c r="D931" s="19">
        <v>930</v>
      </c>
      <c r="E931" s="19" t="str">
        <f t="shared" si="44"/>
        <v>E4_3_2_2</v>
      </c>
      <c r="F931" s="19" t="s">
        <v>8768</v>
      </c>
      <c r="G931" s="19" t="s">
        <v>8768</v>
      </c>
      <c r="H931" s="19" t="s">
        <v>14503</v>
      </c>
      <c r="I931" s="19" t="s">
        <v>15918</v>
      </c>
      <c r="J931" s="19" t="str">
        <f t="shared" si="45"/>
        <v>(${Variables:E4_3_2_2_kcat} * E4_3_2_2 * C04823)/(${Variables:E4_3_2_2_km} + (E4_3_2_2 * C04823))</v>
      </c>
      <c r="K931" s="37" t="str">
        <f t="shared" si="46"/>
        <v>r930: C04823 -&gt; C00122 + C04677 | (${Variables:E4_3_2_2_kcat} * E4_3_2_2 * C04823)/(${Variables:E4_3_2_2_km} + (E4_3_2_2 * C04823))</v>
      </c>
    </row>
    <row r="932" spans="1:11" ht="46.25" customHeight="1">
      <c r="A932" t="s">
        <v>7158</v>
      </c>
      <c r="B932" t="s">
        <v>7159</v>
      </c>
      <c r="C932" t="s">
        <v>13085</v>
      </c>
      <c r="D932" s="19">
        <v>931</v>
      </c>
      <c r="E932" s="19" t="str">
        <f t="shared" si="44"/>
        <v>E4_3_2_2</v>
      </c>
      <c r="F932" s="19" t="s">
        <v>8770</v>
      </c>
      <c r="G932" s="19" t="s">
        <v>8770</v>
      </c>
      <c r="H932" s="19" t="s">
        <v>14504</v>
      </c>
      <c r="I932" s="19" t="s">
        <v>15919</v>
      </c>
      <c r="J932" s="19" t="str">
        <f t="shared" si="45"/>
        <v>(${Variables:E4_3_2_2_kcat} * E4_3_2_2 * C22395)/(${Variables:E4_3_2_2_km} + (E4_3_2_2 * C22395))</v>
      </c>
      <c r="K932" s="37" t="str">
        <f t="shared" si="46"/>
        <v>r931: C22395 -&gt; C22441 + C00122 | (${Variables:E4_3_2_2_kcat} * E4_3_2_2 * C22395)/(${Variables:E4_3_2_2_km} + (E4_3_2_2 * C22395))</v>
      </c>
    </row>
    <row r="933" spans="1:11" ht="46.25" customHeight="1">
      <c r="A933" t="s">
        <v>2280</v>
      </c>
      <c r="B933" t="s">
        <v>2281</v>
      </c>
      <c r="C933" t="s">
        <v>13086</v>
      </c>
      <c r="D933" s="19">
        <v>932</v>
      </c>
      <c r="E933" s="19" t="str">
        <f t="shared" si="44"/>
        <v>E4_3_3_6</v>
      </c>
      <c r="F933" s="19" t="s">
        <v>13319</v>
      </c>
      <c r="G933" s="19" t="s">
        <v>14734</v>
      </c>
      <c r="H933" s="19" t="s">
        <v>13998</v>
      </c>
      <c r="I933" s="19" t="s">
        <v>15413</v>
      </c>
      <c r="J933" s="19" t="str">
        <f t="shared" si="45"/>
        <v>(${Variables:E4_3_3_6_kcat} * E4_3_3_6 * C00064 * C00001)/(${Variables:E4_3_3_6_km} + (E4_3_3_6 * C00064 * C00001))</v>
      </c>
      <c r="K933" s="37" t="str">
        <f t="shared" si="46"/>
        <v>r932: C00064 + C00001 -&gt; C00025 + C00014 | (${Variables:E4_3_3_6_kcat} * E4_3_3_6 * C00064 * C00001)/(${Variables:E4_3_3_6_km} + (E4_3_3_6 * C00064 * C00001))</v>
      </c>
    </row>
    <row r="934" spans="1:11" ht="46.25" customHeight="1">
      <c r="A934" t="s">
        <v>2280</v>
      </c>
      <c r="B934" t="s">
        <v>2281</v>
      </c>
      <c r="C934" t="s">
        <v>13086</v>
      </c>
      <c r="D934" s="19">
        <v>933</v>
      </c>
      <c r="E934" s="19" t="str">
        <f t="shared" si="44"/>
        <v>E4_3_3_6</v>
      </c>
      <c r="F934" s="19" t="s">
        <v>13781</v>
      </c>
      <c r="G934" s="19" t="s">
        <v>15196</v>
      </c>
      <c r="H934" s="19" t="s">
        <v>14505</v>
      </c>
      <c r="I934" s="19" t="s">
        <v>15920</v>
      </c>
      <c r="J934" s="19" t="str">
        <f t="shared" si="45"/>
        <v>(${Variables:E4_3_3_6_kcat} * E4_3_3_6 * C00117 * C00118 * C00014)/(${Variables:E4_3_3_6_km} + (E4_3_3_6 * C00117 * C00118 * C00014))</v>
      </c>
      <c r="K934" s="37" t="str">
        <f t="shared" si="46"/>
        <v>r933: C00117 + C00118 + C00014 -&gt; C00018 + C00001 + C00009 | (${Variables:E4_3_3_6_kcat} * E4_3_3_6 * C00117 * C00118 * C00014)/(${Variables:E4_3_3_6_km} + (E4_3_3_6 * C00117 * C00118 * C00014))</v>
      </c>
    </row>
    <row r="935" spans="1:11" ht="46.25" customHeight="1">
      <c r="A935" t="s">
        <v>2280</v>
      </c>
      <c r="B935" t="s">
        <v>2281</v>
      </c>
      <c r="C935" t="s">
        <v>13086</v>
      </c>
      <c r="D935" s="19">
        <v>934</v>
      </c>
      <c r="E935" s="19" t="str">
        <f t="shared" si="44"/>
        <v>E4_3_3_6</v>
      </c>
      <c r="F935" s="19" t="s">
        <v>13782</v>
      </c>
      <c r="G935" s="19" t="s">
        <v>15197</v>
      </c>
      <c r="H935" s="19" t="s">
        <v>14506</v>
      </c>
      <c r="I935" s="19" t="s">
        <v>15921</v>
      </c>
      <c r="J935" s="19" t="str">
        <f t="shared" si="45"/>
        <v>(${Variables:E4_3_3_6_kcat} * E4_3_3_6 * C00117 * C00118 * C00064)/(${Variables:E4_3_3_6_km} + (E4_3_3_6 * C00117 * C00118 * C00064))</v>
      </c>
      <c r="K935" s="37" t="str">
        <f t="shared" si="46"/>
        <v>r934: C00117 + C00118 + C00064 -&gt; C00018 + C00025 + C00001 + C00009 | (${Variables:E4_3_3_6_kcat} * E4_3_3_6 * C00117 * C00118 * C00064)/(${Variables:E4_3_3_6_km} + (E4_3_3_6 * C00117 * C00118 * C00064))</v>
      </c>
    </row>
    <row r="936" spans="1:11" ht="46.25" customHeight="1">
      <c r="A936" t="s">
        <v>2280</v>
      </c>
      <c r="B936" t="s">
        <v>2281</v>
      </c>
      <c r="C936" t="s">
        <v>13086</v>
      </c>
      <c r="D936" s="19">
        <v>935</v>
      </c>
      <c r="E936" s="19" t="str">
        <f t="shared" si="44"/>
        <v>E4_3_3_6</v>
      </c>
      <c r="F936" s="19" t="s">
        <v>13783</v>
      </c>
      <c r="G936" s="19" t="s">
        <v>15198</v>
      </c>
      <c r="H936" s="19" t="s">
        <v>14507</v>
      </c>
      <c r="I936" s="19" t="s">
        <v>15922</v>
      </c>
      <c r="J936" s="19" t="str">
        <f t="shared" si="45"/>
        <v>(${Variables:E4_3_3_6_kcat} * E4_3_3_6 * C00118 * C00199 * C00064)/(${Variables:E4_3_3_6_km} + (E4_3_3_6 * C00118 * C00199 * C00064))</v>
      </c>
      <c r="K936" s="37" t="str">
        <f t="shared" si="46"/>
        <v>r935: C00118 + C00199 + C00064 -&gt; C00018 + C00025 + C00009 + C00001 | (${Variables:E4_3_3_6_kcat} * E4_3_3_6 * C00118 * C00199 * C00064)/(${Variables:E4_3_3_6_km} + (E4_3_3_6 * C00118 * C00199 * C00064))</v>
      </c>
    </row>
    <row r="937" spans="1:11" ht="46.25" customHeight="1">
      <c r="A937" t="s">
        <v>5428</v>
      </c>
      <c r="B937" t="s">
        <v>5429</v>
      </c>
      <c r="C937" t="s">
        <v>13087</v>
      </c>
      <c r="D937" s="19">
        <v>936</v>
      </c>
      <c r="E937" s="19" t="str">
        <f t="shared" si="44"/>
        <v>E4_3_3_7</v>
      </c>
      <c r="F937" s="19" t="s">
        <v>13784</v>
      </c>
      <c r="G937" s="19" t="s">
        <v>15199</v>
      </c>
      <c r="H937" s="19" t="s">
        <v>14508</v>
      </c>
      <c r="I937" s="19" t="s">
        <v>15923</v>
      </c>
      <c r="J937" s="19" t="str">
        <f t="shared" si="45"/>
        <v>(${Variables:E4_3_3_7_kcat} * E4_3_3_7 * C00441 * C00022)/(${Variables:E4_3_3_7_km} + (E4_3_3_7 * C00441 * C00022))</v>
      </c>
      <c r="K937" s="37" t="str">
        <f t="shared" si="46"/>
        <v>r936: C00441 + C00022 -&gt; C20258 + C00001 | (${Variables:E4_3_3_7_kcat} * E4_3_3_7 * C00441 * C00022)/(${Variables:E4_3_3_7_km} + (E4_3_3_7 * C00441 * C00022))</v>
      </c>
    </row>
    <row r="938" spans="1:11" ht="46.25" customHeight="1">
      <c r="A938" t="s">
        <v>6364</v>
      </c>
      <c r="B938" t="s">
        <v>6365</v>
      </c>
      <c r="C938" t="s">
        <v>16055</v>
      </c>
      <c r="D938" s="19">
        <v>937</v>
      </c>
      <c r="E938" s="19" t="str">
        <f t="shared" si="44"/>
        <v>E4_4_1_13</v>
      </c>
      <c r="F938" s="19" t="s">
        <v>13785</v>
      </c>
      <c r="G938" s="19" t="s">
        <v>15200</v>
      </c>
      <c r="H938" s="19" t="s">
        <v>14509</v>
      </c>
      <c r="I938" s="19" t="s">
        <v>15924</v>
      </c>
      <c r="J938" s="19" t="str">
        <f t="shared" si="45"/>
        <v>(${Variables:E4_4_1_13_kcat} * E4_4_1_13 * C02882 * C00001)/(${Variables:E4_4_1_13_km} + (E4_4_1_13 * C02882 * C00001))</v>
      </c>
      <c r="K938" s="37" t="str">
        <f t="shared" si="46"/>
        <v>r937: C02882 + C00001 -&gt; C00145 + C00014 + C00022 | (${Variables:E4_4_1_13_kcat} * E4_4_1_13 * C02882 * C00001)/(${Variables:E4_4_1_13_km} + (E4_4_1_13 * C02882 * C00001))</v>
      </c>
    </row>
    <row r="939" spans="1:11" ht="46.25" customHeight="1">
      <c r="A939" t="s">
        <v>6364</v>
      </c>
      <c r="B939" t="s">
        <v>6365</v>
      </c>
      <c r="C939" t="s">
        <v>16055</v>
      </c>
      <c r="D939" s="19">
        <v>938</v>
      </c>
      <c r="E939" s="19" t="str">
        <f t="shared" si="44"/>
        <v>E4_4_1_13</v>
      </c>
      <c r="F939" s="19" t="s">
        <v>13786</v>
      </c>
      <c r="G939" s="19" t="s">
        <v>15201</v>
      </c>
      <c r="H939" s="19" t="s">
        <v>14510</v>
      </c>
      <c r="I939" s="19" t="s">
        <v>15925</v>
      </c>
      <c r="J939" s="19" t="str">
        <f t="shared" si="45"/>
        <v>(${Variables:E4_4_1_13_kcat} * E4_4_1_13 * C02291 * C00001)/(${Variables:E4_4_1_13_km} + (E4_4_1_13 * C02291 * C00001))</v>
      </c>
      <c r="K939" s="37" t="str">
        <f t="shared" si="46"/>
        <v>r938: C02291 + C00001 -&gt; C00155 + C00014 + C00022 | (${Variables:E4_4_1_13_kcat} * E4_4_1_13 * C02291 * C00001)/(${Variables:E4_4_1_13_km} + (E4_4_1_13 * C02291 * C00001))</v>
      </c>
    </row>
    <row r="940" spans="1:11" ht="46.25" customHeight="1">
      <c r="A940" t="s">
        <v>6364</v>
      </c>
      <c r="B940" t="s">
        <v>6365</v>
      </c>
      <c r="C940" t="s">
        <v>16055</v>
      </c>
      <c r="D940" s="19">
        <v>939</v>
      </c>
      <c r="E940" s="19" t="str">
        <f t="shared" si="44"/>
        <v>E4_4_1_13</v>
      </c>
      <c r="F940" s="19" t="s">
        <v>13787</v>
      </c>
      <c r="G940" s="19" t="s">
        <v>15202</v>
      </c>
      <c r="H940" s="19" t="s">
        <v>14511</v>
      </c>
      <c r="I940" s="19" t="s">
        <v>15926</v>
      </c>
      <c r="J940" s="19" t="str">
        <f t="shared" si="45"/>
        <v>(${Variables:E4_4_1_13_kcat} * E4_4_1_13 * C00491 * C00001)/(${Variables:E4_4_1_13_km} + (E4_4_1_13 * C00491 * C00001))</v>
      </c>
      <c r="K940" s="37" t="str">
        <f t="shared" si="46"/>
        <v>r939: C00491 + C00001 -&gt; C00022 + C00014 + C01962 | (${Variables:E4_4_1_13_kcat} * E4_4_1_13 * C00491 * C00001)/(${Variables:E4_4_1_13_km} + (E4_4_1_13 * C00491 * C00001))</v>
      </c>
    </row>
    <row r="941" spans="1:11" ht="46.25" customHeight="1">
      <c r="A941" t="s">
        <v>6364</v>
      </c>
      <c r="B941" t="s">
        <v>6365</v>
      </c>
      <c r="C941" t="s">
        <v>16055</v>
      </c>
      <c r="D941" s="19">
        <v>940</v>
      </c>
      <c r="E941" s="19" t="str">
        <f t="shared" si="44"/>
        <v>E4_4_1_13</v>
      </c>
      <c r="F941" s="19" t="s">
        <v>13788</v>
      </c>
      <c r="G941" s="19" t="s">
        <v>15203</v>
      </c>
      <c r="H941" s="19" t="s">
        <v>14512</v>
      </c>
      <c r="I941" s="19" t="s">
        <v>15927</v>
      </c>
      <c r="J941" s="19" t="str">
        <f t="shared" si="45"/>
        <v>(${Variables:E4_4_1_13_kcat} * E4_4_1_13 * C02749 * C00001)/(${Variables:E4_4_1_13_km} + (E4_4_1_13 * C02749 * C00001))</v>
      </c>
      <c r="K941" s="37" t="str">
        <f t="shared" si="46"/>
        <v>r940: C02749 + C00001 -&gt; C00812 + C00014 + C00022 | (${Variables:E4_4_1_13_kcat} * E4_4_1_13 * C02749 * C00001)/(${Variables:E4_4_1_13_km} + (E4_4_1_13 * C02749 * C00001))</v>
      </c>
    </row>
    <row r="942" spans="1:11" ht="46.25" customHeight="1">
      <c r="A942" t="s">
        <v>6364</v>
      </c>
      <c r="B942" t="s">
        <v>6365</v>
      </c>
      <c r="C942" t="s">
        <v>16055</v>
      </c>
      <c r="D942" s="19">
        <v>941</v>
      </c>
      <c r="E942" s="19" t="str">
        <f t="shared" si="44"/>
        <v>E4_4_1_13</v>
      </c>
      <c r="F942" s="19" t="s">
        <v>13785</v>
      </c>
      <c r="G942" s="19" t="s">
        <v>15200</v>
      </c>
      <c r="H942" s="19" t="s">
        <v>14513</v>
      </c>
      <c r="I942" s="19" t="s">
        <v>15928</v>
      </c>
      <c r="J942" s="19" t="str">
        <f t="shared" si="45"/>
        <v>(${Variables:E4_4_1_13_kcat} * E4_4_1_13 * C02882 * C00001)/(${Variables:E4_4_1_13_km} + (E4_4_1_13 * C02882 * C00001))</v>
      </c>
      <c r="K942" s="37" t="str">
        <f t="shared" si="46"/>
        <v>r941: C02882 + C00001 -&gt; C01336 + C00014 + C00022 | (${Variables:E4_4_1_13_kcat} * E4_4_1_13 * C02882 * C00001)/(${Variables:E4_4_1_13_km} + (E4_4_1_13 * C02882 * C00001))</v>
      </c>
    </row>
    <row r="943" spans="1:11" ht="46.25" customHeight="1">
      <c r="A943" t="s">
        <v>6364</v>
      </c>
      <c r="B943" t="s">
        <v>6365</v>
      </c>
      <c r="C943" t="s">
        <v>16055</v>
      </c>
      <c r="D943" s="19">
        <v>942</v>
      </c>
      <c r="E943" s="19" t="str">
        <f t="shared" si="44"/>
        <v>E4_4_1_13</v>
      </c>
      <c r="F943" s="19" t="s">
        <v>13789</v>
      </c>
      <c r="G943" s="19" t="s">
        <v>15204</v>
      </c>
      <c r="H943" s="19" t="s">
        <v>14514</v>
      </c>
      <c r="I943" s="19" t="s">
        <v>15929</v>
      </c>
      <c r="J943" s="19" t="str">
        <f t="shared" si="45"/>
        <v>(${Variables:E4_4_1_13_kcat} * E4_4_1_13 * C00097 * C00001)/(${Variables:E4_4_1_13_km} + (E4_4_1_13 * C00097 * C00001))</v>
      </c>
      <c r="K943" s="37" t="str">
        <f t="shared" si="46"/>
        <v>r942: C00097 + C00001 -&gt; C00283 + C00022 + C00014 | (${Variables:E4_4_1_13_kcat} * E4_4_1_13 * C00097 * C00001)/(${Variables:E4_4_1_13_km} + (E4_4_1_13 * C00097 * C00001))</v>
      </c>
    </row>
    <row r="944" spans="1:11" ht="46.25" customHeight="1">
      <c r="A944" t="s">
        <v>6364</v>
      </c>
      <c r="B944" t="s">
        <v>6365</v>
      </c>
      <c r="C944" t="s">
        <v>16055</v>
      </c>
      <c r="D944" s="19">
        <v>943</v>
      </c>
      <c r="E944" s="19" t="str">
        <f t="shared" si="44"/>
        <v>E4_4_1_13</v>
      </c>
      <c r="F944" s="19" t="s">
        <v>13790</v>
      </c>
      <c r="G944" s="19" t="s">
        <v>15205</v>
      </c>
      <c r="H944" s="19" t="s">
        <v>14515</v>
      </c>
      <c r="I944" s="19" t="s">
        <v>15930</v>
      </c>
      <c r="J944" s="19" t="str">
        <f t="shared" si="45"/>
        <v>(${Variables:E4_4_1_13_kcat} * E4_4_1_13 * C05699 * C00001)/(${Variables:E4_4_1_13_km} + (E4_4_1_13 * C05699 * C00001))</v>
      </c>
      <c r="K944" s="37" t="str">
        <f t="shared" si="46"/>
        <v>r943: C05699 + C00001 -&gt; C05698 + C00014 + C00022 | (${Variables:E4_4_1_13_kcat} * E4_4_1_13 * C05699 * C00001)/(${Variables:E4_4_1_13_km} + (E4_4_1_13 * C05699 * C00001))</v>
      </c>
    </row>
    <row r="945" spans="1:11" ht="46.25" customHeight="1">
      <c r="A945" t="s">
        <v>6364</v>
      </c>
      <c r="B945" t="s">
        <v>6365</v>
      </c>
      <c r="C945" t="s">
        <v>16055</v>
      </c>
      <c r="D945" s="19">
        <v>944</v>
      </c>
      <c r="E945" s="19" t="str">
        <f t="shared" si="44"/>
        <v>E4_4_1_13</v>
      </c>
      <c r="F945" s="19" t="s">
        <v>13791</v>
      </c>
      <c r="G945" s="19" t="s">
        <v>15206</v>
      </c>
      <c r="H945" s="19" t="s">
        <v>14516</v>
      </c>
      <c r="I945" s="19" t="s">
        <v>15931</v>
      </c>
      <c r="J945" s="19" t="str">
        <f t="shared" si="45"/>
        <v>(${Variables:E4_4_1_13_kcat} * E4_4_1_13 * C05689 * C00001)/(${Variables:E4_4_1_13_km} + (E4_4_1_13 * C05689 * C00001))</v>
      </c>
      <c r="K945" s="37" t="str">
        <f t="shared" si="46"/>
        <v>r944: C05689 + C00001 -&gt; C00022 + C00014 + C05703 | (${Variables:E4_4_1_13_kcat} * E4_4_1_13 * C05689 * C00001)/(${Variables:E4_4_1_13_km} + (E4_4_1_13 * C05689 * C00001))</v>
      </c>
    </row>
    <row r="946" spans="1:11" ht="46.25" customHeight="1">
      <c r="A946" t="s">
        <v>7308</v>
      </c>
      <c r="B946" t="s">
        <v>7309</v>
      </c>
      <c r="C946" t="s">
        <v>16056</v>
      </c>
      <c r="D946" s="19">
        <v>945</v>
      </c>
      <c r="E946" s="19" t="str">
        <f t="shared" si="44"/>
        <v>E4_6_1_12</v>
      </c>
      <c r="F946" s="19" t="s">
        <v>8713</v>
      </c>
      <c r="G946" s="19" t="s">
        <v>8713</v>
      </c>
      <c r="H946" s="19" t="s">
        <v>14517</v>
      </c>
      <c r="I946" s="19" t="s">
        <v>15932</v>
      </c>
      <c r="J946" s="19" t="str">
        <f t="shared" si="45"/>
        <v>(${Variables:E4_6_1_12_kcat} * E4_6_1_12 * C11436)/(${Variables:E4_6_1_12_km} + (E4_6_1_12 * C11436))</v>
      </c>
      <c r="K946" s="37" t="str">
        <f t="shared" si="46"/>
        <v>r945: C11436 -&gt; C11453 + C00055 | (${Variables:E4_6_1_12_kcat} * E4_6_1_12 * C11436)/(${Variables:E4_6_1_12_km} + (E4_6_1_12 * C11436))</v>
      </c>
    </row>
    <row r="947" spans="1:11" ht="46.25" customHeight="1">
      <c r="A947" t="s">
        <v>644</v>
      </c>
      <c r="B947" t="s">
        <v>645</v>
      </c>
      <c r="C947" t="s">
        <v>13088</v>
      </c>
      <c r="D947" s="19">
        <v>946</v>
      </c>
      <c r="E947" s="19" t="str">
        <f t="shared" si="44"/>
        <v>E4_6_1_17</v>
      </c>
      <c r="F947" s="19" t="s">
        <v>13792</v>
      </c>
      <c r="G947" s="19" t="s">
        <v>15207</v>
      </c>
      <c r="H947" s="19" t="s">
        <v>14518</v>
      </c>
      <c r="I947" s="19" t="s">
        <v>15933</v>
      </c>
      <c r="J947" s="19" t="str">
        <f t="shared" si="45"/>
        <v>(${Variables:E4_6_1_17_kcat} * E4_6_1_17 * C21310 * C00001)/(${Variables:E4_6_1_17_km} + (E4_6_1_17 * C21310 * C00001))</v>
      </c>
      <c r="K947" s="37" t="str">
        <f t="shared" si="46"/>
        <v>r946: C21310 + C00001 -&gt; C18239 + C00013 | (${Variables:E4_6_1_17_kcat} * E4_6_1_17 * C21310 * C00001)/(${Variables:E4_6_1_17_km} + (E4_6_1_17 * C21310 * C00001))</v>
      </c>
    </row>
    <row r="948" spans="1:11" ht="46.25" customHeight="1">
      <c r="A948" t="s">
        <v>4330</v>
      </c>
      <c r="B948" t="s">
        <v>4331</v>
      </c>
      <c r="C948" t="s">
        <v>13089</v>
      </c>
      <c r="D948" s="19">
        <v>947</v>
      </c>
      <c r="E948" s="19" t="str">
        <f t="shared" si="44"/>
        <v>E4_98_1_1</v>
      </c>
      <c r="F948" s="19" t="s">
        <v>13793</v>
      </c>
      <c r="G948" s="19" t="s">
        <v>15208</v>
      </c>
      <c r="H948" s="19" t="s">
        <v>14519</v>
      </c>
      <c r="I948" s="19" t="s">
        <v>15934</v>
      </c>
      <c r="J948" s="19" t="str">
        <f t="shared" si="45"/>
        <v>(${Variables:E4_98_1_1_kcat} * E4_98_1_1 * C02191 * C14818)/(${Variables:E4_98_1_1_km} + (E4_98_1_1 * C02191 * C14818))</v>
      </c>
      <c r="K948" s="37" t="str">
        <f t="shared" si="46"/>
        <v>r947: C02191 + C14818 -&gt; C00032 + C00080 | (${Variables:E4_98_1_1_kcat} * E4_98_1_1 * C02191 * C14818)/(${Variables:E4_98_1_1_km} + (E4_98_1_1 * C02191 * C14818))</v>
      </c>
    </row>
    <row r="949" spans="1:11" ht="46.25" customHeight="1">
      <c r="A949" t="s">
        <v>6792</v>
      </c>
      <c r="B949" t="s">
        <v>6793</v>
      </c>
      <c r="C949" t="s">
        <v>16057</v>
      </c>
      <c r="D949" s="19">
        <v>948</v>
      </c>
      <c r="E949" s="19" t="str">
        <f t="shared" si="44"/>
        <v>E4_99_1_12</v>
      </c>
      <c r="F949" s="19" t="s">
        <v>8933</v>
      </c>
      <c r="G949" s="19" t="s">
        <v>8933</v>
      </c>
      <c r="H949" s="19" t="s">
        <v>14520</v>
      </c>
      <c r="I949" s="19" t="s">
        <v>15935</v>
      </c>
      <c r="J949" s="19" t="str">
        <f t="shared" si="45"/>
        <v>(${Variables:E4_99_1_12_kcat} * E4_99_1_12 * C21769)/(${Variables:E4_99_1_12_km} + (E4_99_1_12 * C21769))</v>
      </c>
      <c r="K949" s="37" t="str">
        <f t="shared" si="46"/>
        <v>r948: C21769 -&gt; C21767 + C19609 | (${Variables:E4_99_1_12_kcat} * E4_99_1_12 * C21769)/(${Variables:E4_99_1_12_km} + (E4_99_1_12 * C21769))</v>
      </c>
    </row>
    <row r="950" spans="1:11" ht="46.25" customHeight="1">
      <c r="A950" t="s">
        <v>1722</v>
      </c>
      <c r="B950" t="s">
        <v>1723</v>
      </c>
      <c r="C950" s="12" t="s">
        <v>13090</v>
      </c>
      <c r="D950" s="19">
        <v>949</v>
      </c>
      <c r="E950" s="19" t="str">
        <f t="shared" si="44"/>
        <v>E5_1_1_1</v>
      </c>
      <c r="F950" s="19" t="s">
        <v>10218</v>
      </c>
      <c r="G950" s="19" t="s">
        <v>10218</v>
      </c>
      <c r="H950" s="19" t="s">
        <v>10219</v>
      </c>
      <c r="I950" s="19" t="s">
        <v>10219</v>
      </c>
      <c r="J950" s="19" t="str">
        <f t="shared" si="45"/>
        <v>(${Variables:E5_1_1_1_kcat} * E5_1_1_1 * C00041)/(${Variables:E5_1_1_1_km} + (E5_1_1_1 * C00041))</v>
      </c>
      <c r="K950" s="37" t="str">
        <f t="shared" si="46"/>
        <v>r949: C00041 -&gt; C00133 | (${Variables:E5_1_1_1_kcat} * E5_1_1_1 * C00041)/(${Variables:E5_1_1_1_km} + (E5_1_1_1 * C00041))</v>
      </c>
    </row>
    <row r="951" spans="1:11" ht="46.25" customHeight="1">
      <c r="A951" t="s">
        <v>6893</v>
      </c>
      <c r="B951" t="s">
        <v>6894</v>
      </c>
      <c r="C951" t="s">
        <v>16058</v>
      </c>
      <c r="D951" s="19">
        <v>950</v>
      </c>
      <c r="E951" s="19" t="str">
        <f t="shared" si="44"/>
        <v>E5_1_1_3</v>
      </c>
      <c r="F951" s="19" t="s">
        <v>8861</v>
      </c>
      <c r="G951" s="19" t="s">
        <v>8861</v>
      </c>
      <c r="H951" s="19" t="s">
        <v>8862</v>
      </c>
      <c r="I951" s="19" t="s">
        <v>8862</v>
      </c>
      <c r="J951" s="19" t="str">
        <f t="shared" si="45"/>
        <v>(${Variables:E5_1_1_3_kcat} * E5_1_1_3 * C00025)/(${Variables:E5_1_1_3_km} + (E5_1_1_3 * C00025))</v>
      </c>
      <c r="K951" s="37" t="str">
        <f t="shared" si="46"/>
        <v>r950: C00025 -&gt; C00217 | (${Variables:E5_1_1_3_kcat} * E5_1_1_3 * C00025)/(${Variables:E5_1_1_3_km} + (E5_1_1_3 * C00025))</v>
      </c>
    </row>
    <row r="952" spans="1:11" ht="46.25" customHeight="1">
      <c r="A952" t="s">
        <v>5344</v>
      </c>
      <c r="B952" t="s">
        <v>5345</v>
      </c>
      <c r="C952" t="s">
        <v>13091</v>
      </c>
      <c r="D952" s="19">
        <v>951</v>
      </c>
      <c r="E952" s="19" t="str">
        <f t="shared" si="44"/>
        <v>E5_1_1_7</v>
      </c>
      <c r="F952" s="19" t="s">
        <v>9437</v>
      </c>
      <c r="G952" s="19" t="s">
        <v>9437</v>
      </c>
      <c r="H952" s="19" t="s">
        <v>9438</v>
      </c>
      <c r="I952" s="19" t="s">
        <v>9438</v>
      </c>
      <c r="J952" s="19" t="str">
        <f t="shared" si="45"/>
        <v>(${Variables:E5_1_1_7_kcat} * E5_1_1_7 * C00666)/(${Variables:E5_1_1_7_km} + (E5_1_1_7 * C00666))</v>
      </c>
      <c r="K952" s="37" t="str">
        <f t="shared" si="46"/>
        <v>r951: C00666 -&gt; C00680 | (${Variables:E5_1_1_7_kcat} * E5_1_1_7 * C00666)/(${Variables:E5_1_1_7_km} + (E5_1_1_7 * C00666))</v>
      </c>
    </row>
    <row r="953" spans="1:11" ht="46.25" customHeight="1">
      <c r="A953" t="s">
        <v>4514</v>
      </c>
      <c r="B953" t="s">
        <v>4515</v>
      </c>
      <c r="C953" t="s">
        <v>16059</v>
      </c>
      <c r="D953" s="19">
        <v>952</v>
      </c>
      <c r="E953" s="19" t="str">
        <f t="shared" si="44"/>
        <v>E5_1_3_1</v>
      </c>
      <c r="F953" s="19" t="s">
        <v>8959</v>
      </c>
      <c r="G953" s="19" t="s">
        <v>8959</v>
      </c>
      <c r="H953" s="19" t="s">
        <v>9598</v>
      </c>
      <c r="I953" s="19" t="s">
        <v>9598</v>
      </c>
      <c r="J953" s="19" t="str">
        <f t="shared" si="45"/>
        <v>(${Variables:E5_1_3_1_kcat} * E5_1_3_1 * C00199)/(${Variables:E5_1_3_1_km} + (E5_1_3_1 * C00199))</v>
      </c>
      <c r="K953" s="37" t="str">
        <f t="shared" si="46"/>
        <v>r952: C00199 -&gt; C00231 | (${Variables:E5_1_3_1_kcat} * E5_1_3_1 * C00199)/(${Variables:E5_1_3_1_km} + (E5_1_3_1 * C00199))</v>
      </c>
    </row>
    <row r="954" spans="1:11" ht="46.25" customHeight="1">
      <c r="A954" t="s">
        <v>6413</v>
      </c>
      <c r="B954" t="s">
        <v>6414</v>
      </c>
      <c r="C954" t="s">
        <v>13092</v>
      </c>
      <c r="D954" s="19">
        <v>953</v>
      </c>
      <c r="E954" s="19" t="str">
        <f t="shared" si="44"/>
        <v>E5_1_3_15</v>
      </c>
      <c r="F954" s="19" t="s">
        <v>8827</v>
      </c>
      <c r="G954" s="19" t="s">
        <v>8827</v>
      </c>
      <c r="H954" s="19" t="s">
        <v>10071</v>
      </c>
      <c r="I954" s="19" t="s">
        <v>10071</v>
      </c>
      <c r="J954" s="19" t="str">
        <f t="shared" si="45"/>
        <v>(${Variables:E5_1_3_15_kcat} * E5_1_3_15 * C00668)/(${Variables:E5_1_3_15_km} + (E5_1_3_15 * C00668))</v>
      </c>
      <c r="K954" s="37" t="str">
        <f t="shared" si="46"/>
        <v>r953: C00668 -&gt; C01172 | (${Variables:E5_1_3_15_kcat} * E5_1_3_15 * C00668)/(${Variables:E5_1_3_15_km} + (E5_1_3_15 * C00668))</v>
      </c>
    </row>
    <row r="955" spans="1:11" ht="46.25" customHeight="1">
      <c r="A955" t="s">
        <v>5279</v>
      </c>
      <c r="B955" t="s">
        <v>5280</v>
      </c>
      <c r="C955" t="s">
        <v>13093</v>
      </c>
      <c r="D955" s="19">
        <v>954</v>
      </c>
      <c r="E955" s="19" t="str">
        <f t="shared" si="44"/>
        <v>E5_1_3_2</v>
      </c>
      <c r="F955" s="19" t="s">
        <v>9455</v>
      </c>
      <c r="G955" s="19" t="s">
        <v>9455</v>
      </c>
      <c r="H955" s="19" t="s">
        <v>9456</v>
      </c>
      <c r="I955" s="19" t="s">
        <v>9456</v>
      </c>
      <c r="J955" s="19" t="str">
        <f t="shared" si="45"/>
        <v>(${Variables:E5_1_3_2_kcat} * E5_1_3_2 * C00029)/(${Variables:E5_1_3_2_km} + (E5_1_3_2 * C00029))</v>
      </c>
      <c r="K955" s="37" t="str">
        <f t="shared" si="46"/>
        <v>r954: C00029 -&gt; C00052 | (${Variables:E5_1_3_2_kcat} * E5_1_3_2 * C00029)/(${Variables:E5_1_3_2_km} + (E5_1_3_2 * C00029))</v>
      </c>
    </row>
    <row r="956" spans="1:11" ht="46.25" customHeight="1">
      <c r="A956" t="s">
        <v>5279</v>
      </c>
      <c r="B956" t="s">
        <v>5280</v>
      </c>
      <c r="C956" t="s">
        <v>13093</v>
      </c>
      <c r="D956" s="19">
        <v>955</v>
      </c>
      <c r="E956" s="19" t="str">
        <f t="shared" si="44"/>
        <v>E5_1_3_2</v>
      </c>
      <c r="F956" s="19" t="s">
        <v>9458</v>
      </c>
      <c r="G956" s="19" t="s">
        <v>9458</v>
      </c>
      <c r="H956" s="19" t="s">
        <v>9459</v>
      </c>
      <c r="I956" s="19" t="s">
        <v>9459</v>
      </c>
      <c r="J956" s="19" t="str">
        <f t="shared" si="45"/>
        <v>(${Variables:E5_1_3_2_kcat} * E5_1_3_2 * C00043)/(${Variables:E5_1_3_2_km} + (E5_1_3_2 * C00043))</v>
      </c>
      <c r="K956" s="37" t="str">
        <f t="shared" si="46"/>
        <v>r955: C00043 -&gt; C00203 | (${Variables:E5_1_3_2_kcat} * E5_1_3_2 * C00043)/(${Variables:E5_1_3_2_km} + (E5_1_3_2 * C00043))</v>
      </c>
    </row>
    <row r="957" spans="1:11" ht="46.25" customHeight="1">
      <c r="A957" t="s">
        <v>5279</v>
      </c>
      <c r="B957" t="s">
        <v>5280</v>
      </c>
      <c r="C957" t="s">
        <v>13093</v>
      </c>
      <c r="D957" s="19">
        <v>956</v>
      </c>
      <c r="E957" s="19" t="str">
        <f t="shared" si="44"/>
        <v>E5_1_3_2</v>
      </c>
      <c r="F957" s="19" t="s">
        <v>9461</v>
      </c>
      <c r="G957" s="19" t="s">
        <v>9461</v>
      </c>
      <c r="H957" s="19" t="s">
        <v>9462</v>
      </c>
      <c r="I957" s="19" t="s">
        <v>9462</v>
      </c>
      <c r="J957" s="19" t="str">
        <f t="shared" si="45"/>
        <v>(${Variables:E5_1_3_2_kcat} * E5_1_3_2 * C00842)/(${Variables:E5_1_3_2_km} + (E5_1_3_2 * C00842))</v>
      </c>
      <c r="K957" s="37" t="str">
        <f t="shared" si="46"/>
        <v>r956: C00842 -&gt; C02097 | (${Variables:E5_1_3_2_kcat} * E5_1_3_2 * C00842)/(${Variables:E5_1_3_2_km} + (E5_1_3_2 * C00842))</v>
      </c>
    </row>
    <row r="958" spans="1:11" ht="46.25" customHeight="1">
      <c r="A958" t="s">
        <v>7285</v>
      </c>
      <c r="B958" t="s">
        <v>7286</v>
      </c>
      <c r="C958" t="s">
        <v>13094</v>
      </c>
      <c r="D958" s="19">
        <v>957</v>
      </c>
      <c r="E958" s="19" t="str">
        <f t="shared" si="44"/>
        <v>E5_1_3_9</v>
      </c>
      <c r="F958" s="19" t="s">
        <v>8718</v>
      </c>
      <c r="G958" s="19" t="s">
        <v>8718</v>
      </c>
      <c r="H958" s="19" t="s">
        <v>8719</v>
      </c>
      <c r="I958" s="19" t="s">
        <v>8719</v>
      </c>
      <c r="J958" s="19" t="str">
        <f t="shared" si="45"/>
        <v>(${Variables:E5_1_3_9_kcat} * E5_1_3_9 * C00686)/(${Variables:E5_1_3_9_km} + (E5_1_3_9 * C00686))</v>
      </c>
      <c r="K958" s="37" t="str">
        <f t="shared" si="46"/>
        <v>r957: C00686 -&gt; C04136 | (${Variables:E5_1_3_9_kcat} * E5_1_3_9 * C00686)/(${Variables:E5_1_3_9_km} + (E5_1_3_9 * C00686))</v>
      </c>
    </row>
    <row r="959" spans="1:11" ht="46.25" customHeight="1">
      <c r="A959" t="s">
        <v>7285</v>
      </c>
      <c r="B959" t="s">
        <v>7286</v>
      </c>
      <c r="C959" t="s">
        <v>13094</v>
      </c>
      <c r="D959" s="19">
        <v>958</v>
      </c>
      <c r="E959" s="19" t="str">
        <f t="shared" si="44"/>
        <v>E5_1_3_9</v>
      </c>
      <c r="F959" s="19" t="s">
        <v>8721</v>
      </c>
      <c r="G959" s="19" t="s">
        <v>8721</v>
      </c>
      <c r="H959" s="19" t="s">
        <v>8722</v>
      </c>
      <c r="I959" s="19" t="s">
        <v>8722</v>
      </c>
      <c r="J959" s="19" t="str">
        <f t="shared" si="45"/>
        <v>(${Variables:E5_1_3_9_kcat} * E5_1_3_9 * C00357)/(${Variables:E5_1_3_9_km} + (E5_1_3_9 * C00357))</v>
      </c>
      <c r="K959" s="37" t="str">
        <f t="shared" si="46"/>
        <v>r958: C00357 -&gt; C04257 | (${Variables:E5_1_3_9_kcat} * E5_1_3_9 * C00357)/(${Variables:E5_1_3_9_km} + (E5_1_3_9 * C00357))</v>
      </c>
    </row>
    <row r="960" spans="1:11" ht="46.25" customHeight="1">
      <c r="A960" t="s">
        <v>3470</v>
      </c>
      <c r="B960" t="s">
        <v>3471</v>
      </c>
      <c r="C960" t="s">
        <v>13095</v>
      </c>
      <c r="D960" s="19">
        <v>959</v>
      </c>
      <c r="E960" s="19" t="str">
        <f t="shared" si="44"/>
        <v>E5_1_99_1</v>
      </c>
      <c r="F960" s="19" t="s">
        <v>9670</v>
      </c>
      <c r="G960" s="19" t="s">
        <v>9670</v>
      </c>
      <c r="H960" s="19" t="s">
        <v>9876</v>
      </c>
      <c r="I960" s="19" t="s">
        <v>9876</v>
      </c>
      <c r="J960" s="19" t="str">
        <f t="shared" si="45"/>
        <v>(${Variables:E5_1_99_1_kcat} * E5_1_99_1 * C01213)/(${Variables:E5_1_99_1_km} + (E5_1_99_1 * C01213))</v>
      </c>
      <c r="K960" s="37" t="str">
        <f t="shared" si="46"/>
        <v>r959: C01213 -&gt; C00683 | (${Variables:E5_1_99_1_kcat} * E5_1_99_1 * C01213)/(${Variables:E5_1_99_1_km} + (E5_1_99_1 * C01213))</v>
      </c>
    </row>
    <row r="961" spans="1:11" ht="46.25" customHeight="1">
      <c r="A961" t="s">
        <v>3470</v>
      </c>
      <c r="B961" t="s">
        <v>3471</v>
      </c>
      <c r="C961" t="s">
        <v>13095</v>
      </c>
      <c r="D961" s="19">
        <v>960</v>
      </c>
      <c r="E961" s="19" t="str">
        <f t="shared" si="44"/>
        <v>E5_1_99_1</v>
      </c>
      <c r="F961" s="19" t="s">
        <v>9878</v>
      </c>
      <c r="G961" s="19" t="s">
        <v>9878</v>
      </c>
      <c r="H961" s="19" t="s">
        <v>9879</v>
      </c>
      <c r="I961" s="19" t="s">
        <v>9879</v>
      </c>
      <c r="J961" s="19" t="str">
        <f t="shared" si="45"/>
        <v>(${Variables:E5_1_99_1_kcat} * E5_1_99_1 * C18026)/(${Variables:E5_1_99_1_km} + (E5_1_99_1 * C18026))</v>
      </c>
      <c r="K961" s="37" t="str">
        <f t="shared" si="46"/>
        <v>r960: C18026 -&gt; C20238 | (${Variables:E5_1_99_1_kcat} * E5_1_99_1 * C18026)/(${Variables:E5_1_99_1_km} + (E5_1_99_1 * C18026))</v>
      </c>
    </row>
    <row r="962" spans="1:11" ht="46.25" customHeight="1">
      <c r="A962" t="s">
        <v>8211</v>
      </c>
      <c r="B962" t="s">
        <v>8212</v>
      </c>
      <c r="C962" t="s">
        <v>13096</v>
      </c>
      <c r="D962" s="19">
        <v>961</v>
      </c>
      <c r="E962" s="19" t="str">
        <f t="shared" si="44"/>
        <v>E5_2_1_4</v>
      </c>
      <c r="F962" s="19" t="s">
        <v>8530</v>
      </c>
      <c r="G962" s="19" t="s">
        <v>8530</v>
      </c>
      <c r="H962" s="19" t="s">
        <v>8531</v>
      </c>
      <c r="I962" s="19" t="s">
        <v>8531</v>
      </c>
      <c r="J962" s="19" t="str">
        <f t="shared" si="45"/>
        <v>(${Variables:E5_2_1_4_kcat} * E5_2_1_4 * C02167)/(${Variables:E5_2_1_4_km} + (E5_2_1_4 * C02167))</v>
      </c>
      <c r="K962" s="37" t="str">
        <f t="shared" si="46"/>
        <v>r961: C02167 -&gt; C02514 | (${Variables:E5_2_1_4_kcat} * E5_2_1_4 * C02167)/(${Variables:E5_2_1_4_km} + (E5_2_1_4 * C02167))</v>
      </c>
    </row>
    <row r="963" spans="1:11" ht="46.25" customHeight="1">
      <c r="A963" t="s">
        <v>133</v>
      </c>
      <c r="B963" t="s">
        <v>134</v>
      </c>
      <c r="C963" t="s">
        <v>13097</v>
      </c>
      <c r="D963" s="19">
        <v>962</v>
      </c>
      <c r="E963" s="19" t="str">
        <f t="shared" si="44"/>
        <v>E5_2_1_8</v>
      </c>
      <c r="F963" s="19" t="s">
        <v>8963</v>
      </c>
      <c r="G963" s="19" t="s">
        <v>8963</v>
      </c>
      <c r="H963" s="19" t="s">
        <v>8964</v>
      </c>
      <c r="I963" s="19" t="s">
        <v>8964</v>
      </c>
      <c r="J963" s="19" t="str">
        <f t="shared" si="45"/>
        <v>(${Variables:E5_2_1_8_kcat} * E5_2_1_8 * C03798)/(${Variables:E5_2_1_8_km} + (E5_2_1_8 * C03798))</v>
      </c>
      <c r="K963" s="37" t="str">
        <f t="shared" si="46"/>
        <v>r962: C03798 -&gt; C03633 | (${Variables:E5_2_1_8_kcat} * E5_2_1_8 * C03798)/(${Variables:E5_2_1_8_km} + (E5_2_1_8 * C03798))</v>
      </c>
    </row>
    <row r="964" spans="1:11" ht="46.25" customHeight="1">
      <c r="A964" t="s">
        <v>4668</v>
      </c>
      <c r="B964" t="s">
        <v>4669</v>
      </c>
      <c r="C964" t="s">
        <v>13097</v>
      </c>
      <c r="D964" s="19">
        <v>963</v>
      </c>
      <c r="E964" s="19" t="str">
        <f t="shared" si="44"/>
        <v>E5_2_1_8</v>
      </c>
      <c r="F964" s="19" t="s">
        <v>8963</v>
      </c>
      <c r="G964" s="19" t="s">
        <v>8963</v>
      </c>
      <c r="H964" s="19" t="s">
        <v>8964</v>
      </c>
      <c r="I964" s="19" t="s">
        <v>8964</v>
      </c>
      <c r="J964" s="19" t="str">
        <f t="shared" si="45"/>
        <v>(${Variables:E5_2_1_8_kcat} * E5_2_1_8 * C03798)/(${Variables:E5_2_1_8_km} + (E5_2_1_8 * C03798))</v>
      </c>
      <c r="K964" s="37" t="str">
        <f t="shared" si="46"/>
        <v>r963: C03798 -&gt; C03633 | (${Variables:E5_2_1_8_kcat} * E5_2_1_8 * C03798)/(${Variables:E5_2_1_8_km} + (E5_2_1_8 * C03798))</v>
      </c>
    </row>
    <row r="965" spans="1:11" ht="46.25" customHeight="1">
      <c r="A965" t="s">
        <v>6659</v>
      </c>
      <c r="B965" t="s">
        <v>6660</v>
      </c>
      <c r="C965" t="s">
        <v>13097</v>
      </c>
      <c r="D965" s="19">
        <v>964</v>
      </c>
      <c r="E965" s="19" t="str">
        <f t="shared" si="44"/>
        <v>E5_2_1_8</v>
      </c>
      <c r="F965" s="19" t="s">
        <v>8963</v>
      </c>
      <c r="G965" s="19" t="s">
        <v>8963</v>
      </c>
      <c r="H965" s="19" t="s">
        <v>8964</v>
      </c>
      <c r="I965" s="19" t="s">
        <v>8964</v>
      </c>
      <c r="J965" s="19" t="str">
        <f t="shared" si="45"/>
        <v>(${Variables:E5_2_1_8_kcat} * E5_2_1_8 * C03798)/(${Variables:E5_2_1_8_km} + (E5_2_1_8 * C03798))</v>
      </c>
      <c r="K965" s="37" t="str">
        <f t="shared" si="46"/>
        <v>r964: C03798 -&gt; C03633 | (${Variables:E5_2_1_8_kcat} * E5_2_1_8 * C03798)/(${Variables:E5_2_1_8_km} + (E5_2_1_8 * C03798))</v>
      </c>
    </row>
    <row r="966" spans="1:11" ht="46.25" customHeight="1">
      <c r="A966" t="s">
        <v>4470</v>
      </c>
      <c r="B966" t="s">
        <v>4471</v>
      </c>
      <c r="C966" t="s">
        <v>13098</v>
      </c>
      <c r="D966" s="19">
        <v>965</v>
      </c>
      <c r="E966" s="19" t="str">
        <f t="shared" si="44"/>
        <v>E5_3_1_1</v>
      </c>
      <c r="F966" s="19" t="s">
        <v>9625</v>
      </c>
      <c r="G966" s="19" t="s">
        <v>9625</v>
      </c>
      <c r="H966" s="19" t="s">
        <v>9626</v>
      </c>
      <c r="I966" s="19" t="s">
        <v>9626</v>
      </c>
      <c r="J966" s="19" t="str">
        <f t="shared" si="45"/>
        <v>(${Variables:E5_3_1_1_kcat} * E5_3_1_1 * C00118)/(${Variables:E5_3_1_1_km} + (E5_3_1_1 * C00118))</v>
      </c>
      <c r="K966" s="37" t="str">
        <f t="shared" si="46"/>
        <v>r965: C00118 -&gt; C00111 | (${Variables:E5_3_1_1_kcat} * E5_3_1_1 * C00118)/(${Variables:E5_3_1_1_km} + (E5_3_1_1 * C00118))</v>
      </c>
    </row>
    <row r="967" spans="1:11" ht="46.25" customHeight="1">
      <c r="A967" t="s">
        <v>6831</v>
      </c>
      <c r="B967" t="s">
        <v>6832</v>
      </c>
      <c r="C967" t="s">
        <v>13099</v>
      </c>
      <c r="D967" s="19">
        <v>966</v>
      </c>
      <c r="E967" s="19" t="str">
        <f t="shared" si="44"/>
        <v>E5_3_1_12</v>
      </c>
      <c r="F967" s="19" t="s">
        <v>8923</v>
      </c>
      <c r="G967" s="19" t="s">
        <v>8923</v>
      </c>
      <c r="H967" s="19" t="s">
        <v>8924</v>
      </c>
      <c r="I967" s="19" t="s">
        <v>8924</v>
      </c>
      <c r="J967" s="19" t="str">
        <f t="shared" si="45"/>
        <v>(${Variables:E5_3_1_12_kcat} * E5_3_1_12 * C00191 )/(${Variables:E5_3_1_12_km} + (E5_3_1_12 * C00191 ))</v>
      </c>
      <c r="K967" s="37" t="str">
        <f t="shared" si="46"/>
        <v>r966: C00191  -&gt; C00905 | (${Variables:E5_3_1_12_kcat} * E5_3_1_12 * C00191 )/(${Variables:E5_3_1_12_km} + (E5_3_1_12 * C00191 ))</v>
      </c>
    </row>
    <row r="968" spans="1:11" ht="46.25" customHeight="1">
      <c r="A968" t="s">
        <v>6831</v>
      </c>
      <c r="B968" t="s">
        <v>6832</v>
      </c>
      <c r="C968" t="s">
        <v>13099</v>
      </c>
      <c r="D968" s="19">
        <v>967</v>
      </c>
      <c r="E968" s="19" t="str">
        <f t="shared" si="44"/>
        <v>E5_3_1_12</v>
      </c>
      <c r="F968" s="19" t="s">
        <v>8926</v>
      </c>
      <c r="G968" s="19" t="s">
        <v>8926</v>
      </c>
      <c r="H968" s="19" t="s">
        <v>8927</v>
      </c>
      <c r="I968" s="19" t="s">
        <v>8927</v>
      </c>
      <c r="J968" s="19" t="str">
        <f t="shared" si="45"/>
        <v>(${Variables:E5_3_1_12_kcat} * E5_3_1_12 * C00333)/(${Variables:E5_3_1_12_km} + (E5_3_1_12 * C00333))</v>
      </c>
      <c r="K968" s="37" t="str">
        <f t="shared" si="46"/>
        <v>r967: C00333 -&gt; C00558 | (${Variables:E5_3_1_12_kcat} * E5_3_1_12 * C00333)/(${Variables:E5_3_1_12_km} + (E5_3_1_12 * C00333))</v>
      </c>
    </row>
    <row r="969" spans="1:11" ht="46.25" customHeight="1">
      <c r="A969" t="s">
        <v>5780</v>
      </c>
      <c r="B969" t="s">
        <v>5781</v>
      </c>
      <c r="C969" t="s">
        <v>13100</v>
      </c>
      <c r="D969" s="19">
        <v>968</v>
      </c>
      <c r="E969" s="19" t="str">
        <f t="shared" si="44"/>
        <v>E5_3_1_16</v>
      </c>
      <c r="F969" s="19" t="s">
        <v>9294</v>
      </c>
      <c r="G969" s="19" t="s">
        <v>9294</v>
      </c>
      <c r="H969" s="19" t="s">
        <v>9295</v>
      </c>
      <c r="I969" s="19" t="s">
        <v>9295</v>
      </c>
      <c r="J969" s="19" t="str">
        <f t="shared" si="45"/>
        <v>(${Variables:E5_3_1_16_kcat} * E5_3_1_16 * C04896)/(${Variables:E5_3_1_16_km} + (E5_3_1_16 * C04896))</v>
      </c>
      <c r="K969" s="37" t="str">
        <f t="shared" si="46"/>
        <v>r968: C04896 -&gt; C04916 | (${Variables:E5_3_1_16_kcat} * E5_3_1_16 * C04896)/(${Variables:E5_3_1_16_km} + (E5_3_1_16 * C04896))</v>
      </c>
    </row>
    <row r="970" spans="1:11" ht="46.25" customHeight="1">
      <c r="A970" t="s">
        <v>5780</v>
      </c>
      <c r="B970" t="s">
        <v>5781</v>
      </c>
      <c r="C970" t="s">
        <v>13101</v>
      </c>
      <c r="D970" s="19">
        <v>969</v>
      </c>
      <c r="E970" s="19" t="str">
        <f t="shared" ref="E970:E1033" si="47">CONCATENATE("E",C970)</f>
        <v>E5_3_1_24</v>
      </c>
      <c r="F970" s="19" t="s">
        <v>8516</v>
      </c>
      <c r="G970" s="19" t="s">
        <v>8516</v>
      </c>
      <c r="H970" s="19" t="s">
        <v>8513</v>
      </c>
      <c r="I970" s="19" t="s">
        <v>8513</v>
      </c>
      <c r="J970" s="19" t="str">
        <f t="shared" si="45"/>
        <v>(${Variables:E5_3_1_24_kcat} * E5_3_1_24 * C04302)/(${Variables:E5_3_1_24_km} + (E5_3_1_24 * C04302))</v>
      </c>
      <c r="K970" s="37" t="str">
        <f t="shared" si="46"/>
        <v>r969: C04302 -&gt; C01302 | (${Variables:E5_3_1_24_kcat} * E5_3_1_24 * C04302)/(${Variables:E5_3_1_24_km} + (E5_3_1_24 * C04302))</v>
      </c>
    </row>
    <row r="971" spans="1:11" ht="46.25" customHeight="1">
      <c r="A971" t="s">
        <v>8244</v>
      </c>
      <c r="B971" t="s">
        <v>8245</v>
      </c>
      <c r="C971" t="s">
        <v>13101</v>
      </c>
      <c r="D971" s="19">
        <v>970</v>
      </c>
      <c r="E971" s="19" t="str">
        <f t="shared" si="47"/>
        <v>E5_3_1_24</v>
      </c>
      <c r="F971" s="19" t="s">
        <v>8516</v>
      </c>
      <c r="G971" s="19" t="s">
        <v>8516</v>
      </c>
      <c r="H971" s="19" t="s">
        <v>8513</v>
      </c>
      <c r="I971" s="19" t="s">
        <v>8513</v>
      </c>
      <c r="J971" s="19" t="str">
        <f t="shared" ref="J971:J1034" si="48">CONCATENATE("(${Variables:",E971,"_kcat","} * ",E971," * ",G971,")","/(${Variables:",E971,"_km","} + (",E971," * ",G971,"))")</f>
        <v>(${Variables:E5_3_1_24_kcat} * E5_3_1_24 * C04302)/(${Variables:E5_3_1_24_km} + (E5_3_1_24 * C04302))</v>
      </c>
      <c r="K971" s="37" t="str">
        <f t="shared" ref="K971:K1034" si="49">CONCATENATE("r",D971,": ",F971," -&gt; ",H971," | ",J971)</f>
        <v>r970: C04302 -&gt; C01302 | (${Variables:E5_3_1_24_kcat} * E5_3_1_24 * C04302)/(${Variables:E5_3_1_24_km} + (E5_3_1_24 * C04302))</v>
      </c>
    </row>
    <row r="972" spans="1:11" ht="46.25" customHeight="1">
      <c r="A972" t="s">
        <v>508</v>
      </c>
      <c r="B972" t="s">
        <v>509</v>
      </c>
      <c r="C972" t="s">
        <v>13102</v>
      </c>
      <c r="D972" s="19">
        <v>971</v>
      </c>
      <c r="E972" s="19" t="str">
        <f t="shared" si="47"/>
        <v>E5_3_1_30</v>
      </c>
      <c r="F972" s="19" t="s">
        <v>10421</v>
      </c>
      <c r="G972" s="19" t="s">
        <v>10421</v>
      </c>
      <c r="H972" s="19" t="s">
        <v>10425</v>
      </c>
      <c r="I972" s="19" t="s">
        <v>10425</v>
      </c>
      <c r="J972" s="19" t="str">
        <f t="shared" si="48"/>
        <v>(${Variables:E5_3_1_30_kcat} * E5_3_1_30 * C16737)/(${Variables:E5_3_1_30_km} + (E5_3_1_30 * C16737))</v>
      </c>
      <c r="K972" s="37" t="str">
        <f t="shared" si="49"/>
        <v>r971: C16737 -&gt; C06892 | (${Variables:E5_3_1_30_kcat} * E5_3_1_30 * C16737)/(${Variables:E5_3_1_30_km} + (E5_3_1_30 * C16737))</v>
      </c>
    </row>
    <row r="973" spans="1:11" ht="46.25" customHeight="1">
      <c r="A973" t="s">
        <v>6675</v>
      </c>
      <c r="B973" t="s">
        <v>6676</v>
      </c>
      <c r="C973" t="s">
        <v>13103</v>
      </c>
      <c r="D973" s="19">
        <v>972</v>
      </c>
      <c r="E973" s="19" t="str">
        <f t="shared" si="47"/>
        <v>E5_3_1_6</v>
      </c>
      <c r="F973" s="19" t="s">
        <v>8830</v>
      </c>
      <c r="G973" s="19" t="s">
        <v>8830</v>
      </c>
      <c r="H973" s="19" t="s">
        <v>8959</v>
      </c>
      <c r="I973" s="19" t="s">
        <v>8959</v>
      </c>
      <c r="J973" s="19" t="str">
        <f t="shared" si="48"/>
        <v>(${Variables:E5_3_1_6_kcat} * E5_3_1_6 * C00117)/(${Variables:E5_3_1_6_km} + (E5_3_1_6 * C00117))</v>
      </c>
      <c r="K973" s="37" t="str">
        <f t="shared" si="49"/>
        <v>r972: C00117 -&gt; C00199 | (${Variables:E5_3_1_6_kcat} * E5_3_1_6 * C00117)/(${Variables:E5_3_1_6_km} + (E5_3_1_6 * C00117))</v>
      </c>
    </row>
    <row r="974" spans="1:11" ht="46.25" customHeight="1">
      <c r="A974" t="s">
        <v>6675</v>
      </c>
      <c r="B974" t="s">
        <v>6676</v>
      </c>
      <c r="C974" t="s">
        <v>13103</v>
      </c>
      <c r="D974" s="19">
        <v>973</v>
      </c>
      <c r="E974" s="19" t="str">
        <f t="shared" si="47"/>
        <v>E5_3_1_6</v>
      </c>
      <c r="F974" s="19" t="s">
        <v>8961</v>
      </c>
      <c r="G974" s="19" t="s">
        <v>8961</v>
      </c>
      <c r="H974" s="19" t="s">
        <v>8962</v>
      </c>
      <c r="I974" s="19" t="s">
        <v>8962</v>
      </c>
      <c r="J974" s="19" t="str">
        <f t="shared" si="48"/>
        <v>(${Variables:E5_3_1_6_kcat} * E5_3_1_6 * C02962)/(${Variables:E5_3_1_6_km} + (E5_3_1_6 * C02962))</v>
      </c>
      <c r="K974" s="37" t="str">
        <f t="shared" si="49"/>
        <v>r973: C02962 -&gt; C18096 | (${Variables:E5_3_1_6_kcat} * E5_3_1_6 * C02962)/(${Variables:E5_3_1_6_km} + (E5_3_1_6 * C02962))</v>
      </c>
    </row>
    <row r="975" spans="1:11" ht="46.25" customHeight="1">
      <c r="A975" t="s">
        <v>2149</v>
      </c>
      <c r="B975" t="s">
        <v>2150</v>
      </c>
      <c r="C975" t="s">
        <v>13104</v>
      </c>
      <c r="D975" s="19">
        <v>974</v>
      </c>
      <c r="E975" s="19" t="str">
        <f t="shared" si="47"/>
        <v>E5_3_1_8</v>
      </c>
      <c r="F975" s="19" t="s">
        <v>10121</v>
      </c>
      <c r="G975" s="19" t="s">
        <v>10121</v>
      </c>
      <c r="H975" s="19" t="s">
        <v>10070</v>
      </c>
      <c r="I975" s="19" t="s">
        <v>10070</v>
      </c>
      <c r="J975" s="19" t="str">
        <f t="shared" si="48"/>
        <v>(${Variables:E5_3_1_8_kcat} * E5_3_1_8 * C00275)/(${Variables:E5_3_1_8_km} + (E5_3_1_8 * C00275))</v>
      </c>
      <c r="K975" s="37" t="str">
        <f t="shared" si="49"/>
        <v>r974: C00275 -&gt; C00085 | (${Variables:E5_3_1_8_kcat} * E5_3_1_8 * C00275)/(${Variables:E5_3_1_8_km} + (E5_3_1_8 * C00275))</v>
      </c>
    </row>
    <row r="976" spans="1:11" ht="46.25" customHeight="1">
      <c r="A976" t="s">
        <v>2149</v>
      </c>
      <c r="B976" t="s">
        <v>2150</v>
      </c>
      <c r="C976" t="s">
        <v>13104</v>
      </c>
      <c r="D976" s="19">
        <v>975</v>
      </c>
      <c r="E976" s="19" t="str">
        <f t="shared" si="47"/>
        <v>E5_3_1_8</v>
      </c>
      <c r="F976" s="19" t="s">
        <v>10121</v>
      </c>
      <c r="G976" s="19" t="s">
        <v>10121</v>
      </c>
      <c r="H976" s="19" t="s">
        <v>10068</v>
      </c>
      <c r="I976" s="19" t="s">
        <v>10068</v>
      </c>
      <c r="J976" s="19" t="str">
        <f t="shared" si="48"/>
        <v>(${Variables:E5_3_1_8_kcat} * E5_3_1_8 * C00275)/(${Variables:E5_3_1_8_km} + (E5_3_1_8 * C00275))</v>
      </c>
      <c r="K976" s="37" t="str">
        <f t="shared" si="49"/>
        <v>r975: C00275 -&gt; C05345 | (${Variables:E5_3_1_8_kcat} * E5_3_1_8 * C00275)/(${Variables:E5_3_1_8_km} + (E5_3_1_8 * C00275))</v>
      </c>
    </row>
    <row r="977" spans="1:11" ht="46.25" customHeight="1">
      <c r="A977" t="s">
        <v>2464</v>
      </c>
      <c r="B977" t="s">
        <v>2465</v>
      </c>
      <c r="C977" t="s">
        <v>13105</v>
      </c>
      <c r="D977" s="19">
        <v>976</v>
      </c>
      <c r="E977" s="19" t="str">
        <f t="shared" si="47"/>
        <v>E5_3_1_9</v>
      </c>
      <c r="F977" s="19" t="s">
        <v>8827</v>
      </c>
      <c r="G977" s="19" t="s">
        <v>8827</v>
      </c>
      <c r="H977" s="19" t="s">
        <v>10068</v>
      </c>
      <c r="I977" s="19" t="s">
        <v>10068</v>
      </c>
      <c r="J977" s="19" t="str">
        <f t="shared" si="48"/>
        <v>(${Variables:E5_3_1_9_kcat} * E5_3_1_9 * C00668)/(${Variables:E5_3_1_9_km} + (E5_3_1_9 * C00668))</v>
      </c>
      <c r="K977" s="37" t="str">
        <f t="shared" si="49"/>
        <v>r976: C00668 -&gt; C05345 | (${Variables:E5_3_1_9_kcat} * E5_3_1_9 * C00668)/(${Variables:E5_3_1_9_km} + (E5_3_1_9 * C00668))</v>
      </c>
    </row>
    <row r="978" spans="1:11" ht="46.25" customHeight="1">
      <c r="A978" t="s">
        <v>2464</v>
      </c>
      <c r="B978" t="s">
        <v>2465</v>
      </c>
      <c r="C978" t="s">
        <v>13105</v>
      </c>
      <c r="D978" s="19">
        <v>977</v>
      </c>
      <c r="E978" s="19" t="str">
        <f t="shared" si="47"/>
        <v>E5_3_1_9</v>
      </c>
      <c r="F978" s="19" t="s">
        <v>8551</v>
      </c>
      <c r="G978" s="19" t="s">
        <v>8551</v>
      </c>
      <c r="H978" s="19" t="s">
        <v>10070</v>
      </c>
      <c r="I978" s="19" t="s">
        <v>10070</v>
      </c>
      <c r="J978" s="19" t="str">
        <f t="shared" si="48"/>
        <v>(${Variables:E5_3_1_9_kcat} * E5_3_1_9 * C00092)/(${Variables:E5_3_1_9_km} + (E5_3_1_9 * C00092))</v>
      </c>
      <c r="K978" s="37" t="str">
        <f t="shared" si="49"/>
        <v>r977: C00092 -&gt; C00085 | (${Variables:E5_3_1_9_kcat} * E5_3_1_9 * C00092)/(${Variables:E5_3_1_9_km} + (E5_3_1_9 * C00092))</v>
      </c>
    </row>
    <row r="979" spans="1:11" ht="46.25" customHeight="1">
      <c r="A979" t="s">
        <v>2464</v>
      </c>
      <c r="B979" t="s">
        <v>2465</v>
      </c>
      <c r="C979" t="s">
        <v>13105</v>
      </c>
      <c r="D979" s="19">
        <v>978</v>
      </c>
      <c r="E979" s="19" t="str">
        <f t="shared" si="47"/>
        <v>E5_3_1_9</v>
      </c>
      <c r="F979" s="19" t="s">
        <v>8827</v>
      </c>
      <c r="G979" s="19" t="s">
        <v>8827</v>
      </c>
      <c r="H979" s="19" t="s">
        <v>10071</v>
      </c>
      <c r="I979" s="19" t="s">
        <v>10071</v>
      </c>
      <c r="J979" s="19" t="str">
        <f t="shared" si="48"/>
        <v>(${Variables:E5_3_1_9_kcat} * E5_3_1_9 * C00668)/(${Variables:E5_3_1_9_km} + (E5_3_1_9 * C00668))</v>
      </c>
      <c r="K979" s="37" t="str">
        <f t="shared" si="49"/>
        <v>r978: C00668 -&gt; C01172 | (${Variables:E5_3_1_9_kcat} * E5_3_1_9 * C00668)/(${Variables:E5_3_1_9_km} + (E5_3_1_9 * C00668))</v>
      </c>
    </row>
    <row r="980" spans="1:11" ht="46.25" customHeight="1">
      <c r="A980" t="s">
        <v>2464</v>
      </c>
      <c r="B980" t="s">
        <v>2465</v>
      </c>
      <c r="C980" t="s">
        <v>13105</v>
      </c>
      <c r="D980" s="19">
        <v>979</v>
      </c>
      <c r="E980" s="19" t="str">
        <f t="shared" si="47"/>
        <v>E5_3_1_9</v>
      </c>
      <c r="F980" s="19" t="s">
        <v>10071</v>
      </c>
      <c r="G980" s="19" t="s">
        <v>10071</v>
      </c>
      <c r="H980" s="19" t="s">
        <v>10068</v>
      </c>
      <c r="I980" s="19" t="s">
        <v>10068</v>
      </c>
      <c r="J980" s="19" t="str">
        <f t="shared" si="48"/>
        <v>(${Variables:E5_3_1_9_kcat} * E5_3_1_9 * C01172)/(${Variables:E5_3_1_9_km} + (E5_3_1_9 * C01172))</v>
      </c>
      <c r="K980" s="37" t="str">
        <f t="shared" si="49"/>
        <v>r979: C01172 -&gt; C05345 | (${Variables:E5_3_1_9_kcat} * E5_3_1_9 * C01172)/(${Variables:E5_3_1_9_km} + (E5_3_1_9 * C01172))</v>
      </c>
    </row>
    <row r="981" spans="1:11" ht="46.25" customHeight="1">
      <c r="A981" t="s">
        <v>2464</v>
      </c>
      <c r="B981" t="s">
        <v>2465</v>
      </c>
      <c r="C981" t="s">
        <v>13105</v>
      </c>
      <c r="D981" s="19">
        <v>980</v>
      </c>
      <c r="E981" s="19" t="str">
        <f t="shared" si="47"/>
        <v>E5_3_1_9</v>
      </c>
      <c r="F981" s="19" t="s">
        <v>8827</v>
      </c>
      <c r="G981" s="19" t="s">
        <v>8827</v>
      </c>
      <c r="H981" s="19" t="s">
        <v>10070</v>
      </c>
      <c r="I981" s="19" t="s">
        <v>10070</v>
      </c>
      <c r="J981" s="19" t="str">
        <f t="shared" si="48"/>
        <v>(${Variables:E5_3_1_9_kcat} * E5_3_1_9 * C00668)/(${Variables:E5_3_1_9_km} + (E5_3_1_9 * C00668))</v>
      </c>
      <c r="K981" s="37" t="str">
        <f t="shared" si="49"/>
        <v>r980: C00668 -&gt; C00085 | (${Variables:E5_3_1_9_kcat} * E5_3_1_9 * C00668)/(${Variables:E5_3_1_9_km} + (E5_3_1_9 * C00668))</v>
      </c>
    </row>
    <row r="982" spans="1:11" ht="46.25" customHeight="1">
      <c r="A982" t="s">
        <v>6354</v>
      </c>
      <c r="B982" t="s">
        <v>6355</v>
      </c>
      <c r="C982" t="s">
        <v>13106</v>
      </c>
      <c r="D982" s="19">
        <v>981</v>
      </c>
      <c r="E982" s="19" t="str">
        <f t="shared" si="47"/>
        <v>E5_3_3_2</v>
      </c>
      <c r="F982" s="19" t="s">
        <v>9095</v>
      </c>
      <c r="G982" s="19" t="s">
        <v>9095</v>
      </c>
      <c r="H982" s="19" t="s">
        <v>9096</v>
      </c>
      <c r="I982" s="19" t="s">
        <v>9096</v>
      </c>
      <c r="J982" s="19" t="str">
        <f t="shared" si="48"/>
        <v>(${Variables:E5_3_3_2_kcat} * E5_3_3_2 * C00129)/(${Variables:E5_3_3_2_km} + (E5_3_3_2 * C00129))</v>
      </c>
      <c r="K982" s="37" t="str">
        <f t="shared" si="49"/>
        <v>r981: C00129 -&gt; C00235 | (${Variables:E5_3_3_2_kcat} * E5_3_3_2 * C00129)/(${Variables:E5_3_3_2_km} + (E5_3_3_2 * C00129))</v>
      </c>
    </row>
    <row r="983" spans="1:11" ht="46.25" customHeight="1">
      <c r="A983" t="s">
        <v>6621</v>
      </c>
      <c r="B983" t="s">
        <v>6622</v>
      </c>
      <c r="C983" t="s">
        <v>13107</v>
      </c>
      <c r="D983" s="19">
        <v>982</v>
      </c>
      <c r="E983" s="19" t="str">
        <f t="shared" si="47"/>
        <v>E5_3_3_4</v>
      </c>
      <c r="F983" s="19" t="s">
        <v>9000</v>
      </c>
      <c r="G983" s="19" t="s">
        <v>9000</v>
      </c>
      <c r="H983" s="19" t="s">
        <v>8999</v>
      </c>
      <c r="I983" s="19" t="s">
        <v>8999</v>
      </c>
      <c r="J983" s="19" t="str">
        <f t="shared" si="48"/>
        <v>(${Variables:E5_3_3_4_kcat} * E5_3_3_4 * C14610)/(${Variables:E5_3_3_4_km} + (E5_3_3_4 * C14610))</v>
      </c>
      <c r="K983" s="37" t="str">
        <f t="shared" si="49"/>
        <v>r982: C14610 -&gt; C03586 | (${Variables:E5_3_3_4_kcat} * E5_3_3_4 * C14610)/(${Variables:E5_3_3_4_km} + (E5_3_3_4 * C14610))</v>
      </c>
    </row>
    <row r="984" spans="1:11" ht="46.25" customHeight="1">
      <c r="A984" t="s">
        <v>6621</v>
      </c>
      <c r="B984" t="s">
        <v>6622</v>
      </c>
      <c r="C984" t="s">
        <v>13107</v>
      </c>
      <c r="D984" s="19">
        <v>983</v>
      </c>
      <c r="E984" s="19" t="str">
        <f t="shared" si="47"/>
        <v>E5_3_3_4</v>
      </c>
      <c r="F984" s="19" t="s">
        <v>9002</v>
      </c>
      <c r="G984" s="19" t="s">
        <v>9002</v>
      </c>
      <c r="H984" s="19" t="s">
        <v>8999</v>
      </c>
      <c r="I984" s="19" t="s">
        <v>8999</v>
      </c>
      <c r="J984" s="19" t="str">
        <f t="shared" si="48"/>
        <v>(${Variables:E5_3_3_4_kcat} * E5_3_3_4 * C04105)/(${Variables:E5_3_3_4_km} + (E5_3_3_4 * C04105))</v>
      </c>
      <c r="K984" s="37" t="str">
        <f t="shared" si="49"/>
        <v>r983: C04105 -&gt; C03586 | (${Variables:E5_3_3_4_kcat} * E5_3_3_4 * C04105)/(${Variables:E5_3_3_4_km} + (E5_3_3_4 * C04105))</v>
      </c>
    </row>
    <row r="985" spans="1:11" ht="46.25" customHeight="1">
      <c r="A985" t="s">
        <v>1709</v>
      </c>
      <c r="B985" t="s">
        <v>1710</v>
      </c>
      <c r="C985" s="12" t="s">
        <v>13108</v>
      </c>
      <c r="D985" s="19">
        <v>984</v>
      </c>
      <c r="E985" s="19" t="str">
        <f t="shared" si="47"/>
        <v>E5_4_2_10</v>
      </c>
      <c r="F985" s="19" t="s">
        <v>10223</v>
      </c>
      <c r="G985" s="19" t="s">
        <v>10223</v>
      </c>
      <c r="H985" s="19" t="s">
        <v>10224</v>
      </c>
      <c r="I985" s="19" t="s">
        <v>10224</v>
      </c>
      <c r="J985" s="19" t="str">
        <f t="shared" si="48"/>
        <v>(${Variables:E5_4_2_10_kcat} * E5_4_2_10 * C06156)/(${Variables:E5_4_2_10_km} + (E5_4_2_10 * C06156))</v>
      </c>
      <c r="K985" s="37" t="str">
        <f t="shared" si="49"/>
        <v>r984: C06156 -&gt; C00352 | (${Variables:E5_4_2_10_kcat} * E5_4_2_10 * C06156)/(${Variables:E5_4_2_10_km} + (E5_4_2_10 * C06156))</v>
      </c>
    </row>
    <row r="986" spans="1:11" ht="46.25" customHeight="1">
      <c r="A986" t="s">
        <v>1187</v>
      </c>
      <c r="B986" t="s">
        <v>1188</v>
      </c>
      <c r="C986" t="s">
        <v>13109</v>
      </c>
      <c r="D986" s="19">
        <v>985</v>
      </c>
      <c r="E986" s="19" t="str">
        <f t="shared" si="47"/>
        <v>E5_4_2_11</v>
      </c>
      <c r="F986" s="19" t="s">
        <v>13794</v>
      </c>
      <c r="G986" s="19" t="s">
        <v>15209</v>
      </c>
      <c r="H986" s="19" t="s">
        <v>14521</v>
      </c>
      <c r="I986" s="19" t="s">
        <v>15936</v>
      </c>
      <c r="J986" s="19" t="str">
        <f t="shared" si="48"/>
        <v>(${Variables:E5_4_2_11_kcat} * E5_4_2_11 * C01159 * C00615)/(${Variables:E5_4_2_11_km} + (E5_4_2_11 * C01159 * C00615))</v>
      </c>
      <c r="K986" s="37" t="str">
        <f t="shared" si="49"/>
        <v>r985: C01159 + C00615 -&gt; C00197  + C04262 | (${Variables:E5_4_2_11_kcat} * E5_4_2_11 * C01159 * C00615)/(${Variables:E5_4_2_11_km} + (E5_4_2_11 * C01159 * C00615))</v>
      </c>
    </row>
    <row r="987" spans="1:11" ht="46.25" customHeight="1">
      <c r="A987" t="s">
        <v>1187</v>
      </c>
      <c r="B987" t="s">
        <v>1188</v>
      </c>
      <c r="C987" t="s">
        <v>13109</v>
      </c>
      <c r="D987" s="19">
        <v>986</v>
      </c>
      <c r="E987" s="19" t="str">
        <f t="shared" si="47"/>
        <v>E5_4_2_11</v>
      </c>
      <c r="F987" s="19" t="s">
        <v>9993</v>
      </c>
      <c r="G987" s="19" t="s">
        <v>9993</v>
      </c>
      <c r="H987" s="19" t="s">
        <v>10313</v>
      </c>
      <c r="I987" s="19" t="s">
        <v>10313</v>
      </c>
      <c r="J987" s="19" t="str">
        <f t="shared" si="48"/>
        <v>(${Variables:E5_4_2_11_kcat} * E5_4_2_11 * C00631)/(${Variables:E5_4_2_11_km} + (E5_4_2_11 * C00631))</v>
      </c>
      <c r="K987" s="37" t="str">
        <f t="shared" si="49"/>
        <v>r986: C00631 -&gt; C00197 | (${Variables:E5_4_2_11_kcat} * E5_4_2_11 * C00631)/(${Variables:E5_4_2_11_km} + (E5_4_2_11 * C00631))</v>
      </c>
    </row>
    <row r="988" spans="1:11" ht="46.25" customHeight="1">
      <c r="A988" t="s">
        <v>6984</v>
      </c>
      <c r="B988" t="s">
        <v>6985</v>
      </c>
      <c r="C988" t="s">
        <v>13110</v>
      </c>
      <c r="D988" s="19">
        <v>987</v>
      </c>
      <c r="E988" s="19" t="str">
        <f t="shared" si="47"/>
        <v>E5_4_2_2</v>
      </c>
      <c r="F988" s="19" t="s">
        <v>8825</v>
      </c>
      <c r="G988" s="19" t="s">
        <v>8825</v>
      </c>
      <c r="H988" s="19" t="s">
        <v>8551</v>
      </c>
      <c r="I988" s="19" t="s">
        <v>8551</v>
      </c>
      <c r="J988" s="19" t="str">
        <f t="shared" si="48"/>
        <v>(${Variables:E5_4_2_2_kcat} * E5_4_2_2 * C00103)/(${Variables:E5_4_2_2_km} + (E5_4_2_2 * C00103))</v>
      </c>
      <c r="K988" s="37" t="str">
        <f t="shared" si="49"/>
        <v>r987: C00103 -&gt; C00092 | (${Variables:E5_4_2_2_kcat} * E5_4_2_2 * C00103)/(${Variables:E5_4_2_2_km} + (E5_4_2_2 * C00103))</v>
      </c>
    </row>
    <row r="989" spans="1:11" ht="46.25" customHeight="1">
      <c r="A989" t="s">
        <v>6984</v>
      </c>
      <c r="B989" t="s">
        <v>6985</v>
      </c>
      <c r="C989" t="s">
        <v>13110</v>
      </c>
      <c r="D989" s="19">
        <v>988</v>
      </c>
      <c r="E989" s="19" t="str">
        <f t="shared" si="47"/>
        <v>E5_4_2_2</v>
      </c>
      <c r="F989" s="19" t="s">
        <v>8825</v>
      </c>
      <c r="G989" s="19" t="s">
        <v>8825</v>
      </c>
      <c r="H989" s="19" t="s">
        <v>8827</v>
      </c>
      <c r="I989" s="19" t="s">
        <v>8827</v>
      </c>
      <c r="J989" s="19" t="str">
        <f t="shared" si="48"/>
        <v>(${Variables:E5_4_2_2_kcat} * E5_4_2_2 * C00103)/(${Variables:E5_4_2_2_km} + (E5_4_2_2 * C00103))</v>
      </c>
      <c r="K989" s="37" t="str">
        <f t="shared" si="49"/>
        <v>r988: C00103 -&gt; C00668 | (${Variables:E5_4_2_2_kcat} * E5_4_2_2 * C00103)/(${Variables:E5_4_2_2_km} + (E5_4_2_2 * C00103))</v>
      </c>
    </row>
    <row r="990" spans="1:11" ht="46.25" customHeight="1">
      <c r="A990" t="s">
        <v>6984</v>
      </c>
      <c r="B990" t="s">
        <v>6985</v>
      </c>
      <c r="C990" t="s">
        <v>13110</v>
      </c>
      <c r="D990" s="19">
        <v>989</v>
      </c>
      <c r="E990" s="19" t="str">
        <f t="shared" si="47"/>
        <v>E5_4_2_2</v>
      </c>
      <c r="F990" s="19" t="s">
        <v>8829</v>
      </c>
      <c r="G990" s="19" t="s">
        <v>8829</v>
      </c>
      <c r="H990" s="19" t="s">
        <v>8830</v>
      </c>
      <c r="I990" s="19" t="s">
        <v>8830</v>
      </c>
      <c r="J990" s="19" t="str">
        <f t="shared" si="48"/>
        <v>(${Variables:E5_4_2_2_kcat} * E5_4_2_2 * C00620)/(${Variables:E5_4_2_2_km} + (E5_4_2_2 * C00620))</v>
      </c>
      <c r="K990" s="37" t="str">
        <f t="shared" si="49"/>
        <v>r989: C00620 -&gt; C00117 | (${Variables:E5_4_2_2_kcat} * E5_4_2_2 * C00620)/(${Variables:E5_4_2_2_km} + (E5_4_2_2 * C00620))</v>
      </c>
    </row>
    <row r="991" spans="1:11" ht="46.25" customHeight="1">
      <c r="A991" t="s">
        <v>6984</v>
      </c>
      <c r="B991" t="s">
        <v>6985</v>
      </c>
      <c r="C991" t="s">
        <v>13110</v>
      </c>
      <c r="D991" s="19">
        <v>990</v>
      </c>
      <c r="E991" s="19" t="str">
        <f t="shared" si="47"/>
        <v>E5_4_2_2</v>
      </c>
      <c r="F991" s="19" t="s">
        <v>8832</v>
      </c>
      <c r="G991" s="19" t="s">
        <v>8832</v>
      </c>
      <c r="H991" s="19" t="s">
        <v>8833</v>
      </c>
      <c r="I991" s="19" t="s">
        <v>8833</v>
      </c>
      <c r="J991" s="19" t="str">
        <f t="shared" si="48"/>
        <v>(${Variables:E5_4_2_2_kcat} * E5_4_2_2 * C01171)/(${Variables:E5_4_2_2_km} + (E5_4_2_2 * C01171))</v>
      </c>
      <c r="K991" s="37" t="str">
        <f t="shared" si="49"/>
        <v>r990: C01171 -&gt; C03735 | (${Variables:E5_4_2_2_kcat} * E5_4_2_2 * C01171)/(${Variables:E5_4_2_2_km} + (E5_4_2_2 * C01171))</v>
      </c>
    </row>
    <row r="992" spans="1:11" ht="46.25" customHeight="1">
      <c r="A992" t="s">
        <v>1277</v>
      </c>
      <c r="B992" t="s">
        <v>1278</v>
      </c>
      <c r="C992" t="s">
        <v>13111</v>
      </c>
      <c r="D992" s="19">
        <v>991</v>
      </c>
      <c r="E992" s="19" t="str">
        <f t="shared" si="47"/>
        <v>E5_4_3_8</v>
      </c>
      <c r="F992" s="19" t="s">
        <v>10271</v>
      </c>
      <c r="G992" s="19" t="s">
        <v>10271</v>
      </c>
      <c r="H992" s="19" t="s">
        <v>10272</v>
      </c>
      <c r="I992" s="19" t="s">
        <v>10272</v>
      </c>
      <c r="J992" s="19" t="str">
        <f t="shared" si="48"/>
        <v>(${Variables:E5_4_3_8_kcat} * E5_4_3_8 * C00430)/(${Variables:E5_4_3_8_km} + (E5_4_3_8 * C00430))</v>
      </c>
      <c r="K992" s="37" t="str">
        <f t="shared" si="49"/>
        <v>r991: C00430 -&gt; C03741 | (${Variables:E5_4_3_8_kcat} * E5_4_3_8 * C00430)/(${Variables:E5_4_3_8_km} + (E5_4_3_8 * C00430))</v>
      </c>
    </row>
    <row r="993" spans="1:11" ht="46.25" customHeight="1">
      <c r="A993" t="s">
        <v>3664</v>
      </c>
      <c r="B993" t="s">
        <v>3665</v>
      </c>
      <c r="C993" t="s">
        <v>13112</v>
      </c>
      <c r="D993" s="19">
        <v>992</v>
      </c>
      <c r="E993" s="19" t="str">
        <f t="shared" si="47"/>
        <v>E5_4_4_2</v>
      </c>
      <c r="F993" s="19" t="s">
        <v>9811</v>
      </c>
      <c r="G993" s="19" t="s">
        <v>9811</v>
      </c>
      <c r="H993" s="19" t="s">
        <v>9812</v>
      </c>
      <c r="I993" s="19" t="s">
        <v>9812</v>
      </c>
      <c r="J993" s="19" t="str">
        <f t="shared" si="48"/>
        <v>(${Variables:E5_4_4_2_kcat} * E5_4_4_2 * C00251)/(${Variables:E5_4_4_2_km} + (E5_4_4_2 * C00251))</v>
      </c>
      <c r="K993" s="37" t="str">
        <f t="shared" si="49"/>
        <v>r992: C00251 -&gt; C00885 | (${Variables:E5_4_4_2_kcat} * E5_4_4_2 * C00251)/(${Variables:E5_4_4_2_km} + (E5_4_4_2 * C00251))</v>
      </c>
    </row>
    <row r="994" spans="1:11" ht="46.25" customHeight="1">
      <c r="A994" t="s">
        <v>1659</v>
      </c>
      <c r="B994" t="s">
        <v>1660</v>
      </c>
      <c r="C994" t="s">
        <v>13113</v>
      </c>
      <c r="D994" s="19">
        <v>993</v>
      </c>
      <c r="E994" s="19" t="str">
        <f t="shared" si="47"/>
        <v>E5_4_99_12</v>
      </c>
      <c r="F994" s="19" t="s">
        <v>10228</v>
      </c>
      <c r="G994" s="19" t="s">
        <v>10228</v>
      </c>
      <c r="H994" s="19" t="s">
        <v>10229</v>
      </c>
      <c r="I994" s="19" t="s">
        <v>10229</v>
      </c>
      <c r="J994" s="19" t="str">
        <f t="shared" si="48"/>
        <v>(${Variables:E5_4_99_12_kcat} * E5_4_99_12 * C00868)/(${Variables:E5_4_99_12_km} + (E5_4_99_12 * C00868))</v>
      </c>
      <c r="K994" s="37" t="str">
        <f t="shared" si="49"/>
        <v>r993: C00868 -&gt; C02764 | (${Variables:E5_4_99_12_kcat} * E5_4_99_12 * C00868)/(${Variables:E5_4_99_12_km} + (E5_4_99_12 * C00868))</v>
      </c>
    </row>
    <row r="995" spans="1:11" ht="46.25" customHeight="1">
      <c r="A995" t="s">
        <v>5836</v>
      </c>
      <c r="B995" t="s">
        <v>5837</v>
      </c>
      <c r="C995" t="s">
        <v>16060</v>
      </c>
      <c r="D995" s="19">
        <v>994</v>
      </c>
      <c r="E995" s="19" t="str">
        <f t="shared" si="47"/>
        <v>E5_4_99_15</v>
      </c>
      <c r="F995" s="19" t="s">
        <v>9267</v>
      </c>
      <c r="G995" s="19" t="s">
        <v>9267</v>
      </c>
      <c r="H995" s="19" t="s">
        <v>9268</v>
      </c>
      <c r="I995" s="19" t="s">
        <v>9268</v>
      </c>
      <c r="J995" s="19" t="str">
        <f t="shared" si="48"/>
        <v>(${Variables:E5_4_99_15_kcat} * E5_4_99_15 * C01935)/(${Variables:E5_4_99_15_km} + (E5_4_99_15 * C01935))</v>
      </c>
      <c r="K995" s="37" t="str">
        <f t="shared" si="49"/>
        <v>r994: C01935 -&gt; C06400 | (${Variables:E5_4_99_15_kcat} * E5_4_99_15 * C01935)/(${Variables:E5_4_99_15_km} + (E5_4_99_15 * C01935))</v>
      </c>
    </row>
    <row r="996" spans="1:11" ht="46.25" customHeight="1">
      <c r="A996" t="s">
        <v>5836</v>
      </c>
      <c r="B996" t="s">
        <v>5837</v>
      </c>
      <c r="C996" t="s">
        <v>16060</v>
      </c>
      <c r="D996" s="19">
        <v>995</v>
      </c>
      <c r="E996" s="19" t="str">
        <f t="shared" si="47"/>
        <v>E5_4_99_15</v>
      </c>
      <c r="F996" s="19" t="s">
        <v>9109</v>
      </c>
      <c r="G996" s="19" t="s">
        <v>9109</v>
      </c>
      <c r="H996" s="19" t="s">
        <v>9270</v>
      </c>
      <c r="I996" s="19" t="s">
        <v>9270</v>
      </c>
      <c r="J996" s="19" t="str">
        <f t="shared" si="48"/>
        <v>(${Variables:E5_4_99_15_kcat} * E5_4_99_15 * G10495)/(${Variables:E5_4_99_15_km} + (E5_4_99_15 * G10495))</v>
      </c>
      <c r="K996" s="37" t="str">
        <f t="shared" si="49"/>
        <v>r995: G10495 -&gt; G10589 | (${Variables:E5_4_99_15_kcat} * E5_4_99_15 * G10495)/(${Variables:E5_4_99_15_km} + (E5_4_99_15 * G10495))</v>
      </c>
    </row>
    <row r="997" spans="1:11" ht="46.25" customHeight="1">
      <c r="A997" t="s">
        <v>6347</v>
      </c>
      <c r="B997" t="s">
        <v>6348</v>
      </c>
      <c r="C997" t="s">
        <v>13114</v>
      </c>
      <c r="D997" s="19">
        <v>996</v>
      </c>
      <c r="E997" s="19" t="str">
        <f t="shared" si="47"/>
        <v>E5_4_99_16</v>
      </c>
      <c r="F997" s="19" t="s">
        <v>9100</v>
      </c>
      <c r="G997" s="19" t="s">
        <v>9100</v>
      </c>
      <c r="H997" s="19" t="s">
        <v>9101</v>
      </c>
      <c r="I997" s="19" t="s">
        <v>9101</v>
      </c>
      <c r="J997" s="19" t="str">
        <f t="shared" si="48"/>
        <v>(${Variables:E5_4_99_16_kcat} * E5_4_99_16 * C00208)/(${Variables:E5_4_99_16_km} + (E5_4_99_16 * C00208))</v>
      </c>
      <c r="K997" s="37" t="str">
        <f t="shared" si="49"/>
        <v>r996: C00208 -&gt; C01083 | (${Variables:E5_4_99_16_kcat} * E5_4_99_16 * C00208)/(${Variables:E5_4_99_16_km} + (E5_4_99_16 * C00208))</v>
      </c>
    </row>
    <row r="998" spans="1:11" ht="46.25" customHeight="1">
      <c r="A998" t="s">
        <v>6347</v>
      </c>
      <c r="B998" t="s">
        <v>6348</v>
      </c>
      <c r="C998" t="s">
        <v>13114</v>
      </c>
      <c r="D998" s="19">
        <v>997</v>
      </c>
      <c r="E998" s="19" t="str">
        <f t="shared" si="47"/>
        <v>E5_4_99_16</v>
      </c>
      <c r="F998" s="19" t="s">
        <v>9103</v>
      </c>
      <c r="G998" s="19" t="s">
        <v>9103</v>
      </c>
      <c r="H998" s="19" t="s">
        <v>9104</v>
      </c>
      <c r="I998" s="19" t="s">
        <v>9104</v>
      </c>
      <c r="J998" s="19" t="str">
        <f t="shared" si="48"/>
        <v>(${Variables:E5_4_99_16_kcat} * E5_4_99_16 * G00275)/(${Variables:E5_4_99_16_km} + (E5_4_99_16 * G00275))</v>
      </c>
      <c r="K998" s="37" t="str">
        <f t="shared" si="49"/>
        <v>r997: G00275 -&gt; G00293 | (${Variables:E5_4_99_16_kcat} * E5_4_99_16 * G00275)/(${Variables:E5_4_99_16_km} + (E5_4_99_16 * G00275))</v>
      </c>
    </row>
    <row r="999" spans="1:11" ht="46.25" customHeight="1">
      <c r="A999" t="s">
        <v>2064</v>
      </c>
      <c r="B999" t="s">
        <v>2065</v>
      </c>
      <c r="C999" t="s">
        <v>13115</v>
      </c>
      <c r="D999" s="19">
        <v>998</v>
      </c>
      <c r="E999" s="19" t="str">
        <f t="shared" si="47"/>
        <v>E5_4_99_18</v>
      </c>
      <c r="F999" s="19" t="s">
        <v>10139</v>
      </c>
      <c r="G999" s="19" t="s">
        <v>10139</v>
      </c>
      <c r="H999" s="19" t="s">
        <v>10136</v>
      </c>
      <c r="I999" s="19" t="s">
        <v>10136</v>
      </c>
      <c r="J999" s="19" t="str">
        <f t="shared" si="48"/>
        <v>(${Variables:E5_4_99_18_kcat} * E5_4_99_18 * C15667)/(${Variables:E5_4_99_18_km} + (E5_4_99_18 * C15667))</v>
      </c>
      <c r="K999" s="37" t="str">
        <f t="shared" si="49"/>
        <v>r998: C15667 -&gt; C04751 | (${Variables:E5_4_99_18_kcat} * E5_4_99_18 * C15667)/(${Variables:E5_4_99_18_km} + (E5_4_99_18 * C15667))</v>
      </c>
    </row>
    <row r="1000" spans="1:11" ht="46.25" customHeight="1">
      <c r="A1000" t="s">
        <v>4309</v>
      </c>
      <c r="B1000" t="s">
        <v>4310</v>
      </c>
      <c r="C1000" t="s">
        <v>13116</v>
      </c>
      <c r="D1000" s="19">
        <v>999</v>
      </c>
      <c r="E1000" s="19" t="str">
        <f t="shared" si="47"/>
        <v>E5_4_99_2</v>
      </c>
      <c r="F1000" s="19" t="s">
        <v>9670</v>
      </c>
      <c r="G1000" s="19" t="s">
        <v>9670</v>
      </c>
      <c r="H1000" s="19" t="s">
        <v>9671</v>
      </c>
      <c r="I1000" s="19" t="s">
        <v>9671</v>
      </c>
      <c r="J1000" s="19" t="str">
        <f t="shared" si="48"/>
        <v>(${Variables:E5_4_99_2_kcat} * E5_4_99_2 * C01213)/(${Variables:E5_4_99_2_km} + (E5_4_99_2 * C01213))</v>
      </c>
      <c r="K1000" s="37" t="str">
        <f t="shared" si="49"/>
        <v>r999: C01213 -&gt; C00091 | (${Variables:E5_4_99_2_kcat} * E5_4_99_2 * C01213)/(${Variables:E5_4_99_2_km} + (E5_4_99_2 * C01213))</v>
      </c>
    </row>
    <row r="1001" spans="1:11" ht="46.25" customHeight="1">
      <c r="A1001" t="s">
        <v>2469</v>
      </c>
      <c r="B1001" t="s">
        <v>2470</v>
      </c>
      <c r="C1001" t="s">
        <v>13118</v>
      </c>
      <c r="D1001" s="19">
        <v>1000</v>
      </c>
      <c r="E1001" s="19" t="str">
        <f t="shared" si="47"/>
        <v>E5_4_99_5</v>
      </c>
      <c r="F1001" s="19" t="s">
        <v>9811</v>
      </c>
      <c r="G1001" s="19" t="s">
        <v>9811</v>
      </c>
      <c r="H1001" s="19" t="s">
        <v>8577</v>
      </c>
      <c r="I1001" s="19" t="s">
        <v>8577</v>
      </c>
      <c r="J1001" s="19" t="str">
        <f t="shared" si="48"/>
        <v>(${Variables:E5_4_99_5_kcat} * E5_4_99_5 * C00251)/(${Variables:E5_4_99_5_km} + (E5_4_99_5 * C00251))</v>
      </c>
      <c r="K1001" s="37" t="str">
        <f t="shared" si="49"/>
        <v>r1000: C00251 -&gt; C00254 | (${Variables:E5_4_99_5_kcat} * E5_4_99_5 * C00251)/(${Variables:E5_4_99_5_km} + (E5_4_99_5 * C00251))</v>
      </c>
    </row>
    <row r="1002" spans="1:11" ht="46.25" customHeight="1">
      <c r="A1002" t="s">
        <v>3567</v>
      </c>
      <c r="B1002" t="s">
        <v>3568</v>
      </c>
      <c r="C1002" t="s">
        <v>13119</v>
      </c>
      <c r="D1002" s="19">
        <v>1001</v>
      </c>
      <c r="E1002" s="19" t="str">
        <f t="shared" si="47"/>
        <v>E5_4_99_62</v>
      </c>
      <c r="F1002" s="19" t="s">
        <v>9857</v>
      </c>
      <c r="G1002" s="19" t="s">
        <v>9857</v>
      </c>
      <c r="H1002" s="19" t="s">
        <v>9858</v>
      </c>
      <c r="I1002" s="19" t="s">
        <v>9858</v>
      </c>
      <c r="J1002" s="19" t="str">
        <f t="shared" si="48"/>
        <v>(${Variables:E5_4_99_62_kcat} * E5_4_99_62 * C08353)/(${Variables:E5_4_99_62_km} + (E5_4_99_62 * C08353))</v>
      </c>
      <c r="K1002" s="37" t="str">
        <f t="shared" si="49"/>
        <v>r1001: C08353 -&gt; C16639 | (${Variables:E5_4_99_62_kcat} * E5_4_99_62 * C08353)/(${Variables:E5_4_99_62_km} + (E5_4_99_62 * C08353))</v>
      </c>
    </row>
    <row r="1003" spans="1:11" ht="46.25" customHeight="1">
      <c r="A1003" t="s">
        <v>7880</v>
      </c>
      <c r="B1003" t="s">
        <v>7881</v>
      </c>
      <c r="C1003" t="s">
        <v>13120</v>
      </c>
      <c r="D1003" s="19">
        <v>1002</v>
      </c>
      <c r="E1003" s="19" t="str">
        <f t="shared" si="47"/>
        <v>E5_4_99_9</v>
      </c>
      <c r="F1003" s="19" t="s">
        <v>8588</v>
      </c>
      <c r="G1003" s="19" t="s">
        <v>8588</v>
      </c>
      <c r="H1003" s="19" t="s">
        <v>8589</v>
      </c>
      <c r="I1003" s="19" t="s">
        <v>8589</v>
      </c>
      <c r="J1003" s="19" t="str">
        <f t="shared" si="48"/>
        <v>(${Variables:E5_4_99_9_kcat} * E5_4_99_9 * C00052 )/(${Variables:E5_4_99_9_km} + (E5_4_99_9 * C00052 ))</v>
      </c>
      <c r="K1003" s="37" t="str">
        <f t="shared" si="49"/>
        <v>r1002: C00052  -&gt; C03733 | (${Variables:E5_4_99_9_kcat} * E5_4_99_9 * C00052 )/(${Variables:E5_4_99_9_km} + (E5_4_99_9 * C00052 ))</v>
      </c>
    </row>
    <row r="1004" spans="1:11" ht="46.25" customHeight="1">
      <c r="A1004" t="s">
        <v>7880</v>
      </c>
      <c r="B1004" t="s">
        <v>7881</v>
      </c>
      <c r="C1004" t="s">
        <v>13120</v>
      </c>
      <c r="D1004" s="19">
        <v>1003</v>
      </c>
      <c r="E1004" s="19" t="str">
        <f t="shared" si="47"/>
        <v>E5_4_99_9</v>
      </c>
      <c r="F1004" s="19" t="s">
        <v>11841</v>
      </c>
      <c r="G1004" s="19" t="s">
        <v>11841</v>
      </c>
      <c r="H1004" s="19" t="s">
        <v>11842</v>
      </c>
      <c r="I1004" s="19" t="s">
        <v>11842</v>
      </c>
      <c r="J1004" s="19" t="str">
        <f t="shared" si="48"/>
        <v>(${Variables:E5_4_99_9_kcat} * E5_4_99_9 * C00935)/(${Variables:E5_4_99_9_km} + (E5_4_99_9 * C00935))</v>
      </c>
      <c r="K1004" s="37" t="str">
        <f t="shared" si="49"/>
        <v>r1003: C00935 -&gt; C18094 | (${Variables:E5_4_99_9_kcat} * E5_4_99_9 * C00935)/(${Variables:E5_4_99_9_km} + (E5_4_99_9 * C00935))</v>
      </c>
    </row>
    <row r="1005" spans="1:11" ht="46.25" customHeight="1">
      <c r="A1005" t="s">
        <v>5645</v>
      </c>
      <c r="B1005" t="s">
        <v>5646</v>
      </c>
      <c r="C1005" t="s">
        <v>13121</v>
      </c>
      <c r="D1005" s="19">
        <v>1004</v>
      </c>
      <c r="E1005" s="19" t="str">
        <f t="shared" si="47"/>
        <v>E5_5_1_2</v>
      </c>
      <c r="F1005" s="19" t="s">
        <v>9011</v>
      </c>
      <c r="G1005" s="19" t="s">
        <v>9011</v>
      </c>
      <c r="H1005" s="19" t="s">
        <v>9006</v>
      </c>
      <c r="I1005" s="19" t="s">
        <v>9006</v>
      </c>
      <c r="J1005" s="19" t="str">
        <f t="shared" si="48"/>
        <v>(${Variables:E5_5_1_2_kcat} * E5_5_1_2 * C01278)/(${Variables:E5_5_1_2_km} + (E5_5_1_2 * C01278))</v>
      </c>
      <c r="K1005" s="37" t="str">
        <f t="shared" si="49"/>
        <v>r1004: C01278 -&gt; C01163 | (${Variables:E5_5_1_2_kcat} * E5_5_1_2 * C01278)/(${Variables:E5_5_1_2_km} + (E5_5_1_2 * C01278))</v>
      </c>
    </row>
    <row r="1006" spans="1:11" ht="46.25" customHeight="1">
      <c r="A1006" t="s">
        <v>6608</v>
      </c>
      <c r="B1006" t="s">
        <v>6609</v>
      </c>
      <c r="C1006" t="s">
        <v>13121</v>
      </c>
      <c r="D1006" s="19">
        <v>1005</v>
      </c>
      <c r="E1006" s="19" t="str">
        <f t="shared" si="47"/>
        <v>E5_5_1_2</v>
      </c>
      <c r="F1006" s="19" t="s">
        <v>9011</v>
      </c>
      <c r="G1006" s="19" t="s">
        <v>9011</v>
      </c>
      <c r="H1006" s="19" t="s">
        <v>9006</v>
      </c>
      <c r="I1006" s="19" t="s">
        <v>9006</v>
      </c>
      <c r="J1006" s="19" t="str">
        <f t="shared" si="48"/>
        <v>(${Variables:E5_5_1_2_kcat} * E5_5_1_2 * C01278)/(${Variables:E5_5_1_2_km} + (E5_5_1_2 * C01278))</v>
      </c>
      <c r="K1006" s="37" t="str">
        <f t="shared" si="49"/>
        <v>r1005: C01278 -&gt; C01163 | (${Variables:E5_5_1_2_kcat} * E5_5_1_2 * C01278)/(${Variables:E5_5_1_2_km} + (E5_5_1_2 * C01278))</v>
      </c>
    </row>
    <row r="1007" spans="1:11" ht="46.25" customHeight="1">
      <c r="A1007" t="s">
        <v>8148</v>
      </c>
      <c r="B1007" t="s">
        <v>8149</v>
      </c>
      <c r="C1007" t="s">
        <v>13122</v>
      </c>
      <c r="D1007" s="19">
        <v>1006</v>
      </c>
      <c r="E1007" s="19" t="str">
        <f t="shared" si="47"/>
        <v>E5_5_1_4</v>
      </c>
      <c r="F1007" s="19" t="s">
        <v>8551</v>
      </c>
      <c r="G1007" s="19" t="s">
        <v>8551</v>
      </c>
      <c r="H1007" s="19" t="s">
        <v>8552</v>
      </c>
      <c r="I1007" s="19" t="s">
        <v>8552</v>
      </c>
      <c r="J1007" s="19" t="str">
        <f t="shared" si="48"/>
        <v>(${Variables:E5_5_1_4_kcat} * E5_5_1_4 * C00092)/(${Variables:E5_5_1_4_km} + (E5_5_1_4 * C00092))</v>
      </c>
      <c r="K1007" s="37" t="str">
        <f t="shared" si="49"/>
        <v>r1006: C00092 -&gt; C04006 | (${Variables:E5_5_1_4_kcat} * E5_5_1_4 * C00092)/(${Variables:E5_5_1_4_km} + (E5_5_1_4 * C00092))</v>
      </c>
    </row>
    <row r="1008" spans="1:11" ht="46.25" customHeight="1">
      <c r="A1008" t="s">
        <v>3968</v>
      </c>
      <c r="B1008" t="s">
        <v>3969</v>
      </c>
      <c r="C1008" t="s">
        <v>13128</v>
      </c>
      <c r="D1008" s="19">
        <v>1007</v>
      </c>
      <c r="E1008" s="19" t="str">
        <f t="shared" si="47"/>
        <v>E6_1_1_1</v>
      </c>
      <c r="F1008" s="19" t="s">
        <v>13795</v>
      </c>
      <c r="G1008" s="19" t="s">
        <v>15210</v>
      </c>
      <c r="H1008" s="19" t="s">
        <v>14522</v>
      </c>
      <c r="I1008" s="19" t="s">
        <v>15937</v>
      </c>
      <c r="J1008" s="19" t="str">
        <f t="shared" si="48"/>
        <v>(${Variables:E6_1_1_1_kcat} * E6_1_1_1 * C00002 * C00082 * C00787)/(${Variables:E6_1_1_1_km} + (E6_1_1_1 * C00002 * C00082 * C00787))</v>
      </c>
      <c r="K1008" s="37" t="str">
        <f t="shared" si="49"/>
        <v>r1007: C00002 + C00082 + C00787 -&gt; C00020 + C00013 + C02839 | (${Variables:E6_1_1_1_kcat} * E6_1_1_1 * C00002 * C00082 * C00787)/(${Variables:E6_1_1_1_km} + (E6_1_1_1 * C00002 * C00082 * C00787))</v>
      </c>
    </row>
    <row r="1009" spans="1:11" ht="46.25" customHeight="1">
      <c r="A1009" t="s">
        <v>2590</v>
      </c>
      <c r="B1009" t="s">
        <v>2591</v>
      </c>
      <c r="C1009" t="s">
        <v>13129</v>
      </c>
      <c r="D1009" s="19">
        <v>1008</v>
      </c>
      <c r="E1009" s="19" t="str">
        <f t="shared" si="47"/>
        <v>E6_1_1_10</v>
      </c>
      <c r="F1009" s="19" t="s">
        <v>13796</v>
      </c>
      <c r="G1009" s="19" t="s">
        <v>15211</v>
      </c>
      <c r="H1009" s="19" t="s">
        <v>14523</v>
      </c>
      <c r="I1009" s="19" t="s">
        <v>15938</v>
      </c>
      <c r="J1009" s="19" t="str">
        <f t="shared" si="48"/>
        <v>(${Variables:E6_1_1_10_kcat} * E6_1_1_10 * C00002 * C00073 * C01647)/(${Variables:E6_1_1_10_km} + (E6_1_1_10 * C00002 * C00073 * C01647))</v>
      </c>
      <c r="K1009" s="37" t="str">
        <f t="shared" si="49"/>
        <v>r1008: C00002 + C00073 + C01647 -&gt; C00020 + C00013 + C02430 | (${Variables:E6_1_1_10_kcat} * E6_1_1_10 * C00002 * C00073 * C01647)/(${Variables:E6_1_1_10_km} + (E6_1_1_10 * C00002 * C00073 * C01647))</v>
      </c>
    </row>
    <row r="1010" spans="1:11" ht="46.25" customHeight="1">
      <c r="A1010" t="s">
        <v>2590</v>
      </c>
      <c r="B1010" t="s">
        <v>2591</v>
      </c>
      <c r="C1010" t="s">
        <v>13129</v>
      </c>
      <c r="D1010" s="19">
        <v>1009</v>
      </c>
      <c r="E1010" s="19" t="str">
        <f t="shared" si="47"/>
        <v>E6_1_1_10</v>
      </c>
      <c r="F1010" s="19" t="s">
        <v>13797</v>
      </c>
      <c r="G1010" s="19" t="s">
        <v>15212</v>
      </c>
      <c r="H1010" s="19" t="s">
        <v>14524</v>
      </c>
      <c r="I1010" s="19" t="s">
        <v>15939</v>
      </c>
      <c r="J1010" s="19" t="str">
        <f t="shared" si="48"/>
        <v>(${Variables:E6_1_1_10_kcat} * E6_1_1_10 * C00002 * C05335 * C01647)/(${Variables:E6_1_1_10_km} + (E6_1_1_10 * C00002 * C05335 * C01647))</v>
      </c>
      <c r="K1010" s="37" t="str">
        <f t="shared" si="49"/>
        <v>r1009: C00002 + C05335 + C01647 -&gt; C00020 + C00013 + C05336 | (${Variables:E6_1_1_10_kcat} * E6_1_1_10 * C00002 * C05335 * C01647)/(${Variables:E6_1_1_10_km} + (E6_1_1_10 * C00002 * C05335 * C01647))</v>
      </c>
    </row>
    <row r="1011" spans="1:11" ht="46.25" customHeight="1">
      <c r="A1011" t="s">
        <v>7894</v>
      </c>
      <c r="B1011" t="s">
        <v>7895</v>
      </c>
      <c r="C1011" t="s">
        <v>13130</v>
      </c>
      <c r="D1011" s="19">
        <v>1010</v>
      </c>
      <c r="E1011" s="19" t="str">
        <f t="shared" si="47"/>
        <v>E6_1_1_11</v>
      </c>
      <c r="F1011" s="19" t="s">
        <v>13798</v>
      </c>
      <c r="G1011" s="19" t="s">
        <v>15213</v>
      </c>
      <c r="H1011" s="19" t="s">
        <v>14525</v>
      </c>
      <c r="I1011" s="19" t="s">
        <v>15940</v>
      </c>
      <c r="J1011" s="19" t="str">
        <f t="shared" si="48"/>
        <v>(${Variables:E6_1_1_11_kcat} * E6_1_1_11 * C00002 * C00065 * C01650)/(${Variables:E6_1_1_11_km} + (E6_1_1_11 * C00002 * C00065 * C01650))</v>
      </c>
      <c r="K1011" s="37" t="str">
        <f t="shared" si="49"/>
        <v>r1010: C00002 + C00065 + C01650 -&gt; C00020 + C00013 + C02553 | (${Variables:E6_1_1_11_kcat} * E6_1_1_11 * C00002 * C00065 * C01650)/(${Variables:E6_1_1_11_km} + (E6_1_1_11 * C00002 * C00065 * C01650))</v>
      </c>
    </row>
    <row r="1012" spans="1:11" ht="46.25" customHeight="1">
      <c r="A1012" t="s">
        <v>7894</v>
      </c>
      <c r="B1012" t="s">
        <v>7895</v>
      </c>
      <c r="C1012" t="s">
        <v>13130</v>
      </c>
      <c r="D1012" s="19">
        <v>1011</v>
      </c>
      <c r="E1012" s="19" t="str">
        <f t="shared" si="47"/>
        <v>E6_1_1_11</v>
      </c>
      <c r="F1012" s="19" t="s">
        <v>13799</v>
      </c>
      <c r="G1012" s="19" t="s">
        <v>15214</v>
      </c>
      <c r="H1012" s="19" t="s">
        <v>14526</v>
      </c>
      <c r="I1012" s="19" t="s">
        <v>15941</v>
      </c>
      <c r="J1012" s="19" t="str">
        <f t="shared" si="48"/>
        <v>(${Variables:E6_1_1_11_kcat} * E6_1_1_11 * C00002 * C00065 * C16636)/(${Variables:E6_1_1_11_km} + (E6_1_1_11 * C00002 * C00065 * C16636))</v>
      </c>
      <c r="K1012" s="37" t="str">
        <f t="shared" si="49"/>
        <v>r1011: C00002 + C00065 + C16636 -&gt; C00020 + C00013 + C06481 | (${Variables:E6_1_1_11_kcat} * E6_1_1_11 * C00002 * C00065 * C16636)/(${Variables:E6_1_1_11_km} + (E6_1_1_11 * C00002 * C00065 * C16636))</v>
      </c>
    </row>
    <row r="1013" spans="1:11" ht="46.25" customHeight="1">
      <c r="A1013" t="s">
        <v>4637</v>
      </c>
      <c r="B1013" t="s">
        <v>4638</v>
      </c>
      <c r="C1013" t="s">
        <v>13131</v>
      </c>
      <c r="D1013" s="19">
        <v>1012</v>
      </c>
      <c r="E1013" s="19" t="str">
        <f t="shared" si="47"/>
        <v>E6_1_1_12</v>
      </c>
      <c r="F1013" s="19" t="s">
        <v>13800</v>
      </c>
      <c r="G1013" s="19" t="s">
        <v>15215</v>
      </c>
      <c r="H1013" s="19" t="s">
        <v>14527</v>
      </c>
      <c r="I1013" s="19" t="s">
        <v>15942</v>
      </c>
      <c r="J1013" s="19" t="str">
        <f t="shared" si="48"/>
        <v>(${Variables:E6_1_1_12_kcat} * E6_1_1_12 * C01638 * C00049 * C00002)/(${Variables:E6_1_1_12_km} + (E6_1_1_12 * C01638 * C00049 * C00002))</v>
      </c>
      <c r="K1013" s="37" t="str">
        <f t="shared" si="49"/>
        <v>r1012: C01638 + C00049 + C00002 -&gt; C02984 + C00013 + C00020 | (${Variables:E6_1_1_12_kcat} * E6_1_1_12 * C01638 * C00049 * C00002)/(${Variables:E6_1_1_12_km} + (E6_1_1_12 * C01638 * C00049 * C00002))</v>
      </c>
    </row>
    <row r="1014" spans="1:11" ht="46.25" customHeight="1">
      <c r="A1014" t="s">
        <v>6275</v>
      </c>
      <c r="B1014" t="s">
        <v>6276</v>
      </c>
      <c r="C1014" t="s">
        <v>13132</v>
      </c>
      <c r="D1014" s="19">
        <v>1013</v>
      </c>
      <c r="E1014" s="19" t="str">
        <f t="shared" si="47"/>
        <v>E6_1_1_14</v>
      </c>
      <c r="F1014" s="19" t="s">
        <v>13801</v>
      </c>
      <c r="G1014" s="19" t="s">
        <v>15216</v>
      </c>
      <c r="H1014" s="19" t="s">
        <v>14528</v>
      </c>
      <c r="I1014" s="19" t="s">
        <v>15943</v>
      </c>
      <c r="J1014" s="19" t="str">
        <f t="shared" si="48"/>
        <v>(${Variables:E6_1_1_14_kcat} * E6_1_1_14 * C00002 * C00037 * C01642)/(${Variables:E6_1_1_14_km} + (E6_1_1_14 * C00002 * C00037 * C01642))</v>
      </c>
      <c r="K1014" s="37" t="str">
        <f t="shared" si="49"/>
        <v>r1013: C00002 + C00037 + C01642 -&gt; C00020 + C00013 + C02412 | (${Variables:E6_1_1_14_kcat} * E6_1_1_14 * C00002 * C00037 * C01642)/(${Variables:E6_1_1_14_km} + (E6_1_1_14 * C00002 * C00037 * C01642))</v>
      </c>
    </row>
    <row r="1015" spans="1:11" ht="46.25" customHeight="1">
      <c r="A1015" t="s">
        <v>5498</v>
      </c>
      <c r="B1015" t="s">
        <v>5499</v>
      </c>
      <c r="C1015" t="s">
        <v>13133</v>
      </c>
      <c r="D1015" s="19">
        <v>1014</v>
      </c>
      <c r="E1015" s="19" t="str">
        <f t="shared" si="47"/>
        <v>E6_1_1_15</v>
      </c>
      <c r="F1015" s="19" t="s">
        <v>13802</v>
      </c>
      <c r="G1015" s="19" t="s">
        <v>15217</v>
      </c>
      <c r="H1015" s="19" t="s">
        <v>14529</v>
      </c>
      <c r="I1015" s="19" t="s">
        <v>15944</v>
      </c>
      <c r="J1015" s="19" t="str">
        <f t="shared" si="48"/>
        <v>(${Variables:E6_1_1_15_kcat} * E6_1_1_15 * C00002 * C00148 * C01649)/(${Variables:E6_1_1_15_km} + (E6_1_1_15 * C00002 * C00148 * C01649))</v>
      </c>
      <c r="K1015" s="37" t="str">
        <f t="shared" si="49"/>
        <v>r1014: C00002 + C00148 + C01649 -&gt; C00020 + C00013 + C02702 | (${Variables:E6_1_1_15_kcat} * E6_1_1_15 * C00002 * C00148 * C01649)/(${Variables:E6_1_1_15_km} + (E6_1_1_15 * C00002 * C00148 * C01649))</v>
      </c>
    </row>
    <row r="1016" spans="1:11" ht="46.25" customHeight="1">
      <c r="A1016" t="s">
        <v>7262</v>
      </c>
      <c r="B1016" t="s">
        <v>7263</v>
      </c>
      <c r="C1016" t="s">
        <v>16061</v>
      </c>
      <c r="D1016" s="19">
        <v>1015</v>
      </c>
      <c r="E1016" s="19" t="str">
        <f t="shared" si="47"/>
        <v>E6_1_1_16</v>
      </c>
      <c r="F1016" s="19" t="s">
        <v>13803</v>
      </c>
      <c r="G1016" s="19" t="s">
        <v>15218</v>
      </c>
      <c r="H1016" s="19" t="s">
        <v>14530</v>
      </c>
      <c r="I1016" s="19" t="s">
        <v>15945</v>
      </c>
      <c r="J1016" s="19" t="str">
        <f t="shared" si="48"/>
        <v>(${Variables:E6_1_1_16_kcat} * E6_1_1_16 * C00002 * C00097 * C01639)/(${Variables:E6_1_1_16_km} + (E6_1_1_16 * C00002 * C00097 * C01639))</v>
      </c>
      <c r="K1016" s="37" t="str">
        <f t="shared" si="49"/>
        <v>r1015: C00002 + C00097 + C01639 -&gt; C00020 + C00013 + C03125 | (${Variables:E6_1_1_16_kcat} * E6_1_1_16 * C00002 * C00097 * C01639)/(${Variables:E6_1_1_16_km} + (E6_1_1_16 * C00002 * C00097 * C01639))</v>
      </c>
    </row>
    <row r="1017" spans="1:11" ht="46.25" customHeight="1">
      <c r="A1017" t="s">
        <v>3668</v>
      </c>
      <c r="B1017" t="s">
        <v>3669</v>
      </c>
      <c r="C1017" t="s">
        <v>13134</v>
      </c>
      <c r="D1017" s="19">
        <v>1016</v>
      </c>
      <c r="E1017" s="19" t="str">
        <f t="shared" si="47"/>
        <v>E6_1_1_17</v>
      </c>
      <c r="F1017" s="19" t="s">
        <v>13804</v>
      </c>
      <c r="G1017" s="19" t="s">
        <v>15219</v>
      </c>
      <c r="H1017" s="19" t="s">
        <v>14531</v>
      </c>
      <c r="I1017" s="19" t="s">
        <v>15946</v>
      </c>
      <c r="J1017" s="19" t="str">
        <f t="shared" si="48"/>
        <v>(${Variables:E6_1_1_17_kcat} * E6_1_1_17 * C01641 * C00025 * C00002)/(${Variables:E6_1_1_17_km} + (E6_1_1_17 * C01641 * C00025 * C00002))</v>
      </c>
      <c r="K1017" s="37" t="str">
        <f t="shared" si="49"/>
        <v>r1016: C01641 + C00025 + C00002 -&gt; C02987 + C00013 + C00020 | (${Variables:E6_1_1_17_kcat} * E6_1_1_17 * C01641 * C00025 * C00002)/(${Variables:E6_1_1_17_km} + (E6_1_1_17 * C01641 * C00025 * C00002))</v>
      </c>
    </row>
    <row r="1018" spans="1:11" ht="46.25" customHeight="1">
      <c r="A1018" t="s">
        <v>3353</v>
      </c>
      <c r="B1018" t="s">
        <v>3354</v>
      </c>
      <c r="C1018" t="s">
        <v>13135</v>
      </c>
      <c r="D1018" s="19">
        <v>1017</v>
      </c>
      <c r="E1018" s="19" t="str">
        <f t="shared" si="47"/>
        <v>E6_1_1_19</v>
      </c>
      <c r="F1018" s="19" t="s">
        <v>13805</v>
      </c>
      <c r="G1018" s="19" t="s">
        <v>15220</v>
      </c>
      <c r="H1018" s="19" t="s">
        <v>14532</v>
      </c>
      <c r="I1018" s="19" t="s">
        <v>15947</v>
      </c>
      <c r="J1018" s="19" t="str">
        <f t="shared" si="48"/>
        <v>(${Variables:E6_1_1_19_kcat} * E6_1_1_19 * C00002 * C00062 * C01636)/(${Variables:E6_1_1_19_km} + (E6_1_1_19 * C00002 * C00062 * C01636))</v>
      </c>
      <c r="K1018" s="37" t="str">
        <f t="shared" si="49"/>
        <v>r1017: C00002 + C00062 + C01636 -&gt; C00020 + C00013 + C02163 | (${Variables:E6_1_1_19_kcat} * E6_1_1_19 * C00002 * C00062 * C01636)/(${Variables:E6_1_1_19_km} + (E6_1_1_19 * C00002 * C00062 * C01636))</v>
      </c>
    </row>
    <row r="1019" spans="1:11" ht="46.25" customHeight="1">
      <c r="A1019" t="s">
        <v>1965</v>
      </c>
      <c r="B1019" t="s">
        <v>1966</v>
      </c>
      <c r="C1019" t="s">
        <v>13136</v>
      </c>
      <c r="D1019" s="19">
        <v>1018</v>
      </c>
      <c r="E1019" s="19" t="str">
        <f t="shared" si="47"/>
        <v>E6_1_1_2</v>
      </c>
      <c r="F1019" s="19" t="s">
        <v>13806</v>
      </c>
      <c r="G1019" s="19" t="s">
        <v>15221</v>
      </c>
      <c r="H1019" s="19" t="s">
        <v>14533</v>
      </c>
      <c r="I1019" s="19" t="s">
        <v>15948</v>
      </c>
      <c r="J1019" s="19" t="str">
        <f t="shared" si="48"/>
        <v>(${Variables:E6_1_1_2_kcat} * E6_1_1_2 * C00002 * C00078 * C01652)/(${Variables:E6_1_1_2_km} + (E6_1_1_2 * C00002 * C00078 * C01652))</v>
      </c>
      <c r="K1019" s="37" t="str">
        <f t="shared" si="49"/>
        <v>r1018: C00002 + C00078 + C01652 -&gt; C00020 + C00013 + C03512 | (${Variables:E6_1_1_2_kcat} * E6_1_1_2 * C00002 * C00078 * C01652)/(${Variables:E6_1_1_2_km} + (E6_1_1_2 * C00002 * C00078 * C01652))</v>
      </c>
    </row>
    <row r="1020" spans="1:11" ht="46.25" customHeight="1">
      <c r="A1020" t="s">
        <v>3917</v>
      </c>
      <c r="B1020" t="s">
        <v>3918</v>
      </c>
      <c r="C1020" t="s">
        <v>13137</v>
      </c>
      <c r="D1020" s="19">
        <v>1019</v>
      </c>
      <c r="E1020" s="19" t="str">
        <f t="shared" si="47"/>
        <v>E6_1_1_20</v>
      </c>
      <c r="F1020" s="19" t="s">
        <v>13807</v>
      </c>
      <c r="G1020" s="19" t="s">
        <v>15222</v>
      </c>
      <c r="H1020" s="19" t="s">
        <v>14534</v>
      </c>
      <c r="I1020" s="19" t="s">
        <v>15949</v>
      </c>
      <c r="J1020" s="19" t="str">
        <f t="shared" si="48"/>
        <v>(${Variables:E6_1_1_20_kcat} * E6_1_1_20 * C00002 * C00079 * C01648)/(${Variables:E6_1_1_20_km} + (E6_1_1_20 * C00002 * C00079 * C01648))</v>
      </c>
      <c r="K1020" s="37" t="str">
        <f t="shared" si="49"/>
        <v>r1019: C00002 + C00079 + C01648 -&gt; C00020 + C00013 + C03511 | (${Variables:E6_1_1_20_kcat} * E6_1_1_20 * C00002 * C00079 * C01648)/(${Variables:E6_1_1_20_km} + (E6_1_1_20 * C00002 * C00079 * C01648))</v>
      </c>
    </row>
    <row r="1021" spans="1:11" ht="46.25" customHeight="1">
      <c r="A1021" t="s">
        <v>3921</v>
      </c>
      <c r="B1021" t="s">
        <v>3922</v>
      </c>
      <c r="C1021" t="s">
        <v>13137</v>
      </c>
      <c r="D1021" s="19">
        <v>1020</v>
      </c>
      <c r="E1021" s="19" t="str">
        <f t="shared" si="47"/>
        <v>E6_1_1_20</v>
      </c>
      <c r="F1021" s="19" t="s">
        <v>13807</v>
      </c>
      <c r="G1021" s="19" t="s">
        <v>15222</v>
      </c>
      <c r="H1021" s="19" t="s">
        <v>14534</v>
      </c>
      <c r="I1021" s="19" t="s">
        <v>15949</v>
      </c>
      <c r="J1021" s="19" t="str">
        <f t="shared" si="48"/>
        <v>(${Variables:E6_1_1_20_kcat} * E6_1_1_20 * C00002 * C00079 * C01648)/(${Variables:E6_1_1_20_km} + (E6_1_1_20 * C00002 * C00079 * C01648))</v>
      </c>
      <c r="K1021" s="37" t="str">
        <f t="shared" si="49"/>
        <v>r1020: C00002 + C00079 + C01648 -&gt; C00020 + C00013 + C03511 | (${Variables:E6_1_1_20_kcat} * E6_1_1_20 * C00002 * C00079 * C01648)/(${Variables:E6_1_1_20_km} + (E6_1_1_20 * C00002 * C00079 * C01648))</v>
      </c>
    </row>
    <row r="1022" spans="1:11" ht="46.25" customHeight="1">
      <c r="A1022" t="s">
        <v>4664</v>
      </c>
      <c r="B1022" t="s">
        <v>4665</v>
      </c>
      <c r="C1022" t="s">
        <v>13138</v>
      </c>
      <c r="D1022" s="19">
        <v>1021</v>
      </c>
      <c r="E1022" s="19" t="str">
        <f t="shared" si="47"/>
        <v>E6_1_1_21</v>
      </c>
      <c r="F1022" s="19" t="s">
        <v>13808</v>
      </c>
      <c r="G1022" s="19" t="s">
        <v>15223</v>
      </c>
      <c r="H1022" s="19" t="s">
        <v>14535</v>
      </c>
      <c r="I1022" s="19" t="s">
        <v>15950</v>
      </c>
      <c r="J1022" s="19" t="str">
        <f t="shared" si="48"/>
        <v>(${Variables:E6_1_1_21_kcat} * E6_1_1_21 * C00002 * C00135 * C01643)/(${Variables:E6_1_1_21_km} + (E6_1_1_21 * C00002 * C00135 * C01643))</v>
      </c>
      <c r="K1022" s="37" t="str">
        <f t="shared" si="49"/>
        <v>r1021: C00002 + C00135 + C01643 -&gt; C00020 + C00013 + C02988 | (${Variables:E6_1_1_21_kcat} * E6_1_1_21 * C00002 * C00135 * C01643)/(${Variables:E6_1_1_21_km} + (E6_1_1_21 * C00002 * C00135 * C01643))</v>
      </c>
    </row>
    <row r="1023" spans="1:11" ht="46.25" customHeight="1">
      <c r="A1023" t="s">
        <v>4732</v>
      </c>
      <c r="B1023" t="s">
        <v>4733</v>
      </c>
      <c r="C1023" t="s">
        <v>13139</v>
      </c>
      <c r="D1023" s="19">
        <v>1022</v>
      </c>
      <c r="E1023" s="19" t="str">
        <f t="shared" si="47"/>
        <v>E6_1_1_3</v>
      </c>
      <c r="F1023" s="19" t="s">
        <v>13809</v>
      </c>
      <c r="G1023" s="19" t="s">
        <v>15224</v>
      </c>
      <c r="H1023" s="19" t="s">
        <v>14536</v>
      </c>
      <c r="I1023" s="19" t="s">
        <v>15951</v>
      </c>
      <c r="J1023" s="19" t="str">
        <f t="shared" si="48"/>
        <v>(${Variables:E6_1_1_3_kcat} * E6_1_1_3 * C00002 * C00188 * C01651)/(${Variables:E6_1_1_3_km} + (E6_1_1_3 * C00002 * C00188 * C01651))</v>
      </c>
      <c r="K1023" s="37" t="str">
        <f t="shared" si="49"/>
        <v>r1022: C00002 + C00188 + C01651 -&gt; C00020 + C00013 + C02992 | (${Variables:E6_1_1_3_kcat} * E6_1_1_3 * C00002 * C00188 * C01651)/(${Variables:E6_1_1_3_km} + (E6_1_1_3 * C00002 * C00188 * C01651))</v>
      </c>
    </row>
    <row r="1024" spans="1:11" ht="46.25" customHeight="1">
      <c r="A1024" t="s">
        <v>8202</v>
      </c>
      <c r="B1024" t="s">
        <v>8203</v>
      </c>
      <c r="C1024" t="s">
        <v>13140</v>
      </c>
      <c r="D1024" s="19">
        <v>1023</v>
      </c>
      <c r="E1024" s="19" t="str">
        <f t="shared" si="47"/>
        <v>E6_1_1_4</v>
      </c>
      <c r="F1024" s="19" t="s">
        <v>13810</v>
      </c>
      <c r="G1024" s="19" t="s">
        <v>15225</v>
      </c>
      <c r="H1024" s="19" t="s">
        <v>14537</v>
      </c>
      <c r="I1024" s="19" t="s">
        <v>15952</v>
      </c>
      <c r="J1024" s="19" t="str">
        <f t="shared" si="48"/>
        <v>(${Variables:E6_1_1_4_kcat} * E6_1_1_4 * C00002 * C00123 * C01645)/(${Variables:E6_1_1_4_km} + (E6_1_1_4 * C00002 * C00123 * C01645))</v>
      </c>
      <c r="K1024" s="37" t="str">
        <f t="shared" si="49"/>
        <v>r1023: C00002 + C00123 + C01645 -&gt; C00020 + C00013 + C02047 | (${Variables:E6_1_1_4_kcat} * E6_1_1_4 * C00002 * C00123 * C01645)/(${Variables:E6_1_1_4_km} + (E6_1_1_4 * C00002 * C00123 * C01645))</v>
      </c>
    </row>
    <row r="1025" spans="1:11" ht="46.25" customHeight="1">
      <c r="A1025" t="s">
        <v>5917</v>
      </c>
      <c r="B1025" t="s">
        <v>5918</v>
      </c>
      <c r="C1025" t="s">
        <v>13141</v>
      </c>
      <c r="D1025" s="19">
        <v>1024</v>
      </c>
      <c r="E1025" s="19" t="str">
        <f t="shared" si="47"/>
        <v>E6_1_1_5</v>
      </c>
      <c r="F1025" s="19" t="s">
        <v>13811</v>
      </c>
      <c r="G1025" s="19" t="s">
        <v>15226</v>
      </c>
      <c r="H1025" s="19" t="s">
        <v>14538</v>
      </c>
      <c r="I1025" s="19" t="s">
        <v>15953</v>
      </c>
      <c r="J1025" s="19" t="str">
        <f t="shared" si="48"/>
        <v>(${Variables:E6_1_1_5_kcat} * E6_1_1_5 * C00002 * C00407 * C01644)/(${Variables:E6_1_1_5_km} + (E6_1_1_5 * C00002 * C00407 * C01644))</v>
      </c>
      <c r="K1025" s="37" t="str">
        <f t="shared" si="49"/>
        <v>r1024: C00002 + C00407 + C01644 -&gt; C00020 + C00013 + C03127 | (${Variables:E6_1_1_5_kcat} * E6_1_1_5 * C00002 * C00407 * C01644)/(${Variables:E6_1_1_5_km} + (E6_1_1_5 * C00002 * C00407 * C01644))</v>
      </c>
    </row>
    <row r="1026" spans="1:11" ht="46.25" customHeight="1">
      <c r="A1026" t="s">
        <v>7377</v>
      </c>
      <c r="B1026" t="s">
        <v>7378</v>
      </c>
      <c r="C1026" t="s">
        <v>13142</v>
      </c>
      <c r="D1026" s="19">
        <v>1025</v>
      </c>
      <c r="E1026" s="19" t="str">
        <f t="shared" si="47"/>
        <v>E6_1_1_6</v>
      </c>
      <c r="F1026" s="19" t="s">
        <v>13812</v>
      </c>
      <c r="G1026" s="19" t="s">
        <v>15227</v>
      </c>
      <c r="H1026" s="19" t="s">
        <v>14539</v>
      </c>
      <c r="I1026" s="19" t="s">
        <v>15954</v>
      </c>
      <c r="J1026" s="19" t="str">
        <f t="shared" si="48"/>
        <v>(${Variables:E6_1_1_6_kcat} * E6_1_1_6 * C00002 * C00047 * C01646)/(${Variables:E6_1_1_6_km} + (E6_1_1_6 * C00002 * C00047 * C01646))</v>
      </c>
      <c r="K1026" s="37" t="str">
        <f t="shared" si="49"/>
        <v>r1025: C00002 + C00047 + C01646 -&gt; C00020 + C00013 + C01931 | (${Variables:E6_1_1_6_kcat} * E6_1_1_6 * C00002 * C00047 * C01646)/(${Variables:E6_1_1_6_km} + (E6_1_1_6 * C00002 * C00047 * C01646))</v>
      </c>
    </row>
    <row r="1027" spans="1:11" ht="46.25" customHeight="1">
      <c r="A1027" t="s">
        <v>4627</v>
      </c>
      <c r="B1027" t="s">
        <v>4628</v>
      </c>
      <c r="C1027" t="s">
        <v>13143</v>
      </c>
      <c r="D1027" s="19">
        <v>1026</v>
      </c>
      <c r="E1027" s="19" t="str">
        <f t="shared" si="47"/>
        <v>E6_1_1_7</v>
      </c>
      <c r="F1027" s="19" t="s">
        <v>13813</v>
      </c>
      <c r="G1027" s="19" t="s">
        <v>15228</v>
      </c>
      <c r="H1027" s="19" t="s">
        <v>14540</v>
      </c>
      <c r="I1027" s="19" t="s">
        <v>15955</v>
      </c>
      <c r="J1027" s="19" t="str">
        <f t="shared" si="48"/>
        <v>(${Variables:E6_1_1_7_kcat} * E6_1_1_7 * C00002 * C00041 * C01635)/(${Variables:E6_1_1_7_km} + (E6_1_1_7 * C00002 * C00041 * C01635))</v>
      </c>
      <c r="K1027" s="37" t="str">
        <f t="shared" si="49"/>
        <v>r1026: C00002 + C00041 + C01635 -&gt; C00020 + C00013 + C00886 | (${Variables:E6_1_1_7_kcat} * E6_1_1_7 * C00002 * C00041 * C01635)/(${Variables:E6_1_1_7_km} + (E6_1_1_7 * C00002 * C00041 * C01635))</v>
      </c>
    </row>
    <row r="1028" spans="1:11" ht="46.25" customHeight="1">
      <c r="A1028" t="s">
        <v>6551</v>
      </c>
      <c r="B1028" t="s">
        <v>6552</v>
      </c>
      <c r="C1028" t="s">
        <v>13144</v>
      </c>
      <c r="D1028" s="19">
        <v>1027</v>
      </c>
      <c r="E1028" s="19" t="str">
        <f t="shared" si="47"/>
        <v>E6_1_1_9</v>
      </c>
      <c r="F1028" s="19" t="s">
        <v>13814</v>
      </c>
      <c r="G1028" s="19" t="s">
        <v>15229</v>
      </c>
      <c r="H1028" s="19" t="s">
        <v>14541</v>
      </c>
      <c r="I1028" s="19" t="s">
        <v>15956</v>
      </c>
      <c r="J1028" s="19" t="str">
        <f t="shared" si="48"/>
        <v>(${Variables:E6_1_1_9_kcat} * E6_1_1_9 * C00002 * C00183 * C01653)/(${Variables:E6_1_1_9_km} + (E6_1_1_9 * C00002 * C00183 * C01653))</v>
      </c>
      <c r="K1028" s="37" t="str">
        <f t="shared" si="49"/>
        <v>r1027: C00002 + C00183 + C01653 -&gt; C00020 + C00013 + C02554 | (${Variables:E6_1_1_9_kcat} * E6_1_1_9 * C00002 * C00183 * C01653)/(${Variables:E6_1_1_9_km} + (E6_1_1_9 * C00002 * C00183 * C01653))</v>
      </c>
    </row>
    <row r="1029" spans="1:11" ht="46.25" customHeight="1">
      <c r="A1029" t="s">
        <v>1313</v>
      </c>
      <c r="B1029" t="s">
        <v>1314</v>
      </c>
      <c r="C1029" t="s">
        <v>13145</v>
      </c>
      <c r="D1029" s="19">
        <v>1028</v>
      </c>
      <c r="E1029" s="19" t="str">
        <f t="shared" si="47"/>
        <v>E6_2_1_26</v>
      </c>
      <c r="F1029" s="19" t="s">
        <v>13815</v>
      </c>
      <c r="G1029" s="19" t="s">
        <v>15230</v>
      </c>
      <c r="H1029" s="19" t="s">
        <v>14542</v>
      </c>
      <c r="I1029" s="19" t="s">
        <v>15957</v>
      </c>
      <c r="J1029" s="19" t="str">
        <f t="shared" si="48"/>
        <v>(${Variables:E6_2_1_26_kcat} * E6_2_1_26 * C00002 * C02730 * C00010)/(${Variables:E6_2_1_26_km} + (E6_2_1_26 * C00002 * C02730 * C00010))</v>
      </c>
      <c r="K1029" s="37" t="str">
        <f t="shared" si="49"/>
        <v>r1028: C00002 + C02730 + C00010 -&gt; C00020 + C00013 + C03160 | (${Variables:E6_2_1_26_kcat} * E6_2_1_26 * C00002 * C02730 * C00010)/(${Variables:E6_2_1_26_km} + (E6_2_1_26 * C00002 * C02730 * C00010))</v>
      </c>
    </row>
    <row r="1030" spans="1:11" ht="46.25" customHeight="1">
      <c r="A1030" t="s">
        <v>7049</v>
      </c>
      <c r="B1030" t="s">
        <v>7050</v>
      </c>
      <c r="C1030" t="s">
        <v>13146</v>
      </c>
      <c r="D1030" s="19">
        <v>1029</v>
      </c>
      <c r="E1030" s="19" t="str">
        <f t="shared" si="47"/>
        <v>E6_2_1_5</v>
      </c>
      <c r="F1030" s="19" t="s">
        <v>13816</v>
      </c>
      <c r="G1030" s="19" t="s">
        <v>15231</v>
      </c>
      <c r="H1030" s="19" t="s">
        <v>14543</v>
      </c>
      <c r="I1030" s="19" t="s">
        <v>15958</v>
      </c>
      <c r="J1030" s="19" t="str">
        <f t="shared" si="48"/>
        <v>(${Variables:E6_2_1_5_kcat} * E6_2_1_5 * C00002 * C00042 * C00010)/(${Variables:E6_2_1_5_km} + (E6_2_1_5 * C00002 * C00042 * C00010))</v>
      </c>
      <c r="K1030" s="37" t="str">
        <f t="shared" si="49"/>
        <v>r1029: C00002 + C00042 + C00010 -&gt; C00008 + C00009 + C00091 | (${Variables:E6_2_1_5_kcat} * E6_2_1_5 * C00002 * C00042 * C00010)/(${Variables:E6_2_1_5_km} + (E6_2_1_5 * C00002 * C00042 * C00010))</v>
      </c>
    </row>
    <row r="1031" spans="1:11" ht="46.25" customHeight="1">
      <c r="A1031" t="s">
        <v>7049</v>
      </c>
      <c r="B1031" t="s">
        <v>7050</v>
      </c>
      <c r="C1031" t="s">
        <v>13146</v>
      </c>
      <c r="D1031" s="19">
        <v>1030</v>
      </c>
      <c r="E1031" s="19" t="str">
        <f t="shared" si="47"/>
        <v>E6_2_1_5</v>
      </c>
      <c r="F1031" s="19" t="s">
        <v>13817</v>
      </c>
      <c r="G1031" s="19" t="s">
        <v>15232</v>
      </c>
      <c r="H1031" s="19" t="s">
        <v>14544</v>
      </c>
      <c r="I1031" s="19" t="s">
        <v>15959</v>
      </c>
      <c r="J1031" s="19" t="str">
        <f t="shared" si="48"/>
        <v>(${Variables:E6_2_1_5_kcat} * E6_2_1_5 * C00002 * C00490 * C00010)/(${Variables:E6_2_1_5_km} + (E6_2_1_5 * C00002 * C00490 * C00010))</v>
      </c>
      <c r="K1031" s="37" t="str">
        <f t="shared" si="49"/>
        <v>r1030: C00002 + C00490 + C00010 -&gt; C00008 + C00009 + C00531 | (${Variables:E6_2_1_5_kcat} * E6_2_1_5 * C00002 * C00490 * C00010)/(${Variables:E6_2_1_5_km} + (E6_2_1_5 * C00002 * C00490 * C00010))</v>
      </c>
    </row>
    <row r="1032" spans="1:11" ht="46.25" customHeight="1">
      <c r="A1032" t="s">
        <v>7053</v>
      </c>
      <c r="B1032" t="s">
        <v>7054</v>
      </c>
      <c r="C1032" t="s">
        <v>13146</v>
      </c>
      <c r="D1032" s="19">
        <v>1031</v>
      </c>
      <c r="E1032" s="19" t="str">
        <f t="shared" si="47"/>
        <v>E6_2_1_5</v>
      </c>
      <c r="F1032" s="19" t="s">
        <v>13816</v>
      </c>
      <c r="G1032" s="19" t="s">
        <v>15231</v>
      </c>
      <c r="H1032" s="19" t="s">
        <v>14543</v>
      </c>
      <c r="I1032" s="19" t="s">
        <v>15958</v>
      </c>
      <c r="J1032" s="19" t="str">
        <f t="shared" si="48"/>
        <v>(${Variables:E6_2_1_5_kcat} * E6_2_1_5 * C00002 * C00042 * C00010)/(${Variables:E6_2_1_5_km} + (E6_2_1_5 * C00002 * C00042 * C00010))</v>
      </c>
      <c r="K1032" s="37" t="str">
        <f t="shared" si="49"/>
        <v>r1031: C00002 + C00042 + C00010 -&gt; C00008 + C00009 + C00091 | (${Variables:E6_2_1_5_kcat} * E6_2_1_5 * C00002 * C00042 * C00010)/(${Variables:E6_2_1_5_km} + (E6_2_1_5 * C00002 * C00042 * C00010))</v>
      </c>
    </row>
    <row r="1033" spans="1:11" ht="46.25" customHeight="1">
      <c r="A1033" t="s">
        <v>7053</v>
      </c>
      <c r="B1033" t="s">
        <v>7054</v>
      </c>
      <c r="C1033" t="s">
        <v>13146</v>
      </c>
      <c r="D1033" s="19">
        <v>1032</v>
      </c>
      <c r="E1033" s="19" t="str">
        <f t="shared" si="47"/>
        <v>E6_2_1_5</v>
      </c>
      <c r="F1033" s="19" t="s">
        <v>13817</v>
      </c>
      <c r="G1033" s="19" t="s">
        <v>15232</v>
      </c>
      <c r="H1033" s="19" t="s">
        <v>14544</v>
      </c>
      <c r="I1033" s="19" t="s">
        <v>15959</v>
      </c>
      <c r="J1033" s="19" t="str">
        <f t="shared" si="48"/>
        <v>(${Variables:E6_2_1_5_kcat} * E6_2_1_5 * C00002 * C00490 * C00010)/(${Variables:E6_2_1_5_km} + (E6_2_1_5 * C00002 * C00490 * C00010))</v>
      </c>
      <c r="K1033" s="37" t="str">
        <f t="shared" si="49"/>
        <v>r1032: C00002 + C00490 + C00010 -&gt; C00008 + C00009 + C00531 | (${Variables:E6_2_1_5_kcat} * E6_2_1_5 * C00002 * C00490 * C00010)/(${Variables:E6_2_1_5_km} + (E6_2_1_5 * C00002 * C00490 * C00010))</v>
      </c>
    </row>
    <row r="1034" spans="1:11" ht="46.25" customHeight="1">
      <c r="A1034" t="s">
        <v>4272</v>
      </c>
      <c r="B1034" t="s">
        <v>4273</v>
      </c>
      <c r="C1034" t="s">
        <v>16062</v>
      </c>
      <c r="D1034" s="19">
        <v>1033</v>
      </c>
      <c r="E1034" s="19" t="str">
        <f t="shared" ref="E1034:E1097" si="50">CONCATENATE("E",C1034)</f>
        <v>E6_3_1_13</v>
      </c>
      <c r="F1034" s="19" t="s">
        <v>13818</v>
      </c>
      <c r="G1034" s="19" t="s">
        <v>15233</v>
      </c>
      <c r="H1034" s="19" t="s">
        <v>14545</v>
      </c>
      <c r="I1034" s="19" t="s">
        <v>15960</v>
      </c>
      <c r="J1034" s="19" t="str">
        <f t="shared" si="48"/>
        <v>(${Variables:E6_3_1_13_kcat} * E6_3_1_13 * C19702 * C00097 * C00002)/(${Variables:E6_3_1_13_km} + (E6_3_1_13 * C19702 * C00097 * C00002))</v>
      </c>
      <c r="K1034" s="37" t="str">
        <f t="shared" si="49"/>
        <v>r1033: C19702 + C00097 + C00002 -&gt; C19703 + C00020 + C00013 | (${Variables:E6_3_1_13_kcat} * E6_3_1_13 * C19702 * C00097 * C00002)/(${Variables:E6_3_1_13_km} + (E6_3_1_13 * C19702 * C00097 * C00002))</v>
      </c>
    </row>
    <row r="1035" spans="1:11" ht="46.25" customHeight="1">
      <c r="A1035" t="s">
        <v>4211</v>
      </c>
      <c r="B1035" t="s">
        <v>4212</v>
      </c>
      <c r="C1035" t="s">
        <v>13147</v>
      </c>
      <c r="D1035" s="19">
        <v>1034</v>
      </c>
      <c r="E1035" s="19" t="str">
        <f t="shared" si="50"/>
        <v>E6_3_1_19</v>
      </c>
      <c r="F1035" s="19" t="s">
        <v>13819</v>
      </c>
      <c r="G1035" s="19" t="s">
        <v>15234</v>
      </c>
      <c r="H1035" s="19" t="s">
        <v>14546</v>
      </c>
      <c r="I1035" s="19" t="s">
        <v>15961</v>
      </c>
      <c r="J1035" s="19" t="str">
        <f t="shared" ref="J1035:J1098" si="51">CONCATENATE("(${Variables:",E1035,"_kcat","} * ",E1035," * ",G1035,")","/(${Variables:",E1035,"_km","} + (",E1035," * ",G1035,"))")</f>
        <v>(${Variables:E6_3_1_19_kcat} * E6_3_1_19 * C00002 * C21177 * C02188)/(${Variables:E6_3_1_19_km} + (E6_3_1_19 * C00002 * C21177 * C02188))</v>
      </c>
      <c r="K1035" s="37" t="str">
        <f t="shared" ref="K1035:K1098" si="52">CONCATENATE("r",D1035,": ",F1035," -&gt; ",H1035," | ",J1035)</f>
        <v>r1034: C00002 + C21177 + C02188 -&gt; C00008 + C00009 + C21178 | (${Variables:E6_3_1_19_kcat} * E6_3_1_19 * C00002 * C21177 * C02188)/(${Variables:E6_3_1_19_km} + (E6_3_1_19 * C00002 * C21177 * C02188))</v>
      </c>
    </row>
    <row r="1036" spans="1:11" ht="46.25" customHeight="1">
      <c r="A1036" t="s">
        <v>6114</v>
      </c>
      <c r="B1036" t="s">
        <v>6115</v>
      </c>
      <c r="C1036" t="s">
        <v>13148</v>
      </c>
      <c r="D1036" s="19">
        <v>1035</v>
      </c>
      <c r="E1036" s="19" t="str">
        <f t="shared" si="50"/>
        <v>E6_3_1_2</v>
      </c>
      <c r="F1036" s="19" t="s">
        <v>13820</v>
      </c>
      <c r="G1036" s="19" t="s">
        <v>15235</v>
      </c>
      <c r="H1036" s="19" t="s">
        <v>14547</v>
      </c>
      <c r="I1036" s="19" t="s">
        <v>15962</v>
      </c>
      <c r="J1036" s="19" t="str">
        <f t="shared" si="51"/>
        <v>(${Variables:E6_3_1_2_kcat} * E6_3_1_2 * C00002 * C00025 * C00014)/(${Variables:E6_3_1_2_km} + (E6_3_1_2 * C00002 * C00025 * C00014))</v>
      </c>
      <c r="K1036" s="37" t="str">
        <f t="shared" si="52"/>
        <v>r1035: C00002 + C00025 + C00014 -&gt; C00008 + C00009 + C00064 | (${Variables:E6_3_1_2_kcat} * E6_3_1_2 * C00002 * C00025 * C00014)/(${Variables:E6_3_1_2_km} + (E6_3_1_2 * C00002 * C00025 * C00014))</v>
      </c>
    </row>
    <row r="1037" spans="1:11" ht="46.25" customHeight="1">
      <c r="A1037" t="s">
        <v>6962</v>
      </c>
      <c r="B1037" t="s">
        <v>6963</v>
      </c>
      <c r="C1037" t="s">
        <v>13149</v>
      </c>
      <c r="D1037" s="19">
        <v>1036</v>
      </c>
      <c r="E1037" s="19" t="str">
        <f t="shared" si="50"/>
        <v>E6_3_1_5</v>
      </c>
      <c r="F1037" s="19" t="s">
        <v>13821</v>
      </c>
      <c r="G1037" s="19" t="s">
        <v>15236</v>
      </c>
      <c r="H1037" s="19" t="s">
        <v>14548</v>
      </c>
      <c r="I1037" s="19" t="s">
        <v>15963</v>
      </c>
      <c r="J1037" s="19" t="str">
        <f t="shared" si="51"/>
        <v>(${Variables:E6_3_1_5_kcat} * E6_3_1_5 * C00002 * C00857 * C00014)/(${Variables:E6_3_1_5_km} + (E6_3_1_5 * C00002 * C00857 * C00014))</v>
      </c>
      <c r="K1037" s="37" t="str">
        <f t="shared" si="52"/>
        <v>r1036: C00002 + C00857 + C00014 -&gt; C00020 + C00013 + C00003 | (${Variables:E6_3_1_5_kcat} * E6_3_1_5 * C00002 * C00857 * C00014)/(${Variables:E6_3_1_5_km} + (E6_3_1_5 * C00002 * C00857 * C00014))</v>
      </c>
    </row>
    <row r="1038" spans="1:11" ht="46.25" customHeight="1">
      <c r="A1038" t="s">
        <v>376</v>
      </c>
      <c r="B1038" t="s">
        <v>377</v>
      </c>
      <c r="C1038" t="s">
        <v>13150</v>
      </c>
      <c r="D1038" s="19">
        <v>1037</v>
      </c>
      <c r="E1038" s="19" t="str">
        <f t="shared" si="50"/>
        <v>E6_3_2_1</v>
      </c>
      <c r="F1038" s="19" t="s">
        <v>13822</v>
      </c>
      <c r="G1038" s="19" t="s">
        <v>15237</v>
      </c>
      <c r="H1038" s="19" t="s">
        <v>14549</v>
      </c>
      <c r="I1038" s="19" t="s">
        <v>15964</v>
      </c>
      <c r="J1038" s="19" t="str">
        <f t="shared" si="51"/>
        <v>(${Variables:E6_3_2_1_kcat} * E6_3_2_1 * C00002 * C00522 * C00099)/(${Variables:E6_3_2_1_km} + (E6_3_2_1 * C00002 * C00522 * C00099))</v>
      </c>
      <c r="K1038" s="37" t="str">
        <f t="shared" si="52"/>
        <v>r1037: C00002 + C00522 + C00099 -&gt; C00020 + C00013 + C00864 | (${Variables:E6_3_2_1_kcat} * E6_3_2_1 * C00002 * C00522 * C00099)/(${Variables:E6_3_2_1_km} + (E6_3_2_1 * C00002 * C00522 * C00099))</v>
      </c>
    </row>
    <row r="1039" spans="1:11" ht="46.25" customHeight="1">
      <c r="A1039" t="s">
        <v>7380</v>
      </c>
      <c r="B1039" t="s">
        <v>7381</v>
      </c>
      <c r="C1039" t="s">
        <v>13150</v>
      </c>
      <c r="D1039" s="19">
        <v>1038</v>
      </c>
      <c r="E1039" s="19" t="str">
        <f t="shared" si="50"/>
        <v>E6_3_2_1</v>
      </c>
      <c r="F1039" s="19" t="s">
        <v>13822</v>
      </c>
      <c r="G1039" s="19" t="s">
        <v>15237</v>
      </c>
      <c r="H1039" s="19" t="s">
        <v>14549</v>
      </c>
      <c r="I1039" s="19" t="s">
        <v>15964</v>
      </c>
      <c r="J1039" s="19" t="str">
        <f t="shared" si="51"/>
        <v>(${Variables:E6_3_2_1_kcat} * E6_3_2_1 * C00002 * C00522 * C00099)/(${Variables:E6_3_2_1_km} + (E6_3_2_1 * C00002 * C00522 * C00099))</v>
      </c>
      <c r="K1039" s="37" t="str">
        <f t="shared" si="52"/>
        <v>r1038: C00002 + C00522 + C00099 -&gt; C00020 + C00013 + C00864 | (${Variables:E6_3_2_1_kcat} * E6_3_2_1 * C00002 * C00522 * C00099)/(${Variables:E6_3_2_1_km} + (E6_3_2_1 * C00002 * C00522 * C00099))</v>
      </c>
    </row>
    <row r="1040" spans="1:11" ht="46.25" customHeight="1">
      <c r="A1040" t="s">
        <v>5965</v>
      </c>
      <c r="B1040" t="s">
        <v>5966</v>
      </c>
      <c r="C1040" t="s">
        <v>13151</v>
      </c>
      <c r="D1040" s="19">
        <v>1039</v>
      </c>
      <c r="E1040" s="19" t="str">
        <f t="shared" si="50"/>
        <v>E6_3_2_10</v>
      </c>
      <c r="F1040" s="19" t="s">
        <v>13823</v>
      </c>
      <c r="G1040" s="19" t="s">
        <v>15238</v>
      </c>
      <c r="H1040" s="19" t="s">
        <v>14550</v>
      </c>
      <c r="I1040" s="19" t="s">
        <v>15965</v>
      </c>
      <c r="J1040" s="19" t="str">
        <f t="shared" si="51"/>
        <v>(${Variables:E6_3_2_10_kcat} * E6_3_2_10 * C00002 * C05892 * C00993)/(${Variables:E6_3_2_10_km} + (E6_3_2_10 * C00002 * C05892 * C00993))</v>
      </c>
      <c r="K1040" s="37" t="str">
        <f t="shared" si="52"/>
        <v>r1039: C00002 + C05892 + C00993 -&gt; C00008 + C00009 + C04702 | (${Variables:E6_3_2_10_kcat} * E6_3_2_10 * C00002 * C05892 * C00993)/(${Variables:E6_3_2_10_km} + (E6_3_2_10 * C00002 * C05892 * C00993))</v>
      </c>
    </row>
    <row r="1041" spans="1:11" ht="46.25" customHeight="1">
      <c r="A1041" t="s">
        <v>5965</v>
      </c>
      <c r="B1041" t="s">
        <v>5966</v>
      </c>
      <c r="C1041" t="s">
        <v>13151</v>
      </c>
      <c r="D1041" s="19">
        <v>1040</v>
      </c>
      <c r="E1041" s="19" t="str">
        <f t="shared" si="50"/>
        <v>E6_3_2_10</v>
      </c>
      <c r="F1041" s="19" t="s">
        <v>13824</v>
      </c>
      <c r="G1041" s="19" t="s">
        <v>15239</v>
      </c>
      <c r="H1041" s="19" t="s">
        <v>14551</v>
      </c>
      <c r="I1041" s="19" t="s">
        <v>15966</v>
      </c>
      <c r="J1041" s="19" t="str">
        <f t="shared" si="51"/>
        <v>(${Variables:E6_3_2_10_kcat} * E6_3_2_10 * C00002 * C04877 * C00993)/(${Variables:E6_3_2_10_km} + (E6_3_2_10 * C00002 * C04877 * C00993))</v>
      </c>
      <c r="K1041" s="37" t="str">
        <f t="shared" si="52"/>
        <v>r1040: C00002 + C04877 + C00993 -&gt; C00008 + C00009 + C04882 | (${Variables:E6_3_2_10_kcat} * E6_3_2_10 * C00002 * C04877 * C00993)/(${Variables:E6_3_2_10_km} + (E6_3_2_10 * C00002 * C04877 * C00993))</v>
      </c>
    </row>
    <row r="1042" spans="1:11" ht="46.25" customHeight="1">
      <c r="A1042" t="s">
        <v>6548</v>
      </c>
      <c r="B1042" t="s">
        <v>6549</v>
      </c>
      <c r="C1042" t="s">
        <v>13152</v>
      </c>
      <c r="D1042" s="19">
        <v>1041</v>
      </c>
      <c r="E1042" s="19" t="str">
        <f t="shared" si="50"/>
        <v>E6_3_2_12</v>
      </c>
      <c r="F1042" s="19" t="s">
        <v>13825</v>
      </c>
      <c r="G1042" s="19" t="s">
        <v>15240</v>
      </c>
      <c r="H1042" s="19" t="s">
        <v>14552</v>
      </c>
      <c r="I1042" s="19" t="s">
        <v>15967</v>
      </c>
      <c r="J1042" s="19" t="str">
        <f t="shared" si="51"/>
        <v>(${Variables:E6_3_2_12_kcat} * E6_3_2_12 * C00002 * C00921 * C00025)/(${Variables:E6_3_2_12_km} + (E6_3_2_12 * C00002 * C00921 * C00025))</v>
      </c>
      <c r="K1042" s="37" t="str">
        <f t="shared" si="52"/>
        <v>r1041: C00002 + C00921 + C00025 -&gt; C00008 + C00009 + C00415 | (${Variables:E6_3_2_12_kcat} * E6_3_2_12 * C00002 * C00921 * C00025)/(${Variables:E6_3_2_12_km} + (E6_3_2_12 * C00002 * C00921 * C00025))</v>
      </c>
    </row>
    <row r="1043" spans="1:11" ht="46.25" customHeight="1">
      <c r="A1043" t="s">
        <v>6548</v>
      </c>
      <c r="B1043" t="s">
        <v>6549</v>
      </c>
      <c r="C1043" t="s">
        <v>13152</v>
      </c>
      <c r="D1043" s="19">
        <v>1042</v>
      </c>
      <c r="E1043" s="19" t="str">
        <f t="shared" si="50"/>
        <v>E6_3_2_12</v>
      </c>
      <c r="F1043" s="19" t="s">
        <v>13826</v>
      </c>
      <c r="G1043" s="19" t="s">
        <v>15241</v>
      </c>
      <c r="H1043" s="19" t="s">
        <v>14553</v>
      </c>
      <c r="I1043" s="19" t="s">
        <v>15968</v>
      </c>
      <c r="J1043" s="19" t="str">
        <f t="shared" si="51"/>
        <v>(${Variables:E6_3_2_12_kcat} * E6_3_2_12 * C00002 * C00234 * C00025)/(${Variables:E6_3_2_12_km} + (E6_3_2_12 * C00002 * C00234 * C00025))</v>
      </c>
      <c r="K1043" s="37" t="str">
        <f t="shared" si="52"/>
        <v>r1042: C00002 + C00234 + C00025 -&gt; C00008 + C00009 + C05928 | (${Variables:E6_3_2_12_kcat} * E6_3_2_12 * C00002 * C00234 * C00025)/(${Variables:E6_3_2_12_km} + (E6_3_2_12 * C00002 * C00234 * C00025))</v>
      </c>
    </row>
    <row r="1044" spans="1:11" ht="46.25" customHeight="1">
      <c r="A1044" t="s">
        <v>760</v>
      </c>
      <c r="B1044" t="s">
        <v>761</v>
      </c>
      <c r="C1044" t="s">
        <v>13153</v>
      </c>
      <c r="D1044" s="19">
        <v>1043</v>
      </c>
      <c r="E1044" s="19" t="str">
        <f t="shared" si="50"/>
        <v>E6_3_2_13</v>
      </c>
      <c r="F1044" s="19" t="s">
        <v>13827</v>
      </c>
      <c r="G1044" s="19" t="s">
        <v>15242</v>
      </c>
      <c r="H1044" s="19" t="s">
        <v>14554</v>
      </c>
      <c r="I1044" s="19" t="s">
        <v>15969</v>
      </c>
      <c r="J1044" s="19" t="str">
        <f t="shared" si="51"/>
        <v>(${Variables:E6_3_2_13_kcat} * E6_3_2_13 * C00002 * C00692 * C00680)/(${Variables:E6_3_2_13_km} + (E6_3_2_13 * C00002 * C00692 * C00680))</v>
      </c>
      <c r="K1044" s="37" t="str">
        <f t="shared" si="52"/>
        <v>r1043: C00002 + C00692 + C00680 -&gt; C00008 + C00009 + C04877 | (${Variables:E6_3_2_13_kcat} * E6_3_2_13 * C00002 * C00692 * C00680)/(${Variables:E6_3_2_13_km} + (E6_3_2_13 * C00002 * C00692 * C00680))</v>
      </c>
    </row>
    <row r="1045" spans="1:11" ht="46.25" customHeight="1">
      <c r="A1045" t="s">
        <v>5968</v>
      </c>
      <c r="B1045" t="s">
        <v>5969</v>
      </c>
      <c r="C1045" t="s">
        <v>13153</v>
      </c>
      <c r="D1045" s="19">
        <v>1044</v>
      </c>
      <c r="E1045" s="19" t="str">
        <f t="shared" si="50"/>
        <v>E6_3_2_13</v>
      </c>
      <c r="F1045" s="19" t="s">
        <v>13827</v>
      </c>
      <c r="G1045" s="19" t="s">
        <v>15242</v>
      </c>
      <c r="H1045" s="19" t="s">
        <v>14554</v>
      </c>
      <c r="I1045" s="19" t="s">
        <v>15969</v>
      </c>
      <c r="J1045" s="19" t="str">
        <f t="shared" si="51"/>
        <v>(${Variables:E6_3_2_13_kcat} * E6_3_2_13 * C00002 * C00692 * C00680)/(${Variables:E6_3_2_13_km} + (E6_3_2_13 * C00002 * C00692 * C00680))</v>
      </c>
      <c r="K1045" s="37" t="str">
        <f t="shared" si="52"/>
        <v>r1044: C00002 + C00692 + C00680 -&gt; C00008 + C00009 + C04877 | (${Variables:E6_3_2_13_kcat} * E6_3_2_13 * C00002 * C00692 * C00680)/(${Variables:E6_3_2_13_km} + (E6_3_2_13 * C00002 * C00692 * C00680))</v>
      </c>
    </row>
    <row r="1046" spans="1:11" ht="46.25" customHeight="1">
      <c r="A1046" t="s">
        <v>6548</v>
      </c>
      <c r="B1046" t="s">
        <v>6549</v>
      </c>
      <c r="C1046" t="s">
        <v>13154</v>
      </c>
      <c r="D1046" s="19">
        <v>1045</v>
      </c>
      <c r="E1046" s="19" t="str">
        <f t="shared" si="50"/>
        <v>E6_3_2_17</v>
      </c>
      <c r="F1046" s="19" t="s">
        <v>13828</v>
      </c>
      <c r="G1046" s="19" t="s">
        <v>15243</v>
      </c>
      <c r="H1046" s="19" t="s">
        <v>14555</v>
      </c>
      <c r="I1046" s="19" t="s">
        <v>15970</v>
      </c>
      <c r="J1046" s="19" t="str">
        <f t="shared" si="51"/>
        <v>(${Variables:E6_3_2_17_kcat} * E6_3_2_17 * C00002 * C03541 * C00025)/(${Variables:E6_3_2_17_km} + (E6_3_2_17 * C00002 * C03541 * C00025))</v>
      </c>
      <c r="K1046" s="37" t="str">
        <f t="shared" si="52"/>
        <v>r1045: C00002 + C03541 + C00025 -&gt; C00008 + C00009 + C03541 | (${Variables:E6_3_2_17_kcat} * E6_3_2_17 * C00002 * C03541 * C00025)/(${Variables:E6_3_2_17_km} + (E6_3_2_17 * C00002 * C03541 * C00025))</v>
      </c>
    </row>
    <row r="1047" spans="1:11" ht="46.25" customHeight="1">
      <c r="A1047" t="s">
        <v>6548</v>
      </c>
      <c r="B1047" t="s">
        <v>6549</v>
      </c>
      <c r="C1047" t="s">
        <v>13154</v>
      </c>
      <c r="D1047" s="19">
        <v>1046</v>
      </c>
      <c r="E1047" s="19" t="str">
        <f t="shared" si="50"/>
        <v>E6_3_2_17</v>
      </c>
      <c r="F1047" s="19" t="s">
        <v>13829</v>
      </c>
      <c r="G1047" s="19" t="s">
        <v>15244</v>
      </c>
      <c r="H1047" s="19" t="s">
        <v>14556</v>
      </c>
      <c r="I1047" s="19" t="s">
        <v>15971</v>
      </c>
      <c r="J1047" s="19" t="str">
        <f t="shared" si="51"/>
        <v>(${Variables:E6_3_2_17_kcat} * E6_3_2_17 * C00002 * C00101 * C00025)/(${Variables:E6_3_2_17_km} + (E6_3_2_17 * C00002 * C00101 * C00025))</v>
      </c>
      <c r="K1047" s="37" t="str">
        <f t="shared" si="52"/>
        <v>r1046: C00002 + C00101 + C00025 -&gt; C00008 + C00009 + C09332 | (${Variables:E6_3_2_17_kcat} * E6_3_2_17 * C00002 * C00101 * C00025)/(${Variables:E6_3_2_17_km} + (E6_3_2_17 * C00002 * C00101 * C00025))</v>
      </c>
    </row>
    <row r="1048" spans="1:11" ht="46.25" customHeight="1">
      <c r="A1048" t="s">
        <v>6548</v>
      </c>
      <c r="B1048" t="s">
        <v>6549</v>
      </c>
      <c r="C1048" t="s">
        <v>13154</v>
      </c>
      <c r="D1048" s="19">
        <v>1047</v>
      </c>
      <c r="E1048" s="19" t="str">
        <f t="shared" si="50"/>
        <v>E6_3_2_17</v>
      </c>
      <c r="F1048" s="19" t="s">
        <v>13826</v>
      </c>
      <c r="G1048" s="19" t="s">
        <v>15241</v>
      </c>
      <c r="H1048" s="19" t="s">
        <v>14553</v>
      </c>
      <c r="I1048" s="19" t="s">
        <v>15968</v>
      </c>
      <c r="J1048" s="19" t="str">
        <f t="shared" si="51"/>
        <v>(${Variables:E6_3_2_17_kcat} * E6_3_2_17 * C00002 * C00234 * C00025)/(${Variables:E6_3_2_17_km} + (E6_3_2_17 * C00002 * C00234 * C00025))</v>
      </c>
      <c r="K1048" s="37" t="str">
        <f t="shared" si="52"/>
        <v>r1047: C00002 + C00234 + C00025 -&gt; C00008 + C00009 + C05928 | (${Variables:E6_3_2_17_kcat} * E6_3_2_17 * C00002 * C00234 * C00025)/(${Variables:E6_3_2_17_km} + (E6_3_2_17 * C00002 * C00234 * C00025))</v>
      </c>
    </row>
    <row r="1049" spans="1:11" ht="46.25" customHeight="1">
      <c r="A1049" t="s">
        <v>6548</v>
      </c>
      <c r="B1049" t="s">
        <v>6549</v>
      </c>
      <c r="C1049" t="s">
        <v>13154</v>
      </c>
      <c r="D1049" s="19">
        <v>1048</v>
      </c>
      <c r="E1049" s="19" t="str">
        <f t="shared" si="50"/>
        <v>E6_3_2_17</v>
      </c>
      <c r="F1049" s="19" t="s">
        <v>13825</v>
      </c>
      <c r="G1049" s="19" t="s">
        <v>15240</v>
      </c>
      <c r="H1049" s="19" t="s">
        <v>14552</v>
      </c>
      <c r="I1049" s="19" t="s">
        <v>15967</v>
      </c>
      <c r="J1049" s="19" t="str">
        <f t="shared" si="51"/>
        <v>(${Variables:E6_3_2_17_kcat} * E6_3_2_17 * C00002 * C00921 * C00025)/(${Variables:E6_3_2_17_km} + (E6_3_2_17 * C00002 * C00921 * C00025))</v>
      </c>
      <c r="K1049" s="37" t="str">
        <f t="shared" si="52"/>
        <v>r1048: C00002 + C00921 + C00025 -&gt; C00008 + C00009 + C00415 | (${Variables:E6_3_2_17_kcat} * E6_3_2_17 * C00002 * C00921 * C00025)/(${Variables:E6_3_2_17_km} + (E6_3_2_17 * C00002 * C00921 * C00025))</v>
      </c>
    </row>
    <row r="1050" spans="1:11" ht="46.25" customHeight="1">
      <c r="A1050" t="s">
        <v>6548</v>
      </c>
      <c r="B1050" t="s">
        <v>6549</v>
      </c>
      <c r="C1050" t="s">
        <v>13154</v>
      </c>
      <c r="D1050" s="19">
        <v>1049</v>
      </c>
      <c r="E1050" s="19" t="str">
        <f t="shared" si="50"/>
        <v>E6_3_2_17</v>
      </c>
      <c r="F1050" s="19" t="s">
        <v>13830</v>
      </c>
      <c r="G1050" s="19" t="s">
        <v>15245</v>
      </c>
      <c r="H1050" s="19" t="s">
        <v>14557</v>
      </c>
      <c r="I1050" s="19" t="s">
        <v>15972</v>
      </c>
      <c r="J1050" s="19" t="str">
        <f t="shared" si="51"/>
        <v>(${Variables:E6_3_2_17_kcat} * E6_3_2_17 * C00002 * C05928 * C00025)/(${Variables:E6_3_2_17_km} + (E6_3_2_17 * C00002 * C05928 * C00025))</v>
      </c>
      <c r="K1050" s="37" t="str">
        <f t="shared" si="52"/>
        <v>r1049: C00002 + C05928 + C00025 -&gt; C00008 + C00009 + C05929 | (${Variables:E6_3_2_17_kcat} * E6_3_2_17 * C00002 * C05928 * C00025)/(${Variables:E6_3_2_17_km} + (E6_3_2_17 * C00002 * C05928 * C00025))</v>
      </c>
    </row>
    <row r="1051" spans="1:11" ht="46.25" customHeight="1">
      <c r="A1051" t="s">
        <v>7508</v>
      </c>
      <c r="B1051" t="s">
        <v>7509</v>
      </c>
      <c r="C1051" t="s">
        <v>13155</v>
      </c>
      <c r="D1051" s="19">
        <v>1050</v>
      </c>
      <c r="E1051" s="19" t="str">
        <f t="shared" si="50"/>
        <v>E6_3_2_2</v>
      </c>
      <c r="F1051" s="19" t="s">
        <v>13831</v>
      </c>
      <c r="G1051" s="19" t="s">
        <v>15246</v>
      </c>
      <c r="H1051" s="19" t="s">
        <v>14558</v>
      </c>
      <c r="I1051" s="19" t="s">
        <v>15973</v>
      </c>
      <c r="J1051" s="19" t="str">
        <f t="shared" si="51"/>
        <v>(${Variables:E6_3_2_2_kcat} * E6_3_2_2 * C00002 * C00025 * C00097)/(${Variables:E6_3_2_2_km} + (E6_3_2_2 * C00002 * C00025 * C00097))</v>
      </c>
      <c r="K1051" s="37" t="str">
        <f t="shared" si="52"/>
        <v>r1050: C00002 + C00025 + C00097 -&gt; C00008 + C00009 + C00669 | (${Variables:E6_3_2_2_kcat} * E6_3_2_2 * C00002 * C00025 * C00097)/(${Variables:E6_3_2_2_km} + (E6_3_2_2 * C00002 * C00025 * C00097))</v>
      </c>
    </row>
    <row r="1052" spans="1:11" ht="46.25" customHeight="1">
      <c r="A1052" t="s">
        <v>7508</v>
      </c>
      <c r="B1052" t="s">
        <v>7509</v>
      </c>
      <c r="C1052" t="s">
        <v>13155</v>
      </c>
      <c r="D1052" s="19">
        <v>1051</v>
      </c>
      <c r="E1052" s="19" t="str">
        <f t="shared" si="50"/>
        <v>E6_3_2_2</v>
      </c>
      <c r="F1052" s="19" t="s">
        <v>16084</v>
      </c>
      <c r="G1052" s="19" t="s">
        <v>16085</v>
      </c>
      <c r="H1052" s="19" t="s">
        <v>14559</v>
      </c>
      <c r="I1052" s="19" t="s">
        <v>15974</v>
      </c>
      <c r="J1052" s="19" t="str">
        <f t="shared" si="51"/>
        <v>(${Variables:E6_3_2_2_kcat} * E6_3_2_2 * C00002 * C00025 * C02356)/(${Variables:E6_3_2_2_km} + (E6_3_2_2 * C00002 * C00025 * C02356))</v>
      </c>
      <c r="K1052" s="37" t="str">
        <f t="shared" si="52"/>
        <v>r1051: C00002 + C00025 + C02356 -&gt; C00008 + C00009 + C21015 | (${Variables:E6_3_2_2_kcat} * E6_3_2_2 * C00002 * C00025 * C02356)/(${Variables:E6_3_2_2_km} + (E6_3_2_2 * C00002 * C00025 * C02356))</v>
      </c>
    </row>
    <row r="1053" spans="1:11" ht="46.25" customHeight="1">
      <c r="A1053" t="s">
        <v>4536</v>
      </c>
      <c r="B1053" t="s">
        <v>4537</v>
      </c>
      <c r="C1053" t="s">
        <v>13156</v>
      </c>
      <c r="D1053" s="19">
        <v>1052</v>
      </c>
      <c r="E1053" s="19" t="str">
        <f t="shared" si="50"/>
        <v>E6_3_2_5</v>
      </c>
      <c r="F1053" s="19" t="s">
        <v>13832</v>
      </c>
      <c r="G1053" s="19" t="s">
        <v>15247</v>
      </c>
      <c r="H1053" s="19" t="s">
        <v>14560</v>
      </c>
      <c r="I1053" s="19" t="s">
        <v>15975</v>
      </c>
      <c r="J1053" s="19" t="str">
        <f t="shared" si="51"/>
        <v>(${Variables:E6_3_2_5_kcat} * E6_3_2_5 * C00063 * C03492 * C00097)/(${Variables:E6_3_2_5_km} + (E6_3_2_5 * C00063 * C03492 * C00097))</v>
      </c>
      <c r="K1053" s="37" t="str">
        <f t="shared" si="52"/>
        <v>r1052: C00063 + C03492 + C00097 -&gt; C00055 + C00013 + C04352 | (${Variables:E6_3_2_5_kcat} * E6_3_2_5 * C00063 * C03492 * C00097)/(${Variables:E6_3_2_5_km} + (E6_3_2_5 * C00063 * C03492 * C00097))</v>
      </c>
    </row>
    <row r="1054" spans="1:11" ht="46.25" customHeight="1">
      <c r="A1054" t="s">
        <v>7155</v>
      </c>
      <c r="B1054" t="s">
        <v>7156</v>
      </c>
      <c r="C1054" t="s">
        <v>13157</v>
      </c>
      <c r="D1054" s="19">
        <v>1053</v>
      </c>
      <c r="E1054" s="19" t="str">
        <f t="shared" si="50"/>
        <v>E6_3_2_6</v>
      </c>
      <c r="F1054" s="19" t="s">
        <v>13833</v>
      </c>
      <c r="G1054" s="19" t="s">
        <v>15248</v>
      </c>
      <c r="H1054" s="19" t="s">
        <v>14561</v>
      </c>
      <c r="I1054" s="19" t="s">
        <v>15976</v>
      </c>
      <c r="J1054" s="19" t="str">
        <f t="shared" si="51"/>
        <v>(${Variables:E6_3_2_6_kcat} * E6_3_2_6 * C00002 * C04751 * C00049)/(${Variables:E6_3_2_6_km} + (E6_3_2_6 * C00002 * C04751 * C00049))</v>
      </c>
      <c r="K1054" s="37" t="str">
        <f t="shared" si="52"/>
        <v>r1053: C00002 + C04751 + C00049 -&gt; C00008 + C00009 + C04823 | (${Variables:E6_3_2_6_kcat} * E6_3_2_6 * C00002 * C04751 * C00049)/(${Variables:E6_3_2_6_km} + (E6_3_2_6 * C00002 * C04751 * C00049))</v>
      </c>
    </row>
    <row r="1055" spans="1:11" ht="46.25" customHeight="1">
      <c r="A1055" t="s">
        <v>5946</v>
      </c>
      <c r="B1055" t="s">
        <v>5947</v>
      </c>
      <c r="C1055" t="s">
        <v>16063</v>
      </c>
      <c r="D1055" s="19">
        <v>1054</v>
      </c>
      <c r="E1055" s="19" t="str">
        <f t="shared" si="50"/>
        <v>E6_3_2_8</v>
      </c>
      <c r="F1055" s="19" t="s">
        <v>13834</v>
      </c>
      <c r="G1055" s="19" t="s">
        <v>15249</v>
      </c>
      <c r="H1055" s="19" t="s">
        <v>14562</v>
      </c>
      <c r="I1055" s="19" t="s">
        <v>15977</v>
      </c>
      <c r="J1055" s="19" t="str">
        <f t="shared" si="51"/>
        <v>(${Variables:E6_3_2_8_kcat} * E6_3_2_8 * C00002 * C01050 * C00041)/(${Variables:E6_3_2_8_km} + (E6_3_2_8 * C00002 * C01050 * C00041))</v>
      </c>
      <c r="K1055" s="37" t="str">
        <f t="shared" si="52"/>
        <v>r1054: C00002 + C01050 + C00041 -&gt; C00008 + C00009 + C01212 | (${Variables:E6_3_2_8_kcat} * E6_3_2_8 * C00002 * C01050 * C00041)/(${Variables:E6_3_2_8_km} + (E6_3_2_8 * C00002 * C01050 * C00041))</v>
      </c>
    </row>
    <row r="1056" spans="1:11" ht="46.25" customHeight="1">
      <c r="A1056" t="s">
        <v>5957</v>
      </c>
      <c r="B1056" t="s">
        <v>5958</v>
      </c>
      <c r="C1056" t="s">
        <v>13158</v>
      </c>
      <c r="D1056" s="19">
        <v>1055</v>
      </c>
      <c r="E1056" s="19" t="str">
        <f t="shared" si="50"/>
        <v>E6_3_2_9</v>
      </c>
      <c r="F1056" s="19" t="s">
        <v>13835</v>
      </c>
      <c r="G1056" s="19" t="s">
        <v>15250</v>
      </c>
      <c r="H1056" s="19" t="s">
        <v>14563</v>
      </c>
      <c r="I1056" s="19" t="s">
        <v>15978</v>
      </c>
      <c r="J1056" s="19" t="str">
        <f t="shared" si="51"/>
        <v>(${Variables:E6_3_2_9_kcat} * E6_3_2_9 * C00002 * C01212 * C00217)/(${Variables:E6_3_2_9_km} + (E6_3_2_9 * C00002 * C01212 * C00217))</v>
      </c>
      <c r="K1056" s="37" t="str">
        <f t="shared" si="52"/>
        <v>r1055: C00002 + C01212 + C00217 -&gt; C00008 + C00009 + C00692 | (${Variables:E6_3_2_9_kcat} * E6_3_2_9 * C00002 * C01212 * C00217)/(${Variables:E6_3_2_9_km} + (E6_3_2_9 * C00002 * C01212 * C00217))</v>
      </c>
    </row>
    <row r="1057" spans="1:11" ht="46.25" customHeight="1">
      <c r="A1057" t="s">
        <v>7113</v>
      </c>
      <c r="B1057" t="s">
        <v>7114</v>
      </c>
      <c r="C1057" t="s">
        <v>13159</v>
      </c>
      <c r="D1057" s="19">
        <v>1056</v>
      </c>
      <c r="E1057" s="19" t="str">
        <f t="shared" si="50"/>
        <v>E6_3_3_1</v>
      </c>
      <c r="F1057" s="19" t="s">
        <v>13836</v>
      </c>
      <c r="G1057" s="19" t="s">
        <v>15251</v>
      </c>
      <c r="H1057" s="19" t="s">
        <v>14564</v>
      </c>
      <c r="I1057" s="19" t="s">
        <v>15979</v>
      </c>
      <c r="J1057" s="19" t="str">
        <f t="shared" si="51"/>
        <v>(${Variables:E6_3_3_1_kcat} * E6_3_3_1 * C00002 * C04640)/(${Variables:E6_3_3_1_km} + (E6_3_3_1 * C00002 * C04640))</v>
      </c>
      <c r="K1057" s="37" t="str">
        <f t="shared" si="52"/>
        <v>r1056: C00002 + C04640 -&gt; C00008 + C00009 + C03373 | (${Variables:E6_3_3_1_kcat} * E6_3_3_1 * C00002 * C04640)/(${Variables:E6_3_3_1_km} + (E6_3_3_1 * C00002 * C04640))</v>
      </c>
    </row>
    <row r="1058" spans="1:11" ht="46.25" customHeight="1">
      <c r="A1058" t="s">
        <v>2553</v>
      </c>
      <c r="B1058" t="s">
        <v>2554</v>
      </c>
      <c r="C1058" t="s">
        <v>13160</v>
      </c>
      <c r="D1058" s="19">
        <v>1057</v>
      </c>
      <c r="E1058" s="19" t="str">
        <f t="shared" si="50"/>
        <v>E6_3_3_2</v>
      </c>
      <c r="F1058" s="19" t="s">
        <v>13837</v>
      </c>
      <c r="G1058" s="19" t="s">
        <v>15252</v>
      </c>
      <c r="H1058" s="19" t="s">
        <v>14565</v>
      </c>
      <c r="I1058" s="19" t="s">
        <v>15980</v>
      </c>
      <c r="J1058" s="19" t="str">
        <f t="shared" si="51"/>
        <v>(${Variables:E6_3_3_2_kcat} * E6_3_3_2 * C00002 * C03479 * C00080)/(${Variables:E6_3_3_2_km} + (E6_3_3_2 * C00002 * C03479 * C00080))</v>
      </c>
      <c r="K1058" s="37" t="str">
        <f t="shared" si="52"/>
        <v>r1057: C00002 + C03479 + C00080 -&gt; C00008 + C00009 + C00445 | (${Variables:E6_3_3_2_kcat} * E6_3_3_2 * C00002 * C03479 * C00080)/(${Variables:E6_3_3_2_km} + (E6_3_3_2 * C00002 * C03479 * C00080))</v>
      </c>
    </row>
    <row r="1059" spans="1:11" ht="46.25" customHeight="1">
      <c r="A1059" t="s">
        <v>7178</v>
      </c>
      <c r="B1059" t="s">
        <v>7179</v>
      </c>
      <c r="C1059" t="s">
        <v>13161</v>
      </c>
      <c r="D1059" s="19">
        <v>1058</v>
      </c>
      <c r="E1059" s="19" t="str">
        <f t="shared" si="50"/>
        <v>E6_3_3_3</v>
      </c>
      <c r="F1059" s="19" t="s">
        <v>13838</v>
      </c>
      <c r="G1059" s="19" t="s">
        <v>15253</v>
      </c>
      <c r="H1059" s="19" t="s">
        <v>14566</v>
      </c>
      <c r="I1059" s="19" t="s">
        <v>15981</v>
      </c>
      <c r="J1059" s="19" t="str">
        <f t="shared" si="51"/>
        <v>(${Variables:E6_3_3_3_kcat} * E6_3_3_3 * C00002 * C01037 * C00011)/(${Variables:E6_3_3_3_km} + (E6_3_3_3 * C00002 * C01037 * C00011))</v>
      </c>
      <c r="K1059" s="37" t="str">
        <f t="shared" si="52"/>
        <v>r1058: C00002 + C01037 + C00011 -&gt; C00008 + C00009 + C01909 | (${Variables:E6_3_3_3_kcat} * E6_3_3_3 * C00002 * C01037 * C00011)/(${Variables:E6_3_3_3_km} + (E6_3_3_3 * C00002 * C01037 * C00011))</v>
      </c>
    </row>
    <row r="1060" spans="1:11" ht="46.25" customHeight="1">
      <c r="A1060" t="s">
        <v>7178</v>
      </c>
      <c r="B1060" t="s">
        <v>7179</v>
      </c>
      <c r="C1060" t="s">
        <v>13161</v>
      </c>
      <c r="D1060" s="19">
        <v>1059</v>
      </c>
      <c r="E1060" s="19" t="str">
        <f t="shared" si="50"/>
        <v>E6_3_3_3</v>
      </c>
      <c r="F1060" s="19" t="s">
        <v>13839</v>
      </c>
      <c r="G1060" s="19" t="s">
        <v>15254</v>
      </c>
      <c r="H1060" s="19" t="s">
        <v>8755</v>
      </c>
      <c r="I1060" s="19" t="s">
        <v>8755</v>
      </c>
      <c r="J1060" s="19" t="str">
        <f t="shared" si="51"/>
        <v>(${Variables:E6_3_3_3_kcat} * E6_3_3_3 * C01037 * C00011)/(${Variables:E6_3_3_3_km} + (E6_3_3_3 * C01037 * C00011))</v>
      </c>
      <c r="K1060" s="37" t="str">
        <f t="shared" si="52"/>
        <v>r1059: C01037 + C00011 -&gt; C22458 | (${Variables:E6_3_3_3_kcat} * E6_3_3_3 * C01037 * C00011)/(${Variables:E6_3_3_3_km} + (E6_3_3_3 * C01037 * C00011))</v>
      </c>
    </row>
    <row r="1061" spans="1:11" ht="46.25" customHeight="1">
      <c r="A1061" t="s">
        <v>7178</v>
      </c>
      <c r="B1061" t="s">
        <v>7179</v>
      </c>
      <c r="C1061" t="s">
        <v>13161</v>
      </c>
      <c r="D1061" s="19">
        <v>1060</v>
      </c>
      <c r="E1061" s="19" t="str">
        <f t="shared" si="50"/>
        <v>E6_3_3_3</v>
      </c>
      <c r="F1061" s="19" t="s">
        <v>13840</v>
      </c>
      <c r="G1061" s="19" t="s">
        <v>15255</v>
      </c>
      <c r="H1061" s="19" t="s">
        <v>14567</v>
      </c>
      <c r="I1061" s="19" t="s">
        <v>15982</v>
      </c>
      <c r="J1061" s="19" t="str">
        <f t="shared" si="51"/>
        <v>(${Variables:E6_3_3_3_kcat} * E6_3_3_3 * C22458 * C00002)/(${Variables:E6_3_3_3_km} + (E6_3_3_3 * C22458 * C00002))</v>
      </c>
      <c r="K1061" s="37" t="str">
        <f t="shared" si="52"/>
        <v>r1060: C22458 + C00002 -&gt; C01909 + C00008 + C00009 | (${Variables:E6_3_3_3_kcat} * E6_3_3_3 * C22458 * C00002)/(${Variables:E6_3_3_3_km} + (E6_3_3_3 * C22458 * C00002))</v>
      </c>
    </row>
    <row r="1062" spans="1:11" ht="46.25" customHeight="1">
      <c r="A1062" t="s">
        <v>7164</v>
      </c>
      <c r="B1062" t="s">
        <v>7165</v>
      </c>
      <c r="C1062" t="s">
        <v>13162</v>
      </c>
      <c r="D1062" s="19">
        <v>1061</v>
      </c>
      <c r="E1062" s="19" t="str">
        <f t="shared" si="50"/>
        <v>E6_3_4_13</v>
      </c>
      <c r="F1062" s="19" t="s">
        <v>13841</v>
      </c>
      <c r="G1062" s="19" t="s">
        <v>15256</v>
      </c>
      <c r="H1062" s="19" t="s">
        <v>14568</v>
      </c>
      <c r="I1062" s="19" t="s">
        <v>15983</v>
      </c>
      <c r="J1062" s="19" t="str">
        <f t="shared" si="51"/>
        <v>(${Variables:E6_3_4_13_kcat} * E6_3_4_13 * C00002 * C03090 * C00037)/(${Variables:E6_3_4_13_km} + (E6_3_4_13 * C00002 * C03090 * C00037))</v>
      </c>
      <c r="K1062" s="37" t="str">
        <f t="shared" si="52"/>
        <v>r1061: C00002 + C03090 + C00037 -&gt; C00008 + C00009 + C03838 | (${Variables:E6_3_4_13_kcat} * E6_3_4_13 * C00002 * C03090 * C00037)/(${Variables:E6_3_4_13_km} + (E6_3_4_13 * C00002 * C03090 * C00037))</v>
      </c>
    </row>
    <row r="1063" spans="1:11" ht="46.25" customHeight="1">
      <c r="A1063" t="s">
        <v>2050</v>
      </c>
      <c r="B1063" t="s">
        <v>2051</v>
      </c>
      <c r="C1063" t="s">
        <v>13163</v>
      </c>
      <c r="D1063" s="19">
        <v>1062</v>
      </c>
      <c r="E1063" s="19" t="str">
        <f t="shared" si="50"/>
        <v>E6_3_4_15</v>
      </c>
      <c r="F1063" s="19" t="s">
        <v>13842</v>
      </c>
      <c r="G1063" s="19" t="s">
        <v>15257</v>
      </c>
      <c r="H1063" s="19" t="s">
        <v>14569</v>
      </c>
      <c r="I1063" s="19" t="s">
        <v>15984</v>
      </c>
      <c r="J1063" s="19" t="str">
        <f t="shared" si="51"/>
        <v>(${Variables:E6_3_4_15_kcat} * E6_3_4_15 * C00002 * C00120 * C04735)/(${Variables:E6_3_4_15_km} + (E6_3_4_15 * C00002 * C00120 * C04735))</v>
      </c>
      <c r="K1063" s="37" t="str">
        <f t="shared" si="52"/>
        <v>r1062: C00002 + C00120 + C04735 -&gt; C00020 + C00013 + C04681 | (${Variables:E6_3_4_15_kcat} * E6_3_4_15 * C00002 * C00120 * C04735)/(${Variables:E6_3_4_15_km} + (E6_3_4_15 * C00002 * C00120 * C04735))</v>
      </c>
    </row>
    <row r="1064" spans="1:11" ht="46.25" customHeight="1">
      <c r="A1064" t="s">
        <v>2050</v>
      </c>
      <c r="B1064" t="s">
        <v>2051</v>
      </c>
      <c r="C1064" t="s">
        <v>13163</v>
      </c>
      <c r="D1064" s="19">
        <v>1063</v>
      </c>
      <c r="E1064" s="19" t="str">
        <f t="shared" si="50"/>
        <v>E6_3_4_15</v>
      </c>
      <c r="F1064" s="19" t="s">
        <v>13843</v>
      </c>
      <c r="G1064" s="19" t="s">
        <v>15258</v>
      </c>
      <c r="H1064" s="19" t="s">
        <v>14570</v>
      </c>
      <c r="I1064" s="19" t="s">
        <v>15985</v>
      </c>
      <c r="J1064" s="19" t="str">
        <f t="shared" si="51"/>
        <v>(${Variables:E6_3_4_15_kcat} * E6_3_4_15 * C00002 * C00120)/(${Variables:E6_3_4_15_km} + (E6_3_4_15 * C00002 * C00120))</v>
      </c>
      <c r="K1064" s="37" t="str">
        <f t="shared" si="52"/>
        <v>r1063: C00002 + C00120 -&gt; C00013 + C05921 | (${Variables:E6_3_4_15_kcat} * E6_3_4_15 * C00002 * C00120)/(${Variables:E6_3_4_15_km} + (E6_3_4_15 * C00002 * C00120))</v>
      </c>
    </row>
    <row r="1065" spans="1:11" ht="46.25" customHeight="1">
      <c r="A1065" t="s">
        <v>2050</v>
      </c>
      <c r="B1065" t="s">
        <v>2051</v>
      </c>
      <c r="C1065" t="s">
        <v>13163</v>
      </c>
      <c r="D1065" s="19">
        <v>1064</v>
      </c>
      <c r="E1065" s="19" t="str">
        <f t="shared" si="50"/>
        <v>E6_3_4_15</v>
      </c>
      <c r="F1065" s="19" t="s">
        <v>13844</v>
      </c>
      <c r="G1065" s="19" t="s">
        <v>15259</v>
      </c>
      <c r="H1065" s="19" t="s">
        <v>14571</v>
      </c>
      <c r="I1065" s="19" t="s">
        <v>15986</v>
      </c>
      <c r="J1065" s="19" t="str">
        <f t="shared" si="51"/>
        <v>(${Variables:E6_3_4_15_kcat} * E6_3_4_15 * C05921 * C06249)/(${Variables:E6_3_4_15_km} + (E6_3_4_15 * C05921 * C06249))</v>
      </c>
      <c r="K1065" s="37" t="str">
        <f t="shared" si="52"/>
        <v>r1064: C05921 + C06249 -&gt; C00020 + C06250 | (${Variables:E6_3_4_15_kcat} * E6_3_4_15 * C05921 * C06249)/(${Variables:E6_3_4_15_km} + (E6_3_4_15 * C05921 * C06249))</v>
      </c>
    </row>
    <row r="1066" spans="1:11" ht="46.25" customHeight="1">
      <c r="A1066" t="s">
        <v>2055</v>
      </c>
      <c r="B1066" t="s">
        <v>2056</v>
      </c>
      <c r="C1066" t="s">
        <v>13164</v>
      </c>
      <c r="D1066" s="19">
        <v>1065</v>
      </c>
      <c r="E1066" s="19" t="str">
        <f t="shared" si="50"/>
        <v>E6_3_4_18</v>
      </c>
      <c r="F1066" s="19" t="s">
        <v>13845</v>
      </c>
      <c r="G1066" s="19" t="s">
        <v>15260</v>
      </c>
      <c r="H1066" s="19" t="s">
        <v>14572</v>
      </c>
      <c r="I1066" s="19" t="s">
        <v>15987</v>
      </c>
      <c r="J1066" s="19" t="str">
        <f t="shared" si="51"/>
        <v>(${Variables:E6_3_4_18_kcat} * E6_3_4_18 * C00002 * C03373 * C00288)/(${Variables:E6_3_4_18_km} + (E6_3_4_18 * C00002 * C03373 * C00288))</v>
      </c>
      <c r="K1066" s="37" t="str">
        <f t="shared" si="52"/>
        <v>r1065: C00002 + C03373 + C00288 -&gt; C00008 + C00009 + C15667 | (${Variables:E6_3_4_18_kcat} * E6_3_4_18 * C00002 * C03373 * C00288)/(${Variables:E6_3_4_18_km} + (E6_3_4_18 * C00002 * C03373 * C00288))</v>
      </c>
    </row>
    <row r="1067" spans="1:11" ht="46.25" customHeight="1">
      <c r="A1067" t="s">
        <v>7414</v>
      </c>
      <c r="B1067" t="s">
        <v>7415</v>
      </c>
      <c r="C1067" t="s">
        <v>13165</v>
      </c>
      <c r="D1067" s="19">
        <v>1066</v>
      </c>
      <c r="E1067" s="19" t="str">
        <f t="shared" si="50"/>
        <v>E6_3_4_19</v>
      </c>
      <c r="F1067" s="19" t="s">
        <v>13846</v>
      </c>
      <c r="G1067" s="19" t="s">
        <v>15261</v>
      </c>
      <c r="H1067" s="19" t="s">
        <v>14573</v>
      </c>
      <c r="I1067" s="19" t="s">
        <v>15988</v>
      </c>
      <c r="J1067" s="19" t="str">
        <f t="shared" si="51"/>
        <v>(${Variables:E6_3_4_19_kcat} * E6_3_4_19 * C19722 * C00047 * C00002)/(${Variables:E6_3_4_19_km} + (E6_3_4_19 * C19722 * C00047 * C00002))</v>
      </c>
      <c r="K1067" s="37" t="str">
        <f t="shared" si="52"/>
        <v>r1066: C19722 + C00047 + C00002 -&gt; C19723 + C00020 + C00013 + C00001 | (${Variables:E6_3_4_19_kcat} * E6_3_4_19 * C19722 * C00047 * C00002)/(${Variables:E6_3_4_19_km} + (E6_3_4_19 * C19722 * C00047 * C00002))</v>
      </c>
    </row>
    <row r="1068" spans="1:11" ht="46.25" customHeight="1">
      <c r="A1068" t="s">
        <v>4001</v>
      </c>
      <c r="B1068" t="s">
        <v>4002</v>
      </c>
      <c r="C1068" t="s">
        <v>13166</v>
      </c>
      <c r="D1068" s="19">
        <v>1067</v>
      </c>
      <c r="E1068" s="19" t="str">
        <f t="shared" si="50"/>
        <v>E6_3_4_2</v>
      </c>
      <c r="F1068" s="19" t="s">
        <v>13319</v>
      </c>
      <c r="G1068" s="19" t="s">
        <v>14734</v>
      </c>
      <c r="H1068" s="19" t="s">
        <v>13998</v>
      </c>
      <c r="I1068" s="19" t="s">
        <v>15413</v>
      </c>
      <c r="J1068" s="19" t="str">
        <f t="shared" si="51"/>
        <v>(${Variables:E6_3_4_2_kcat} * E6_3_4_2 * C00064 * C00001)/(${Variables:E6_3_4_2_km} + (E6_3_4_2 * C00064 * C00001))</v>
      </c>
      <c r="K1068" s="37" t="str">
        <f t="shared" si="52"/>
        <v>r1067: C00064 + C00001 -&gt; C00025 + C00014 | (${Variables:E6_3_4_2_kcat} * E6_3_4_2 * C00064 * C00001)/(${Variables:E6_3_4_2_km} + (E6_3_4_2 * C00064 * C00001))</v>
      </c>
    </row>
    <row r="1069" spans="1:11" ht="46.25" customHeight="1">
      <c r="A1069" t="s">
        <v>4001</v>
      </c>
      <c r="B1069" t="s">
        <v>4002</v>
      </c>
      <c r="C1069" t="s">
        <v>13166</v>
      </c>
      <c r="D1069" s="19">
        <v>1068</v>
      </c>
      <c r="E1069" s="19" t="str">
        <f t="shared" si="50"/>
        <v>E6_3_4_2</v>
      </c>
      <c r="F1069" s="19" t="s">
        <v>13847</v>
      </c>
      <c r="G1069" s="19" t="s">
        <v>15262</v>
      </c>
      <c r="H1069" s="19" t="s">
        <v>14574</v>
      </c>
      <c r="I1069" s="19" t="s">
        <v>15989</v>
      </c>
      <c r="J1069" s="19" t="str">
        <f t="shared" si="51"/>
        <v>(${Variables:E6_3_4_2_kcat} * E6_3_4_2 * C00002 * C00075 * C00014)/(${Variables:E6_3_4_2_km} + (E6_3_4_2 * C00002 * C00075 * C00014))</v>
      </c>
      <c r="K1069" s="37" t="str">
        <f t="shared" si="52"/>
        <v>r1068: C00002 + C00075 + C00014 -&gt; C00008 + C00009 + C00063 | (${Variables:E6_3_4_2_kcat} * E6_3_4_2 * C00002 * C00075 * C00014)/(${Variables:E6_3_4_2_km} + (E6_3_4_2 * C00002 * C00075 * C00014))</v>
      </c>
    </row>
    <row r="1070" spans="1:11" ht="46.25" customHeight="1">
      <c r="A1070" t="s">
        <v>4001</v>
      </c>
      <c r="B1070" t="s">
        <v>4002</v>
      </c>
      <c r="C1070" t="s">
        <v>13166</v>
      </c>
      <c r="D1070" s="19">
        <v>1069</v>
      </c>
      <c r="E1070" s="19" t="str">
        <f t="shared" si="50"/>
        <v>E6_3_4_2</v>
      </c>
      <c r="F1070" s="19" t="s">
        <v>13848</v>
      </c>
      <c r="G1070" s="19" t="s">
        <v>15263</v>
      </c>
      <c r="H1070" s="19" t="s">
        <v>14575</v>
      </c>
      <c r="I1070" s="19" t="s">
        <v>15990</v>
      </c>
      <c r="J1070" s="19" t="str">
        <f t="shared" si="51"/>
        <v>(${Variables:E6_3_4_2_kcat} * E6_3_4_2 * C00002 * C00075 * C00064 * C00001)/(${Variables:E6_3_4_2_km} + (E6_3_4_2 * C00002 * C00075 * C00064 * C00001))</v>
      </c>
      <c r="K1070" s="37" t="str">
        <f t="shared" si="52"/>
        <v>r1069: C00002 + C00075 + C00064 + C00001 -&gt; C00008 + C00009 + C00063 + C00025 | (${Variables:E6_3_4_2_kcat} * E6_3_4_2 * C00002 * C00075 * C00064 * C00001)/(${Variables:E6_3_4_2_km} + (E6_3_4_2 * C00002 * C00075 * C00064 * C00001))</v>
      </c>
    </row>
    <row r="1071" spans="1:11" ht="46.25" customHeight="1">
      <c r="A1071" t="s">
        <v>6915</v>
      </c>
      <c r="B1071" t="s">
        <v>6916</v>
      </c>
      <c r="C1071" t="s">
        <v>17941</v>
      </c>
      <c r="D1071" s="19">
        <v>1070</v>
      </c>
      <c r="E1071" s="19" t="str">
        <f t="shared" si="50"/>
        <v>E6_3_4_21</v>
      </c>
      <c r="F1071" s="19" t="s">
        <v>17942</v>
      </c>
      <c r="G1071" s="19" t="s">
        <v>17944</v>
      </c>
      <c r="H1071" s="19" t="s">
        <v>17943</v>
      </c>
      <c r="I1071" s="19" t="s">
        <v>17945</v>
      </c>
      <c r="J1071" s="19" t="str">
        <f t="shared" ref="J1071" si="53">CONCATENATE("(${Variables:",E1071,"_kcat","} * ",E1071," * ",G1071,")","/(${Variables:",E1071,"_km","} + (",E1071," * ",G1071,"))")</f>
        <v>(${Variables:E6_3_4_21_kcat} * E6_3_4_21 * C01185 * C00013 * C00008 * C00009)/(${Variables:E6_3_4_21_km} + (E6_3_4_21 * C01185 * C00013 * C00008 * C00009))</v>
      </c>
      <c r="K1071" s="37" t="str">
        <f>CONCATENATE("r",D1071,": ",F1071," -&gt; ",H1071," | ",J1071)</f>
        <v>r1070: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1072" spans="1:11" ht="46.25" customHeight="1">
      <c r="A1072" t="s">
        <v>7582</v>
      </c>
      <c r="B1072" t="s">
        <v>7583</v>
      </c>
      <c r="C1072" t="s">
        <v>16064</v>
      </c>
      <c r="D1072" s="19">
        <v>1071</v>
      </c>
      <c r="E1072" s="19" t="str">
        <f t="shared" si="50"/>
        <v>E6_3_4_4</v>
      </c>
      <c r="F1072" s="19" t="s">
        <v>13849</v>
      </c>
      <c r="G1072" s="19" t="s">
        <v>15264</v>
      </c>
      <c r="H1072" s="19" t="s">
        <v>14576</v>
      </c>
      <c r="I1072" s="19" t="s">
        <v>15991</v>
      </c>
      <c r="J1072" s="19" t="str">
        <f t="shared" si="51"/>
        <v>(${Variables:E6_3_4_4_kcat} * E6_3_4_4 * C00044 * C00130 * C00049)/(${Variables:E6_3_4_4_km} + (E6_3_4_4 * C00044 * C00130 * C00049))</v>
      </c>
      <c r="K1072" s="37" t="str">
        <f t="shared" si="52"/>
        <v>r1071: C00044 + C00130 + C00049 -&gt; C00035 + C00009 + C03794 | (${Variables:E6_3_4_4_kcat} * E6_3_4_4 * C00044 * C00130 * C00049)/(${Variables:E6_3_4_4_km} + (E6_3_4_4 * C00044 * C00130 * C00049))</v>
      </c>
    </row>
    <row r="1073" spans="1:11" ht="46.25" customHeight="1">
      <c r="A1073" t="s">
        <v>3951</v>
      </c>
      <c r="B1073" t="s">
        <v>3952</v>
      </c>
      <c r="C1073" t="s">
        <v>13167</v>
      </c>
      <c r="D1073" s="19">
        <v>1072</v>
      </c>
      <c r="E1073" s="19" t="str">
        <f t="shared" si="50"/>
        <v>E6_3_4_5</v>
      </c>
      <c r="F1073" s="19" t="s">
        <v>13850</v>
      </c>
      <c r="G1073" s="19" t="s">
        <v>15265</v>
      </c>
      <c r="H1073" s="19" t="s">
        <v>14577</v>
      </c>
      <c r="I1073" s="19" t="s">
        <v>15992</v>
      </c>
      <c r="J1073" s="19" t="str">
        <f t="shared" si="51"/>
        <v>(${Variables:E6_3_4_5_kcat} * E6_3_4_5 * C00002 * C00327 * C00049)/(${Variables:E6_3_4_5_km} + (E6_3_4_5 * C00002 * C00327 * C00049))</v>
      </c>
      <c r="K1073" s="37" t="str">
        <f t="shared" si="52"/>
        <v>r1072: C00002 + C00327 + C00049 -&gt; C00020 + C00013 + C03406 | (${Variables:E6_3_4_5_kcat} * E6_3_4_5 * C00002 * C00327 * C00049)/(${Variables:E6_3_4_5_km} + (E6_3_4_5 * C00002 * C00327 * C00049))</v>
      </c>
    </row>
    <row r="1074" spans="1:11" ht="46.25" customHeight="1">
      <c r="A1074" t="s">
        <v>1784</v>
      </c>
      <c r="B1074" t="s">
        <v>1785</v>
      </c>
      <c r="C1074" t="s">
        <v>13168</v>
      </c>
      <c r="D1074" s="19">
        <v>1073</v>
      </c>
      <c r="E1074" s="19" t="str">
        <f t="shared" si="50"/>
        <v>E6_3_5_2</v>
      </c>
      <c r="F1074" s="19" t="s">
        <v>13319</v>
      </c>
      <c r="G1074" s="19" t="s">
        <v>14734</v>
      </c>
      <c r="H1074" s="19" t="s">
        <v>13998</v>
      </c>
      <c r="I1074" s="19" t="s">
        <v>15413</v>
      </c>
      <c r="J1074" s="19" t="str">
        <f t="shared" si="51"/>
        <v>(${Variables:E6_3_5_2_kcat} * E6_3_5_2 * C00064 * C00001)/(${Variables:E6_3_5_2_km} + (E6_3_5_2 * C00064 * C00001))</v>
      </c>
      <c r="K1074" s="37" t="str">
        <f t="shared" si="52"/>
        <v>r1073: C00064 + C00001 -&gt; C00025 + C00014 | (${Variables:E6_3_5_2_kcat} * E6_3_5_2 * C00064 * C00001)/(${Variables:E6_3_5_2_km} + (E6_3_5_2 * C00064 * C00001))</v>
      </c>
    </row>
    <row r="1075" spans="1:11" ht="46.25" customHeight="1">
      <c r="A1075" t="s">
        <v>1784</v>
      </c>
      <c r="B1075" t="s">
        <v>1785</v>
      </c>
      <c r="C1075" t="s">
        <v>13168</v>
      </c>
      <c r="D1075" s="19">
        <v>1074</v>
      </c>
      <c r="E1075" s="19" t="str">
        <f t="shared" si="50"/>
        <v>E6_3_5_2</v>
      </c>
      <c r="F1075" s="19" t="s">
        <v>13851</v>
      </c>
      <c r="G1075" s="19" t="s">
        <v>15266</v>
      </c>
      <c r="H1075" s="19" t="s">
        <v>14578</v>
      </c>
      <c r="I1075" s="19" t="s">
        <v>15993</v>
      </c>
      <c r="J1075" s="19" t="str">
        <f t="shared" si="51"/>
        <v>(${Variables:E6_3_5_2_kcat} * E6_3_5_2 * C00002 * C00655 * C00014)/(${Variables:E6_3_5_2_km} + (E6_3_5_2 * C00002 * C00655 * C00014))</v>
      </c>
      <c r="K1075" s="37" t="str">
        <f t="shared" si="52"/>
        <v>r1074: C00002 + C00655 + C00014 -&gt; C00020 + C00013 + C00144 | (${Variables:E6_3_5_2_kcat} * E6_3_5_2 * C00002 * C00655 * C00014)/(${Variables:E6_3_5_2_km} + (E6_3_5_2 * C00002 * C00655 * C00014))</v>
      </c>
    </row>
    <row r="1076" spans="1:11" ht="46.25" customHeight="1">
      <c r="A1076" t="s">
        <v>1784</v>
      </c>
      <c r="B1076" t="s">
        <v>1785</v>
      </c>
      <c r="C1076" t="s">
        <v>13168</v>
      </c>
      <c r="D1076" s="19">
        <v>1075</v>
      </c>
      <c r="E1076" s="19" t="str">
        <f t="shared" si="50"/>
        <v>E6_3_5_2</v>
      </c>
      <c r="F1076" s="19" t="s">
        <v>13852</v>
      </c>
      <c r="G1076" s="19" t="s">
        <v>15267</v>
      </c>
      <c r="H1076" s="19" t="s">
        <v>14579</v>
      </c>
      <c r="I1076" s="19" t="s">
        <v>15994</v>
      </c>
      <c r="J1076" s="19" t="str">
        <f t="shared" si="51"/>
        <v>(${Variables:E6_3_5_2_kcat} * E6_3_5_2 * C00002 * C00655 * C00064 * C00001)/(${Variables:E6_3_5_2_km} + (E6_3_5_2 * C00002 * C00655 * C00064 * C00001))</v>
      </c>
      <c r="K1076" s="37" t="str">
        <f t="shared" si="52"/>
        <v>r1075: C00002 + C00655 + C00064 + C00001 -&gt; C00020 + C00013 + C00144 + C00025 | (${Variables:E6_3_5_2_kcat} * E6_3_5_2 * C00002 * C00655 * C00064 * C00001)/(${Variables:E6_3_5_2_km} + (E6_3_5_2 * C00002 * C00655 * C00064 * C00001))</v>
      </c>
    </row>
    <row r="1077" spans="1:11" ht="46.25" customHeight="1">
      <c r="A1077" t="s">
        <v>1784</v>
      </c>
      <c r="B1077" t="s">
        <v>1785</v>
      </c>
      <c r="C1077" t="s">
        <v>13168</v>
      </c>
      <c r="D1077" s="19">
        <v>1076</v>
      </c>
      <c r="E1077" s="19" t="str">
        <f t="shared" si="50"/>
        <v>E6_3_5_2</v>
      </c>
      <c r="F1077" s="19" t="s">
        <v>13853</v>
      </c>
      <c r="G1077" s="19" t="s">
        <v>15268</v>
      </c>
      <c r="H1077" s="19" t="s">
        <v>14580</v>
      </c>
      <c r="I1077" s="19" t="s">
        <v>15995</v>
      </c>
      <c r="J1077" s="19" t="str">
        <f t="shared" si="51"/>
        <v>(${Variables:E6_3_5_2_kcat} * E6_3_5_2 * C16618 * C00002 * C00064 * C00001)/(${Variables:E6_3_5_2_km} + (E6_3_5_2 * C16618 * C00002 * C00064 * C00001))</v>
      </c>
      <c r="K1077" s="37" t="str">
        <f t="shared" si="52"/>
        <v>r1076: C16618 + C00002 + C00064 + C00001 -&gt; C16619 + C00020 + C00013 + C00025 | (${Variables:E6_3_5_2_kcat} * E6_3_5_2 * C16618 * C00002 * C00064 * C00001)/(${Variables:E6_3_5_2_km} + (E6_3_5_2 * C16618 * C00002 * C00064 * C00001))</v>
      </c>
    </row>
    <row r="1078" spans="1:11" ht="46.25" customHeight="1">
      <c r="A1078" t="s">
        <v>7129</v>
      </c>
      <c r="B1078" t="s">
        <v>7130</v>
      </c>
      <c r="C1078" t="s">
        <v>13169</v>
      </c>
      <c r="D1078" s="19">
        <v>1077</v>
      </c>
      <c r="E1078" s="19" t="str">
        <f t="shared" si="50"/>
        <v>E6_3_5_3</v>
      </c>
      <c r="F1078" s="19" t="s">
        <v>13854</v>
      </c>
      <c r="G1078" s="19" t="s">
        <v>15269</v>
      </c>
      <c r="H1078" s="19" t="s">
        <v>14581</v>
      </c>
      <c r="I1078" s="19" t="s">
        <v>15996</v>
      </c>
      <c r="J1078" s="19" t="str">
        <f t="shared" si="51"/>
        <v>(${Variables:E6_3_5_3_kcat} * E6_3_5_3 * C00002 * C04376 * C00064 * C00001)/(${Variables:E6_3_5_3_km} + (E6_3_5_3 * C00002 * C04376 * C00064 * C00001))</v>
      </c>
      <c r="K1078" s="37" t="str">
        <f t="shared" si="52"/>
        <v>r1077: C00002 + C04376 + C00064 + C00001 -&gt; C00008 + C00009 + C04640 + C00025 | (${Variables:E6_3_5_3_kcat} * E6_3_5_3 * C00002 * C04376 * C00064 * C00001)/(${Variables:E6_3_5_3_km} + (E6_3_5_3 * C00002 * C04376 * C00064 * C00001))</v>
      </c>
    </row>
    <row r="1079" spans="1:11" ht="46.25" customHeight="1">
      <c r="A1079" t="s">
        <v>7133</v>
      </c>
      <c r="B1079" t="s">
        <v>7134</v>
      </c>
      <c r="C1079" t="s">
        <v>13169</v>
      </c>
      <c r="D1079" s="19">
        <v>1078</v>
      </c>
      <c r="E1079" s="19" t="str">
        <f t="shared" si="50"/>
        <v>E6_3_5_3</v>
      </c>
      <c r="F1079" s="19" t="s">
        <v>13854</v>
      </c>
      <c r="G1079" s="19" t="s">
        <v>15269</v>
      </c>
      <c r="H1079" s="19" t="s">
        <v>14581</v>
      </c>
      <c r="I1079" s="19" t="s">
        <v>15996</v>
      </c>
      <c r="J1079" s="19" t="str">
        <f t="shared" si="51"/>
        <v>(${Variables:E6_3_5_3_kcat} * E6_3_5_3 * C00002 * C04376 * C00064 * C00001)/(${Variables:E6_3_5_3_km} + (E6_3_5_3 * C00002 * C04376 * C00064 * C00001))</v>
      </c>
      <c r="K1079" s="37" t="str">
        <f t="shared" si="52"/>
        <v>r1078: C00002 + C04376 + C00064 + C00001 -&gt; C00008 + C00009 + C04640 + C00025 | (${Variables:E6_3_5_3_kcat} * E6_3_5_3 * C00002 * C04376 * C00064 * C00001)/(${Variables:E6_3_5_3_km} + (E6_3_5_3 * C00002 * C04376 * C00064 * C00001))</v>
      </c>
    </row>
    <row r="1080" spans="1:11" ht="46.25" customHeight="1">
      <c r="A1080" t="s">
        <v>7137</v>
      </c>
      <c r="B1080" t="s">
        <v>7138</v>
      </c>
      <c r="C1080" t="s">
        <v>13169</v>
      </c>
      <c r="D1080" s="19">
        <v>1079</v>
      </c>
      <c r="E1080" s="19" t="str">
        <f t="shared" si="50"/>
        <v>E6_3_5_3</v>
      </c>
      <c r="F1080" s="19" t="s">
        <v>13854</v>
      </c>
      <c r="G1080" s="19" t="s">
        <v>15269</v>
      </c>
      <c r="H1080" s="19" t="s">
        <v>14581</v>
      </c>
      <c r="I1080" s="19" t="s">
        <v>15996</v>
      </c>
      <c r="J1080" s="19" t="str">
        <f t="shared" si="51"/>
        <v>(${Variables:E6_3_5_3_kcat} * E6_3_5_3 * C00002 * C04376 * C00064 * C00001)/(${Variables:E6_3_5_3_km} + (E6_3_5_3 * C00002 * C04376 * C00064 * C00001))</v>
      </c>
      <c r="K1080" s="37" t="str">
        <f t="shared" si="52"/>
        <v>r1079: C00002 + C04376 + C00064 + C00001 -&gt; C00008 + C00009 + C04640 + C00025 | (${Variables:E6_3_5_3_kcat} * E6_3_5_3 * C00002 * C04376 * C00064 * C00001)/(${Variables:E6_3_5_3_km} + (E6_3_5_3 * C00002 * C04376 * C00064 * C00001))</v>
      </c>
    </row>
    <row r="1081" spans="1:11" ht="46.25" customHeight="1">
      <c r="A1081" t="s">
        <v>6064</v>
      </c>
      <c r="B1081" t="s">
        <v>6065</v>
      </c>
      <c r="C1081" t="s">
        <v>13170</v>
      </c>
      <c r="D1081" s="19">
        <v>1080</v>
      </c>
      <c r="E1081" s="19" t="str">
        <f t="shared" si="50"/>
        <v>E6_3_5_4</v>
      </c>
      <c r="F1081" s="19" t="s">
        <v>13319</v>
      </c>
      <c r="G1081" s="19" t="s">
        <v>14734</v>
      </c>
      <c r="H1081" s="19" t="s">
        <v>13998</v>
      </c>
      <c r="I1081" s="19" t="s">
        <v>15413</v>
      </c>
      <c r="J1081" s="19" t="str">
        <f t="shared" si="51"/>
        <v>(${Variables:E6_3_5_4_kcat} * E6_3_5_4 * C00064 * C00001)/(${Variables:E6_3_5_4_km} + (E6_3_5_4 * C00064 * C00001))</v>
      </c>
      <c r="K1081" s="37" t="str">
        <f t="shared" si="52"/>
        <v>r1080: C00064 + C00001 -&gt; C00025 + C00014 | (${Variables:E6_3_5_4_kcat} * E6_3_5_4 * C00064 * C00001)/(${Variables:E6_3_5_4_km} + (E6_3_5_4 * C00064 * C00001))</v>
      </c>
    </row>
    <row r="1082" spans="1:11" ht="46.25" customHeight="1">
      <c r="A1082" t="s">
        <v>6064</v>
      </c>
      <c r="B1082" t="s">
        <v>6065</v>
      </c>
      <c r="C1082" t="s">
        <v>13170</v>
      </c>
      <c r="D1082" s="19">
        <v>1081</v>
      </c>
      <c r="E1082" s="19" t="str">
        <f t="shared" si="50"/>
        <v>E6_3_5_4</v>
      </c>
      <c r="F1082" s="19" t="s">
        <v>13855</v>
      </c>
      <c r="G1082" s="19" t="s">
        <v>15270</v>
      </c>
      <c r="H1082" s="19" t="s">
        <v>14582</v>
      </c>
      <c r="I1082" s="19" t="s">
        <v>15997</v>
      </c>
      <c r="J1082" s="19" t="str">
        <f t="shared" si="51"/>
        <v>(${Variables:E6_3_5_4_kcat} * E6_3_5_4 * C00002 * C00049 * C00014)/(${Variables:E6_3_5_4_km} + (E6_3_5_4 * C00002 * C00049 * C00014))</v>
      </c>
      <c r="K1082" s="37" t="str">
        <f t="shared" si="52"/>
        <v>r1081: C00002 + C00049 + C00014 -&gt; C00020 + C00013 + C00152 | (${Variables:E6_3_5_4_kcat} * E6_3_5_4 * C00002 * C00049 * C00014)/(${Variables:E6_3_5_4_km} + (E6_3_5_4 * C00002 * C00049 * C00014))</v>
      </c>
    </row>
    <row r="1083" spans="1:11" ht="46.25" customHeight="1">
      <c r="A1083" t="s">
        <v>6064</v>
      </c>
      <c r="B1083" t="s">
        <v>6065</v>
      </c>
      <c r="C1083" t="s">
        <v>13170</v>
      </c>
      <c r="D1083" s="19">
        <v>1082</v>
      </c>
      <c r="E1083" s="19" t="str">
        <f t="shared" si="50"/>
        <v>E6_3_5_4</v>
      </c>
      <c r="F1083" s="19" t="s">
        <v>13856</v>
      </c>
      <c r="G1083" s="19" t="s">
        <v>15271</v>
      </c>
      <c r="H1083" s="19" t="s">
        <v>14583</v>
      </c>
      <c r="I1083" s="19" t="s">
        <v>15998</v>
      </c>
      <c r="J1083" s="19" t="str">
        <f t="shared" si="51"/>
        <v>(${Variables:E6_3_5_4_kcat} * E6_3_5_4 * C00002 * C00049 * C00064 * C00001)/(${Variables:E6_3_5_4_km} + (E6_3_5_4 * C00002 * C00049 * C00064 * C00001))</v>
      </c>
      <c r="K1083" s="37" t="str">
        <f t="shared" si="52"/>
        <v>r1082: C00002 + C00049 + C00064 + C00001 -&gt; C00020 + C00013 + C00152 + C00025 | (${Variables:E6_3_5_4_kcat} * E6_3_5_4 * C00002 * C00049 * C00064 * C00001)/(${Variables:E6_3_5_4_km} + (E6_3_5_4 * C00002 * C00049 * C00064 * C00001))</v>
      </c>
    </row>
    <row r="1084" spans="1:11" ht="46.25" customHeight="1">
      <c r="A1084" t="s">
        <v>4556</v>
      </c>
      <c r="B1084" t="s">
        <v>4557</v>
      </c>
      <c r="C1084" t="s">
        <v>13171</v>
      </c>
      <c r="D1084" s="19">
        <v>1083</v>
      </c>
      <c r="E1084" s="19" t="str">
        <f t="shared" si="50"/>
        <v>E6_3_5_5</v>
      </c>
      <c r="F1084" s="19" t="s">
        <v>13319</v>
      </c>
      <c r="G1084" s="19" t="s">
        <v>14734</v>
      </c>
      <c r="H1084" s="19" t="s">
        <v>13998</v>
      </c>
      <c r="I1084" s="19" t="s">
        <v>15413</v>
      </c>
      <c r="J1084" s="19" t="str">
        <f t="shared" si="51"/>
        <v>(${Variables:E6_3_5_5_kcat} * E6_3_5_5 * C00064 * C00001)/(${Variables:E6_3_5_5_km} + (E6_3_5_5 * C00064 * C00001))</v>
      </c>
      <c r="K1084" s="37" t="str">
        <f t="shared" si="52"/>
        <v>r1083: C00064 + C00001 -&gt; C00025 + C00014 | (${Variables:E6_3_5_5_kcat} * E6_3_5_5 * C00064 * C00001)/(${Variables:E6_3_5_5_km} + (E6_3_5_5 * C00064 * C00001))</v>
      </c>
    </row>
    <row r="1085" spans="1:11" ht="46.25" customHeight="1">
      <c r="A1085" t="s">
        <v>4556</v>
      </c>
      <c r="B1085" t="s">
        <v>4557</v>
      </c>
      <c r="C1085" t="s">
        <v>13171</v>
      </c>
      <c r="D1085" s="19">
        <v>1084</v>
      </c>
      <c r="E1085" s="19" t="str">
        <f t="shared" si="50"/>
        <v>E6_3_5_5</v>
      </c>
      <c r="F1085" s="19" t="s">
        <v>13857</v>
      </c>
      <c r="G1085" s="19" t="s">
        <v>15272</v>
      </c>
      <c r="H1085" s="19" t="s">
        <v>14584</v>
      </c>
      <c r="I1085" s="19" t="s">
        <v>15999</v>
      </c>
      <c r="J1085" s="19" t="str">
        <f t="shared" si="51"/>
        <v>(${Variables:E6_3_5_5_kcat} * E6_3_5_5 * C00002 * C00064 * C00288 * C00001)/(${Variables:E6_3_5_5_km} + (E6_3_5_5 * C00002 * C00064 * C00288 * C00001))</v>
      </c>
      <c r="K1085" s="37" t="str">
        <f t="shared" si="52"/>
        <v>r1084: C00002 + C00064 + C00288 + C00001 -&gt; C00008 + C00009 + C00025 + C00169 | (${Variables:E6_3_5_5_kcat} * E6_3_5_5 * C00002 * C00064 * C00288 * C00001)/(${Variables:E6_3_5_5_km} + (E6_3_5_5 * C00002 * C00064 * C00288 * C00001))</v>
      </c>
    </row>
    <row r="1086" spans="1:11" ht="46.25" customHeight="1">
      <c r="A1086" t="s">
        <v>4556</v>
      </c>
      <c r="B1086" t="s">
        <v>4557</v>
      </c>
      <c r="C1086" t="s">
        <v>13171</v>
      </c>
      <c r="D1086" s="19">
        <v>1085</v>
      </c>
      <c r="E1086" s="19" t="str">
        <f t="shared" si="50"/>
        <v>E6_3_5_5</v>
      </c>
      <c r="F1086" s="19" t="s">
        <v>13858</v>
      </c>
      <c r="G1086" s="19" t="s">
        <v>15273</v>
      </c>
      <c r="H1086" s="19" t="s">
        <v>14585</v>
      </c>
      <c r="I1086" s="19" t="s">
        <v>16000</v>
      </c>
      <c r="J1086" s="19" t="str">
        <f t="shared" si="51"/>
        <v>(${Variables:E6_3_5_5_kcat} * E6_3_5_5 * C00002 * C01563)/(${Variables:E6_3_5_5_km} + (E6_3_5_5 * C00002 * C01563))</v>
      </c>
      <c r="K1086" s="37" t="str">
        <f t="shared" si="52"/>
        <v>r1085: C00002 + C01563 -&gt; C00008 + C00169 | (${Variables:E6_3_5_5_kcat} * E6_3_5_5 * C00002 * C01563)/(${Variables:E6_3_5_5_km} + (E6_3_5_5 * C00002 * C01563))</v>
      </c>
    </row>
    <row r="1087" spans="1:11" ht="46.25" customHeight="1">
      <c r="A1087" t="s">
        <v>4556</v>
      </c>
      <c r="B1087" t="s">
        <v>4557</v>
      </c>
      <c r="C1087" t="s">
        <v>13171</v>
      </c>
      <c r="D1087" s="19">
        <v>1086</v>
      </c>
      <c r="E1087" s="19" t="str">
        <f t="shared" si="50"/>
        <v>E6_3_5_5</v>
      </c>
      <c r="F1087" s="19" t="s">
        <v>13859</v>
      </c>
      <c r="G1087" s="19" t="s">
        <v>15274</v>
      </c>
      <c r="H1087" s="19" t="s">
        <v>14586</v>
      </c>
      <c r="I1087" s="19" t="s">
        <v>16001</v>
      </c>
      <c r="J1087" s="19" t="str">
        <f t="shared" si="51"/>
        <v>(${Variables:E6_3_5_5_kcat} * E6_3_5_5 * C00002 * C00288)/(${Variables:E6_3_5_5_km} + (E6_3_5_5 * C00002 * C00288))</v>
      </c>
      <c r="K1087" s="37" t="str">
        <f t="shared" si="52"/>
        <v>r1086: C00002 + C00288 -&gt; C00008 + C20969 | (${Variables:E6_3_5_5_kcat} * E6_3_5_5 * C00002 * C00288)/(${Variables:E6_3_5_5_km} + (E6_3_5_5 * C00002 * C00288))</v>
      </c>
    </row>
    <row r="1088" spans="1:11" ht="46.25" customHeight="1">
      <c r="A1088" t="s">
        <v>4556</v>
      </c>
      <c r="B1088" t="s">
        <v>4557</v>
      </c>
      <c r="C1088" t="s">
        <v>13171</v>
      </c>
      <c r="D1088" s="19">
        <v>1087</v>
      </c>
      <c r="E1088" s="19" t="str">
        <f t="shared" si="50"/>
        <v>E6_3_5_5</v>
      </c>
      <c r="F1088" s="19" t="s">
        <v>13860</v>
      </c>
      <c r="G1088" s="19" t="s">
        <v>15275</v>
      </c>
      <c r="H1088" s="19" t="s">
        <v>14587</v>
      </c>
      <c r="I1088" s="19" t="s">
        <v>16002</v>
      </c>
      <c r="J1088" s="19" t="str">
        <f t="shared" si="51"/>
        <v>(${Variables:E6_3_5_5_kcat} * E6_3_5_5 * C00014 * C20969)/(${Variables:E6_3_5_5_km} + (E6_3_5_5 * C00014 * C20969))</v>
      </c>
      <c r="K1088" s="37" t="str">
        <f t="shared" si="52"/>
        <v>r1087: C00014 + C20969 -&gt; C01563 + C00009 | (${Variables:E6_3_5_5_kcat} * E6_3_5_5 * C00014 * C20969)/(${Variables:E6_3_5_5_km} + (E6_3_5_5 * C00014 * C20969))</v>
      </c>
    </row>
    <row r="1089" spans="1:11" ht="46.25" customHeight="1">
      <c r="A1089" t="s">
        <v>4556</v>
      </c>
      <c r="B1089" t="s">
        <v>4557</v>
      </c>
      <c r="C1089" t="s">
        <v>13171</v>
      </c>
      <c r="D1089" s="19">
        <v>1088</v>
      </c>
      <c r="E1089" s="19" t="str">
        <f t="shared" si="50"/>
        <v>E6_3_5_5</v>
      </c>
      <c r="F1089" s="19" t="s">
        <v>13861</v>
      </c>
      <c r="G1089" s="19" t="s">
        <v>15276</v>
      </c>
      <c r="H1089" s="19" t="s">
        <v>14588</v>
      </c>
      <c r="I1089" s="19" t="s">
        <v>16003</v>
      </c>
      <c r="J1089" s="19" t="str">
        <f t="shared" si="51"/>
        <v>(${Variables:E6_3_5_5_kcat} * E6_3_5_5 * C00002 * C00288 * C00014)/(${Variables:E6_3_5_5_km} + (E6_3_5_5 * C00002 * C00288 * C00014))</v>
      </c>
      <c r="K1089" s="37" t="str">
        <f t="shared" si="52"/>
        <v>r1088: C00002 + C00288 + C00014 -&gt; C00008 + C00009 + C00169 | (${Variables:E6_3_5_5_kcat} * E6_3_5_5 * C00002 * C00288 * C00014)/(${Variables:E6_3_5_5_km} + (E6_3_5_5 * C00002 * C00288 * C00014))</v>
      </c>
    </row>
    <row r="1090" spans="1:11" ht="46.25" customHeight="1">
      <c r="A1090" t="s">
        <v>4560</v>
      </c>
      <c r="B1090" t="s">
        <v>4561</v>
      </c>
      <c r="C1090" t="s">
        <v>13171</v>
      </c>
      <c r="D1090" s="19">
        <v>1089</v>
      </c>
      <c r="E1090" s="19" t="str">
        <f t="shared" si="50"/>
        <v>E6_3_5_5</v>
      </c>
      <c r="F1090" s="19" t="s">
        <v>13319</v>
      </c>
      <c r="G1090" s="19" t="s">
        <v>14734</v>
      </c>
      <c r="H1090" s="19" t="s">
        <v>13998</v>
      </c>
      <c r="I1090" s="19" t="s">
        <v>15413</v>
      </c>
      <c r="J1090" s="19" t="str">
        <f t="shared" si="51"/>
        <v>(${Variables:E6_3_5_5_kcat} * E6_3_5_5 * C00064 * C00001)/(${Variables:E6_3_5_5_km} + (E6_3_5_5 * C00064 * C00001))</v>
      </c>
      <c r="K1090" s="37" t="str">
        <f t="shared" si="52"/>
        <v>r1089: C00064 + C00001 -&gt; C00025 + C00014 | (${Variables:E6_3_5_5_kcat} * E6_3_5_5 * C00064 * C00001)/(${Variables:E6_3_5_5_km} + (E6_3_5_5 * C00064 * C00001))</v>
      </c>
    </row>
    <row r="1091" spans="1:11" ht="46.25" customHeight="1">
      <c r="A1091" t="s">
        <v>4560</v>
      </c>
      <c r="B1091" t="s">
        <v>4561</v>
      </c>
      <c r="C1091" t="s">
        <v>13171</v>
      </c>
      <c r="D1091" s="19">
        <v>1090</v>
      </c>
      <c r="E1091" s="19" t="str">
        <f t="shared" si="50"/>
        <v>E6_3_5_5</v>
      </c>
      <c r="F1091" s="19" t="s">
        <v>13857</v>
      </c>
      <c r="G1091" s="19" t="s">
        <v>15272</v>
      </c>
      <c r="H1091" s="19" t="s">
        <v>14584</v>
      </c>
      <c r="I1091" s="19" t="s">
        <v>15999</v>
      </c>
      <c r="J1091" s="19" t="str">
        <f t="shared" si="51"/>
        <v>(${Variables:E6_3_5_5_kcat} * E6_3_5_5 * C00002 * C00064 * C00288 * C00001)/(${Variables:E6_3_5_5_km} + (E6_3_5_5 * C00002 * C00064 * C00288 * C00001))</v>
      </c>
      <c r="K1091" s="37" t="str">
        <f t="shared" si="52"/>
        <v>r1090: C00002 + C00064 + C00288 + C00001 -&gt; C00008 + C00009 + C00025 + C00169 | (${Variables:E6_3_5_5_kcat} * E6_3_5_5 * C00002 * C00064 * C00288 * C00001)/(${Variables:E6_3_5_5_km} + (E6_3_5_5 * C00002 * C00064 * C00288 * C00001))</v>
      </c>
    </row>
    <row r="1092" spans="1:11" ht="46.25" customHeight="1">
      <c r="A1092" t="s">
        <v>4560</v>
      </c>
      <c r="B1092" t="s">
        <v>4561</v>
      </c>
      <c r="C1092" t="s">
        <v>13171</v>
      </c>
      <c r="D1092" s="19">
        <v>1091</v>
      </c>
      <c r="E1092" s="19" t="str">
        <f t="shared" si="50"/>
        <v>E6_3_5_5</v>
      </c>
      <c r="F1092" s="19" t="s">
        <v>13858</v>
      </c>
      <c r="G1092" s="19" t="s">
        <v>15273</v>
      </c>
      <c r="H1092" s="19" t="s">
        <v>14585</v>
      </c>
      <c r="I1092" s="19" t="s">
        <v>16000</v>
      </c>
      <c r="J1092" s="19" t="str">
        <f t="shared" si="51"/>
        <v>(${Variables:E6_3_5_5_kcat} * E6_3_5_5 * C00002 * C01563)/(${Variables:E6_3_5_5_km} + (E6_3_5_5 * C00002 * C01563))</v>
      </c>
      <c r="K1092" s="37" t="str">
        <f t="shared" si="52"/>
        <v>r1091: C00002 + C01563 -&gt; C00008 + C00169 | (${Variables:E6_3_5_5_kcat} * E6_3_5_5 * C00002 * C01563)/(${Variables:E6_3_5_5_km} + (E6_3_5_5 * C00002 * C01563))</v>
      </c>
    </row>
    <row r="1093" spans="1:11" ht="46.25" customHeight="1">
      <c r="A1093" t="s">
        <v>4560</v>
      </c>
      <c r="B1093" t="s">
        <v>4561</v>
      </c>
      <c r="C1093" t="s">
        <v>13171</v>
      </c>
      <c r="D1093" s="19">
        <v>1092</v>
      </c>
      <c r="E1093" s="19" t="str">
        <f t="shared" si="50"/>
        <v>E6_3_5_5</v>
      </c>
      <c r="F1093" s="19" t="s">
        <v>13859</v>
      </c>
      <c r="G1093" s="19" t="s">
        <v>15274</v>
      </c>
      <c r="H1093" s="19" t="s">
        <v>14586</v>
      </c>
      <c r="I1093" s="19" t="s">
        <v>16001</v>
      </c>
      <c r="J1093" s="19" t="str">
        <f t="shared" si="51"/>
        <v>(${Variables:E6_3_5_5_kcat} * E6_3_5_5 * C00002 * C00288)/(${Variables:E6_3_5_5_km} + (E6_3_5_5 * C00002 * C00288))</v>
      </c>
      <c r="K1093" s="37" t="str">
        <f t="shared" si="52"/>
        <v>r1092: C00002 + C00288 -&gt; C00008 + C20969 | (${Variables:E6_3_5_5_kcat} * E6_3_5_5 * C00002 * C00288)/(${Variables:E6_3_5_5_km} + (E6_3_5_5 * C00002 * C00288))</v>
      </c>
    </row>
    <row r="1094" spans="1:11" ht="46.25" customHeight="1">
      <c r="A1094" t="s">
        <v>4560</v>
      </c>
      <c r="B1094" t="s">
        <v>4561</v>
      </c>
      <c r="C1094" t="s">
        <v>13171</v>
      </c>
      <c r="D1094" s="19">
        <v>1093</v>
      </c>
      <c r="E1094" s="19" t="str">
        <f t="shared" si="50"/>
        <v>E6_3_5_5</v>
      </c>
      <c r="F1094" s="19" t="s">
        <v>13860</v>
      </c>
      <c r="G1094" s="19" t="s">
        <v>15275</v>
      </c>
      <c r="H1094" s="19" t="s">
        <v>14587</v>
      </c>
      <c r="I1094" s="19" t="s">
        <v>16002</v>
      </c>
      <c r="J1094" s="19" t="str">
        <f t="shared" si="51"/>
        <v>(${Variables:E6_3_5_5_kcat} * E6_3_5_5 * C00014 * C20969)/(${Variables:E6_3_5_5_km} + (E6_3_5_5 * C00014 * C20969))</v>
      </c>
      <c r="K1094" s="37" t="str">
        <f t="shared" si="52"/>
        <v>r1093: C00014 + C20969 -&gt; C01563 + C00009 | (${Variables:E6_3_5_5_kcat} * E6_3_5_5 * C00014 * C20969)/(${Variables:E6_3_5_5_km} + (E6_3_5_5 * C00014 * C20969))</v>
      </c>
    </row>
    <row r="1095" spans="1:11" ht="46.25" customHeight="1">
      <c r="A1095" t="s">
        <v>4560</v>
      </c>
      <c r="B1095" t="s">
        <v>4561</v>
      </c>
      <c r="C1095" t="s">
        <v>13171</v>
      </c>
      <c r="D1095" s="19">
        <v>1094</v>
      </c>
      <c r="E1095" s="19" t="str">
        <f t="shared" si="50"/>
        <v>E6_3_5_5</v>
      </c>
      <c r="F1095" s="19" t="s">
        <v>13861</v>
      </c>
      <c r="G1095" s="19" t="s">
        <v>15276</v>
      </c>
      <c r="H1095" s="19" t="s">
        <v>14588</v>
      </c>
      <c r="I1095" s="19" t="s">
        <v>16003</v>
      </c>
      <c r="J1095" s="19" t="str">
        <f t="shared" si="51"/>
        <v>(${Variables:E6_3_5_5_kcat} * E6_3_5_5 * C00002 * C00288 * C00014)/(${Variables:E6_3_5_5_km} + (E6_3_5_5 * C00002 * C00288 * C00014))</v>
      </c>
      <c r="K1095" s="37" t="str">
        <f t="shared" si="52"/>
        <v>r1094: C00002 + C00288 + C00014 -&gt; C00008 + C00009 + C00169 | (${Variables:E6_3_5_5_kcat} * E6_3_5_5 * C00002 * C00288 * C00014)/(${Variables:E6_3_5_5_km} + (E6_3_5_5 * C00002 * C00288 * C00014))</v>
      </c>
    </row>
    <row r="1096" spans="1:11" ht="46.25" customHeight="1">
      <c r="A1096" t="s">
        <v>1998</v>
      </c>
      <c r="B1096" t="s">
        <v>1999</v>
      </c>
      <c r="C1096" t="s">
        <v>16065</v>
      </c>
      <c r="D1096" s="19">
        <v>1095</v>
      </c>
      <c r="E1096" s="19" t="str">
        <f t="shared" si="50"/>
        <v>E6_4_1_1</v>
      </c>
      <c r="F1096" s="19" t="s">
        <v>13862</v>
      </c>
      <c r="G1096" s="19" t="s">
        <v>15277</v>
      </c>
      <c r="H1096" s="19" t="s">
        <v>14589</v>
      </c>
      <c r="I1096" s="19" t="s">
        <v>16004</v>
      </c>
      <c r="J1096" s="19" t="str">
        <f t="shared" si="51"/>
        <v>(${Variables:E6_4_1_1_kcat} * E6_4_1_1 * C00002 * C00022 * C00288)/(${Variables:E6_4_1_1_km} + (E6_4_1_1 * C00002 * C00022 * C00288))</v>
      </c>
      <c r="K1096" s="37" t="str">
        <f t="shared" si="52"/>
        <v>r1095: C00002 + C00022 + C00288 -&gt; C00008 + C00009 + C00036 | (${Variables:E6_4_1_1_kcat} * E6_4_1_1 * C00002 * C00022 * C00288)/(${Variables:E6_4_1_1_km} + (E6_4_1_1 * C00002 * C00022 * C00288))</v>
      </c>
    </row>
    <row r="1097" spans="1:11" ht="46.25" customHeight="1">
      <c r="A1097" t="s">
        <v>3536</v>
      </c>
      <c r="B1097" t="s">
        <v>3537</v>
      </c>
      <c r="C1097" t="s">
        <v>13172</v>
      </c>
      <c r="D1097" s="19">
        <v>1096</v>
      </c>
      <c r="E1097" s="19" t="str">
        <f t="shared" si="50"/>
        <v>E6_5_1_2</v>
      </c>
      <c r="F1097" s="19" t="s">
        <v>13863</v>
      </c>
      <c r="G1097" s="19" t="s">
        <v>15278</v>
      </c>
      <c r="H1097" s="19" t="s">
        <v>14590</v>
      </c>
      <c r="I1097" s="19" t="s">
        <v>16005</v>
      </c>
      <c r="J1097" s="19" t="str">
        <f t="shared" si="51"/>
        <v>(${Variables:E6_5_1_2_kcat} * E6_5_1_2 * C00003 * C00039 * C02128)/(${Variables:E6_5_1_2_km} + (E6_5_1_2 * C00003 * C00039 * C02128))</v>
      </c>
      <c r="K1097" s="37" t="str">
        <f t="shared" si="52"/>
        <v>r1096: C00003 + C00039 + C02128 -&gt; C00020 + C00455 + C00039 | (${Variables:E6_5_1_2_kcat} * E6_5_1_2 * C00003 * C00039 * C02128)/(${Variables:E6_5_1_2_km} + (E6_5_1_2 * C00003 * C00039 * C02128))</v>
      </c>
    </row>
    <row r="1098" spans="1:11" ht="46.25" customHeight="1">
      <c r="A1098" t="s">
        <v>6045</v>
      </c>
      <c r="B1098" t="s">
        <v>6046</v>
      </c>
      <c r="C1098" t="s">
        <v>13174</v>
      </c>
      <c r="D1098" s="19">
        <v>1097</v>
      </c>
      <c r="E1098" s="19" t="str">
        <f t="shared" ref="E1098:E1108" si="54">CONCATENATE("E",C1098)</f>
        <v>E7_1_1_8</v>
      </c>
      <c r="F1098" s="19" t="s">
        <v>13864</v>
      </c>
      <c r="G1098" s="19" t="s">
        <v>15279</v>
      </c>
      <c r="H1098" s="19" t="s">
        <v>14591</v>
      </c>
      <c r="I1098" s="19" t="s">
        <v>16006</v>
      </c>
      <c r="J1098" s="19" t="str">
        <f t="shared" si="51"/>
        <v>(${Variables:E7_1_1_8_kcat} * E7_1_1_8 * C15603 * C00125)/(${Variables:E7_1_1_8_km} + (E7_1_1_8 * C15603 * C00125))</v>
      </c>
      <c r="K1098" s="37" t="str">
        <f t="shared" si="52"/>
        <v>r1097: C15603 + C00125 -&gt; C15602 + C00126 + C00080 | (${Variables:E7_1_1_8_kcat} * E7_1_1_8 * C15603 * C00125)/(${Variables:E7_1_1_8_km} + (E7_1_1_8 * C15603 * C00125))</v>
      </c>
    </row>
    <row r="1099" spans="1:11" ht="46.25" customHeight="1">
      <c r="A1099" t="s">
        <v>6045</v>
      </c>
      <c r="B1099" t="s">
        <v>6046</v>
      </c>
      <c r="C1099" t="s">
        <v>13174</v>
      </c>
      <c r="D1099" s="19">
        <v>1098</v>
      </c>
      <c r="E1099" s="19" t="str">
        <f t="shared" si="54"/>
        <v>E7_1_1_8</v>
      </c>
      <c r="F1099" s="19" t="s">
        <v>13865</v>
      </c>
      <c r="G1099" s="19" t="s">
        <v>15280</v>
      </c>
      <c r="H1099" s="19" t="s">
        <v>14592</v>
      </c>
      <c r="I1099" s="19" t="s">
        <v>16007</v>
      </c>
      <c r="J1099" s="19" t="str">
        <f t="shared" ref="J1099:J1107" si="55">CONCATENATE("(${Variables:",E1099,"_kcat","} * ",E1099," * ",G1099,")","/(${Variables:",E1099,"_km","} + (",E1099," * ",G1099,"))")</f>
        <v>(${Variables:E7_1_1_8_kcat} * E7_1_1_8 * C00390 * C00125)/(${Variables:E7_1_1_8_km} + (E7_1_1_8 * C00390 * C00125))</v>
      </c>
      <c r="K1099" s="37" t="str">
        <f t="shared" ref="K1099:K1107" si="56">CONCATENATE("r",D1099,": ",F1099," -&gt; ",H1099," | ",J1099)</f>
        <v>r1098: C00390 + C00125 -&gt; C00399 + C00126 + C00080 | (${Variables:E7_1_1_8_kcat} * E7_1_1_8 * C00390 * C00125)/(${Variables:E7_1_1_8_km} + (E7_1_1_8 * C00390 * C00125))</v>
      </c>
    </row>
    <row r="1100" spans="1:11" ht="46.25" customHeight="1">
      <c r="A1100" t="s">
        <v>3434</v>
      </c>
      <c r="B1100" t="s">
        <v>3435</v>
      </c>
      <c r="C1100" t="s">
        <v>13175</v>
      </c>
      <c r="D1100" s="19">
        <v>1099</v>
      </c>
      <c r="E1100" s="19" t="str">
        <f t="shared" si="54"/>
        <v>E7_1_2_2</v>
      </c>
      <c r="F1100" s="19" t="s">
        <v>13758</v>
      </c>
      <c r="G1100" s="19" t="s">
        <v>15173</v>
      </c>
      <c r="H1100" s="19" t="s">
        <v>14593</v>
      </c>
      <c r="I1100" s="19" t="s">
        <v>16008</v>
      </c>
      <c r="J1100" s="19" t="str">
        <f t="shared" si="55"/>
        <v>(${Variables:E7_1_2_2_kcat} * E7_1_2_2 * C00002 * C00001)/(${Variables:E7_1_2_2_km} + (E7_1_2_2 * C00002 * C00001))</v>
      </c>
      <c r="K1100" s="37" t="str">
        <f t="shared" si="56"/>
        <v>r1099: C00002 + C00001 -&gt; C00008 + C00009 | (${Variables:E7_1_2_2_kcat} * E7_1_2_2 * C00002 * C00001)/(${Variables:E7_1_2_2_km} + (E7_1_2_2 * C00002 * C00001))</v>
      </c>
    </row>
    <row r="1101" spans="1:11" ht="46.25" customHeight="1">
      <c r="A1101" t="s">
        <v>3440</v>
      </c>
      <c r="B1101" t="s">
        <v>3441</v>
      </c>
      <c r="C1101" t="s">
        <v>13175</v>
      </c>
      <c r="D1101" s="19">
        <v>1100</v>
      </c>
      <c r="E1101" s="19" t="str">
        <f t="shared" si="54"/>
        <v>E7_1_2_2</v>
      </c>
      <c r="F1101" s="19" t="s">
        <v>13758</v>
      </c>
      <c r="G1101" s="19" t="s">
        <v>15173</v>
      </c>
      <c r="H1101" s="19" t="s">
        <v>14593</v>
      </c>
      <c r="I1101" s="19" t="s">
        <v>16008</v>
      </c>
      <c r="J1101" s="19" t="str">
        <f t="shared" si="55"/>
        <v>(${Variables:E7_1_2_2_kcat} * E7_1_2_2 * C00002 * C00001)/(${Variables:E7_1_2_2_km} + (E7_1_2_2 * C00002 * C00001))</v>
      </c>
      <c r="K1101" s="37" t="str">
        <f t="shared" si="56"/>
        <v>r1100: C00002 + C00001 -&gt; C00008 + C00009 | (${Variables:E7_1_2_2_kcat} * E7_1_2_2 * C00002 * C00001)/(${Variables:E7_1_2_2_km} + (E7_1_2_2 * C00002 * C00001))</v>
      </c>
    </row>
    <row r="1102" spans="1:11" ht="46.25" customHeight="1">
      <c r="A1102" t="s">
        <v>3443</v>
      </c>
      <c r="B1102" t="s">
        <v>3444</v>
      </c>
      <c r="C1102" t="s">
        <v>13175</v>
      </c>
      <c r="D1102" s="19">
        <v>1101</v>
      </c>
      <c r="E1102" s="19" t="str">
        <f t="shared" si="54"/>
        <v>E7_1_2_2</v>
      </c>
      <c r="F1102" s="19" t="s">
        <v>13758</v>
      </c>
      <c r="G1102" s="19" t="s">
        <v>15173</v>
      </c>
      <c r="H1102" s="19" t="s">
        <v>14593</v>
      </c>
      <c r="I1102" s="19" t="s">
        <v>16008</v>
      </c>
      <c r="J1102" s="19" t="str">
        <f t="shared" si="55"/>
        <v>(${Variables:E7_1_2_2_kcat} * E7_1_2_2 * C00002 * C00001)/(${Variables:E7_1_2_2_km} + (E7_1_2_2 * C00002 * C00001))</v>
      </c>
      <c r="K1102" s="37" t="str">
        <f t="shared" si="56"/>
        <v>r1101: C00002 + C00001 -&gt; C00008 + C00009 | (${Variables:E7_1_2_2_kcat} * E7_1_2_2 * C00002 * C00001)/(${Variables:E7_1_2_2_km} + (E7_1_2_2 * C00002 * C00001))</v>
      </c>
    </row>
    <row r="1103" spans="1:11" ht="46.25" customHeight="1">
      <c r="A1103" t="s">
        <v>3447</v>
      </c>
      <c r="B1103" t="s">
        <v>3448</v>
      </c>
      <c r="C1103" t="s">
        <v>13175</v>
      </c>
      <c r="D1103" s="19">
        <v>1102</v>
      </c>
      <c r="E1103" s="19" t="str">
        <f t="shared" si="54"/>
        <v>E7_1_2_2</v>
      </c>
      <c r="F1103" s="19" t="s">
        <v>13758</v>
      </c>
      <c r="G1103" s="19" t="s">
        <v>15173</v>
      </c>
      <c r="H1103" s="19" t="s">
        <v>14593</v>
      </c>
      <c r="I1103" s="19" t="s">
        <v>16008</v>
      </c>
      <c r="J1103" s="19" t="str">
        <f t="shared" si="55"/>
        <v>(${Variables:E7_1_2_2_kcat} * E7_1_2_2 * C00002 * C00001)/(${Variables:E7_1_2_2_km} + (E7_1_2_2 * C00002 * C00001))</v>
      </c>
      <c r="K1103" s="37" t="str">
        <f t="shared" si="56"/>
        <v>r1102: C00002 + C00001 -&gt; C00008 + C00009 | (${Variables:E7_1_2_2_kcat} * E7_1_2_2 * C00002 * C00001)/(${Variables:E7_1_2_2_km} + (E7_1_2_2 * C00002 * C00001))</v>
      </c>
    </row>
    <row r="1104" spans="1:11" ht="46.25" customHeight="1">
      <c r="A1104" t="s">
        <v>3450</v>
      </c>
      <c r="B1104" t="s">
        <v>3451</v>
      </c>
      <c r="C1104" t="s">
        <v>13175</v>
      </c>
      <c r="D1104" s="19">
        <v>1103</v>
      </c>
      <c r="E1104" s="19" t="str">
        <f t="shared" si="54"/>
        <v>E7_1_2_2</v>
      </c>
      <c r="F1104" s="19" t="s">
        <v>13758</v>
      </c>
      <c r="G1104" s="19" t="s">
        <v>15173</v>
      </c>
      <c r="H1104" s="19" t="s">
        <v>14593</v>
      </c>
      <c r="I1104" s="19" t="s">
        <v>16008</v>
      </c>
      <c r="J1104" s="19" t="str">
        <f t="shared" si="55"/>
        <v>(${Variables:E7_1_2_2_kcat} * E7_1_2_2 * C00002 * C00001)/(${Variables:E7_1_2_2_km} + (E7_1_2_2 * C00002 * C00001))</v>
      </c>
      <c r="K1104" s="37" t="str">
        <f t="shared" si="56"/>
        <v>r1103: C00002 + C00001 -&gt; C00008 + C00009 | (${Variables:E7_1_2_2_kcat} * E7_1_2_2 * C00002 * C00001)/(${Variables:E7_1_2_2_km} + (E7_1_2_2 * C00002 * C00001))</v>
      </c>
    </row>
    <row r="1105" spans="1:11" ht="46.25" customHeight="1">
      <c r="A1105" t="s">
        <v>3454</v>
      </c>
      <c r="B1105" t="s">
        <v>3455</v>
      </c>
      <c r="C1105" t="s">
        <v>13175</v>
      </c>
      <c r="D1105" s="19">
        <v>1104</v>
      </c>
      <c r="E1105" s="19" t="str">
        <f t="shared" si="54"/>
        <v>E7_1_2_2</v>
      </c>
      <c r="F1105" s="19" t="s">
        <v>13758</v>
      </c>
      <c r="G1105" s="19" t="s">
        <v>15173</v>
      </c>
      <c r="H1105" s="19" t="s">
        <v>14593</v>
      </c>
      <c r="I1105" s="19" t="s">
        <v>16008</v>
      </c>
      <c r="J1105" s="19" t="str">
        <f>CONCATENATE("(${Variables:",E1105,"_kcat","} * ",E1105," * ",G1105,")","/(${Variables:",E1105,"_km","} + (",E1105," * ",G1105,"))")</f>
        <v>(${Variables:E7_1_2_2_kcat} * E7_1_2_2 * C00002 * C00001)/(${Variables:E7_1_2_2_km} + (E7_1_2_2 * C00002 * C00001))</v>
      </c>
      <c r="K1105" s="37" t="str">
        <f t="shared" si="56"/>
        <v>r1104: C00002 + C00001 -&gt; C00008 + C00009 | (${Variables:E7_1_2_2_kcat} * E7_1_2_2 * C00002 * C00001)/(${Variables:E7_1_2_2_km} + (E7_1_2_2 * C00002 * C00001))</v>
      </c>
    </row>
    <row r="1106" spans="1:11" ht="46.25" customHeight="1">
      <c r="A1106" t="s">
        <v>3457</v>
      </c>
      <c r="B1106" t="s">
        <v>3458</v>
      </c>
      <c r="C1106" t="s">
        <v>13175</v>
      </c>
      <c r="D1106" s="19">
        <v>1105</v>
      </c>
      <c r="E1106" s="19" t="str">
        <f t="shared" si="54"/>
        <v>E7_1_2_2</v>
      </c>
      <c r="F1106" s="19" t="s">
        <v>13758</v>
      </c>
      <c r="G1106" s="19" t="s">
        <v>15173</v>
      </c>
      <c r="H1106" s="19" t="s">
        <v>14593</v>
      </c>
      <c r="I1106" s="19" t="s">
        <v>16008</v>
      </c>
      <c r="J1106" s="19" t="str">
        <f t="shared" si="55"/>
        <v>(${Variables:E7_1_2_2_kcat} * E7_1_2_2 * C00002 * C00001)/(${Variables:E7_1_2_2_km} + (E7_1_2_2 * C00002 * C00001))</v>
      </c>
      <c r="K1106" s="37" t="str">
        <f t="shared" si="56"/>
        <v>r1105: C00002 + C00001 -&gt; C00008 + C00009 | (${Variables:E7_1_2_2_kcat} * E7_1_2_2 * C00002 * C00001)/(${Variables:E7_1_2_2_km} + (E7_1_2_2 * C00002 * C00001))</v>
      </c>
    </row>
    <row r="1107" spans="1:11" ht="46.25" customHeight="1">
      <c r="A1107" t="s">
        <v>5723</v>
      </c>
      <c r="B1107" t="s">
        <v>5724</v>
      </c>
      <c r="C1107" t="s">
        <v>13175</v>
      </c>
      <c r="D1107" s="19">
        <v>1106</v>
      </c>
      <c r="E1107" s="19" t="str">
        <f t="shared" si="54"/>
        <v>E7_1_2_2</v>
      </c>
      <c r="F1107" s="19" t="s">
        <v>13758</v>
      </c>
      <c r="G1107" s="19" t="s">
        <v>15173</v>
      </c>
      <c r="H1107" s="19" t="s">
        <v>14593</v>
      </c>
      <c r="I1107" s="19" t="s">
        <v>16008</v>
      </c>
      <c r="J1107" s="19" t="str">
        <f t="shared" si="55"/>
        <v>(${Variables:E7_1_2_2_kcat} * E7_1_2_2 * C00002 * C00001)/(${Variables:E7_1_2_2_km} + (E7_1_2_2 * C00002 * C00001))</v>
      </c>
      <c r="K1107" s="37" t="str">
        <f t="shared" si="56"/>
        <v>r1106: C00002 + C00001 -&gt; C00008 + C00009 | (${Variables:E7_1_2_2_kcat} * E7_1_2_2 * C00002 * C00001)/(${Variables:E7_1_2_2_km} + (E7_1_2_2 * C00002 * C00001))</v>
      </c>
    </row>
    <row r="1108" spans="1:11" ht="43.5">
      <c r="C1108" s="45" t="s">
        <v>17593</v>
      </c>
      <c r="D1108" s="19">
        <v>1107</v>
      </c>
      <c r="E1108" s="19" t="str">
        <f t="shared" si="54"/>
        <v>E1_1_1_140</v>
      </c>
      <c r="F1108" s="19" t="s">
        <v>17668</v>
      </c>
      <c r="G1108" s="19" t="s">
        <v>17796</v>
      </c>
      <c r="H1108" s="19" t="s">
        <v>17735</v>
      </c>
      <c r="I1108" s="19" t="s">
        <v>17863</v>
      </c>
      <c r="J1108" s="19" t="str">
        <f>CONCATENATE("(${Variables:",E1108,"_kcat","} * ",E1108," * ",G1108,")","/(${Variables:",E1108,"_km","} + (",E1108," * ",G1108,"))")</f>
        <v>(${Variables:E1_1_1_140_kcat} * E1_1_1_140 * C01096 * C00003)/(${Variables:E1_1_1_140_km} + (E1_1_1_140 * C01096 * C00003))</v>
      </c>
      <c r="K1108" s="37" t="str">
        <f>CONCATENATE("r",D1108,": ",F1108," -&gt; ",H1108," | ",J1108)</f>
        <v>r1107: C01096 + C00003 -&gt; C00085 + C00004 + C00080 | (${Variables:E1_1_1_140_kcat} * E1_1_1_140 * C01096 * C00003)/(${Variables:E1_1_1_140_km} + (E1_1_1_140 * C01096 * C00003))</v>
      </c>
    </row>
    <row r="1109" spans="1:11" ht="43.5">
      <c r="C1109" s="45" t="s">
        <v>17593</v>
      </c>
      <c r="D1109" s="19">
        <v>1108</v>
      </c>
      <c r="E1109" s="19" t="str">
        <f t="shared" ref="E1109:E1169" si="57">CONCATENATE("E",C1109)</f>
        <v>E1_1_1_140</v>
      </c>
      <c r="F1109" s="19" t="s">
        <v>17668</v>
      </c>
      <c r="G1109" s="19" t="s">
        <v>17796</v>
      </c>
      <c r="H1109" s="19" t="s">
        <v>17736</v>
      </c>
      <c r="I1109" s="19" t="s">
        <v>17864</v>
      </c>
      <c r="J1109" s="19" t="str">
        <f t="shared" ref="J1109:J1172" si="58">CONCATENATE("(${Variables:",E1109,"_kcat","} * ",E1109," * ",G1109,")","/(${Variables:",E1109,"_km","} + (",E1109," * ",G1109,"))")</f>
        <v>(${Variables:E1_1_1_140_kcat} * E1_1_1_140 * C01096 * C00003)/(${Variables:E1_1_1_140_km} + (E1_1_1_140 * C01096 * C00003))</v>
      </c>
      <c r="K1109" s="37" t="str">
        <f t="shared" ref="K1109:K1172" si="59">CONCATENATE("r",D1109,": ",F1109," -&gt; ",H1109," | ",J1109)</f>
        <v>r1108: C01096 + C00003 -&gt; C05345 + C00004 + C00080 | (${Variables:E1_1_1_140_kcat} * E1_1_1_140 * C01096 * C00003)/(${Variables:E1_1_1_140_km} + (E1_1_1_140 * C01096 * C00003))</v>
      </c>
    </row>
    <row r="1110" spans="1:11" ht="43.5">
      <c r="C1110" s="45" t="s">
        <v>17594</v>
      </c>
      <c r="D1110" s="19">
        <v>1109</v>
      </c>
      <c r="E1110" s="19" t="str">
        <f t="shared" si="57"/>
        <v>E1_1_1_17</v>
      </c>
      <c r="F1110" s="19" t="s">
        <v>17669</v>
      </c>
      <c r="G1110" s="19" t="s">
        <v>17797</v>
      </c>
      <c r="H1110" s="19" t="s">
        <v>17735</v>
      </c>
      <c r="I1110" s="19" t="s">
        <v>17863</v>
      </c>
      <c r="J1110" s="19" t="str">
        <f t="shared" si="58"/>
        <v>(${Variables:E1_1_1_17_kcat} * E1_1_1_17 * C00644 * C00003)/(${Variables:E1_1_1_17_km} + (E1_1_1_17 * C00644 * C00003))</v>
      </c>
      <c r="K1110" s="37" t="str">
        <f t="shared" si="59"/>
        <v>r1109: C00644 + C00003 -&gt; C00085 + C00004 + C00080 | (${Variables:E1_1_1_17_kcat} * E1_1_1_17 * C00644 * C00003)/(${Variables:E1_1_1_17_km} + (E1_1_1_17 * C00644 * C00003))</v>
      </c>
    </row>
    <row r="1111" spans="1:11" ht="43.5">
      <c r="C1111" s="45" t="s">
        <v>17594</v>
      </c>
      <c r="D1111" s="19">
        <v>1110</v>
      </c>
      <c r="E1111" s="19" t="str">
        <f t="shared" si="57"/>
        <v>E1_1_1_17</v>
      </c>
      <c r="F1111" s="19" t="s">
        <v>17669</v>
      </c>
      <c r="G1111" s="19" t="s">
        <v>17797</v>
      </c>
      <c r="H1111" s="19" t="s">
        <v>17736</v>
      </c>
      <c r="I1111" s="19" t="s">
        <v>17864</v>
      </c>
      <c r="J1111" s="19" t="str">
        <f t="shared" si="58"/>
        <v>(${Variables:E1_1_1_17_kcat} * E1_1_1_17 * C00644 * C00003)/(${Variables:E1_1_1_17_km} + (E1_1_1_17 * C00644 * C00003))</v>
      </c>
      <c r="K1111" s="37" t="str">
        <f t="shared" si="59"/>
        <v>r1110: C00644 + C00003 -&gt; C05345 + C00004 + C00080 | (${Variables:E1_1_1_17_kcat} * E1_1_1_17 * C00644 * C00003)/(${Variables:E1_1_1_17_km} + (E1_1_1_17 * C00644 * C00003))</v>
      </c>
    </row>
    <row r="1112" spans="1:11" ht="43.5">
      <c r="C1112" s="45" t="s">
        <v>17595</v>
      </c>
      <c r="D1112" s="19">
        <v>1111</v>
      </c>
      <c r="E1112" s="19" t="str">
        <f t="shared" si="57"/>
        <v>E1_1_1_30</v>
      </c>
      <c r="F1112" s="19" t="s">
        <v>17670</v>
      </c>
      <c r="G1112" s="19" t="s">
        <v>17798</v>
      </c>
      <c r="H1112" s="19" t="s">
        <v>17737</v>
      </c>
      <c r="I1112" s="19" t="s">
        <v>17865</v>
      </c>
      <c r="J1112" s="19" t="str">
        <f t="shared" si="58"/>
        <v>(${Variables:E1_1_1_30_kcat} * E1_1_1_30 * C01089 * C00003)/(${Variables:E1_1_1_30_km} + (E1_1_1_30 * C01089 * C00003))</v>
      </c>
      <c r="K1112" s="37" t="str">
        <f t="shared" si="59"/>
        <v>r1111: C01089 + C00003 -&gt; C00164 + C00004 + C00080 | (${Variables:E1_1_1_30_kcat} * E1_1_1_30 * C01089 * C00003)/(${Variables:E1_1_1_30_km} + (E1_1_1_30 * C01089 * C00003))</v>
      </c>
    </row>
    <row r="1113" spans="1:11" ht="43.5">
      <c r="C1113" s="45" t="s">
        <v>17596</v>
      </c>
      <c r="D1113" s="19">
        <v>1112</v>
      </c>
      <c r="E1113" s="19" t="str">
        <f t="shared" si="57"/>
        <v>E1_1_1_31</v>
      </c>
      <c r="F1113" s="19" t="s">
        <v>17671</v>
      </c>
      <c r="G1113" s="19" t="s">
        <v>17799</v>
      </c>
      <c r="H1113" s="19" t="s">
        <v>17738</v>
      </c>
      <c r="I1113" s="19" t="s">
        <v>17866</v>
      </c>
      <c r="J1113" s="19" t="str">
        <f t="shared" si="58"/>
        <v>(${Variables:E1_1_1_31_kcat} * E1_1_1_31 * C01188 * C00003)/(${Variables:E1_1_1_31_km} + (E1_1_1_31 * C01188 * C00003))</v>
      </c>
      <c r="K1113" s="37" t="str">
        <f t="shared" si="59"/>
        <v>r1112: C01188 + C00003 -&gt; C00349 + C00004 + C00080 | (${Variables:E1_1_1_31_kcat} * E1_1_1_31 * C01188 * C00003)/(${Variables:E1_1_1_31_km} + (E1_1_1_31 * C01188 * C00003))</v>
      </c>
    </row>
    <row r="1114" spans="1:11" ht="43.5">
      <c r="C1114" s="45" t="s">
        <v>17596</v>
      </c>
      <c r="D1114" s="19">
        <v>1113</v>
      </c>
      <c r="E1114" s="19" t="str">
        <f t="shared" si="57"/>
        <v>E1_1_1_31</v>
      </c>
      <c r="F1114" s="19" t="s">
        <v>17672</v>
      </c>
      <c r="G1114" s="19" t="s">
        <v>17800</v>
      </c>
      <c r="H1114" s="19" t="s">
        <v>17739</v>
      </c>
      <c r="I1114" s="19" t="s">
        <v>17867</v>
      </c>
      <c r="J1114" s="19" t="str">
        <f>CONCATENATE("(${Variables:",E1114,"_kcat","} * ",E1114," * ",G1114,")","/(${Variables:",E1114,"_km","} + (",E1114," * ",G1114,"))")</f>
        <v>(${Variables:E1_1_1_31_kcat} * E1_1_1_31 * C06001 * C00003)/(${Variables:E1_1_1_31_km} + (E1_1_1_31 * C06001 * C00003))</v>
      </c>
      <c r="K1114" s="37" t="str">
        <f t="shared" si="59"/>
        <v>r1113: C06001 + C00003 -&gt; C06002 + C00004 + C00080 | (${Variables:E1_1_1_31_kcat} * E1_1_1_31 * C06001 * C00003)/(${Variables:E1_1_1_31_km} + (E1_1_1_31 * C06001 * C00003))</v>
      </c>
    </row>
    <row r="1115" spans="1:11" ht="58">
      <c r="C1115" s="45" t="s">
        <v>17597</v>
      </c>
      <c r="D1115" s="19">
        <v>1114</v>
      </c>
      <c r="E1115" s="19" t="str">
        <f t="shared" si="57"/>
        <v>E1_1_1_336</v>
      </c>
      <c r="F1115" s="19" t="s">
        <v>17673</v>
      </c>
      <c r="G1115" s="19" t="s">
        <v>17801</v>
      </c>
      <c r="H1115" s="19" t="s">
        <v>17740</v>
      </c>
      <c r="I1115" s="19" t="s">
        <v>17868</v>
      </c>
      <c r="J1115" s="19" t="str">
        <f t="shared" si="58"/>
        <v>(${Variables:E1_1_1_336_kcat} * E1_1_1_336 * C01170 * C00003 * C00001)/(${Variables:E1_1_1_336_km} + (E1_1_1_336 * C01170 * C00003 * C00001))</v>
      </c>
      <c r="K1115" s="37" t="str">
        <f t="shared" si="59"/>
        <v>r1114: C01170 + C00003 + C00001 -&gt; C06240 + C00004 + C00080 | (${Variables:E1_1_1_336_kcat} * E1_1_1_336 * C01170 * C00003 * C00001)/(${Variables:E1_1_1_336_km} + (E1_1_1_336 * C01170 * C00003 * C00001))</v>
      </c>
    </row>
    <row r="1116" spans="1:11" ht="43.5">
      <c r="C1116" s="45" t="s">
        <v>17598</v>
      </c>
      <c r="D1116" s="19">
        <v>1115</v>
      </c>
      <c r="E1116" s="19" t="str">
        <f t="shared" si="57"/>
        <v>E1_1_1_35</v>
      </c>
      <c r="F1116" s="19" t="s">
        <v>17674</v>
      </c>
      <c r="G1116" s="19" t="s">
        <v>17802</v>
      </c>
      <c r="H1116" s="19" t="s">
        <v>17741</v>
      </c>
      <c r="I1116" s="19" t="s">
        <v>17869</v>
      </c>
      <c r="J1116" s="19" t="str">
        <f t="shared" si="58"/>
        <v>(${Variables:E1_1_1_35_kcat} * E1_1_1_35 * C00640 * C00003)/(${Variables:E1_1_1_35_km} + (E1_1_1_35 * C00640 * C00003))</v>
      </c>
      <c r="K1116" s="37" t="str">
        <f t="shared" si="59"/>
        <v>r1115: C00640 + C00003 -&gt; C00264 + C00004 + C00080 | (${Variables:E1_1_1_35_kcat} * E1_1_1_35 * C00640 * C00003)/(${Variables:E1_1_1_35_km} + (E1_1_1_35 * C00640 * C00003))</v>
      </c>
    </row>
    <row r="1117" spans="1:11" ht="43.5">
      <c r="C1117" s="45" t="s">
        <v>17598</v>
      </c>
      <c r="D1117" s="19">
        <v>1116</v>
      </c>
      <c r="E1117" s="19" t="str">
        <f t="shared" si="57"/>
        <v>E1_1_1_35</v>
      </c>
      <c r="F1117" s="19" t="s">
        <v>17675</v>
      </c>
      <c r="G1117" s="19" t="s">
        <v>17803</v>
      </c>
      <c r="H1117" s="19" t="s">
        <v>17742</v>
      </c>
      <c r="I1117" s="19" t="s">
        <v>17870</v>
      </c>
      <c r="J1117" s="19" t="str">
        <f t="shared" si="58"/>
        <v>(${Variables:E1_1_1_35_kcat} * E1_1_1_35 * C01144 * C00003)/(${Variables:E1_1_1_35_km} + (E1_1_1_35 * C01144 * C00003))</v>
      </c>
      <c r="K1117" s="37" t="str">
        <f t="shared" si="59"/>
        <v>r1116: C01144 + C00003 -&gt; C00332 + C00004 + C00080 | (${Variables:E1_1_1_35_kcat} * E1_1_1_35 * C01144 * C00003)/(${Variables:E1_1_1_35_km} + (E1_1_1_35 * C01144 * C00003))</v>
      </c>
    </row>
    <row r="1118" spans="1:11" ht="43.5">
      <c r="C1118" s="45" t="s">
        <v>17598</v>
      </c>
      <c r="D1118" s="19">
        <v>1117</v>
      </c>
      <c r="E1118" s="19" t="str">
        <f t="shared" si="57"/>
        <v>E1_1_1_35</v>
      </c>
      <c r="F1118" s="19" t="s">
        <v>17676</v>
      </c>
      <c r="G1118" s="19" t="s">
        <v>17804</v>
      </c>
      <c r="H1118" s="19" t="s">
        <v>17743</v>
      </c>
      <c r="I1118" s="19" t="s">
        <v>17871</v>
      </c>
      <c r="J1118" s="19" t="str">
        <f t="shared" si="58"/>
        <v>(${Variables:E1_1_1_35_kcat} * E1_1_1_35 * C04405 * C00003)/(${Variables:E1_1_1_35_km} + (E1_1_1_35 * C04405 * C00003))</v>
      </c>
      <c r="K1118" s="37" t="str">
        <f t="shared" si="59"/>
        <v>r1117: C04405 + C00003 -&gt; C03344 + C00004 + C00080 | (${Variables:E1_1_1_35_kcat} * E1_1_1_35 * C04405 * C00003)/(${Variables:E1_1_1_35_km} + (E1_1_1_35 * C04405 * C00003))</v>
      </c>
    </row>
    <row r="1119" spans="1:11" ht="43.5">
      <c r="C1119" s="45" t="s">
        <v>17598</v>
      </c>
      <c r="D1119" s="19">
        <v>1118</v>
      </c>
      <c r="E1119" s="19" t="str">
        <f t="shared" si="57"/>
        <v>E1_1_1_35</v>
      </c>
      <c r="F1119" s="19" t="s">
        <v>17677</v>
      </c>
      <c r="G1119" s="19" t="s">
        <v>17805</v>
      </c>
      <c r="H1119" s="19" t="s">
        <v>17744</v>
      </c>
      <c r="I1119" s="19" t="s">
        <v>17872</v>
      </c>
      <c r="J1119" s="19" t="str">
        <f t="shared" si="58"/>
        <v>(${Variables:E1_1_1_35_kcat} * E1_1_1_35 * C05258 * C00003)/(${Variables:E1_1_1_35_km} + (E1_1_1_35 * C05258 * C00003))</v>
      </c>
      <c r="K1119" s="37" t="str">
        <f t="shared" si="59"/>
        <v>r1118: C05258 + C00003 -&gt; C05259 + C00004 + C00080 | (${Variables:E1_1_1_35_kcat} * E1_1_1_35 * C05258 * C00003)/(${Variables:E1_1_1_35_km} + (E1_1_1_35 * C05258 * C00003))</v>
      </c>
    </row>
    <row r="1120" spans="1:11" ht="43.5">
      <c r="C1120" s="45" t="s">
        <v>17598</v>
      </c>
      <c r="D1120" s="19">
        <v>1119</v>
      </c>
      <c r="E1120" s="19" t="str">
        <f t="shared" si="57"/>
        <v>E1_1_1_35</v>
      </c>
      <c r="F1120" s="19" t="s">
        <v>17678</v>
      </c>
      <c r="G1120" s="19" t="s">
        <v>17806</v>
      </c>
      <c r="H1120" s="19" t="s">
        <v>17745</v>
      </c>
      <c r="I1120" s="19" t="s">
        <v>17873</v>
      </c>
      <c r="J1120" s="19" t="str">
        <f t="shared" si="58"/>
        <v>(${Variables:E1_1_1_35_kcat} * E1_1_1_35 * C05260 * C00003)/(${Variables:E1_1_1_35_km} + (E1_1_1_35 * C05260 * C00003))</v>
      </c>
      <c r="K1120" s="37" t="str">
        <f t="shared" si="59"/>
        <v>r1119: C05260 + C00003 -&gt; C05261 + C00004 | (${Variables:E1_1_1_35_kcat} * E1_1_1_35 * C05260 * C00003)/(${Variables:E1_1_1_35_km} + (E1_1_1_35 * C05260 * C00003))</v>
      </c>
    </row>
    <row r="1121" spans="3:11" ht="43.5">
      <c r="C1121" s="45" t="s">
        <v>17598</v>
      </c>
      <c r="D1121" s="19">
        <v>1120</v>
      </c>
      <c r="E1121" s="19" t="str">
        <f t="shared" si="57"/>
        <v>E1_1_1_35</v>
      </c>
      <c r="F1121" s="19" t="s">
        <v>17679</v>
      </c>
      <c r="G1121" s="19" t="s">
        <v>17807</v>
      </c>
      <c r="H1121" s="19" t="s">
        <v>17746</v>
      </c>
      <c r="I1121" s="19" t="s">
        <v>17874</v>
      </c>
      <c r="J1121" s="19" t="str">
        <f t="shared" si="58"/>
        <v>(${Variables:E1_1_1_35_kcat} * E1_1_1_35 * C05262 * C00003)/(${Variables:E1_1_1_35_km} + (E1_1_1_35 * C05262 * C00003))</v>
      </c>
      <c r="K1121" s="37" t="str">
        <f t="shared" si="59"/>
        <v>r1120: C05262 + C00003 -&gt; C05263 + C00004 + C00080 | (${Variables:E1_1_1_35_kcat} * E1_1_1_35 * C05262 * C00003)/(${Variables:E1_1_1_35_km} + (E1_1_1_35 * C05262 * C00003))</v>
      </c>
    </row>
    <row r="1122" spans="3:11" ht="43.5">
      <c r="C1122" s="45" t="s">
        <v>17598</v>
      </c>
      <c r="D1122" s="19">
        <v>1121</v>
      </c>
      <c r="E1122" s="19" t="str">
        <f t="shared" si="57"/>
        <v>E1_1_1_35</v>
      </c>
      <c r="F1122" s="19" t="s">
        <v>17680</v>
      </c>
      <c r="G1122" s="19" t="s">
        <v>17808</v>
      </c>
      <c r="H1122" s="19" t="s">
        <v>17747</v>
      </c>
      <c r="I1122" s="19" t="s">
        <v>17875</v>
      </c>
      <c r="J1122" s="19" t="str">
        <f t="shared" si="58"/>
        <v>(${Variables:E1_1_1_35_kcat} * E1_1_1_35 * C05264 * C00003)/(${Variables:E1_1_1_35_km} + (E1_1_1_35 * C05264 * C00003))</v>
      </c>
      <c r="K1122" s="37" t="str">
        <f t="shared" si="59"/>
        <v>r1121: C05264 + C00003 -&gt; C05265 + C00004 + C00080 | (${Variables:E1_1_1_35_kcat} * E1_1_1_35 * C05264 * C00003)/(${Variables:E1_1_1_35_km} + (E1_1_1_35 * C05264 * C00003))</v>
      </c>
    </row>
    <row r="1123" spans="3:11" ht="43.5">
      <c r="C1123" s="45" t="s">
        <v>17598</v>
      </c>
      <c r="D1123" s="19">
        <v>1122</v>
      </c>
      <c r="E1123" s="19" t="str">
        <f t="shared" si="57"/>
        <v>E1_1_1_35</v>
      </c>
      <c r="F1123" s="19" t="s">
        <v>17681</v>
      </c>
      <c r="G1123" s="19" t="s">
        <v>17809</v>
      </c>
      <c r="H1123" s="19" t="s">
        <v>17748</v>
      </c>
      <c r="I1123" s="19" t="s">
        <v>17876</v>
      </c>
      <c r="J1123" s="19" t="str">
        <f t="shared" si="58"/>
        <v>(${Variables:E1_1_1_35_kcat} * E1_1_1_35 * C05266 * C00003)/(${Variables:E1_1_1_35_km} + (E1_1_1_35 * C05266 * C00003))</v>
      </c>
      <c r="K1123" s="37" t="str">
        <f t="shared" si="59"/>
        <v>r1122: C05266 + C00003 -&gt; C05267 + C00004 + C00080 | (${Variables:E1_1_1_35_kcat} * E1_1_1_35 * C05266 * C00003)/(${Variables:E1_1_1_35_km} + (E1_1_1_35 * C05266 * C00003))</v>
      </c>
    </row>
    <row r="1124" spans="3:11" ht="43.5">
      <c r="C1124" s="45" t="s">
        <v>17598</v>
      </c>
      <c r="D1124" s="19">
        <v>1123</v>
      </c>
      <c r="E1124" s="19" t="str">
        <f t="shared" si="57"/>
        <v>E1_1_1_35</v>
      </c>
      <c r="F1124" s="19" t="s">
        <v>17682</v>
      </c>
      <c r="G1124" s="19" t="s">
        <v>17810</v>
      </c>
      <c r="H1124" s="19" t="s">
        <v>17749</v>
      </c>
      <c r="I1124" s="19" t="s">
        <v>17877</v>
      </c>
      <c r="J1124" s="19" t="str">
        <f t="shared" si="58"/>
        <v>(${Variables:E1_1_1_35_kcat} * E1_1_1_35 * C05268 * C00003)/(${Variables:E1_1_1_35_km} + (E1_1_1_35 * C05268 * C00003))</v>
      </c>
      <c r="K1124" s="37" t="str">
        <f t="shared" si="59"/>
        <v>r1123: C05268 + C00003 -&gt; C05269 + C00004 + C00080 | (${Variables:E1_1_1_35_kcat} * E1_1_1_35 * C05268 * C00003)/(${Variables:E1_1_1_35_km} + (E1_1_1_35 * C05268 * C00003))</v>
      </c>
    </row>
    <row r="1125" spans="3:11" ht="43.5">
      <c r="C1125" s="45" t="s">
        <v>17598</v>
      </c>
      <c r="D1125" s="19">
        <v>1124</v>
      </c>
      <c r="E1125" s="19" t="str">
        <f t="shared" si="57"/>
        <v>E1_1_1_35</v>
      </c>
      <c r="F1125" s="19" t="s">
        <v>17683</v>
      </c>
      <c r="G1125" s="19" t="s">
        <v>17811</v>
      </c>
      <c r="H1125" s="19" t="s">
        <v>17750</v>
      </c>
      <c r="I1125" s="19" t="s">
        <v>17878</v>
      </c>
      <c r="J1125" s="19" t="str">
        <f t="shared" si="58"/>
        <v>(${Variables:E1_1_1_35_kcat} * E1_1_1_35 * C14145 * C00003)/(${Variables:E1_1_1_35_km} + (E1_1_1_35 * C14145 * C00003))</v>
      </c>
      <c r="K1125" s="37" t="str">
        <f t="shared" si="59"/>
        <v>r1124: C14145 + C00003 -&gt; C02232 + C00004 + C00080 | (${Variables:E1_1_1_35_kcat} * E1_1_1_35 * C14145 * C00003)/(${Variables:E1_1_1_35_km} + (E1_1_1_35 * C14145 * C00003))</v>
      </c>
    </row>
    <row r="1126" spans="3:11" ht="43.5">
      <c r="C1126" s="45" t="s">
        <v>17598</v>
      </c>
      <c r="D1126" s="19">
        <v>1125</v>
      </c>
      <c r="E1126" s="19" t="str">
        <f t="shared" si="57"/>
        <v>E1_1_1_35</v>
      </c>
      <c r="F1126" s="19" t="s">
        <v>17684</v>
      </c>
      <c r="G1126" s="19" t="s">
        <v>17812</v>
      </c>
      <c r="H1126" s="19" t="s">
        <v>17751</v>
      </c>
      <c r="I1126" s="19" t="s">
        <v>17879</v>
      </c>
      <c r="J1126" s="19" t="str">
        <f t="shared" si="58"/>
        <v>(${Variables:E1_1_1_35_kcat} * E1_1_1_35 * C16329 * C00003)/(${Variables:E1_1_1_35_km} + (E1_1_1_35 * C16329 * C00003))</v>
      </c>
      <c r="K1126" s="37" t="str">
        <f t="shared" si="59"/>
        <v>r1125: C16329 + C00003 -&gt; C16330 + C00004 + C00080 | (${Variables:E1_1_1_35_kcat} * E1_1_1_35 * C16329 * C00003)/(${Variables:E1_1_1_35_km} + (E1_1_1_35 * C16329 * C00003))</v>
      </c>
    </row>
    <row r="1127" spans="3:11" ht="43.5">
      <c r="C1127" s="45" t="s">
        <v>17598</v>
      </c>
      <c r="D1127" s="19">
        <v>1126</v>
      </c>
      <c r="E1127" s="19" t="str">
        <f t="shared" si="57"/>
        <v>E1_1_1_35</v>
      </c>
      <c r="F1127" s="19" t="s">
        <v>17685</v>
      </c>
      <c r="G1127" s="19" t="s">
        <v>17813</v>
      </c>
      <c r="H1127" s="19" t="s">
        <v>17752</v>
      </c>
      <c r="I1127" s="19" t="s">
        <v>17880</v>
      </c>
      <c r="J1127" s="19" t="str">
        <f t="shared" si="58"/>
        <v>(${Variables:E1_1_1_35_kcat} * E1_1_1_35 * C16333 * C00003)/(${Variables:E1_1_1_35_km} + (E1_1_1_35 * C16333 * C00003))</v>
      </c>
      <c r="K1127" s="37" t="str">
        <f t="shared" si="59"/>
        <v>r1126: C16333 + C00003 -&gt; C16334 + C00004 + C00080 | (${Variables:E1_1_1_35_kcat} * E1_1_1_35 * C16333 * C00003)/(${Variables:E1_1_1_35_km} + (E1_1_1_35 * C16333 * C00003))</v>
      </c>
    </row>
    <row r="1128" spans="3:11" ht="43.5">
      <c r="C1128" s="45" t="s">
        <v>17598</v>
      </c>
      <c r="D1128" s="19">
        <v>1127</v>
      </c>
      <c r="E1128" s="19" t="str">
        <f t="shared" si="57"/>
        <v>E1_1_1_35</v>
      </c>
      <c r="F1128" s="19" t="s">
        <v>17686</v>
      </c>
      <c r="G1128" s="19" t="s">
        <v>17814</v>
      </c>
      <c r="H1128" s="19" t="s">
        <v>17753</v>
      </c>
      <c r="I1128" s="19" t="s">
        <v>17881</v>
      </c>
      <c r="J1128" s="19" t="str">
        <f t="shared" si="58"/>
        <v>(${Variables:E1_1_1_35_kcat} * E1_1_1_35 * C16337 * C00003)/(${Variables:E1_1_1_35_km} + (E1_1_1_35 * C16337 * C00003))</v>
      </c>
      <c r="K1128" s="37" t="str">
        <f t="shared" si="59"/>
        <v>r1127: C16337 + C00003 -&gt; C16338 + C00004 + C00080 | (${Variables:E1_1_1_35_kcat} * E1_1_1_35 * C16337 * C00003)/(${Variables:E1_1_1_35_km} + (E1_1_1_35 * C16337 * C00003))</v>
      </c>
    </row>
    <row r="1129" spans="3:11" ht="43.5">
      <c r="C1129" s="45" t="s">
        <v>17598</v>
      </c>
      <c r="D1129" s="19">
        <v>1128</v>
      </c>
      <c r="E1129" s="19" t="str">
        <f t="shared" si="57"/>
        <v>E1_1_1_35</v>
      </c>
      <c r="F1129" s="19" t="s">
        <v>17687</v>
      </c>
      <c r="G1129" s="19" t="s">
        <v>17815</v>
      </c>
      <c r="H1129" s="19" t="s">
        <v>17754</v>
      </c>
      <c r="I1129" s="19" t="s">
        <v>17882</v>
      </c>
      <c r="J1129" s="19" t="str">
        <f t="shared" si="58"/>
        <v>(${Variables:E1_1_1_35_kcat} * E1_1_1_35 * C06714 * C00003)/(${Variables:E1_1_1_35_km} + (E1_1_1_35 * C06714 * C00003))</v>
      </c>
      <c r="K1129" s="37" t="str">
        <f t="shared" si="59"/>
        <v>r1128: C06714 + C00003 -&gt; C06715 + C00004 + C00080 | (${Variables:E1_1_1_35_kcat} * E1_1_1_35 * C06714 * C00003)/(${Variables:E1_1_1_35_km} + (E1_1_1_35 * C06714 * C00003))</v>
      </c>
    </row>
    <row r="1130" spans="3:11" ht="43.5">
      <c r="C1130" s="45" t="s">
        <v>17598</v>
      </c>
      <c r="D1130" s="19">
        <v>1129</v>
      </c>
      <c r="E1130" s="19" t="str">
        <f t="shared" si="57"/>
        <v>E1_1_1_35</v>
      </c>
      <c r="F1130" s="19" t="s">
        <v>17688</v>
      </c>
      <c r="G1130" s="19" t="s">
        <v>17816</v>
      </c>
      <c r="H1130" s="19" t="s">
        <v>17755</v>
      </c>
      <c r="I1130" s="19" t="s">
        <v>17883</v>
      </c>
      <c r="J1130" s="19" t="str">
        <f t="shared" si="58"/>
        <v>(${Variables:E1_1_1_35_kcat} * E1_1_1_35 * C16469 * C00003)/(${Variables:E1_1_1_35_km} + (E1_1_1_35 * C16469 * C00003))</v>
      </c>
      <c r="K1130" s="37" t="str">
        <f t="shared" si="59"/>
        <v>r1129: C16469 + C00003 -&gt; C16471 + C00004 + C00080 | (${Variables:E1_1_1_35_kcat} * E1_1_1_35 * C16469 * C00003)/(${Variables:E1_1_1_35_km} + (E1_1_1_35 * C16469 * C00003))</v>
      </c>
    </row>
    <row r="1131" spans="3:11" ht="43.5">
      <c r="C1131" s="45" t="s">
        <v>17599</v>
      </c>
      <c r="D1131" s="19">
        <v>1130</v>
      </c>
      <c r="E1131" s="19" t="str">
        <f t="shared" si="57"/>
        <v>E1_1_1_47</v>
      </c>
      <c r="F1131" s="19" t="s">
        <v>17689</v>
      </c>
      <c r="G1131" s="19" t="s">
        <v>17817</v>
      </c>
      <c r="H1131" s="19" t="s">
        <v>17756</v>
      </c>
      <c r="I1131" s="19" t="s">
        <v>17884</v>
      </c>
      <c r="J1131" s="19" t="str">
        <f t="shared" si="58"/>
        <v>(${Variables:E1_1_1_47_kcat} * E1_1_1_47 * C00221 * C00003)/(${Variables:E1_1_1_47_km} + (E1_1_1_47 * C00221 * C00003))</v>
      </c>
      <c r="K1131" s="37" t="str">
        <f t="shared" si="59"/>
        <v>r1130: C00221 + C00003 -&gt; C00198 + C00004 + C00080 | (${Variables:E1_1_1_47_kcat} * E1_1_1_47 * C00221 * C00003)/(${Variables:E1_1_1_47_km} + (E1_1_1_47 * C00221 * C00003))</v>
      </c>
    </row>
    <row r="1132" spans="3:11" ht="43.5">
      <c r="C1132" s="45" t="s">
        <v>17599</v>
      </c>
      <c r="D1132" s="19">
        <v>1131</v>
      </c>
      <c r="E1132" s="19" t="str">
        <f t="shared" si="57"/>
        <v>E1_1_1_47</v>
      </c>
      <c r="F1132" s="19" t="s">
        <v>17690</v>
      </c>
      <c r="G1132" s="19" t="s">
        <v>17818</v>
      </c>
      <c r="H1132" s="19" t="s">
        <v>17757</v>
      </c>
      <c r="I1132" s="19" t="s">
        <v>17885</v>
      </c>
      <c r="J1132" s="19" t="str">
        <f t="shared" si="58"/>
        <v>(${Variables:E1_1_1_47_kcat} * E1_1_1_47 * C00221 * C00006)/(${Variables:E1_1_1_47_km} + (E1_1_1_47 * C00221 * C00006))</v>
      </c>
      <c r="K1132" s="37" t="str">
        <f t="shared" si="59"/>
        <v>r1131: C00221 + C00006 -&gt; C00198 + C00005 + C00080 | (${Variables:E1_1_1_47_kcat} * E1_1_1_47 * C00221 * C00006)/(${Variables:E1_1_1_47_km} + (E1_1_1_47 * C00221 * C00006))</v>
      </c>
    </row>
    <row r="1133" spans="3:11" ht="43.5">
      <c r="C1133" s="45" t="s">
        <v>17600</v>
      </c>
      <c r="D1133" s="19">
        <v>1132</v>
      </c>
      <c r="E1133" s="19" t="str">
        <f t="shared" si="57"/>
        <v>E1_1_1_93</v>
      </c>
      <c r="F1133" s="19" t="s">
        <v>17691</v>
      </c>
      <c r="G1133" s="19" t="s">
        <v>17819</v>
      </c>
      <c r="H1133" s="19" t="s">
        <v>17758</v>
      </c>
      <c r="I1133" s="19" t="s">
        <v>17886</v>
      </c>
      <c r="J1133" s="19" t="str">
        <f t="shared" si="58"/>
        <v>(${Variables:E1_1_1_93_kcat} * E1_1_1_93 * C00552 * C00003)/(${Variables:E1_1_1_93_km} + (E1_1_1_93 * C00552 * C00003))</v>
      </c>
      <c r="K1133" s="37" t="str">
        <f t="shared" si="59"/>
        <v>r1132: C00552 + C00003 -&gt; C03459 + C00004 + C00080 | (${Variables:E1_1_1_93_kcat} * E1_1_1_93 * C00552 * C00003)/(${Variables:E1_1_1_93_km} + (E1_1_1_93 * C00552 * C00003))</v>
      </c>
    </row>
    <row r="1134" spans="3:11" ht="43.5">
      <c r="C1134" s="45" t="s">
        <v>17600</v>
      </c>
      <c r="D1134" s="19">
        <v>1133</v>
      </c>
      <c r="E1134" s="19" t="str">
        <f t="shared" si="57"/>
        <v>E1_1_1_93</v>
      </c>
      <c r="F1134" s="19" t="s">
        <v>17692</v>
      </c>
      <c r="G1134" s="19" t="s">
        <v>17820</v>
      </c>
      <c r="H1134" s="19" t="s">
        <v>17758</v>
      </c>
      <c r="I1134" s="19" t="s">
        <v>17886</v>
      </c>
      <c r="J1134" s="19" t="str">
        <f t="shared" si="58"/>
        <v>(${Variables:E1_1_1_93_kcat} * E1_1_1_93 * C00898 * C00003)/(${Variables:E1_1_1_93_km} + (E1_1_1_93 * C00898 * C00003))</v>
      </c>
      <c r="K1134" s="37" t="str">
        <f t="shared" si="59"/>
        <v>r1133: C00898 + C00003 -&gt; C03459 + C00004 + C00080 | (${Variables:E1_1_1_93_kcat} * E1_1_1_93 * C00898 * C00003)/(${Variables:E1_1_1_93_km} + (E1_1_1_93 * C00898 * C00003))</v>
      </c>
    </row>
    <row r="1135" spans="3:11" ht="43.5">
      <c r="C1135" s="45" t="s">
        <v>17601</v>
      </c>
      <c r="D1135" s="19">
        <v>1134</v>
      </c>
      <c r="E1135" s="19" t="str">
        <f t="shared" si="57"/>
        <v>E1_13_11_15</v>
      </c>
      <c r="F1135" s="19" t="s">
        <v>17693</v>
      </c>
      <c r="G1135" s="19" t="s">
        <v>17821</v>
      </c>
      <c r="H1135" s="19" t="s">
        <v>16244</v>
      </c>
      <c r="I1135" s="19" t="s">
        <v>16244</v>
      </c>
      <c r="J1135" s="19" t="str">
        <f t="shared" si="58"/>
        <v>(${Variables:E1_13_11_15_kcat} * E1_13_11_15 * C01161 * C00007)/(${Variables:E1_13_11_15_km} + (E1_13_11_15 * C01161 * C00007))</v>
      </c>
      <c r="K1135" s="37" t="str">
        <f t="shared" si="59"/>
        <v>r1134: C01161 + C00007 -&gt; C04642 | (${Variables:E1_13_11_15_kcat} * E1_13_11_15 * C01161 * C00007)/(${Variables:E1_13_11_15_km} + (E1_13_11_15 * C01161 * C00007))</v>
      </c>
    </row>
    <row r="1136" spans="3:11" ht="43.5">
      <c r="C1136" s="45" t="s">
        <v>17602</v>
      </c>
      <c r="D1136" s="19">
        <v>1135</v>
      </c>
      <c r="E1136" s="19" t="str">
        <f t="shared" si="57"/>
        <v>E1_13_11_16</v>
      </c>
      <c r="F1136" s="19" t="s">
        <v>17694</v>
      </c>
      <c r="G1136" s="19" t="s">
        <v>17822</v>
      </c>
      <c r="H1136" s="19" t="s">
        <v>16248</v>
      </c>
      <c r="I1136" s="19" t="s">
        <v>16248</v>
      </c>
      <c r="J1136" s="19" t="str">
        <f t="shared" si="58"/>
        <v>(${Variables:E1_13_11_16_kcat} * E1_13_11_16 * C04044 * C00007)/(${Variables:E1_13_11_16_km} + (E1_13_11_16 * C04044 * C00007))</v>
      </c>
      <c r="K1136" s="37" t="str">
        <f t="shared" si="59"/>
        <v>r1135: C04044 + C00007 -&gt; C04479 | (${Variables:E1_13_11_16_kcat} * E1_13_11_16 * C04044 * C00007)/(${Variables:E1_13_11_16_km} + (E1_13_11_16 * C04044 * C00007))</v>
      </c>
    </row>
    <row r="1137" spans="3:11" ht="43.5">
      <c r="C1137" s="45" t="s">
        <v>17602</v>
      </c>
      <c r="D1137" s="19">
        <v>1136</v>
      </c>
      <c r="E1137" s="19" t="str">
        <f t="shared" si="57"/>
        <v>E1_13_11_16</v>
      </c>
      <c r="F1137" s="19" t="s">
        <v>17695</v>
      </c>
      <c r="G1137" s="19" t="s">
        <v>17823</v>
      </c>
      <c r="H1137" s="19" t="s">
        <v>16251</v>
      </c>
      <c r="I1137" s="19" t="s">
        <v>16251</v>
      </c>
      <c r="J1137" s="19" t="str">
        <f t="shared" si="58"/>
        <v>(${Variables:E1_13_11_16_kcat} * E1_13_11_16 * C12623 * C00007)/(${Variables:E1_13_11_16_km} + (E1_13_11_16 * C12623 * C00007))</v>
      </c>
      <c r="K1137" s="37" t="str">
        <f t="shared" si="59"/>
        <v>r1136: C12623 + C00007 -&gt; C12624 | (${Variables:E1_13_11_16_kcat} * E1_13_11_16 * C12623 * C00007)/(${Variables:E1_13_11_16_km} + (E1_13_11_16 * C12623 * C00007))</v>
      </c>
    </row>
    <row r="1138" spans="3:11" ht="43.5">
      <c r="C1138" s="45" t="s">
        <v>17603</v>
      </c>
      <c r="D1138" s="19">
        <v>1137</v>
      </c>
      <c r="E1138" s="19" t="str">
        <f t="shared" si="57"/>
        <v>E1_13_11_93</v>
      </c>
      <c r="F1138" s="19" t="s">
        <v>17696</v>
      </c>
      <c r="G1138" s="19" t="s">
        <v>17824</v>
      </c>
      <c r="H1138" s="19" t="s">
        <v>17759</v>
      </c>
      <c r="I1138" s="19" t="s">
        <v>17887</v>
      </c>
      <c r="J1138" s="19" t="str">
        <f t="shared" si="58"/>
        <v>(${Variables:E1_13_11_93_kcat} * E1_13_11_93 * C00322 * C00007)/(${Variables:E1_13_11_93_km} + (E1_13_11_93 * C00322 * C00007))</v>
      </c>
      <c r="K1138" s="37" t="str">
        <f t="shared" si="59"/>
        <v>r1137: C00322 + C00007 -&gt; C01087 + C00011 | (${Variables:E1_13_11_93_kcat} * E1_13_11_93 * C00322 * C00007)/(${Variables:E1_13_11_93_km} + (E1_13_11_93 * C00322 * C00007))</v>
      </c>
    </row>
    <row r="1139" spans="3:11" ht="58">
      <c r="C1139" s="45" t="s">
        <v>17605</v>
      </c>
      <c r="D1139" s="19">
        <v>1138</v>
      </c>
      <c r="E1139" s="19" t="str">
        <f t="shared" si="57"/>
        <v>E1_14_13_149</v>
      </c>
      <c r="F1139" s="19" t="s">
        <v>17697</v>
      </c>
      <c r="G1139" s="19" t="s">
        <v>17825</v>
      </c>
      <c r="H1139" s="19" t="s">
        <v>17760</v>
      </c>
      <c r="I1139" s="19" t="s">
        <v>17888</v>
      </c>
      <c r="J1139" s="19" t="str">
        <f t="shared" si="58"/>
        <v>(${Variables:E1_14_13_149_kcat} * E1_14_13_149 * C00582 * C00007 * C00005 * C00080)/(${Variables:E1_14_13_149_km} + (E1_14_13_149 * C00582 * C00007 * C00005 * C00080))</v>
      </c>
      <c r="K1139" s="37" t="str">
        <f t="shared" si="59"/>
        <v>r1138: C00582 + C00007 + C00005 + C00080 -&gt; C20062 + C00001 + C00006 | (${Variables:E1_14_13_149_kcat} * E1_14_13_149 * C00582 * C00007 * C00005 * C00080)/(${Variables:E1_14_13_149_km} + (E1_14_13_149 * C00582 * C00007 * C00005 * C00080))</v>
      </c>
    </row>
    <row r="1140" spans="3:11" ht="58">
      <c r="C1140" s="45" t="s">
        <v>17606</v>
      </c>
      <c r="D1140" s="19">
        <v>1139</v>
      </c>
      <c r="E1140" s="19" t="str">
        <f t="shared" si="57"/>
        <v>E1_16_1_1</v>
      </c>
      <c r="F1140" s="19" t="s">
        <v>17698</v>
      </c>
      <c r="G1140" s="19" t="s">
        <v>17826</v>
      </c>
      <c r="H1140" s="19" t="s">
        <v>17761</v>
      </c>
      <c r="I1140" s="19" t="s">
        <v>17889</v>
      </c>
      <c r="J1140" s="19" t="str">
        <f t="shared" si="58"/>
        <v>(${Variables:E1_16_1_1_kcat} * E1_16_1_1 * C01319 * C00006 * C00080)/(${Variables:E1_16_1_1_km} + (E1_16_1_1 * C01319 * C00006 * C00080))</v>
      </c>
      <c r="K1140" s="37" t="str">
        <f t="shared" si="59"/>
        <v>r1139: C01319 + C00006 + C00080 -&gt; C00703 + C00005 | (${Variables:E1_16_1_1_kcat} * E1_16_1_1 * C01319 * C00006 * C00080)/(${Variables:E1_16_1_1_km} + (E1_16_1_1 * C01319 * C00006 * C00080))</v>
      </c>
    </row>
    <row r="1141" spans="3:11" ht="58">
      <c r="C1141" s="45" t="s">
        <v>17607</v>
      </c>
      <c r="D1141" s="19">
        <v>1140</v>
      </c>
      <c r="E1141" s="19" t="str">
        <f t="shared" si="57"/>
        <v>E1_2_1_10</v>
      </c>
      <c r="F1141" s="19" t="s">
        <v>17699</v>
      </c>
      <c r="G1141" s="19" t="s">
        <v>17827</v>
      </c>
      <c r="H1141" s="19" t="s">
        <v>17762</v>
      </c>
      <c r="I1141" s="19" t="s">
        <v>17890</v>
      </c>
      <c r="J1141" s="19" t="str">
        <f t="shared" si="58"/>
        <v>(${Variables:E1_2_1_10_kcat} * E1_2_1_10 * C00084 * C00010 * C00003)/(${Variables:E1_2_1_10_km} + (E1_2_1_10 * C00084 * C00010 * C00003))</v>
      </c>
      <c r="K1141" s="37" t="str">
        <f t="shared" si="59"/>
        <v>r1140: C00084 + C00010 + C00003 -&gt; C00024 + C00004 + C00080 | (${Variables:E1_2_1_10_kcat} * E1_2_1_10 * C00084 * C00010 * C00003)/(${Variables:E1_2_1_10_km} + (E1_2_1_10 * C00084 * C00010 * C00003))</v>
      </c>
    </row>
    <row r="1142" spans="3:11" ht="58">
      <c r="C1142" s="45" t="s">
        <v>17607</v>
      </c>
      <c r="D1142" s="19">
        <v>1141</v>
      </c>
      <c r="E1142" s="19" t="str">
        <f t="shared" si="57"/>
        <v>E1_2_1_10</v>
      </c>
      <c r="F1142" s="19" t="s">
        <v>17700</v>
      </c>
      <c r="G1142" s="19" t="s">
        <v>17828</v>
      </c>
      <c r="H1142" s="19" t="s">
        <v>17763</v>
      </c>
      <c r="I1142" s="19" t="s">
        <v>17891</v>
      </c>
      <c r="J1142" s="19" t="str">
        <f t="shared" si="58"/>
        <v>(${Variables:E1_2_1_10_kcat} * E1_2_1_10 * C01412 * C00010 * C00003)/(${Variables:E1_2_1_10_km} + (E1_2_1_10 * C01412 * C00010 * C00003))</v>
      </c>
      <c r="K1142" s="37" t="str">
        <f>CONCATENATE("r",D1142,": ",F1142," -&gt; ",H1142," | ",J1142)</f>
        <v>r1141: C01412 + C00010 + C00003 -&gt; C00136 + C00004 + C00080 | (${Variables:E1_2_1_10_kcat} * E1_2_1_10 * C01412 * C00010 * C00003)/(${Variables:E1_2_1_10_km} + (E1_2_1_10 * C01412 * C00010 * C00003))</v>
      </c>
    </row>
    <row r="1143" spans="3:11" ht="43.5">
      <c r="C1143" s="45" t="s">
        <v>17608</v>
      </c>
      <c r="D1143" s="19">
        <v>1142</v>
      </c>
      <c r="E1143" s="19" t="str">
        <f t="shared" si="57"/>
        <v>E1_3_1_1</v>
      </c>
      <c r="F1143" s="19" t="s">
        <v>17701</v>
      </c>
      <c r="G1143" s="19" t="s">
        <v>17829</v>
      </c>
      <c r="H1143" s="19" t="s">
        <v>17764</v>
      </c>
      <c r="I1143" s="19" t="s">
        <v>17892</v>
      </c>
      <c r="J1143" s="19" t="str">
        <f t="shared" si="58"/>
        <v>(${Variables:E1_3_1_1_kcat} * E1_3_1_1 * C00906 * C00003)/(${Variables:E1_3_1_1_km} + (E1_3_1_1 * C00906 * C00003))</v>
      </c>
      <c r="K1143" s="37" t="str">
        <f t="shared" si="59"/>
        <v>r1142: C00906 + C00003 -&gt; C00178 + C00004 + C00080 | (${Variables:E1_3_1_1_kcat} * E1_3_1_1 * C00906 * C00003)/(${Variables:E1_3_1_1_km} + (E1_3_1_1 * C00906 * C00003))</v>
      </c>
    </row>
    <row r="1144" spans="3:11" ht="43.5">
      <c r="C1144" s="45" t="s">
        <v>17608</v>
      </c>
      <c r="D1144" s="19">
        <v>1143</v>
      </c>
      <c r="E1144" s="19" t="str">
        <f t="shared" si="57"/>
        <v>E1_3_1_1</v>
      </c>
      <c r="F1144" s="19" t="s">
        <v>17702</v>
      </c>
      <c r="G1144" s="19" t="s">
        <v>17830</v>
      </c>
      <c r="H1144" s="19" t="s">
        <v>17764</v>
      </c>
      <c r="I1144" s="19" t="s">
        <v>17892</v>
      </c>
      <c r="J1144" s="19" t="str">
        <f t="shared" si="58"/>
        <v>(${Variables:E1_3_1_1_kcat} * E1_3_1_1 * C21028 * C00003)/(${Variables:E1_3_1_1_km} + (E1_3_1_1 * C21028 * C00003))</v>
      </c>
      <c r="K1144" s="37" t="str">
        <f t="shared" si="59"/>
        <v>r1143: C21028 + C00003 -&gt; C00178 + C00004 + C00080 | (${Variables:E1_3_1_1_kcat} * E1_3_1_1 * C21028 * C00003)/(${Variables:E1_3_1_1_km} + (E1_3_1_1 * C21028 * C00003))</v>
      </c>
    </row>
    <row r="1145" spans="3:11" ht="43.5">
      <c r="C1145" s="45" t="s">
        <v>17608</v>
      </c>
      <c r="D1145" s="19">
        <v>1144</v>
      </c>
      <c r="E1145" s="19" t="str">
        <f t="shared" si="57"/>
        <v>E1_3_1_1</v>
      </c>
      <c r="F1145" s="19" t="s">
        <v>17703</v>
      </c>
      <c r="G1145" s="19" t="s">
        <v>17831</v>
      </c>
      <c r="H1145" s="19" t="s">
        <v>17765</v>
      </c>
      <c r="I1145" s="19" t="s">
        <v>17893</v>
      </c>
      <c r="J1145" s="19" t="str">
        <f t="shared" si="58"/>
        <v>(${Variables:E1_3_1_1_kcat} * E1_3_1_1 * C00429 * C00003)/(${Variables:E1_3_1_1_km} + (E1_3_1_1 * C00429 * C00003))</v>
      </c>
      <c r="K1145" s="37" t="str">
        <f t="shared" si="59"/>
        <v>r1144: C00429 + C00003 -&gt; C00106 + C00004 + C00080 | (${Variables:E1_3_1_1_kcat} * E1_3_1_1 * C00429 * C00003)/(${Variables:E1_3_1_1_km} + (E1_3_1_1 * C00429 * C00003))</v>
      </c>
    </row>
    <row r="1146" spans="3:11" ht="43.5">
      <c r="C1146" s="45" t="s">
        <v>17609</v>
      </c>
      <c r="D1146" s="19">
        <v>1145</v>
      </c>
      <c r="E1146" s="19" t="str">
        <f t="shared" si="57"/>
        <v>E1_5_3_2</v>
      </c>
      <c r="F1146" s="19" t="s">
        <v>17704</v>
      </c>
      <c r="G1146" s="19" t="s">
        <v>17832</v>
      </c>
      <c r="H1146" s="19" t="s">
        <v>17766</v>
      </c>
      <c r="I1146" s="19" t="s">
        <v>17894</v>
      </c>
      <c r="J1146" s="19" t="str">
        <f t="shared" si="58"/>
        <v>(${Variables:E1_5_3_2_kcat} * E1_5_3_2 * C03148 * C00001 * C00007)/(${Variables:E1_5_3_2_km} + (E1_5_3_2 * C03148 * C00001 * C00007))</v>
      </c>
      <c r="K1146" s="37" t="str">
        <f t="shared" si="59"/>
        <v>r1145: C03148 + C00001 + C00007 -&gt; C00151 + C00067 + C00027 | (${Variables:E1_5_3_2_kcat} * E1_5_3_2 * C03148 * C00001 * C00007)/(${Variables:E1_5_3_2_km} + (E1_5_3_2 * C03148 * C00001 * C00007))</v>
      </c>
    </row>
    <row r="1147" spans="3:11" ht="43.5">
      <c r="C1147" s="45" t="s">
        <v>17610</v>
      </c>
      <c r="D1147" s="19">
        <v>1146</v>
      </c>
      <c r="E1147" s="19" t="str">
        <f t="shared" si="57"/>
        <v>E2_1_1_72</v>
      </c>
      <c r="F1147" s="19" t="s">
        <v>17705</v>
      </c>
      <c r="G1147" s="19" t="s">
        <v>17833</v>
      </c>
      <c r="H1147" s="19" t="s">
        <v>17767</v>
      </c>
      <c r="I1147" s="19" t="s">
        <v>17895</v>
      </c>
      <c r="J1147" s="19" t="str">
        <f t="shared" si="58"/>
        <v>(${Variables:E2_1_1_72_kcat} * E2_1_1_72 * C00019 * C00821)/(${Variables:E2_1_1_72_km} + (E2_1_1_72 * C00019 * C00821))</v>
      </c>
      <c r="K1147" s="37" t="str">
        <f t="shared" si="59"/>
        <v>r1146: C00019 + C00821 -&gt; C00021 + C03391 | (${Variables:E2_1_1_72_kcat} * E2_1_1_72 * C00019 * C00821)/(${Variables:E2_1_1_72_km} + (E2_1_1_72 * C00019 * C00821))</v>
      </c>
    </row>
    <row r="1148" spans="3:11" ht="43.5">
      <c r="C1148" s="45" t="s">
        <v>17611</v>
      </c>
      <c r="D1148" s="19">
        <v>1147</v>
      </c>
      <c r="E1148" s="19" t="str">
        <f t="shared" si="57"/>
        <v>E2_3_1_39</v>
      </c>
      <c r="F1148" s="19" t="s">
        <v>13420</v>
      </c>
      <c r="G1148" s="19" t="s">
        <v>14835</v>
      </c>
      <c r="H1148" s="19" t="s">
        <v>14099</v>
      </c>
      <c r="I1148" s="19" t="s">
        <v>15514</v>
      </c>
      <c r="J1148" s="19" t="str">
        <f t="shared" si="58"/>
        <v>(${Variables:E2_3_1_39_kcat} * E2_3_1_39 * C00083 * C00229)/(${Variables:E2_3_1_39_km} + (E2_3_1_39 * C00083 * C00229))</v>
      </c>
      <c r="K1148" s="37" t="str">
        <f t="shared" si="59"/>
        <v>r1147: C00083 + C00229 -&gt; C00010 + C01209 | (${Variables:E2_3_1_39_kcat} * E2_3_1_39 * C00083 * C00229)/(${Variables:E2_3_1_39_km} + (E2_3_1_39 * C00083 * C00229))</v>
      </c>
    </row>
    <row r="1149" spans="3:11" ht="43.5">
      <c r="C1149" s="45" t="s">
        <v>17612</v>
      </c>
      <c r="D1149" s="19">
        <v>1148</v>
      </c>
      <c r="E1149" s="19" t="str">
        <f t="shared" si="57"/>
        <v>E2_4_2_52</v>
      </c>
      <c r="F1149" s="19" t="s">
        <v>13557</v>
      </c>
      <c r="G1149" s="19" t="s">
        <v>14972</v>
      </c>
      <c r="H1149" s="19" t="s">
        <v>17768</v>
      </c>
      <c r="I1149" s="19" t="s">
        <v>17896</v>
      </c>
      <c r="J1149" s="19" t="str">
        <f t="shared" si="58"/>
        <v>(${Variables:E2_4_2_52_kcat} * E2_4_2_52 * C00002 * C00882)/(${Variables:E2_4_2_52_km} + (E2_4_2_52 * C00002 * C00882))</v>
      </c>
      <c r="K1149" s="37" t="str">
        <f t="shared" si="59"/>
        <v>r1148: C00002 + C00882 -&gt; C19771 + C00147 | (${Variables:E2_4_2_52_kcat} * E2_4_2_52 * C00002 * C00882)/(${Variables:E2_4_2_52_km} + (E2_4_2_52 * C00002 * C00882))</v>
      </c>
    </row>
    <row r="1150" spans="3:11" ht="43.5">
      <c r="C1150" s="45" t="s">
        <v>17613</v>
      </c>
      <c r="D1150" s="19">
        <v>1149</v>
      </c>
      <c r="E1150" s="19" t="str">
        <f t="shared" si="57"/>
        <v>E2_7_1_197</v>
      </c>
      <c r="F1150" s="19" t="s">
        <v>17706</v>
      </c>
      <c r="G1150" s="19" t="s">
        <v>17834</v>
      </c>
      <c r="H1150" s="19" t="s">
        <v>17769</v>
      </c>
      <c r="I1150" s="19" t="s">
        <v>17897</v>
      </c>
      <c r="J1150" s="19" t="str">
        <f t="shared" si="58"/>
        <v>(${Variables:E2_7_1_197_kcat} * E2_7_1_197 * C04261 * C00392)/(${Variables:E2_7_1_197_km} + (E2_7_1_197 * C04261 * C00392))</v>
      </c>
      <c r="K1150" s="37" t="str">
        <f t="shared" si="59"/>
        <v>r1149: C04261 + C00392 -&gt; C00615 + C00644 | (${Variables:E2_7_1_197_kcat} * E2_7_1_197 * C04261 * C00392)/(${Variables:E2_7_1_197_km} + (E2_7_1_197 * C04261 * C00392))</v>
      </c>
    </row>
    <row r="1151" spans="3:11" ht="43.5">
      <c r="C1151" s="45" t="s">
        <v>17614</v>
      </c>
      <c r="D1151" s="19">
        <v>1150</v>
      </c>
      <c r="E1151" s="19" t="str">
        <f t="shared" si="57"/>
        <v>E2_7_1_6</v>
      </c>
      <c r="F1151" s="19" t="s">
        <v>17707</v>
      </c>
      <c r="G1151" s="19" t="s">
        <v>17835</v>
      </c>
      <c r="H1151" s="19" t="s">
        <v>17770</v>
      </c>
      <c r="I1151" s="19" t="s">
        <v>17898</v>
      </c>
      <c r="J1151" s="19" t="str">
        <f t="shared" si="58"/>
        <v>(${Variables:E2_7_1_6_kcat} * E2_7_1_6 * C00002 * C00984)/(${Variables:E2_7_1_6_km} + (E2_7_1_6 * C00002 * C00984))</v>
      </c>
      <c r="K1151" s="37" t="str">
        <f t="shared" si="59"/>
        <v>r1150: C00002 + C00984 -&gt; C00008 + C00446 | (${Variables:E2_7_1_6_kcat} * E2_7_1_6 * C00002 * C00984)/(${Variables:E2_7_1_6_km} + (E2_7_1_6 * C00002 * C00984))</v>
      </c>
    </row>
    <row r="1152" spans="3:11" ht="43.5">
      <c r="C1152" s="45" t="s">
        <v>17615</v>
      </c>
      <c r="D1152" s="19">
        <v>1151</v>
      </c>
      <c r="E1152" s="19" t="str">
        <f t="shared" si="57"/>
        <v>E2_7_7_49</v>
      </c>
      <c r="F1152" s="19" t="s">
        <v>13648</v>
      </c>
      <c r="G1152" s="19" t="s">
        <v>15063</v>
      </c>
      <c r="H1152" s="19" t="s">
        <v>14331</v>
      </c>
      <c r="I1152" s="19" t="s">
        <v>15746</v>
      </c>
      <c r="J1152" s="19" t="str">
        <f>CONCATENATE("(${Variables:",E1152,"_kcat","} * ",E1152," * ",G1152,")","/(${Variables:",E1152,"_km","} + (",E1152," * ",G1152,"))")</f>
        <v>(${Variables:E2_7_7_49_kcat} * E2_7_7_49 * C00677 * C00039)/(${Variables:E2_7_7_49_km} + (E2_7_7_49 * C00677 * C00039))</v>
      </c>
      <c r="K1152" s="37" t="str">
        <f t="shared" si="59"/>
        <v>r1151: C00677 + C00039 -&gt; C00013 + C00039 | (${Variables:E2_7_7_49_kcat} * E2_7_7_49 * C00677 * C00039)/(${Variables:E2_7_7_49_km} + (E2_7_7_49 * C00677 * C00039))</v>
      </c>
    </row>
    <row r="1153" spans="3:11" ht="43.5">
      <c r="C1153" s="45" t="s">
        <v>17618</v>
      </c>
      <c r="D1153" s="19">
        <v>1152</v>
      </c>
      <c r="E1153" s="19" t="str">
        <f t="shared" si="57"/>
        <v>E3_2_1_18</v>
      </c>
      <c r="F1153" s="19" t="s">
        <v>17708</v>
      </c>
      <c r="G1153" s="19" t="s">
        <v>17836</v>
      </c>
      <c r="H1153" s="19" t="s">
        <v>17771</v>
      </c>
      <c r="I1153" s="19" t="s">
        <v>17899</v>
      </c>
      <c r="J1153" s="19" t="str">
        <f t="shared" si="58"/>
        <v>(${Variables:E3_2_1_18_kcat} * E3_2_1_18 * C01290 * C00270)/(${Variables:E3_2_1_18_km} + (E3_2_1_18 * C01290 * C00270))</v>
      </c>
      <c r="K1153" s="37" t="str">
        <f t="shared" si="59"/>
        <v>r1152: C01290 + C00270 -&gt; C04730 + C00001 | (${Variables:E3_2_1_18_kcat} * E3_2_1_18 * C01290 * C00270)/(${Variables:E3_2_1_18_km} + (E3_2_1_18 * C01290 * C00270))</v>
      </c>
    </row>
    <row r="1154" spans="3:11" ht="43.5">
      <c r="C1154" s="45" t="s">
        <v>17618</v>
      </c>
      <c r="D1154" s="19">
        <v>1153</v>
      </c>
      <c r="E1154" s="19" t="str">
        <f t="shared" si="57"/>
        <v>E3_2_1_18</v>
      </c>
      <c r="F1154" s="19" t="s">
        <v>17709</v>
      </c>
      <c r="G1154" s="19" t="s">
        <v>17837</v>
      </c>
      <c r="H1154" s="19" t="s">
        <v>17772</v>
      </c>
      <c r="I1154" s="19" t="s">
        <v>17900</v>
      </c>
      <c r="J1154" s="19" t="str">
        <f t="shared" si="58"/>
        <v>(${Variables:E3_2_1_18_kcat} * E3_2_1_18 * C02686 * C00270)/(${Variables:E3_2_1_18_km} + (E3_2_1_18 * C02686 * C00270))</v>
      </c>
      <c r="K1154" s="37" t="str">
        <f t="shared" si="59"/>
        <v>r1153: C02686 + C00270 -&gt; C06128 + C00001 | (${Variables:E3_2_1_18_kcat} * E3_2_1_18 * C02686 * C00270)/(${Variables:E3_2_1_18_km} + (E3_2_1_18 * C02686 * C00270))</v>
      </c>
    </row>
    <row r="1155" spans="3:11" ht="43.5">
      <c r="C1155" s="45" t="s">
        <v>17618</v>
      </c>
      <c r="D1155" s="19">
        <v>1154</v>
      </c>
      <c r="E1155" s="19" t="str">
        <f t="shared" si="57"/>
        <v>E3_2_1_18</v>
      </c>
      <c r="F1155" s="19" t="s">
        <v>17710</v>
      </c>
      <c r="G1155" s="19" t="s">
        <v>17838</v>
      </c>
      <c r="H1155" s="19" t="s">
        <v>17773</v>
      </c>
      <c r="I1155" s="19" t="s">
        <v>17901</v>
      </c>
      <c r="J1155" s="19" t="str">
        <f t="shared" si="58"/>
        <v>(${Variables:E3_2_1_18_kcat} * E3_2_1_18 * C04884 * C00001)/(${Variables:E3_2_1_18_km} + (E3_2_1_18 * C04884 * C00001))</v>
      </c>
      <c r="K1155" s="37" t="str">
        <f t="shared" si="59"/>
        <v>r1154: C04884 + C00001 -&gt; C06135 + C00270 | (${Variables:E3_2_1_18_kcat} * E3_2_1_18 * C04884 * C00001)/(${Variables:E3_2_1_18_km} + (E3_2_1_18 * C04884 * C00001))</v>
      </c>
    </row>
    <row r="1156" spans="3:11" ht="43.5">
      <c r="C1156" s="45" t="s">
        <v>17618</v>
      </c>
      <c r="D1156" s="19">
        <v>1155</v>
      </c>
      <c r="E1156" s="19" t="str">
        <f t="shared" si="57"/>
        <v>E3_2_1_18</v>
      </c>
      <c r="F1156" s="19" t="s">
        <v>17711</v>
      </c>
      <c r="G1156" s="19" t="s">
        <v>17839</v>
      </c>
      <c r="H1156" s="19" t="s">
        <v>17774</v>
      </c>
      <c r="I1156" s="19" t="s">
        <v>17902</v>
      </c>
      <c r="J1156" s="19" t="str">
        <f t="shared" si="58"/>
        <v>(${Variables:E3_2_1_18_kcat} * E3_2_1_18 * C04911 * C00270)/(${Variables:E3_2_1_18_km} + (E3_2_1_18 * C04911 * C00270))</v>
      </c>
      <c r="K1156" s="37" t="str">
        <f t="shared" si="59"/>
        <v>r1155: C04911 + C00270 -&gt; C04927 + C00001 | (${Variables:E3_2_1_18_kcat} * E3_2_1_18 * C04911 * C00270)/(${Variables:E3_2_1_18_km} + (E3_2_1_18 * C04911 * C00270))</v>
      </c>
    </row>
    <row r="1157" spans="3:11" ht="43.5">
      <c r="C1157" s="45" t="s">
        <v>17618</v>
      </c>
      <c r="D1157" s="19">
        <v>1156</v>
      </c>
      <c r="E1157" s="19" t="str">
        <f t="shared" si="57"/>
        <v>E3_2_1_18</v>
      </c>
      <c r="F1157" s="19" t="s">
        <v>17712</v>
      </c>
      <c r="G1157" s="19" t="s">
        <v>17840</v>
      </c>
      <c r="H1157" s="19" t="s">
        <v>17775</v>
      </c>
      <c r="I1157" s="19" t="s">
        <v>17903</v>
      </c>
      <c r="J1157" s="19" t="str">
        <f t="shared" si="58"/>
        <v>(${Variables:E3_2_1_18_kcat} * E3_2_1_18 * C06140 * C00270)/(${Variables:E3_2_1_18_km} + (E3_2_1_18 * C06140 * C00270))</v>
      </c>
      <c r="K1157" s="37" t="str">
        <f t="shared" si="59"/>
        <v>r1156: C06140 + C00270 -&gt; C06139 + C00001 | (${Variables:E3_2_1_18_kcat} * E3_2_1_18 * C06140 * C00270)/(${Variables:E3_2_1_18_km} + (E3_2_1_18 * C06140 * C00270))</v>
      </c>
    </row>
    <row r="1158" spans="3:11" ht="43.5">
      <c r="C1158" s="45" t="s">
        <v>17618</v>
      </c>
      <c r="D1158" s="19">
        <v>1157</v>
      </c>
      <c r="E1158" s="19" t="str">
        <f t="shared" si="57"/>
        <v>E3_2_1_18</v>
      </c>
      <c r="F1158" s="19" t="s">
        <v>17713</v>
      </c>
      <c r="G1158" s="19" t="s">
        <v>17841</v>
      </c>
      <c r="H1158" s="19" t="s">
        <v>17776</v>
      </c>
      <c r="I1158" s="19" t="s">
        <v>17904</v>
      </c>
      <c r="J1158" s="19" t="str">
        <f t="shared" si="58"/>
        <v>(${Variables:E3_2_1_18_kcat} * E3_2_1_18 * C06140 * C00001)/(${Variables:E3_2_1_18_km} + (E3_2_1_18 * C06140 * C00001))</v>
      </c>
      <c r="K1158" s="37" t="str">
        <f t="shared" si="59"/>
        <v>r1157: C06140 + C00001 -&gt; C06141 + C00270 | (${Variables:E3_2_1_18_kcat} * E3_2_1_18 * C06140 * C00001)/(${Variables:E3_2_1_18_km} + (E3_2_1_18 * C06140 * C00001))</v>
      </c>
    </row>
    <row r="1159" spans="3:11" ht="43.5">
      <c r="C1159" s="45" t="s">
        <v>17618</v>
      </c>
      <c r="D1159" s="19">
        <v>1158</v>
      </c>
      <c r="E1159" s="19" t="str">
        <f t="shared" si="57"/>
        <v>E3_2_1_18</v>
      </c>
      <c r="F1159" s="19" t="s">
        <v>17714</v>
      </c>
      <c r="G1159" s="19" t="s">
        <v>17842</v>
      </c>
      <c r="H1159" s="19" t="s">
        <v>17777</v>
      </c>
      <c r="I1159" s="19" t="s">
        <v>17905</v>
      </c>
      <c r="J1159" s="19" t="str">
        <f t="shared" si="58"/>
        <v>(${Variables:E3_2_1_18_kcat} * E3_2_1_18 * G00116 * C00270)/(${Variables:E3_2_1_18_km} + (E3_2_1_18 * G00116 * C00270))</v>
      </c>
      <c r="K1159" s="37" t="str">
        <f t="shared" si="59"/>
        <v>r1158: G00116 + C00270 -&gt; G00117 + C00001 | (${Variables:E3_2_1_18_kcat} * E3_2_1_18 * G00116 * C00270)/(${Variables:E3_2_1_18_km} + (E3_2_1_18 * G00116 * C00270))</v>
      </c>
    </row>
    <row r="1160" spans="3:11" ht="43.5">
      <c r="C1160" s="45" t="s">
        <v>17618</v>
      </c>
      <c r="D1160" s="19">
        <v>1159</v>
      </c>
      <c r="E1160" s="19" t="str">
        <f t="shared" si="57"/>
        <v>E3_2_1_18</v>
      </c>
      <c r="F1160" s="19" t="s">
        <v>17715</v>
      </c>
      <c r="G1160" s="19" t="s">
        <v>17843</v>
      </c>
      <c r="H1160" s="19" t="s">
        <v>17778</v>
      </c>
      <c r="I1160" s="19" t="s">
        <v>17906</v>
      </c>
      <c r="J1160" s="19" t="str">
        <f t="shared" si="58"/>
        <v>(${Variables:E3_2_1_18_kcat} * E3_2_1_18 * G00116 * C00001)/(${Variables:E3_2_1_18_km} + (E3_2_1_18 * G00116 * C00001))</v>
      </c>
      <c r="K1160" s="37" t="str">
        <f t="shared" si="59"/>
        <v>r1159: G00116 + C00001 -&gt; G00115 + C00270 | (${Variables:E3_2_1_18_kcat} * E3_2_1_18 * G00116 * C00001)/(${Variables:E3_2_1_18_km} + (E3_2_1_18 * G00116 * C00001))</v>
      </c>
    </row>
    <row r="1161" spans="3:11" ht="43.5">
      <c r="C1161" s="45" t="s">
        <v>17618</v>
      </c>
      <c r="D1161" s="19">
        <v>1160</v>
      </c>
      <c r="E1161" s="19" t="str">
        <f t="shared" si="57"/>
        <v>E3_2_1_18</v>
      </c>
      <c r="F1161" s="19" t="s">
        <v>17716</v>
      </c>
      <c r="G1161" s="19" t="s">
        <v>17844</v>
      </c>
      <c r="H1161" s="19" t="s">
        <v>17779</v>
      </c>
      <c r="I1161" s="19" t="s">
        <v>17907</v>
      </c>
      <c r="J1161" s="19" t="str">
        <f t="shared" si="58"/>
        <v>(${Variables:E3_2_1_18_kcat} * E3_2_1_18 * G00092 * C00270)/(${Variables:E3_2_1_18_km} + (E3_2_1_18 * G00092 * C00270))</v>
      </c>
      <c r="K1161" s="37" t="str">
        <f t="shared" si="59"/>
        <v>r1160: G00092 + C00270 -&gt; G00108 + C00001 | (${Variables:E3_2_1_18_kcat} * E3_2_1_18 * G00092 * C00270)/(${Variables:E3_2_1_18_km} + (E3_2_1_18 * G00092 * C00270))</v>
      </c>
    </row>
    <row r="1162" spans="3:11" ht="43.5">
      <c r="C1162" s="45" t="s">
        <v>17618</v>
      </c>
      <c r="D1162" s="19">
        <v>1161</v>
      </c>
      <c r="E1162" s="19" t="str">
        <f t="shared" si="57"/>
        <v>E3_2_1_18</v>
      </c>
      <c r="F1162" s="19" t="s">
        <v>17717</v>
      </c>
      <c r="G1162" s="19" t="s">
        <v>17845</v>
      </c>
      <c r="H1162" s="19" t="s">
        <v>17780</v>
      </c>
      <c r="I1162" s="19" t="s">
        <v>17908</v>
      </c>
      <c r="J1162" s="19" t="str">
        <f t="shared" si="58"/>
        <v>(${Variables:E3_2_1_18_kcat} * E3_2_1_18 * G00109 * C00001)/(${Variables:E3_2_1_18_km} + (E3_2_1_18 * G00109 * C00001))</v>
      </c>
      <c r="K1162" s="37" t="str">
        <f t="shared" si="59"/>
        <v>r1161: G00109 + C00001 -&gt; G00123 + C00270 | (${Variables:E3_2_1_18_kcat} * E3_2_1_18 * G00109 * C00001)/(${Variables:E3_2_1_18_km} + (E3_2_1_18 * G00109 * C00001))</v>
      </c>
    </row>
    <row r="1163" spans="3:11" ht="43.5">
      <c r="C1163" s="45" t="s">
        <v>17618</v>
      </c>
      <c r="D1163" s="19">
        <v>1162</v>
      </c>
      <c r="E1163" s="19" t="str">
        <f t="shared" si="57"/>
        <v>E3_2_1_18</v>
      </c>
      <c r="F1163" s="19" t="s">
        <v>17718</v>
      </c>
      <c r="G1163" s="19" t="s">
        <v>17846</v>
      </c>
      <c r="H1163" s="19" t="s">
        <v>17781</v>
      </c>
      <c r="I1163" s="19" t="s">
        <v>17909</v>
      </c>
      <c r="J1163" s="19" t="str">
        <f t="shared" si="58"/>
        <v>(${Variables:E3_2_1_18_kcat} * E3_2_1_18 * G11121 * C00270)/(${Variables:E3_2_1_18_km} + (E3_2_1_18 * G11121 * C00270))</v>
      </c>
      <c r="K1163" s="37" t="str">
        <f t="shared" si="59"/>
        <v>r1162: G11121 + C00270 -&gt; G00317 + C00001 | (${Variables:E3_2_1_18_kcat} * E3_2_1_18 * G11121 * C00270)/(${Variables:E3_2_1_18_km} + (E3_2_1_18 * G11121 * C00270))</v>
      </c>
    </row>
    <row r="1164" spans="3:11" ht="43.5">
      <c r="C1164" s="45" t="s">
        <v>17618</v>
      </c>
      <c r="D1164" s="19">
        <v>1163</v>
      </c>
      <c r="E1164" s="19" t="str">
        <f t="shared" si="57"/>
        <v>E3_2_1_18</v>
      </c>
      <c r="F1164" s="19" t="s">
        <v>17719</v>
      </c>
      <c r="G1164" s="19" t="s">
        <v>17847</v>
      </c>
      <c r="H1164" s="19" t="s">
        <v>17782</v>
      </c>
      <c r="I1164" s="19" t="s">
        <v>17910</v>
      </c>
      <c r="J1164" s="19" t="str">
        <f t="shared" si="58"/>
        <v>(${Variables:E3_2_1_18_kcat} * E3_2_1_18 * G00110 * C00270)/(${Variables:E3_2_1_18_km} + (E3_2_1_18 * G00110 * C00270))</v>
      </c>
      <c r="K1164" s="37" t="str">
        <f t="shared" si="59"/>
        <v>r1163: G00110 + C00270 -&gt; G00111 + C00001 | (${Variables:E3_2_1_18_kcat} * E3_2_1_18 * G00110 * C00270)/(${Variables:E3_2_1_18_km} + (E3_2_1_18 * G00110 * C00270))</v>
      </c>
    </row>
    <row r="1165" spans="3:11" ht="43.5">
      <c r="C1165" s="45" t="s">
        <v>13028</v>
      </c>
      <c r="D1165" s="19">
        <v>1164</v>
      </c>
      <c r="E1165" s="19" t="str">
        <f t="shared" si="57"/>
        <v>E3_5_1_2</v>
      </c>
      <c r="F1165" s="19" t="s">
        <v>13319</v>
      </c>
      <c r="G1165" s="19" t="s">
        <v>14734</v>
      </c>
      <c r="H1165" s="19" t="s">
        <v>13998</v>
      </c>
      <c r="I1165" s="19" t="s">
        <v>15413</v>
      </c>
      <c r="J1165" s="19" t="str">
        <f t="shared" si="58"/>
        <v>(${Variables:E3_5_1_2_kcat} * E3_5_1_2 * C00064 * C00001)/(${Variables:E3_5_1_2_km} + (E3_5_1_2 * C00064 * C00001))</v>
      </c>
      <c r="K1165" s="37" t="str">
        <f t="shared" si="59"/>
        <v>r1164: C00064 + C00001 -&gt; C00025 + C00014 | (${Variables:E3_5_1_2_kcat} * E3_5_1_2 * C00064 * C00001)/(${Variables:E3_5_1_2_km} + (E3_5_1_2 * C00064 * C00001))</v>
      </c>
    </row>
    <row r="1166" spans="3:11" ht="43.5">
      <c r="C1166" s="45" t="s">
        <v>13028</v>
      </c>
      <c r="D1166" s="19">
        <v>1165</v>
      </c>
      <c r="E1166" s="19" t="str">
        <f t="shared" si="57"/>
        <v>E3_5_1_2</v>
      </c>
      <c r="F1166" s="19" t="s">
        <v>13727</v>
      </c>
      <c r="G1166" s="19" t="s">
        <v>15142</v>
      </c>
      <c r="H1166" s="19" t="s">
        <v>14410</v>
      </c>
      <c r="I1166" s="19" t="s">
        <v>15825</v>
      </c>
      <c r="J1166" s="19" t="str">
        <f t="shared" si="58"/>
        <v>(${Variables:E3_5_1_2_kcat} * E3_5_1_2 * C00819 * C00001)/(${Variables:E3_5_1_2_km} + (E3_5_1_2 * C00819 * C00001))</v>
      </c>
      <c r="K1166" s="37" t="str">
        <f t="shared" si="59"/>
        <v>r1165: C00819 + C00001 -&gt; C00217 + C00014 | (${Variables:E3_5_1_2_kcat} * E3_5_1_2 * C00819 * C00001)/(${Variables:E3_5_1_2_km} + (E3_5_1_2 * C00819 * C00001))</v>
      </c>
    </row>
    <row r="1167" spans="3:11" ht="43.5">
      <c r="C1167" s="45" t="s">
        <v>13028</v>
      </c>
      <c r="D1167" s="19">
        <v>1166</v>
      </c>
      <c r="E1167" s="19" t="str">
        <f t="shared" si="57"/>
        <v>E3_5_1_2</v>
      </c>
      <c r="F1167" s="19" t="s">
        <v>13728</v>
      </c>
      <c r="G1167" s="19" t="s">
        <v>15143</v>
      </c>
      <c r="H1167" s="19" t="s">
        <v>14411</v>
      </c>
      <c r="I1167" s="19" t="s">
        <v>15826</v>
      </c>
      <c r="J1167" s="19" t="str">
        <f t="shared" si="58"/>
        <v>(${Variables:E3_5_1_2_kcat} * E3_5_1_2 * C00241 * C00001)/(${Variables:E3_5_1_2_km} + (E3_5_1_2 * C00241 * C00001))</v>
      </c>
      <c r="K1167" s="37" t="str">
        <f t="shared" si="59"/>
        <v>r1166: C00241 + C00001 -&gt; C00060 + C00014 | (${Variables:E3_5_1_2_kcat} * E3_5_1_2 * C00241 * C00001)/(${Variables:E3_5_1_2_km} + (E3_5_1_2 * C00241 * C00001))</v>
      </c>
    </row>
    <row r="1168" spans="3:11" ht="43.5">
      <c r="C1168" s="45" t="s">
        <v>17619</v>
      </c>
      <c r="D1168" s="19">
        <v>1167</v>
      </c>
      <c r="E1168" s="19" t="str">
        <f t="shared" si="57"/>
        <v>E3_5_1_28</v>
      </c>
      <c r="F1168" s="19" t="s">
        <v>17720</v>
      </c>
      <c r="G1168" s="19" t="s">
        <v>17848</v>
      </c>
      <c r="H1168" s="19" t="s">
        <v>17783</v>
      </c>
      <c r="I1168" s="19" t="s">
        <v>17911</v>
      </c>
      <c r="J1168" s="19" t="str">
        <f t="shared" si="58"/>
        <v>(${Variables:E3_5_1_28_kcat} * E3_5_1_28 * C02999 * C00001)/(${Variables:E3_5_1_28_km} + (E3_5_1_28 * C02999 * C00001))</v>
      </c>
      <c r="K1168" s="37" t="str">
        <f t="shared" si="59"/>
        <v>r1167: C02999 + C00001 -&gt; C02713 + C00041 | (${Variables:E3_5_1_28_kcat} * E3_5_1_28 * C02999 * C00001)/(${Variables:E3_5_1_28_km} + (E3_5_1_28 * C02999 * C00001))</v>
      </c>
    </row>
    <row r="1169" spans="3:11" ht="43.5">
      <c r="C1169" s="45" t="s">
        <v>17620</v>
      </c>
      <c r="D1169" s="19">
        <v>1168</v>
      </c>
      <c r="E1169" s="19" t="str">
        <f t="shared" si="57"/>
        <v>E3_5_2_10</v>
      </c>
      <c r="F1169" s="19" t="s">
        <v>17721</v>
      </c>
      <c r="G1169" s="19" t="s">
        <v>17849</v>
      </c>
      <c r="H1169" s="19" t="s">
        <v>11969</v>
      </c>
      <c r="I1169" s="19" t="s">
        <v>11969</v>
      </c>
      <c r="J1169" s="19" t="str">
        <f t="shared" si="58"/>
        <v>(${Variables:E3_5_2_10_kcat} * E3_5_2_10 * C00791 * C00001)/(${Variables:E3_5_2_10_km} + (E3_5_2_10 * C00791 * C00001))</v>
      </c>
      <c r="K1169" s="37" t="str">
        <f t="shared" si="59"/>
        <v>r1168: C00791 + C00001 -&gt; C00030 | (${Variables:E3_5_2_10_kcat} * E3_5_2_10 * C00791 * C00001)/(${Variables:E3_5_2_10_km} + (E3_5_2_10 * C00791 * C00001))</v>
      </c>
    </row>
    <row r="1170" spans="3:11" ht="43.5">
      <c r="C1170" s="45" t="s">
        <v>17621</v>
      </c>
      <c r="D1170" s="19">
        <v>1169</v>
      </c>
      <c r="E1170" s="19" t="str">
        <f t="shared" ref="E1170:E1196" si="60">CONCATENATE("E",C1170)</f>
        <v>E3_5_2_2</v>
      </c>
      <c r="F1170" s="19" t="s">
        <v>17722</v>
      </c>
      <c r="G1170" s="19" t="s">
        <v>17850</v>
      </c>
      <c r="H1170" s="19" t="s">
        <v>16354</v>
      </c>
      <c r="I1170" s="19" t="s">
        <v>16354</v>
      </c>
      <c r="J1170" s="19" t="str">
        <f t="shared" si="58"/>
        <v>(${Variables:E3_5_2_2_kcat} * E3_5_2_2 * C00429 * C00001)/(${Variables:E3_5_2_2_km} + (E3_5_2_2 * C00429 * C00001))</v>
      </c>
      <c r="K1170" s="37" t="str">
        <f t="shared" si="59"/>
        <v>r1169: C00429 + C00001 -&gt; C02642 | (${Variables:E3_5_2_2_kcat} * E3_5_2_2 * C00429 * C00001)/(${Variables:E3_5_2_2_km} + (E3_5_2_2 * C00429 * C00001))</v>
      </c>
    </row>
    <row r="1171" spans="3:11" ht="43.5">
      <c r="C1171" s="45" t="s">
        <v>17621</v>
      </c>
      <c r="D1171" s="19">
        <v>1170</v>
      </c>
      <c r="E1171" s="19" t="str">
        <f t="shared" si="60"/>
        <v>E3_5_2_2</v>
      </c>
      <c r="F1171" s="19" t="s">
        <v>17723</v>
      </c>
      <c r="G1171" s="19" t="s">
        <v>17851</v>
      </c>
      <c r="H1171" s="19" t="s">
        <v>16357</v>
      </c>
      <c r="I1171" s="19" t="s">
        <v>16357</v>
      </c>
      <c r="J1171" s="19" t="str">
        <f t="shared" si="58"/>
        <v>(${Variables:E3_5_2_2_kcat} * E3_5_2_2 * C21028 * C00001)/(${Variables:E3_5_2_2_km} + (E3_5_2_2 * C21028 * C00001))</v>
      </c>
      <c r="K1171" s="37" t="str">
        <f t="shared" si="59"/>
        <v>r1170: C21028 + C00001 -&gt; C21029 | (${Variables:E3_5_2_2_kcat} * E3_5_2_2 * C21028 * C00001)/(${Variables:E3_5_2_2_km} + (E3_5_2_2 * C21028 * C00001))</v>
      </c>
    </row>
    <row r="1172" spans="3:11" ht="43.5">
      <c r="C1172" s="45" t="s">
        <v>17621</v>
      </c>
      <c r="D1172" s="19">
        <v>1171</v>
      </c>
      <c r="E1172" s="19" t="str">
        <f t="shared" si="60"/>
        <v>E3_5_2_2</v>
      </c>
      <c r="F1172" s="19" t="s">
        <v>17724</v>
      </c>
      <c r="G1172" s="19" t="s">
        <v>17852</v>
      </c>
      <c r="H1172" s="19" t="s">
        <v>16360</v>
      </c>
      <c r="I1172" s="19" t="s">
        <v>16360</v>
      </c>
      <c r="J1172" s="19" t="str">
        <f t="shared" si="58"/>
        <v>(${Variables:E3_5_2_2_kcat} * E3_5_2_2 * C16330 * C00001)/(${Variables:E3_5_2_2_km} + (E3_5_2_2 * C16330 * C00001))</v>
      </c>
      <c r="K1172" s="37" t="str">
        <f t="shared" si="59"/>
        <v>r1171: C16330 + C00001 -&gt; C16631 | (${Variables:E3_5_2_2_kcat} * E3_5_2_2 * C16330 * C00001)/(${Variables:E3_5_2_2_km} + (E3_5_2_2 * C16330 * C00001))</v>
      </c>
    </row>
    <row r="1173" spans="3:11" ht="43.5">
      <c r="C1173" s="45" t="s">
        <v>17622</v>
      </c>
      <c r="D1173" s="19">
        <v>1172</v>
      </c>
      <c r="E1173" s="19" t="str">
        <f t="shared" si="60"/>
        <v>E3_5_4_5</v>
      </c>
      <c r="F1173" s="19" t="s">
        <v>17725</v>
      </c>
      <c r="G1173" s="19" t="s">
        <v>17853</v>
      </c>
      <c r="H1173" s="19" t="s">
        <v>17784</v>
      </c>
      <c r="I1173" s="19" t="s">
        <v>17912</v>
      </c>
      <c r="J1173" s="19" t="str">
        <f t="shared" ref="J1173:J1195" si="61">CONCATENATE("(${Variables:",E1173,"_kcat","} * ",E1173," * ",G1173,")","/(${Variables:",E1173,"_km","} + (",E1173," * ",G1173,"))")</f>
        <v>(${Variables:E3_5_4_5_kcat} * E3_5_4_5 * C00475 * C00001)/(${Variables:E3_5_4_5_km} + (E3_5_4_5 * C00475 * C00001))</v>
      </c>
      <c r="K1173" s="37" t="str">
        <f t="shared" ref="K1173:K1195" si="62">CONCATENATE("r",D1173,": ",F1173," -&gt; ",H1173," | ",J1173)</f>
        <v>r1172: C00475 + C00001 -&gt; C00299 + C00014 | (${Variables:E3_5_4_5_kcat} * E3_5_4_5 * C00475 * C00001)/(${Variables:E3_5_4_5_km} + (E3_5_4_5 * C00475 * C00001))</v>
      </c>
    </row>
    <row r="1174" spans="3:11" ht="43.5">
      <c r="C1174" s="45" t="s">
        <v>17622</v>
      </c>
      <c r="D1174" s="19">
        <v>1173</v>
      </c>
      <c r="E1174" s="19" t="str">
        <f t="shared" si="60"/>
        <v>E3_5_4_5</v>
      </c>
      <c r="F1174" s="19" t="s">
        <v>17726</v>
      </c>
      <c r="G1174" s="19" t="s">
        <v>17854</v>
      </c>
      <c r="H1174" s="19" t="s">
        <v>17785</v>
      </c>
      <c r="I1174" s="19" t="s">
        <v>17913</v>
      </c>
      <c r="J1174" s="19" t="str">
        <f t="shared" si="61"/>
        <v>(${Variables:E3_5_4_5_kcat} * E3_5_4_5 * C00881 * C00001)/(${Variables:E3_5_4_5_km} + (E3_5_4_5 * C00881 * C00001))</v>
      </c>
      <c r="K1174" s="37" t="str">
        <f t="shared" si="62"/>
        <v>r1173: C00881 + C00001 -&gt; C00526 + C00014 | (${Variables:E3_5_4_5_kcat} * E3_5_4_5 * C00881 * C00001)/(${Variables:E3_5_4_5_km} + (E3_5_4_5 * C00881 * C00001))</v>
      </c>
    </row>
    <row r="1175" spans="3:11" ht="43.5">
      <c r="C1175" s="45" t="s">
        <v>17622</v>
      </c>
      <c r="D1175" s="19">
        <v>1174</v>
      </c>
      <c r="E1175" s="19" t="str">
        <f t="shared" si="60"/>
        <v>E3_5_4_5</v>
      </c>
      <c r="F1175" s="19" t="s">
        <v>17727</v>
      </c>
      <c r="G1175" s="19" t="s">
        <v>17855</v>
      </c>
      <c r="H1175" s="19" t="s">
        <v>17786</v>
      </c>
      <c r="I1175" s="19" t="s">
        <v>17914</v>
      </c>
      <c r="J1175" s="19" t="str">
        <f t="shared" si="61"/>
        <v>(${Variables:E3_5_4_5_kcat} * E3_5_4_5 * C16635 * C00001)/(${Variables:E3_5_4_5_km} + (E3_5_4_5 * C16635 * C00001))</v>
      </c>
      <c r="K1175" s="37" t="str">
        <f t="shared" si="62"/>
        <v>r1174: C16635 + C00001 -&gt; C12739 + C00014 | (${Variables:E3_5_4_5_kcat} * E3_5_4_5 * C16635 * C00001)/(${Variables:E3_5_4_5_km} + (E3_5_4_5 * C16635 * C00001))</v>
      </c>
    </row>
    <row r="1176" spans="3:11" ht="43.5">
      <c r="C1176" s="45" t="s">
        <v>17623</v>
      </c>
      <c r="D1176" s="19">
        <v>1175</v>
      </c>
      <c r="E1176" s="19" t="str">
        <f t="shared" si="60"/>
        <v>E3_6_1_22</v>
      </c>
      <c r="F1176" s="19" t="s">
        <v>13762</v>
      </c>
      <c r="G1176" s="19" t="s">
        <v>15177</v>
      </c>
      <c r="H1176" s="19" t="s">
        <v>14439</v>
      </c>
      <c r="I1176" s="19" t="s">
        <v>15854</v>
      </c>
      <c r="J1176" s="19" t="str">
        <f t="shared" si="61"/>
        <v>(${Variables:E3_6_1_22_kcat} * E3_6_1_22 * C00003 * C00001)/(${Variables:E3_6_1_22_km} + (E3_6_1_22 * C00003 * C00001))</v>
      </c>
      <c r="K1176" s="37" t="str">
        <f t="shared" si="62"/>
        <v>r1175: C00003 + C00001 -&gt; C00020 + C00455 | (${Variables:E3_6_1_22_kcat} * E3_6_1_22 * C00003 * C00001)/(${Variables:E3_6_1_22_km} + (E3_6_1_22 * C00003 * C00001))</v>
      </c>
    </row>
    <row r="1177" spans="3:11" ht="43.5">
      <c r="C1177" s="45" t="s">
        <v>17623</v>
      </c>
      <c r="D1177" s="19">
        <v>1176</v>
      </c>
      <c r="E1177" s="19" t="str">
        <f t="shared" si="60"/>
        <v>E3_6_1_22</v>
      </c>
      <c r="F1177" s="19" t="s">
        <v>17728</v>
      </c>
      <c r="G1177" s="19" t="s">
        <v>17856</v>
      </c>
      <c r="H1177" s="19" t="s">
        <v>17787</v>
      </c>
      <c r="I1177" s="19" t="s">
        <v>17915</v>
      </c>
      <c r="J1177" s="19" t="str">
        <f t="shared" si="61"/>
        <v>(${Variables:E3_6_1_22_kcat} * E3_6_1_22 * C00004 * C00001)/(${Variables:E3_6_1_22_km} + (E3_6_1_22 * C00004 * C00001))</v>
      </c>
      <c r="K1177" s="37" t="str">
        <f t="shared" si="62"/>
        <v>r1176: C00004 + C00001 -&gt; C00020 + C21113 | (${Variables:E3_6_1_22_kcat} * E3_6_1_22 * C00004 * C00001)/(${Variables:E3_6_1_22_km} + (E3_6_1_22 * C00004 * C00001))</v>
      </c>
    </row>
    <row r="1178" spans="3:11" ht="43.5">
      <c r="C1178" s="45" t="s">
        <v>17623</v>
      </c>
      <c r="D1178" s="19">
        <v>1177</v>
      </c>
      <c r="E1178" s="19" t="str">
        <f t="shared" si="60"/>
        <v>E3_6_1_22</v>
      </c>
      <c r="F1178" s="19" t="s">
        <v>13765</v>
      </c>
      <c r="G1178" s="19" t="s">
        <v>15180</v>
      </c>
      <c r="H1178" s="19" t="s">
        <v>14442</v>
      </c>
      <c r="I1178" s="19" t="s">
        <v>15857</v>
      </c>
      <c r="J1178" s="19" t="str">
        <f t="shared" si="61"/>
        <v>(${Variables:E3_6_1_22_kcat} * E3_6_1_22 * C00857 * C00001)/(${Variables:E3_6_1_22_km} + (E3_6_1_22 * C00857 * C00001))</v>
      </c>
      <c r="K1178" s="37" t="str">
        <f t="shared" si="62"/>
        <v>r1177: C00857 + C00001 -&gt; C00020 + C01185 | (${Variables:E3_6_1_22_kcat} * E3_6_1_22 * C00857 * C00001)/(${Variables:E3_6_1_22_km} + (E3_6_1_22 * C00857 * C00001))</v>
      </c>
    </row>
    <row r="1179" spans="3:11" ht="43.5">
      <c r="C1179" s="45" t="s">
        <v>17624</v>
      </c>
      <c r="D1179" s="19">
        <v>1178</v>
      </c>
      <c r="E1179" s="19" t="str">
        <f t="shared" si="60"/>
        <v>E4_1_1_112</v>
      </c>
      <c r="F1179" s="19" t="s">
        <v>11973</v>
      </c>
      <c r="G1179" s="19" t="s">
        <v>11973</v>
      </c>
      <c r="H1179" s="19" t="s">
        <v>13918</v>
      </c>
      <c r="I1179" s="19" t="s">
        <v>15333</v>
      </c>
      <c r="J1179" s="19" t="str">
        <f t="shared" si="61"/>
        <v>(${Variables:E4_1_1_112_kcat} * E4_1_1_112 * C00036)/(${Variables:E4_1_1_112_km} + (E4_1_1_112 * C00036))</v>
      </c>
      <c r="K1179" s="37" t="str">
        <f t="shared" si="62"/>
        <v>r1178: C00036 -&gt; C00022 + C00011 | (${Variables:E4_1_1_112_kcat} * E4_1_1_112 * C00036)/(${Variables:E4_1_1_112_km} + (E4_1_1_112 * C00036))</v>
      </c>
    </row>
    <row r="1180" spans="3:11" ht="43.5">
      <c r="C1180" s="45" t="s">
        <v>17624</v>
      </c>
      <c r="D1180" s="19">
        <v>1179</v>
      </c>
      <c r="E1180" s="19" t="str">
        <f t="shared" si="60"/>
        <v>E4_1_1_112</v>
      </c>
      <c r="F1180" s="19" t="s">
        <v>16377</v>
      </c>
      <c r="G1180" s="19" t="s">
        <v>16377</v>
      </c>
      <c r="H1180" s="19" t="s">
        <v>17788</v>
      </c>
      <c r="I1180" s="19" t="s">
        <v>17916</v>
      </c>
      <c r="J1180" s="19" t="str">
        <f t="shared" si="61"/>
        <v>(${Variables:E4_1_1_112_kcat} * E4_1_1_112 * C06030)/(${Variables:E4_1_1_112_km} + (E4_1_1_112 * C06030))</v>
      </c>
      <c r="K1180" s="37" t="str">
        <f t="shared" si="62"/>
        <v>r1179: C06030 -&gt; C00109 + C00011 | (${Variables:E4_1_1_112_kcat} * E4_1_1_112 * C06030)/(${Variables:E4_1_1_112_km} + (E4_1_1_112 * C06030))</v>
      </c>
    </row>
    <row r="1181" spans="3:11" ht="29">
      <c r="C1181" s="45" t="s">
        <v>17625</v>
      </c>
      <c r="D1181" s="19">
        <v>1180</v>
      </c>
      <c r="E1181" s="19" t="str">
        <f t="shared" si="60"/>
        <v>E4_1_1_88</v>
      </c>
      <c r="F1181" s="19" t="s">
        <v>16381</v>
      </c>
      <c r="G1181" s="19" t="s">
        <v>16381</v>
      </c>
      <c r="H1181" s="19" t="s">
        <v>17789</v>
      </c>
      <c r="I1181" s="19" t="s">
        <v>17917</v>
      </c>
      <c r="J1181" s="19" t="str">
        <f t="shared" si="61"/>
        <v>(${Variables:E4_1_1_88_kcat} * E4_1_1_88 * C00383)/(${Variables:E4_1_1_88_km} + (E4_1_1_88 * C00383))</v>
      </c>
      <c r="K1181" s="37" t="str">
        <f t="shared" si="62"/>
        <v>r1180: C00383 -&gt; C00033 + C00011 | (${Variables:E4_1_1_88_kcat} * E4_1_1_88 * C00383)/(${Variables:E4_1_1_88_km} + (E4_1_1_88 * C00383))</v>
      </c>
    </row>
    <row r="1182" spans="3:11" ht="29">
      <c r="C1182" s="45" t="s">
        <v>17626</v>
      </c>
      <c r="D1182" s="19">
        <v>1181</v>
      </c>
      <c r="E1182" s="19" t="str">
        <f t="shared" si="60"/>
        <v>E4_1_2_14</v>
      </c>
      <c r="F1182" s="19" t="s">
        <v>16385</v>
      </c>
      <c r="G1182" s="19" t="s">
        <v>16385</v>
      </c>
      <c r="H1182" s="19" t="s">
        <v>17790</v>
      </c>
      <c r="I1182" s="19" t="s">
        <v>17918</v>
      </c>
      <c r="J1182" s="19" t="str">
        <f t="shared" si="61"/>
        <v>(${Variables:E4_1_2_14_kcat} * E4_1_2_14 * C04442)/(${Variables:E4_1_2_14_km} + (E4_1_2_14 * C04442))</v>
      </c>
      <c r="K1182" s="37" t="str">
        <f t="shared" si="62"/>
        <v>r1181: C04442 -&gt; C00118 + C00022 | (${Variables:E4_1_2_14_kcat} * E4_1_2_14 * C04442)/(${Variables:E4_1_2_14_km} + (E4_1_2_14 * C04442))</v>
      </c>
    </row>
    <row r="1183" spans="3:11" ht="29">
      <c r="C1183" s="45" t="s">
        <v>17627</v>
      </c>
      <c r="D1183" s="19">
        <v>1182</v>
      </c>
      <c r="E1183" s="19" t="str">
        <f t="shared" si="60"/>
        <v>E4_1_3_16</v>
      </c>
      <c r="F1183" s="19" t="s">
        <v>16389</v>
      </c>
      <c r="G1183" s="19" t="s">
        <v>16389</v>
      </c>
      <c r="H1183" s="19" t="s">
        <v>17791</v>
      </c>
      <c r="I1183" s="19" t="s">
        <v>17919</v>
      </c>
      <c r="J1183" s="19" t="str">
        <f t="shared" si="61"/>
        <v>(${Variables:E4_1_3_16_kcat} * E4_1_3_16 * C01127)/(${Variables:E4_1_3_16_km} + (E4_1_3_16 * C01127))</v>
      </c>
      <c r="K1183" s="37" t="str">
        <f t="shared" si="62"/>
        <v>r1182: C01127 -&gt; C00022 + C00048 | (${Variables:E4_1_3_16_kcat} * E4_1_3_16 * C01127)/(${Variables:E4_1_3_16_km} + (E4_1_3_16 * C01127))</v>
      </c>
    </row>
    <row r="1184" spans="3:11" ht="29">
      <c r="C1184" s="45" t="s">
        <v>17627</v>
      </c>
      <c r="D1184" s="19">
        <v>1183</v>
      </c>
      <c r="E1184" s="19" t="str">
        <f t="shared" si="60"/>
        <v>E4_1_3_16</v>
      </c>
      <c r="F1184" s="19" t="s">
        <v>16154</v>
      </c>
      <c r="G1184" s="19" t="s">
        <v>16154</v>
      </c>
      <c r="H1184" s="19" t="s">
        <v>17791</v>
      </c>
      <c r="I1184" s="19" t="s">
        <v>17919</v>
      </c>
      <c r="J1184" s="19" t="str">
        <f t="shared" si="61"/>
        <v>(${Variables:E4_1_3_16_kcat} * E4_1_3_16 * C05946)/(${Variables:E4_1_3_16_km} + (E4_1_3_16 * C05946))</v>
      </c>
      <c r="K1184" s="37" t="str">
        <f t="shared" si="62"/>
        <v>r1183: C05946 -&gt; C00022 + C00048 | (${Variables:E4_1_3_16_kcat} * E4_1_3_16 * C05946)/(${Variables:E4_1_3_16_km} + (E4_1_3_16 * C05946))</v>
      </c>
    </row>
    <row r="1185" spans="3:11" ht="29">
      <c r="C1185" s="45" t="s">
        <v>17627</v>
      </c>
      <c r="D1185" s="19">
        <v>1184</v>
      </c>
      <c r="E1185" s="19" t="str">
        <f t="shared" si="60"/>
        <v>E4_1_3_16</v>
      </c>
      <c r="F1185" s="19" t="s">
        <v>16393</v>
      </c>
      <c r="G1185" s="19" t="s">
        <v>16393</v>
      </c>
      <c r="H1185" s="19" t="s">
        <v>17791</v>
      </c>
      <c r="I1185" s="19" t="s">
        <v>17919</v>
      </c>
      <c r="J1185" s="19" t="str">
        <f t="shared" si="61"/>
        <v>(${Variables:E4_1_3_16_kcat} * E4_1_3_16 * C20485)/(${Variables:E4_1_3_16_km} + (E4_1_3_16 * C20485))</v>
      </c>
      <c r="K1185" s="37" t="str">
        <f t="shared" si="62"/>
        <v>r1184: C20485 -&gt; C00022 + C00048 | (${Variables:E4_1_3_16_kcat} * E4_1_3_16 * C20485)/(${Variables:E4_1_3_16_km} + (E4_1_3_16 * C20485))</v>
      </c>
    </row>
    <row r="1186" spans="3:11" ht="29">
      <c r="C1186" s="45" t="s">
        <v>17628</v>
      </c>
      <c r="D1186" s="19">
        <v>1185</v>
      </c>
      <c r="E1186" s="19" t="str">
        <f t="shared" si="60"/>
        <v>E4_1_3_17</v>
      </c>
      <c r="F1186" s="19" t="s">
        <v>16396</v>
      </c>
      <c r="G1186" s="19" t="s">
        <v>16396</v>
      </c>
      <c r="H1186" s="19" t="s">
        <v>9840</v>
      </c>
      <c r="I1186" s="19" t="s">
        <v>9840</v>
      </c>
      <c r="J1186" s="19" t="str">
        <f t="shared" si="61"/>
        <v>(${Variables:E4_1_3_17_kcat} * E4_1_3_17 * C06033)/(${Variables:E4_1_3_17_km} + (E4_1_3_17 * C06033))</v>
      </c>
      <c r="K1186" s="37" t="str">
        <f t="shared" si="62"/>
        <v>r1185: C06033 -&gt; C00022 | (${Variables:E4_1_3_17_kcat} * E4_1_3_17 * C06033)/(${Variables:E4_1_3_17_km} + (E4_1_3_17 * C06033))</v>
      </c>
    </row>
    <row r="1187" spans="3:11" ht="29">
      <c r="C1187" s="45" t="s">
        <v>17628</v>
      </c>
      <c r="D1187" s="19">
        <v>1186</v>
      </c>
      <c r="E1187" s="19" t="str">
        <f t="shared" si="60"/>
        <v>E4_1_3_17</v>
      </c>
      <c r="F1187" s="19" t="s">
        <v>16398</v>
      </c>
      <c r="G1187" s="19" t="s">
        <v>16398</v>
      </c>
      <c r="H1187" s="19" t="s">
        <v>17792</v>
      </c>
      <c r="I1187" s="19" t="s">
        <v>17920</v>
      </c>
      <c r="J1187" s="19" t="str">
        <f t="shared" si="61"/>
        <v>(${Variables:E4_1_3_17_kcat} * E4_1_3_17 * C04115)/(${Variables:E4_1_3_17_km} + (E4_1_3_17 * C04115))</v>
      </c>
      <c r="K1187" s="37" t="str">
        <f t="shared" si="62"/>
        <v>r1186: C04115 -&gt; C00036 + C00022 | (${Variables:E4_1_3_17_kcat} * E4_1_3_17 * C04115)/(${Variables:E4_1_3_17_km} + (E4_1_3_17 * C04115))</v>
      </c>
    </row>
    <row r="1188" spans="3:11" ht="43.5">
      <c r="C1188" s="45" t="s">
        <v>17629</v>
      </c>
      <c r="D1188" s="19">
        <v>1187</v>
      </c>
      <c r="E1188" s="19" t="str">
        <f t="shared" si="60"/>
        <v>E4_1_3_39</v>
      </c>
      <c r="F1188" s="19" t="s">
        <v>17729</v>
      </c>
      <c r="G1188" s="19" t="s">
        <v>17857</v>
      </c>
      <c r="H1188" s="19" t="s">
        <v>16403</v>
      </c>
      <c r="I1188" s="19" t="s">
        <v>16403</v>
      </c>
      <c r="J1188" s="19" t="str">
        <f t="shared" si="61"/>
        <v>(${Variables:E4_1_3_39_kcat} * E4_1_3_39 * C00084 * C00022)/(${Variables:E4_1_3_39_km} + (E4_1_3_39 * C00084 * C00022))</v>
      </c>
      <c r="K1188" s="37" t="str">
        <f t="shared" si="62"/>
        <v>r1187: C00084 + C00022 -&gt; C03589 | (${Variables:E4_1_3_39_kcat} * E4_1_3_39 * C00084 * C00022)/(${Variables:E4_1_3_39_km} + (E4_1_3_39 * C00084 * C00022))</v>
      </c>
    </row>
    <row r="1189" spans="3:11" ht="43.5">
      <c r="C1189" s="45" t="s">
        <v>17631</v>
      </c>
      <c r="D1189" s="19">
        <v>1188</v>
      </c>
      <c r="E1189" s="19" t="str">
        <f t="shared" si="60"/>
        <v>E4_2_1_80</v>
      </c>
      <c r="F1189" s="19" t="s">
        <v>17730</v>
      </c>
      <c r="G1189" s="19" t="s">
        <v>17858</v>
      </c>
      <c r="H1189" s="19" t="s">
        <v>16403</v>
      </c>
      <c r="I1189" s="19" t="s">
        <v>16403</v>
      </c>
      <c r="J1189" s="19" t="str">
        <f t="shared" si="61"/>
        <v>(${Variables:E4_2_1_80_kcat} * E4_2_1_80 * C00596 * C00001)/(${Variables:E4_2_1_80_km} + (E4_2_1_80 * C00596 * C00001))</v>
      </c>
      <c r="K1189" s="37" t="str">
        <f t="shared" si="62"/>
        <v>r1188: C00596 + C00001 -&gt; C03589 | (${Variables:E4_2_1_80_kcat} * E4_2_1_80 * C00596 * C00001)/(${Variables:E4_2_1_80_km} + (E4_2_1_80 * C00596 * C00001))</v>
      </c>
    </row>
    <row r="1190" spans="3:11" ht="48" customHeight="1">
      <c r="C1190" s="45" t="s">
        <v>17631</v>
      </c>
      <c r="D1190" s="19">
        <v>1189</v>
      </c>
      <c r="E1190" s="19" t="str">
        <f t="shared" si="60"/>
        <v>E4_2_1_80</v>
      </c>
      <c r="F1190" s="19" t="s">
        <v>16398</v>
      </c>
      <c r="G1190" s="19" t="s">
        <v>16398</v>
      </c>
      <c r="H1190" s="19" t="s">
        <v>17793</v>
      </c>
      <c r="I1190" s="19" t="s">
        <v>17921</v>
      </c>
      <c r="J1190" s="19" t="str">
        <f t="shared" si="61"/>
        <v>(${Variables:E4_2_1_80_kcat} * E4_2_1_80 * C04115)/(${Variables:E4_2_1_80_km} + (E4_2_1_80 * C04115))</v>
      </c>
      <c r="K1190" s="37" t="str">
        <f t="shared" si="62"/>
        <v>r1189: C04115 -&gt; C05364 + C00001 | (${Variables:E4_2_1_80_kcat} * E4_2_1_80 * C04115)/(${Variables:E4_2_1_80_km} + (E4_2_1_80 * C04115))</v>
      </c>
    </row>
    <row r="1191" spans="3:11" ht="43.5">
      <c r="C1191" s="45" t="s">
        <v>17631</v>
      </c>
      <c r="D1191" s="19">
        <v>1190</v>
      </c>
      <c r="E1191" s="19" t="str">
        <f t="shared" si="60"/>
        <v>E4_2_1_80</v>
      </c>
      <c r="F1191" s="19" t="s">
        <v>17731</v>
      </c>
      <c r="G1191" s="19" t="s">
        <v>17859</v>
      </c>
      <c r="H1191" s="19" t="s">
        <v>16412</v>
      </c>
      <c r="I1191" s="19" t="s">
        <v>16412</v>
      </c>
      <c r="J1191" s="19" t="str">
        <f t="shared" si="61"/>
        <v>(${Variables:E4_2_1_80_kcat} * E4_2_1_80 * C06761 * C00001)/(${Variables:E4_2_1_80_km} + (E4_2_1_80 * C06761 * C00001))</v>
      </c>
      <c r="K1191" s="37" t="str">
        <f t="shared" si="62"/>
        <v>r1190: C06761 + C00001 -&gt; C06762 | (${Variables:E4_2_1_80_kcat} * E4_2_1_80 * C06761 * C00001)/(${Variables:E4_2_1_80_km} + (E4_2_1_80 * C06761 * C00001))</v>
      </c>
    </row>
    <row r="1192" spans="3:11" ht="29">
      <c r="C1192" s="45" t="s">
        <v>17632</v>
      </c>
      <c r="D1192" s="19">
        <v>1191</v>
      </c>
      <c r="E1192" s="19" t="str">
        <f t="shared" si="60"/>
        <v>E5_1_3_14</v>
      </c>
      <c r="F1192" s="19" t="s">
        <v>9458</v>
      </c>
      <c r="G1192" s="19" t="s">
        <v>9458</v>
      </c>
      <c r="H1192" s="19" t="s">
        <v>16415</v>
      </c>
      <c r="I1192" s="19" t="s">
        <v>16415</v>
      </c>
      <c r="J1192" s="19" t="str">
        <f t="shared" si="61"/>
        <v>(${Variables:E5_1_3_14_kcat} * E5_1_3_14 * C00043)/(${Variables:E5_1_3_14_km} + (E5_1_3_14 * C00043))</v>
      </c>
      <c r="K1192" s="37" t="str">
        <f t="shared" si="62"/>
        <v>r1191: C00043 -&gt; C01170 | (${Variables:E5_1_3_14_kcat} * E5_1_3_14 * C00043)/(${Variables:E5_1_3_14_km} + (E5_1_3_14 * C00043))</v>
      </c>
    </row>
    <row r="1193" spans="3:11" ht="43.5">
      <c r="C1193" s="45" t="s">
        <v>17632</v>
      </c>
      <c r="D1193" s="19">
        <v>1192</v>
      </c>
      <c r="E1193" s="19" t="str">
        <f t="shared" si="60"/>
        <v>E5_1_3_14</v>
      </c>
      <c r="F1193" s="19" t="s">
        <v>17732</v>
      </c>
      <c r="G1193" s="19" t="s">
        <v>17860</v>
      </c>
      <c r="H1193" s="19" t="s">
        <v>17733</v>
      </c>
      <c r="I1193" s="19" t="s">
        <v>17861</v>
      </c>
      <c r="J1193" s="19" t="str">
        <f t="shared" si="61"/>
        <v>(${Variables:E5_1_3_14_kcat} * E5_1_3_14 * C00043 * C00001)/(${Variables:E5_1_3_14_km} + (E5_1_3_14 * C00043 * C00001))</v>
      </c>
      <c r="K1193" s="37" t="str">
        <f t="shared" si="62"/>
        <v>r1192: C00043 + C00001 -&gt; C00645 + C00015 | (${Variables:E5_1_3_14_kcat} * E5_1_3_14 * C00043 * C00001)/(${Variables:E5_1_3_14_km} + (E5_1_3_14 * C00043 * C00001))</v>
      </c>
    </row>
    <row r="1194" spans="3:11" ht="43.5">
      <c r="C1194" s="45" t="s">
        <v>17632</v>
      </c>
      <c r="D1194" s="19">
        <v>1193</v>
      </c>
      <c r="E1194" s="19" t="str">
        <f t="shared" si="60"/>
        <v>E5_1_3_14</v>
      </c>
      <c r="F1194" s="19" t="s">
        <v>17733</v>
      </c>
      <c r="G1194" s="19" t="s">
        <v>17861</v>
      </c>
      <c r="H1194" s="19" t="s">
        <v>17794</v>
      </c>
      <c r="I1194" s="19" t="s">
        <v>17922</v>
      </c>
      <c r="J1194" s="19" t="str">
        <f t="shared" si="61"/>
        <v>(${Variables:E5_1_3_14_kcat} * E5_1_3_14 * C00645 * C00015)/(${Variables:E5_1_3_14_km} + (E5_1_3_14 * C00645 * C00015))</v>
      </c>
      <c r="K1194" s="37" t="str">
        <f t="shared" si="62"/>
        <v>r1193: C00645 + C00015 -&gt; C01170 + C00001 | (${Variables:E5_1_3_14_kcat} * E5_1_3_14 * C00645 * C00015)/(${Variables:E5_1_3_14_km} + (E5_1_3_14 * C00645 * C00015))</v>
      </c>
    </row>
    <row r="1195" spans="3:11" ht="29">
      <c r="C1195" s="45" t="s">
        <v>17633</v>
      </c>
      <c r="D1195" s="19">
        <v>1194</v>
      </c>
      <c r="E1195" s="19" t="str">
        <f t="shared" si="60"/>
        <v>E5_3_2_8</v>
      </c>
      <c r="F1195" s="19" t="s">
        <v>16424</v>
      </c>
      <c r="G1195" s="19" t="s">
        <v>16424</v>
      </c>
      <c r="H1195" s="19" t="s">
        <v>16425</v>
      </c>
      <c r="I1195" s="19" t="s">
        <v>16425</v>
      </c>
      <c r="J1195" s="19" t="str">
        <f t="shared" si="61"/>
        <v>(${Variables:E5_3_2_8_kcat} * E5_3_2_8 * C04434)/(${Variables:E5_3_2_8_km} + (E5_3_2_8 * C04434))</v>
      </c>
      <c r="K1195" s="37" t="str">
        <f t="shared" si="62"/>
        <v>r1194: C04434 -&gt; C04324 | (${Variables:E5_3_2_8_kcat} * E5_3_2_8 * C04434)/(${Variables:E5_3_2_8_km} + (E5_3_2_8 * C04434))</v>
      </c>
    </row>
    <row r="1196" spans="3:11" ht="55.25" customHeight="1">
      <c r="C1196" s="45" t="s">
        <v>17634</v>
      </c>
      <c r="D1196" s="19">
        <v>1195</v>
      </c>
      <c r="E1196" s="19" t="str">
        <f t="shared" si="60"/>
        <v>E6_2_1_16</v>
      </c>
      <c r="F1196" s="19" t="s">
        <v>17734</v>
      </c>
      <c r="G1196" s="19" t="s">
        <v>17862</v>
      </c>
      <c r="H1196" s="19" t="s">
        <v>17795</v>
      </c>
      <c r="I1196" s="19" t="s">
        <v>17923</v>
      </c>
      <c r="J1196" s="19" t="str">
        <f>CONCATENATE("(${Variables:",E1196,"_kcat","} * ",E1196," * ",G1196,")","/(${Variables:",E1196,"_km","} + (",E1196," * ",G1196,"))")</f>
        <v>(${Variables:E6_2_1_16_kcat} * E6_2_1_16 * C00002 * C00164 * C00010)/(${Variables:E6_2_1_16_km} + (E6_2_1_16 * C00002 * C00164 * C00010))</v>
      </c>
      <c r="K1196" s="37" t="str">
        <f>CONCATENATE("r",D1196,": ",F1196," -&gt; ",H1196," | ",J1196)</f>
        <v>r1195: C00002 + C00164 + C00010 -&gt; C00020 + C00013 + C00332 | (${Variables:E6_2_1_16_kcat} * E6_2_1_16 * C00002 * C00164 * C00010)/(${Variables:E6_2_1_16_km} + (E6_2_1_16 * C00002 * C00164 * C00010))</v>
      </c>
    </row>
    <row r="1777" spans="2:2">
      <c r="B1777" s="38"/>
    </row>
    <row r="1778" spans="2:2">
      <c r="B1778" s="38"/>
    </row>
    <row r="1915" spans="2:2">
      <c r="B1915" s="38"/>
    </row>
    <row r="1989" spans="2:2">
      <c r="B1989" s="38"/>
    </row>
    <row r="1990" spans="2:2">
      <c r="B1990" s="38"/>
    </row>
    <row r="2095" spans="2:2">
      <c r="B2095" s="38"/>
    </row>
  </sheetData>
  <phoneticPr fontId="2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94FC0-52E9-46C9-94CB-CCD7A49A02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tingyi lim</dc:creator>
  <cp:lastModifiedBy>M L</cp:lastModifiedBy>
  <dcterms:created xsi:type="dcterms:W3CDTF">2025-11-19T08:44:30Z</dcterms:created>
  <dcterms:modified xsi:type="dcterms:W3CDTF">2026-08-18T08:05:15Z</dcterms:modified>
</cp:coreProperties>
</file>